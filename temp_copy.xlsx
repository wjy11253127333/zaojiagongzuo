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600" firstSheet="0" activeTab="2" autoFilterDateGrouping="1"/>
  </bookViews>
  <sheets>
    <sheet xmlns:r="http://schemas.openxmlformats.org/officeDocument/2006/relationships" name="清单汇总" sheetId="1" state="visible" r:id="rId1"/>
    <sheet xmlns:r="http://schemas.openxmlformats.org/officeDocument/2006/relationships" name="表-08 分部分项工程和单价措施项目清单-综合楼" sheetId="2" state="visible" r:id="rId2"/>
    <sheet xmlns:r="http://schemas.openxmlformats.org/officeDocument/2006/relationships" name="表-08 分部分项工程和单价措施项目清单-教学楼" sheetId="3" state="visible" r:id="rId3"/>
    <sheet xmlns:r="http://schemas.openxmlformats.org/officeDocument/2006/relationships" name="合并说明" sheetId="4" state="visible" r:id="rId4"/>
  </sheets>
  <definedNames>
    <definedName name="_xlnm._FilterDatabase" localSheetId="1" hidden="1">'表-08 分部分项工程和单价措施项目清单-综合楼'!$A$3:$AI$261</definedName>
    <definedName name="_xlnm.Print_Titles" localSheetId="1">'表-08 分部分项工程和单价措施项目清单-综合楼'!$1:$5</definedName>
    <definedName name="_xlnm.Print_Area" localSheetId="1">'表-08 分部分项工程和单价措施项目清单-综合楼'!$A$1:$Z$263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_ "/>
    <numFmt numFmtId="165" formatCode="0_ "/>
    <numFmt numFmtId="166" formatCode="0.000_ "/>
    <numFmt numFmtId="167" formatCode="#,##0.00_ ;[Red]\-#,##0.00\ "/>
  </numFmts>
  <fonts count="29">
    <font>
      <name val="宋体"/>
      <charset val="134"/>
      <color theme="1"/>
      <sz val="9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b val="1"/>
      <sz val="20"/>
    </font>
    <font>
      <name val="宋体"/>
      <charset val="134"/>
      <sz val="10"/>
    </font>
    <font>
      <name val="宋体"/>
      <charset val="134"/>
      <b val="1"/>
      <sz val="10"/>
    </font>
    <font>
      <name val="宋体"/>
      <charset val="134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8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9" borderId="7" applyAlignment="1">
      <alignment vertical="center"/>
    </xf>
    <xf numFmtId="0" fontId="19" fillId="10" borderId="8" applyAlignment="1">
      <alignment vertical="center"/>
    </xf>
    <xf numFmtId="0" fontId="20" fillId="10" borderId="7" applyAlignment="1">
      <alignment vertical="center"/>
    </xf>
    <xf numFmtId="0" fontId="21" fillId="11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  <xf numFmtId="0" fontId="0" fillId="0" borderId="0"/>
  </cellStyleXfs>
  <cellXfs count="112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0" pivotButton="0" quotePrefix="0" xfId="49"/>
    <xf numFmtId="0" fontId="0" fillId="3" borderId="0" pivotButton="0" quotePrefix="0" xfId="49"/>
    <xf numFmtId="0" fontId="0" fillId="4" borderId="0" pivotButton="0" quotePrefix="0" xfId="49"/>
    <xf numFmtId="0" fontId="0" fillId="5" borderId="0" pivotButton="0" quotePrefix="0" xfId="49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49">
      <alignment horizontal="center"/>
    </xf>
    <xf numFmtId="0" fontId="0" fillId="6" borderId="0" applyAlignment="1" pivotButton="0" quotePrefix="0" xfId="49">
      <alignment horizontal="center"/>
    </xf>
    <xf numFmtId="164" fontId="0" fillId="6" borderId="0" applyAlignment="1" pivotButton="0" quotePrefix="0" xfId="49">
      <alignment horizontal="center"/>
    </xf>
    <xf numFmtId="164" fontId="0" fillId="0" borderId="0" applyAlignment="1" pivotButton="0" quotePrefix="0" xfId="49">
      <alignment horizontal="center"/>
    </xf>
    <xf numFmtId="164" fontId="0" fillId="7" borderId="0" applyAlignment="1" pivotButton="0" quotePrefix="0" xfId="49">
      <alignment horizontal="center"/>
    </xf>
    <xf numFmtId="0" fontId="5" fillId="0" borderId="1" applyAlignment="1" pivotButton="0" quotePrefix="0" xfId="49">
      <alignment horizontal="center" vertical="center" wrapText="1"/>
    </xf>
    <xf numFmtId="0" fontId="0" fillId="0" borderId="2" pivotButton="0" quotePrefix="0" xfId="0"/>
    <xf numFmtId="0" fontId="6" fillId="0" borderId="1" applyAlignment="1" pivotButton="0" quotePrefix="0" xfId="49">
      <alignment horizontal="center" vertical="center" wrapText="1"/>
    </xf>
    <xf numFmtId="0" fontId="0" fillId="0" borderId="3" pivotButton="0" quotePrefix="0" xfId="0"/>
    <xf numFmtId="0" fontId="6" fillId="6" borderId="1" applyAlignment="1" pivotButton="0" quotePrefix="0" xfId="49">
      <alignment horizontal="center" vertical="center" wrapText="1"/>
    </xf>
    <xf numFmtId="0" fontId="1" fillId="2" borderId="1" applyAlignment="1" pivotButton="0" quotePrefix="0" xfId="49">
      <alignment horizontal="center" vertical="center" wrapText="1"/>
    </xf>
    <xf numFmtId="0" fontId="2" fillId="0" borderId="1" applyAlignment="1" pivotButton="0" quotePrefix="0" xfId="49">
      <alignment horizontal="left" vertical="center" wrapText="1"/>
    </xf>
    <xf numFmtId="0" fontId="2" fillId="0" borderId="1" applyAlignment="1" pivotButton="0" quotePrefix="0" xfId="49">
      <alignment horizontal="right" vertical="center"/>
    </xf>
    <xf numFmtId="0" fontId="2" fillId="6" borderId="1" applyAlignment="1" pivotButton="0" quotePrefix="0" xfId="49">
      <alignment horizontal="right" vertical="center"/>
    </xf>
    <xf numFmtId="164" fontId="2" fillId="0" borderId="1" applyAlignment="1" pivotButton="0" quotePrefix="0" xfId="49">
      <alignment horizontal="right" vertical="center"/>
    </xf>
    <xf numFmtId="164" fontId="2" fillId="6" borderId="1" applyAlignment="1" pivotButton="0" quotePrefix="0" xfId="49">
      <alignment horizontal="right" vertical="center"/>
    </xf>
    <xf numFmtId="165" fontId="2" fillId="0" borderId="1" applyAlignment="1" pivotButton="0" quotePrefix="0" xfId="49">
      <alignment horizontal="right" vertical="center"/>
    </xf>
    <xf numFmtId="165" fontId="2" fillId="6" borderId="1" applyAlignment="1" pivotButton="0" quotePrefix="0" xfId="49">
      <alignment horizontal="right" vertical="center"/>
    </xf>
    <xf numFmtId="166" fontId="2" fillId="6" borderId="1" applyAlignment="1" pivotButton="0" quotePrefix="0" xfId="49">
      <alignment horizontal="right" vertical="center"/>
    </xf>
    <xf numFmtId="0" fontId="2" fillId="3" borderId="1" applyAlignment="1" pivotButton="0" quotePrefix="0" xfId="49">
      <alignment horizontal="left" vertical="center" wrapText="1"/>
    </xf>
    <xf numFmtId="0" fontId="2" fillId="3" borderId="1" applyAlignment="1" pivotButton="0" quotePrefix="0" xfId="49">
      <alignment horizontal="right" vertical="center"/>
    </xf>
    <xf numFmtId="164" fontId="2" fillId="3" borderId="1" applyAlignment="1" pivotButton="0" quotePrefix="0" xfId="49">
      <alignment horizontal="right" vertical="center"/>
    </xf>
    <xf numFmtId="10" fontId="2" fillId="0" borderId="1" applyAlignment="1" pivotButton="0" quotePrefix="0" xfId="49">
      <alignment horizontal="right" vertical="center"/>
    </xf>
    <xf numFmtId="166" fontId="2" fillId="0" borderId="1" applyAlignment="1" pivotButton="0" quotePrefix="0" xfId="49">
      <alignment horizontal="right" vertical="center"/>
    </xf>
    <xf numFmtId="10" fontId="2" fillId="3" borderId="1" applyAlignment="1" pivotButton="0" quotePrefix="0" xfId="49">
      <alignment horizontal="right" vertical="center"/>
    </xf>
    <xf numFmtId="164" fontId="1" fillId="2" borderId="1" applyAlignment="1" pivotButton="0" quotePrefix="0" xfId="49">
      <alignment horizontal="center" vertical="center" wrapText="1"/>
    </xf>
    <xf numFmtId="164" fontId="2" fillId="7" borderId="1" applyAlignment="1" pivotButton="0" quotePrefix="0" xfId="49">
      <alignment horizontal="right" vertical="center"/>
    </xf>
    <xf numFmtId="0" fontId="0" fillId="0" borderId="0" applyAlignment="1" pivotButton="0" quotePrefix="0" xfId="49">
      <alignment horizontal="center" vertical="center"/>
    </xf>
    <xf numFmtId="0" fontId="6" fillId="0" borderId="0" applyAlignment="1" pivotButton="0" quotePrefix="0" xfId="49">
      <alignment horizontal="center" vertical="center" wrapText="1"/>
    </xf>
    <xf numFmtId="0" fontId="2" fillId="5" borderId="1" applyAlignment="1" pivotButton="0" quotePrefix="0" xfId="49">
      <alignment horizontal="left" vertical="center" wrapText="1"/>
    </xf>
    <xf numFmtId="0" fontId="2" fillId="5" borderId="1" applyAlignment="1" pivotButton="0" quotePrefix="0" xfId="49">
      <alignment horizontal="right" vertical="center"/>
    </xf>
    <xf numFmtId="164" fontId="2" fillId="5" borderId="1" applyAlignment="1" pivotButton="0" quotePrefix="0" xfId="49">
      <alignment horizontal="right" vertical="center"/>
    </xf>
    <xf numFmtId="10" fontId="2" fillId="5" borderId="1" applyAlignment="1" pivotButton="0" quotePrefix="0" xfId="49">
      <alignment horizontal="right" vertical="center"/>
    </xf>
    <xf numFmtId="0" fontId="0" fillId="0" borderId="0" applyAlignment="1" pivotButton="0" quotePrefix="0" xfId="49">
      <alignment horizontal="center" vertical="center" wrapText="1"/>
    </xf>
    <xf numFmtId="49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right" vertical="center"/>
    </xf>
    <xf numFmtId="167" fontId="2" fillId="6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0" fontId="2" fillId="7" borderId="1" applyAlignment="1" pivotButton="0" quotePrefix="0" xfId="49">
      <alignment horizontal="right" vertical="center"/>
    </xf>
    <xf numFmtId="164" fontId="2" fillId="0" borderId="1" applyAlignment="1" pivotButton="0" quotePrefix="0" xfId="49">
      <alignment horizontal="left" vertical="center" wrapText="1"/>
    </xf>
    <xf numFmtId="0" fontId="7" fillId="0" borderId="0" applyAlignment="1" pivotButton="0" quotePrefix="0" xfId="0">
      <alignment vertical="center" wrapText="1"/>
    </xf>
    <xf numFmtId="164" fontId="2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0" fontId="0" fillId="0" borderId="0" applyAlignment="1" pivotButton="0" quotePrefix="0" xfId="49">
      <alignment horizontal="center"/>
    </xf>
    <xf numFmtId="0" fontId="8" fillId="0" borderId="3" applyAlignment="1" pivotButton="0" quotePrefix="0" xfId="0">
      <alignment horizontal="center" vertical="center" wrapText="1"/>
    </xf>
    <xf numFmtId="164" fontId="6" fillId="0" borderId="1" applyAlignment="1" pivotButton="0" quotePrefix="0" xfId="49">
      <alignment horizontal="center" vertical="center" wrapText="1"/>
    </xf>
    <xf numFmtId="10" fontId="6" fillId="0" borderId="1" applyAlignment="1" pivotButton="0" quotePrefix="0" xfId="49">
      <alignment horizontal="center" vertical="center" wrapText="1"/>
    </xf>
    <xf numFmtId="0" fontId="0" fillId="0" borderId="0" applyAlignment="1" pivotButton="0" quotePrefix="0" xfId="49">
      <alignment vertical="center"/>
    </xf>
    <xf numFmtId="10" fontId="2" fillId="0" borderId="1" applyAlignment="1" pivotButton="0" quotePrefix="0" xfId="3">
      <alignment horizontal="right" vertical="center"/>
    </xf>
    <xf numFmtId="0" fontId="2" fillId="0" borderId="1" applyAlignment="1" pivotButton="0" quotePrefix="1" xfId="49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6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right" vertical="center"/>
    </xf>
    <xf numFmtId="165" fontId="2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10" fontId="2" fillId="5" borderId="1" applyAlignment="1" pivotButton="0" quotePrefix="0" xfId="0">
      <alignment horizontal="right" vertical="center"/>
    </xf>
    <xf numFmtId="10" fontId="2" fillId="7" borderId="1" applyAlignment="1" pivotButton="0" quotePrefix="0" xfId="0">
      <alignment horizontal="right" vertical="center"/>
    </xf>
    <xf numFmtId="167" fontId="2" fillId="6" borderId="1" applyAlignment="1" pivotButton="0" quotePrefix="0" xfId="0">
      <alignment horizontal="right" vertical="center"/>
    </xf>
    <xf numFmtId="164" fontId="0" fillId="0" borderId="0" applyAlignment="1" pivotButton="0" quotePrefix="0" xfId="49">
      <alignment horizontal="center"/>
    </xf>
    <xf numFmtId="164" fontId="6" fillId="0" borderId="1" applyAlignment="1" pivotButton="0" quotePrefix="0" xfId="49">
      <alignment horizontal="center" vertical="center" wrapText="1"/>
    </xf>
    <xf numFmtId="164" fontId="1" fillId="2" borderId="1" applyAlignment="1" pivotButton="0" quotePrefix="0" xfId="49">
      <alignment horizontal="center" vertical="center" wrapText="1"/>
    </xf>
    <xf numFmtId="164" fontId="2" fillId="0" borderId="1" applyAlignment="1" pivotButton="0" quotePrefix="0" xfId="49">
      <alignment horizontal="right" vertical="center"/>
    </xf>
    <xf numFmtId="165" fontId="2" fillId="0" borderId="1" applyAlignment="1" pivotButton="0" quotePrefix="0" xfId="49">
      <alignment horizontal="right" vertical="center"/>
    </xf>
    <xf numFmtId="166" fontId="2" fillId="0" borderId="1" applyAlignment="1" pivotButton="0" quotePrefix="0" xfId="49">
      <alignment horizontal="right" vertical="center"/>
    </xf>
    <xf numFmtId="164" fontId="2" fillId="0" borderId="1" applyAlignment="1" pivotButton="0" quotePrefix="0" xfId="49">
      <alignment horizontal="left" vertical="center" wrapText="1"/>
    </xf>
    <xf numFmtId="164" fontId="0" fillId="6" borderId="0" applyAlignment="1" pivotButton="0" quotePrefix="0" xfId="49">
      <alignment horizontal="center"/>
    </xf>
    <xf numFmtId="164" fontId="0" fillId="7" borderId="0" applyAlignment="1" pivotButton="0" quotePrefix="0" xfId="49">
      <alignment horizontal="center"/>
    </xf>
    <xf numFmtId="164" fontId="2" fillId="6" borderId="1" applyAlignment="1" pivotButton="0" quotePrefix="0" xfId="49">
      <alignment horizontal="right" vertical="center"/>
    </xf>
    <xf numFmtId="164" fontId="2" fillId="7" borderId="1" applyAlignment="1" pivotButton="0" quotePrefix="0" xfId="49">
      <alignment horizontal="right" vertical="center"/>
    </xf>
    <xf numFmtId="165" fontId="2" fillId="6" borderId="1" applyAlignment="1" pivotButton="0" quotePrefix="0" xfId="49">
      <alignment horizontal="right" vertical="center"/>
    </xf>
    <xf numFmtId="166" fontId="2" fillId="6" borderId="1" applyAlignment="1" pivotButton="0" quotePrefix="0" xfId="49">
      <alignment horizontal="right" vertical="center"/>
    </xf>
    <xf numFmtId="164" fontId="2" fillId="3" borderId="1" applyAlignment="1" pivotButton="0" quotePrefix="0" xfId="49">
      <alignment horizontal="right" vertical="center"/>
    </xf>
    <xf numFmtId="164" fontId="2" fillId="5" borderId="1" applyAlignment="1" pivotButton="0" quotePrefix="0" xfId="49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twoCellAnchor editAs="oneCell">
    <from>
      <col>27</col>
      <colOff>65405</colOff>
      <row>178</row>
      <rowOff>207010</rowOff>
    </from>
    <to>
      <col>28</col>
      <colOff>68580</colOff>
      <row>179</row>
      <rowOff>0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022560" y="45825410"/>
          <a:ext cx="812800" cy="469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30</col>
      <colOff>329565</colOff>
      <row>178</row>
      <rowOff>245110</rowOff>
    </from>
    <to>
      <col>32</col>
      <colOff>114935</colOff>
      <row>179</row>
      <rowOff>0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5439370" y="45863510"/>
          <a:ext cx="98552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26</col>
      <colOff>855980</colOff>
      <row>162</row>
      <rowOff>360680</rowOff>
    </from>
    <to>
      <col>28</col>
      <colOff>356870</colOff>
      <row>164</row>
      <rowOff>238125</rowOff>
    </to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2955885" y="41808400"/>
          <a:ext cx="1167765" cy="4921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28</col>
      <colOff>420370</colOff>
      <row>162</row>
      <rowOff>361315</rowOff>
    </from>
    <to>
      <col>29</col>
      <colOff>478790</colOff>
      <row>165</row>
      <rowOff>0</rowOff>
    </to>
    <pic>
      <nvPicPr>
        <cNvPr id="5" name="图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4187150" y="41808400"/>
          <a:ext cx="658495" cy="508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32</col>
      <colOff>247650</colOff>
      <row>178</row>
      <rowOff>247650</rowOff>
    </from>
    <to>
      <col>33</col>
      <colOff>553085</colOff>
      <row>179</row>
      <rowOff>0</rowOff>
    </to>
    <pic>
      <nvPicPr>
        <cNvPr id="6" name="图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6557605" y="45866050"/>
          <a:ext cx="905510" cy="6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28</col>
      <colOff>209550</colOff>
      <row>178</row>
      <rowOff>189865</rowOff>
    </from>
    <to>
      <col>29</col>
      <colOff>589915</colOff>
      <row>179</row>
      <rowOff>0</rowOff>
    </to>
    <pic>
      <nvPicPr>
        <cNvPr id="7" name="图片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23976330" y="45808265"/>
          <a:ext cx="980440" cy="641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9"/>
  <sheetViews>
    <sheetView workbookViewId="0">
      <selection activeCell="A1" sqref="A1"/>
    </sheetView>
  </sheetViews>
  <sheetFormatPr baseColWidth="8" defaultRowHeight="15"/>
  <cols>
    <col width="4.33333333333333" customWidth="1" style="1" min="1" max="1"/>
    <col width="16.1666666666667" customWidth="1" style="1" min="2" max="2"/>
    <col width="16.8444444444444" customWidth="1" style="1" min="3" max="3"/>
    <col width="29.5555555555556" customWidth="1" style="1" min="4" max="4"/>
    <col width="6.22222222222222" customWidth="1" style="1" min="5" max="5"/>
    <col width="11.7555555555556" customWidth="1" style="1" min="6" max="6"/>
    <col width="11.7555555555556" customWidth="1" style="1" min="8" max="8"/>
    <col width="12.3222222222222" customWidth="1" style="1" min="10" max="10"/>
    <col width="18.2777777777778" customWidth="1" style="1" min="11" max="11"/>
    <col width="18.2777777777778" customWidth="1" style="1" min="13" max="13"/>
    <col width="11.2777777777778" customWidth="1" style="1" min="14" max="14"/>
    <col width="11.2777777777778" customWidth="1" style="1" min="16" max="16"/>
    <col width="15.7555555555556" customWidth="1" style="1" min="17" max="17"/>
    <col width="15.1666666666667" customWidth="1" style="1" min="18" max="18"/>
    <col width="11.2777777777778" customWidth="1" style="1" min="19" max="19"/>
    <col width="17.3333333333333" customWidth="1" style="1" min="20" max="20"/>
    <col width="17.6666666666667" customWidth="1" style="1" min="21" max="21"/>
    <col width="17.6333333333333" customWidth="1" style="1" min="22" max="22"/>
    <col width="17.1666666666667" customWidth="1" style="1" min="23" max="23"/>
    <col width="19.6111111111111" customWidth="1" style="1" min="24" max="24"/>
    <col width="18.6222222222222" customWidth="1" style="1" min="25" max="25"/>
    <col width="15.3333333333333" customWidth="1" style="1" min="26" max="26"/>
    <col width="15" customWidth="1" style="1" min="27" max="27"/>
    <col width="14.1666666666667" customWidth="1" style="1" min="28" max="28"/>
    <col width="10.5" customWidth="1" style="1" min="29" max="29"/>
    <col width="13" customWidth="1" style="1" min="30" max="30"/>
    <col width="10.5" customWidth="1" style="1" min="31" max="31"/>
  </cols>
  <sheetData>
    <row r="1" ht="32" customHeight="1" s="1">
      <c r="A1" s="68" t="inlineStr">
        <is>
          <t>工程量偏差或漏项对比表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3" t="n"/>
    </row>
    <row r="2" ht="25" customHeight="1" s="1">
      <c r="A2" s="69" t="inlineStr">
        <is>
          <t>工程名称：综合楼</t>
        </is>
      </c>
      <c r="B2" s="21" t="n"/>
      <c r="C2" s="21" t="n"/>
      <c r="D2" s="23" t="n"/>
      <c r="E2" s="69" t="n"/>
      <c r="F2" s="62" t="n"/>
      <c r="G2" s="69" t="n"/>
      <c r="H2" s="70" t="n"/>
      <c r="I2" s="70" t="n"/>
      <c r="J2" s="69" t="n"/>
      <c r="K2" s="70" t="n"/>
      <c r="L2" s="70" t="n"/>
      <c r="M2" s="71" t="n"/>
      <c r="N2" s="69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3" t="n"/>
    </row>
    <row r="3" ht="35" customHeight="1" s="1">
      <c r="A3" s="2" t="inlineStr">
        <is>
          <t>序号</t>
        </is>
      </c>
      <c r="B3" s="2" t="inlineStr">
        <is>
          <t>项目编码</t>
        </is>
      </c>
      <c r="C3" s="2" t="inlineStr">
        <is>
          <t>项目名称</t>
        </is>
      </c>
      <c r="D3" s="2" t="inlineStr">
        <is>
          <t>项目特征描述</t>
        </is>
      </c>
      <c r="E3" s="2" t="inlineStr">
        <is>
          <t>计量单位</t>
        </is>
      </c>
      <c r="F3" s="2" t="inlineStr">
        <is>
          <t>工程量_合同工程量_A</t>
        </is>
      </c>
      <c r="G3" s="2" t="inlineStr">
        <is>
          <t>工程量_送审工程量_B</t>
        </is>
      </c>
      <c r="H3" s="2" t="inlineStr">
        <is>
          <t>工程量_审核工程量_C</t>
        </is>
      </c>
      <c r="I3" s="2" t="inlineStr">
        <is>
          <t>工程量_施工单位复核工程量</t>
        </is>
      </c>
      <c r="J3" s="2" t="inlineStr">
        <is>
          <t>工程量_送审增减工程量（±）_D=B-A</t>
        </is>
      </c>
      <c r="K3" s="2" t="inlineStr">
        <is>
          <t>工程量_增减工程量（±）_D=C-A</t>
        </is>
      </c>
      <c r="L3" s="2" t="inlineStr">
        <is>
          <t>工程量_核增减工程量（±）_E=C-B</t>
        </is>
      </c>
      <c r="M3" s="2" t="inlineStr">
        <is>
          <t>工程量_增减工程量比例（%）_E=D/A</t>
        </is>
      </c>
      <c r="N3" s="2" t="inlineStr">
        <is>
          <t>单价（元）_投标单价（元）_P0</t>
        </is>
      </c>
      <c r="O3" s="2" t="inlineStr">
        <is>
          <t>单价（元）_预算备案单价（元）_P1</t>
        </is>
      </c>
      <c r="P3" s="2" t="inlineStr">
        <is>
          <t>单价（元）_单价偏差率（%）_H=(P1-P0)/P1</t>
        </is>
      </c>
      <c r="Q3" s="2" t="inlineStr">
        <is>
          <t>单价（元）_P1*L*(1-15%)_打印时隐藏</t>
        </is>
      </c>
      <c r="R3" s="2" t="inlineStr">
        <is>
          <t>单价（元）_P1*(1+15%)_打印时隐藏</t>
        </is>
      </c>
      <c r="S3" s="2" t="inlineStr">
        <is>
          <t>单价（元）_增减部分单价（元）_I</t>
        </is>
      </c>
      <c r="T3" s="2" t="inlineStr">
        <is>
          <t>合价（元）_合同合价（元）_J</t>
        </is>
      </c>
      <c r="U3" s="2" t="inlineStr">
        <is>
          <t>合价（元）_结算合价（元）_K</t>
        </is>
      </c>
      <c r="V3" s="2" t="inlineStr">
        <is>
          <t>合价（元）_审核合价（元）_L</t>
        </is>
      </c>
      <c r="W3" s="72" t="inlineStr">
        <is>
          <t>送审增减部分金额（元）_M=K-J</t>
        </is>
      </c>
      <c r="X3" s="72" t="inlineStr">
        <is>
          <t>审核增减部分金额（元）_N</t>
        </is>
      </c>
      <c r="Y3" s="72" t="inlineStr">
        <is>
          <t>核增减金额（元）_O</t>
        </is>
      </c>
      <c r="Z3" s="2" t="inlineStr">
        <is>
          <t>备注</t>
        </is>
      </c>
      <c r="AB3" s="73" t="n"/>
    </row>
    <row r="4" ht="20" customHeight="1" s="1">
      <c r="A4" s="5" t="n"/>
      <c r="B4" s="5" t="n"/>
      <c r="C4" s="5" t="inlineStr">
        <is>
          <t>土石方工程</t>
        </is>
      </c>
      <c r="D4" s="5" t="n"/>
      <c r="E4" s="5" t="n"/>
      <c r="F4" s="6" t="n"/>
      <c r="G4" s="6" t="n"/>
      <c r="H4" s="74" t="n"/>
      <c r="I4" s="74" t="n"/>
      <c r="J4" s="6" t="n"/>
      <c r="K4" s="74" t="n"/>
      <c r="L4" s="74" t="n"/>
      <c r="M4" s="55" t="n"/>
      <c r="N4" s="6" t="n"/>
      <c r="O4" s="6" t="n"/>
      <c r="P4" s="55" t="n"/>
      <c r="Q4" s="74" t="n"/>
      <c r="R4" s="74" t="n"/>
      <c r="S4" s="74" t="n"/>
      <c r="T4" s="74" t="n">
        <v>139151.88</v>
      </c>
      <c r="U4" s="74" t="n">
        <v>139151.88</v>
      </c>
      <c r="V4" s="74">
        <f>+SUM(V5:V10)</f>
        <v/>
      </c>
      <c r="W4" s="74">
        <f>U4-T4</f>
        <v/>
      </c>
      <c r="X4" s="74" t="n"/>
      <c r="Y4" s="74" t="n"/>
      <c r="Z4" s="5" t="n"/>
      <c r="AA4" s="73" t="n"/>
    </row>
    <row r="5" ht="20" customHeight="1" s="1">
      <c r="A5" s="5" t="n">
        <v>1</v>
      </c>
      <c r="B5" s="5" t="inlineStr">
        <is>
          <t>010101001001</t>
        </is>
      </c>
      <c r="C5" s="5" t="inlineStr">
        <is>
          <t>平整场地</t>
        </is>
      </c>
      <c r="D5" s="5" t="inlineStr">
        <is>
          <t>1.平整场地</t>
        </is>
      </c>
      <c r="E5" s="5" t="inlineStr">
        <is>
          <t>m2</t>
        </is>
      </c>
      <c r="F5" s="74" t="n">
        <v>2090.01</v>
      </c>
      <c r="G5" s="74" t="n">
        <v>2090.01</v>
      </c>
      <c r="H5" s="74" t="n">
        <v>2090.01</v>
      </c>
      <c r="I5" s="74" t="n"/>
      <c r="J5" s="74">
        <f>G5-F5</f>
        <v/>
      </c>
      <c r="K5" s="74">
        <f>H5-F5</f>
        <v/>
      </c>
      <c r="L5" s="74">
        <f>H5-G5</f>
        <v/>
      </c>
      <c r="M5" s="55">
        <f>J5/F5</f>
        <v/>
      </c>
      <c r="N5" s="6" t="n">
        <v>2.32</v>
      </c>
      <c r="O5" s="6" t="n">
        <v>2.49</v>
      </c>
      <c r="P5" s="55">
        <f>(N5-O5)/O5</f>
        <v/>
      </c>
      <c r="Q5" s="74">
        <f>O5*0.9056*0.85</f>
        <v/>
      </c>
      <c r="R5" s="74">
        <f>O5*1.15</f>
        <v/>
      </c>
      <c r="S5" s="74">
        <f>IF(N5&lt;O5*0.9056*0.85,O5*0.9056*0.85,IF(N5&gt;O5*1.15,O5*1.15,N5))</f>
        <v/>
      </c>
      <c r="T5" s="74" t="n">
        <v>4848.83</v>
      </c>
      <c r="U5" s="74" t="n">
        <v>4848.83</v>
      </c>
      <c r="V5" s="74">
        <f>T5+S5*K5</f>
        <v/>
      </c>
      <c r="W5" s="74">
        <f>U5-T5</f>
        <v/>
      </c>
      <c r="X5" s="74">
        <f>V5-T5</f>
        <v/>
      </c>
      <c r="Y5" s="74">
        <f>V5-U5</f>
        <v/>
      </c>
      <c r="Z5" s="5" t="inlineStr">
        <is>
          <t>包干</t>
        </is>
      </c>
    </row>
    <row r="6" ht="20" customHeight="1" s="1">
      <c r="A6" s="5" t="n">
        <v>2</v>
      </c>
      <c r="B6" s="5" t="inlineStr">
        <is>
          <t>010101002001</t>
        </is>
      </c>
      <c r="C6" s="5" t="inlineStr">
        <is>
          <t>挖一般土方</t>
        </is>
      </c>
      <c r="D6" s="5" t="inlineStr">
        <is>
          <t>1.土壤类别:综合考虑
2.挖土深度:综合考虑
3.综合考虑桩间土开挖等因素</t>
        </is>
      </c>
      <c r="E6" s="5" t="inlineStr">
        <is>
          <t>m3</t>
        </is>
      </c>
      <c r="F6" s="74" t="n">
        <v>1585.62</v>
      </c>
      <c r="G6" s="74" t="n">
        <v>1585.62</v>
      </c>
      <c r="H6" s="74" t="n">
        <v>1585.62</v>
      </c>
      <c r="I6" s="74" t="n"/>
      <c r="J6" s="74">
        <f>G6-F6</f>
        <v/>
      </c>
      <c r="K6" s="74">
        <f>H6-F6</f>
        <v/>
      </c>
      <c r="L6" s="74">
        <f>H6-G6</f>
        <v/>
      </c>
      <c r="M6" s="55">
        <f>J6/F6</f>
        <v/>
      </c>
      <c r="N6" s="6" t="n">
        <v>5.77</v>
      </c>
      <c r="O6" s="6" t="n">
        <v>6.22</v>
      </c>
      <c r="P6" s="55">
        <f>(N6-O6)/O6</f>
        <v/>
      </c>
      <c r="Q6" s="74">
        <f>O6*0.9056*0.85</f>
        <v/>
      </c>
      <c r="R6" s="74">
        <f>O6*1.15</f>
        <v/>
      </c>
      <c r="S6" s="74">
        <f>IF(N6&lt;O6*0.9056*0.85,O6*0.9056*0.85,IF(N6&gt;O6*1.15,O6*1.15,N6))</f>
        <v/>
      </c>
      <c r="T6" s="74" t="n">
        <v>9149</v>
      </c>
      <c r="U6" s="74" t="n">
        <v>9149</v>
      </c>
      <c r="V6" s="74">
        <f>T6+S6*K6</f>
        <v/>
      </c>
      <c r="W6" s="74">
        <f>U6-T6</f>
        <v/>
      </c>
      <c r="X6" s="74">
        <f>V6-T6</f>
        <v/>
      </c>
      <c r="Y6" s="74">
        <f>V6-U6</f>
        <v/>
      </c>
      <c r="Z6" s="5" t="inlineStr">
        <is>
          <t>包干</t>
        </is>
      </c>
    </row>
    <row r="7" ht="20" customHeight="1" s="1">
      <c r="A7" s="5" t="n">
        <v>3</v>
      </c>
      <c r="B7" s="5" t="inlineStr">
        <is>
          <t>010101003001</t>
        </is>
      </c>
      <c r="C7" s="5" t="inlineStr">
        <is>
          <t>挖沟槽土方</t>
        </is>
      </c>
      <c r="D7" s="5" t="inlineStr">
        <is>
          <t>1.土壤类别:综合考虑
2.挖土深度:综合考虑</t>
        </is>
      </c>
      <c r="E7" s="5" t="inlineStr">
        <is>
          <t>m3</t>
        </is>
      </c>
      <c r="F7" s="74" t="n">
        <v>350.37</v>
      </c>
      <c r="G7" s="74" t="n">
        <v>350.37</v>
      </c>
      <c r="H7" s="74" t="n">
        <v>350.37</v>
      </c>
      <c r="I7" s="74" t="n"/>
      <c r="J7" s="74">
        <f>G7-F7</f>
        <v/>
      </c>
      <c r="K7" s="74">
        <f>H7-F7</f>
        <v/>
      </c>
      <c r="L7" s="74">
        <f>H7-G7</f>
        <v/>
      </c>
      <c r="M7" s="55">
        <f>J7/F7</f>
        <v/>
      </c>
      <c r="N7" s="6" t="n">
        <v>9.859999999999999</v>
      </c>
      <c r="O7" s="6" t="n">
        <v>9.32</v>
      </c>
      <c r="P7" s="55">
        <f>(N7-O7)/O7</f>
        <v/>
      </c>
      <c r="Q7" s="74">
        <f>O7*0.9056*0.85</f>
        <v/>
      </c>
      <c r="R7" s="74">
        <f>O7*1.15</f>
        <v/>
      </c>
      <c r="S7" s="74">
        <f>IF(N7&lt;O7*0.9056*0.85,O7*0.9056*0.85,IF(N7&gt;O7*1.15,O7*1.15,N7))</f>
        <v/>
      </c>
      <c r="T7" s="74" t="n">
        <v>3454.64</v>
      </c>
      <c r="U7" s="74" t="n">
        <v>3454.64</v>
      </c>
      <c r="V7" s="74">
        <f>T7+S7*K7</f>
        <v/>
      </c>
      <c r="W7" s="74">
        <f>U7-T7</f>
        <v/>
      </c>
      <c r="X7" s="74">
        <f>V7-T7</f>
        <v/>
      </c>
      <c r="Y7" s="74">
        <f>V7-U7</f>
        <v/>
      </c>
      <c r="Z7" s="5" t="inlineStr">
        <is>
          <t>包干</t>
        </is>
      </c>
    </row>
    <row r="8" ht="20" customHeight="1" s="1">
      <c r="A8" s="5" t="n">
        <v>4</v>
      </c>
      <c r="B8" s="5" t="inlineStr">
        <is>
          <t>010101004001</t>
        </is>
      </c>
      <c r="C8" s="5" t="inlineStr">
        <is>
          <t>挖基坑土方</t>
        </is>
      </c>
      <c r="D8" s="5" t="inlineStr">
        <is>
          <t>1.土壤类别:综合考虑
2.挖土深度:综合考虑</t>
        </is>
      </c>
      <c r="E8" s="5" t="inlineStr">
        <is>
          <t>m3</t>
        </is>
      </c>
      <c r="F8" s="74" t="n">
        <v>752.53</v>
      </c>
      <c r="G8" s="74" t="n">
        <v>752.53</v>
      </c>
      <c r="H8" s="74" t="n">
        <v>752.53</v>
      </c>
      <c r="I8" s="74" t="n"/>
      <c r="J8" s="74">
        <f>G8-F8</f>
        <v/>
      </c>
      <c r="K8" s="74">
        <f>H8-F8</f>
        <v/>
      </c>
      <c r="L8" s="74">
        <f>H8-G8</f>
        <v/>
      </c>
      <c r="M8" s="55">
        <f>J8/F8</f>
        <v/>
      </c>
      <c r="N8" s="6" t="n">
        <v>8.25</v>
      </c>
      <c r="O8" s="6" t="n">
        <v>9.449999999999999</v>
      </c>
      <c r="P8" s="55">
        <f>(N8-O8)/O8</f>
        <v/>
      </c>
      <c r="Q8" s="74">
        <f>O8*0.9056*0.85</f>
        <v/>
      </c>
      <c r="R8" s="74">
        <f>O8*1.15</f>
        <v/>
      </c>
      <c r="S8" s="74">
        <f>IF(N8&lt;O8*0.9056*0.85,O8*0.9056*0.85,IF(N8&gt;O8*1.15,O8*1.15,N8))</f>
        <v/>
      </c>
      <c r="T8" s="74" t="n">
        <v>6208.41</v>
      </c>
      <c r="U8" s="74" t="n">
        <v>6208.41</v>
      </c>
      <c r="V8" s="74">
        <f>T8+S8*K8</f>
        <v/>
      </c>
      <c r="W8" s="74">
        <f>U8-T8</f>
        <v/>
      </c>
      <c r="X8" s="74">
        <f>V8-T8</f>
        <v/>
      </c>
      <c r="Y8" s="74">
        <f>V8-U8</f>
        <v/>
      </c>
      <c r="Z8" s="5" t="inlineStr">
        <is>
          <t>包干</t>
        </is>
      </c>
    </row>
    <row r="9" ht="20" customHeight="1" s="1">
      <c r="A9" s="5" t="n">
        <v>5</v>
      </c>
      <c r="B9" s="5" t="inlineStr">
        <is>
          <t>010103001001</t>
        </is>
      </c>
      <c r="C9" s="5" t="inlineStr">
        <is>
          <t>回填方</t>
        </is>
      </c>
      <c r="D9" s="5" t="inlineStr">
        <is>
          <t>1.填方材料品种:原土
2.密实度要求:按设计及规范要求</t>
        </is>
      </c>
      <c r="E9" s="5" t="inlineStr">
        <is>
          <t>m3</t>
        </is>
      </c>
      <c r="F9" s="74" t="n">
        <v>764.17</v>
      </c>
      <c r="G9" s="74" t="n">
        <v>764.17</v>
      </c>
      <c r="H9" s="74" t="n">
        <v>764.17</v>
      </c>
      <c r="I9" s="74" t="n"/>
      <c r="J9" s="74">
        <f>G9-F9</f>
        <v/>
      </c>
      <c r="K9" s="74">
        <f>H9-F9</f>
        <v/>
      </c>
      <c r="L9" s="74">
        <f>H9-G9</f>
        <v/>
      </c>
      <c r="M9" s="55">
        <f>J9/F9</f>
        <v/>
      </c>
      <c r="N9" s="6" t="n">
        <v>17.92</v>
      </c>
      <c r="O9" s="6" t="n">
        <v>19.89</v>
      </c>
      <c r="P9" s="55">
        <f>(N9-O9)/O9</f>
        <v/>
      </c>
      <c r="Q9" s="74">
        <f>O9*0.9056*0.85</f>
        <v/>
      </c>
      <c r="R9" s="74">
        <f>O9*1.15</f>
        <v/>
      </c>
      <c r="S9" s="74">
        <f>IF(N9&lt;O9*0.9056*0.85,O9*0.9056*0.85,IF(N9&gt;O9*1.15,O9*1.15,N9))</f>
        <v/>
      </c>
      <c r="T9" s="74" t="n">
        <v>13694</v>
      </c>
      <c r="U9" s="74" t="n">
        <v>13694</v>
      </c>
      <c r="V9" s="74">
        <f>T9+S9*K9</f>
        <v/>
      </c>
      <c r="W9" s="74">
        <f>U9-T9</f>
        <v/>
      </c>
      <c r="X9" s="74">
        <f>V9-T9</f>
        <v/>
      </c>
      <c r="Y9" s="74">
        <f>V9-U9</f>
        <v/>
      </c>
      <c r="Z9" s="5" t="inlineStr">
        <is>
          <t>包干</t>
        </is>
      </c>
    </row>
    <row r="10" ht="20" customHeight="1" s="1">
      <c r="A10" s="5" t="n">
        <v>6</v>
      </c>
      <c r="B10" s="5" t="inlineStr">
        <is>
          <t>010103002001</t>
        </is>
      </c>
      <c r="C10" s="5" t="inlineStr">
        <is>
          <t>余方弃置</t>
        </is>
      </c>
      <c r="D10" s="5" t="inlineStr">
        <is>
          <t>1.土方弃置
2.运距:智能渣土车运输运距综合考虑</t>
        </is>
      </c>
      <c r="E10" s="5" t="inlineStr">
        <is>
          <t>m3</t>
        </is>
      </c>
      <c r="F10" s="74" t="n">
        <v>1809.72</v>
      </c>
      <c r="G10" s="74" t="n">
        <v>1809.72</v>
      </c>
      <c r="H10" s="74" t="n">
        <v>1809.72</v>
      </c>
      <c r="I10" s="74" t="n"/>
      <c r="J10" s="74">
        <f>G10-F10</f>
        <v/>
      </c>
      <c r="K10" s="74">
        <f>H10-F10</f>
        <v/>
      </c>
      <c r="L10" s="74">
        <f>H10-G10</f>
        <v/>
      </c>
      <c r="M10" s="55">
        <f>J10/F10</f>
        <v/>
      </c>
      <c r="N10" s="6" t="n">
        <v>56.25</v>
      </c>
      <c r="O10" s="6" t="n">
        <v>59.2</v>
      </c>
      <c r="P10" s="55">
        <f>(N10-O10)/O10</f>
        <v/>
      </c>
      <c r="Q10" s="74">
        <f>O10*0.9056*0.85</f>
        <v/>
      </c>
      <c r="R10" s="74">
        <f>O10*1.15</f>
        <v/>
      </c>
      <c r="S10" s="74">
        <f>IF(N10&lt;O10*0.9056*0.85,O10*0.9056*0.85,IF(N10&gt;O10*1.15,O10*1.15,N10))</f>
        <v/>
      </c>
      <c r="T10" s="74" t="n">
        <v>101797</v>
      </c>
      <c r="U10" s="74" t="n">
        <v>101797</v>
      </c>
      <c r="V10" s="74">
        <f>T10+S10*K10</f>
        <v/>
      </c>
      <c r="W10" s="74">
        <f>U10-T10</f>
        <v/>
      </c>
      <c r="X10" s="74">
        <f>V10-T10</f>
        <v/>
      </c>
      <c r="Y10" s="74">
        <f>V10-U10</f>
        <v/>
      </c>
      <c r="Z10" s="5" t="inlineStr">
        <is>
          <t>包干</t>
        </is>
      </c>
    </row>
    <row r="11" ht="20" customHeight="1" s="1">
      <c r="A11" s="5" t="n"/>
      <c r="B11" s="5" t="n"/>
      <c r="C11" s="5" t="inlineStr">
        <is>
          <t>桩基工程</t>
        </is>
      </c>
      <c r="D11" s="5" t="n"/>
      <c r="E11" s="5" t="n"/>
      <c r="F11" s="74" t="n"/>
      <c r="G11" s="74" t="n"/>
      <c r="H11" s="74" t="n"/>
      <c r="I11" s="74" t="n"/>
      <c r="J11" s="74" t="n"/>
      <c r="K11" s="74" t="n"/>
      <c r="L11" s="74" t="n"/>
      <c r="M11" s="55" t="n"/>
      <c r="N11" s="6" t="n"/>
      <c r="O11" s="6" t="n"/>
      <c r="P11" s="55" t="n"/>
      <c r="Q11" s="74" t="n"/>
      <c r="R11" s="74" t="n"/>
      <c r="S11" s="74" t="n"/>
      <c r="T11" s="74" t="n">
        <v>1069070.38</v>
      </c>
      <c r="U11" s="74" t="n">
        <v>1137925.24</v>
      </c>
      <c r="V11" s="74">
        <f>+SUM(V12:V17)</f>
        <v/>
      </c>
      <c r="W11" s="74">
        <f>U11-T11</f>
        <v/>
      </c>
      <c r="X11" s="74">
        <f>V11-T11</f>
        <v/>
      </c>
      <c r="Y11" s="74">
        <f>V11-U11</f>
        <v/>
      </c>
      <c r="Z11" s="5" t="n"/>
      <c r="AA11" s="73" t="n"/>
    </row>
    <row r="12" ht="20" customHeight="1" s="1">
      <c r="A12" s="5" t="n">
        <v>7</v>
      </c>
      <c r="B12" s="5" t="inlineStr">
        <is>
          <t>010301002001</t>
        </is>
      </c>
      <c r="C12" s="5" t="inlineStr">
        <is>
          <t>预制钢筋混凝土管桩</t>
        </is>
      </c>
      <c r="D12" s="5" t="inlineStr">
        <is>
          <t>1.桩外径、壁厚:Φ400PHC80预应力管桩AB型壁厚95mm（综合考虑抗拔桩）
2.沉桩方法:静压
3.混凝土强度等级:C40\C30
4.填充材料种类:微膨胀混凝土
5.接桩
6.预埋钢板</t>
        </is>
      </c>
      <c r="E12" s="5" t="inlineStr">
        <is>
          <t>m</t>
        </is>
      </c>
      <c r="F12" s="74" t="n">
        <v>3420</v>
      </c>
      <c r="G12" s="74" t="n">
        <v>3847.9</v>
      </c>
      <c r="H12" s="74" t="n">
        <v>3536.74</v>
      </c>
      <c r="I12" s="74" t="n"/>
      <c r="J12" s="74">
        <f>G12-F12</f>
        <v/>
      </c>
      <c r="K12" s="74">
        <f>H12-F12</f>
        <v/>
      </c>
      <c r="L12" s="74">
        <f>H12-G12</f>
        <v/>
      </c>
      <c r="M12" s="55">
        <f>J12/F12</f>
        <v/>
      </c>
      <c r="N12" s="6" t="n">
        <v>276.89</v>
      </c>
      <c r="O12" s="6" t="n">
        <v>320.16</v>
      </c>
      <c r="P12" s="55">
        <f>(N12-O12)/O12</f>
        <v/>
      </c>
      <c r="Q12" s="74">
        <f>O12*0.9056*0.85</f>
        <v/>
      </c>
      <c r="R12" s="74">
        <f>O12*1.15</f>
        <v/>
      </c>
      <c r="S12" s="74">
        <f>IF(N12&lt;O12*0.9056*0.85,O12*0.9056*0.85,IF(N12&gt;O12*1.15,O12*1.15,N12))</f>
        <v/>
      </c>
      <c r="T12" s="74" t="n">
        <v>946963.8</v>
      </c>
      <c r="U12" s="74" t="n">
        <v>1065445.03</v>
      </c>
      <c r="V12" s="74">
        <f>T12+S12*K12</f>
        <v/>
      </c>
      <c r="W12" s="74">
        <f>U12-T12</f>
        <v/>
      </c>
      <c r="X12" s="74">
        <f>V12-T12</f>
        <v/>
      </c>
      <c r="Y12" s="74">
        <f>V12-U12</f>
        <v/>
      </c>
      <c r="Z12" s="5" t="n"/>
    </row>
    <row r="13" ht="20" customHeight="1" s="1">
      <c r="A13" s="5" t="n">
        <v>8</v>
      </c>
      <c r="B13" s="5" t="inlineStr">
        <is>
          <t>010301002002</t>
        </is>
      </c>
      <c r="C13" s="5" t="inlineStr">
        <is>
          <t>预制钢筋混凝土管桩（试验桩）</t>
        </is>
      </c>
      <c r="D13" s="5" t="inlineStr">
        <is>
          <t>1.桩外径、壁厚:Φ400PHC80预应力管桩AB型壁厚95mm
2.沉桩方法:静压
3.混凝土强度等级:C40\C30
4.填充材料种类:微膨胀混凝土
5.接桩
6.预埋钢板</t>
        </is>
      </c>
      <c r="E13" s="5" t="inlineStr">
        <is>
          <t>m</t>
        </is>
      </c>
      <c r="F13" s="74" t="n">
        <v>100</v>
      </c>
      <c r="G13" s="74" t="n">
        <v>0</v>
      </c>
      <c r="H13" s="74" t="n">
        <v>0</v>
      </c>
      <c r="I13" s="74" t="n"/>
      <c r="J13" s="74">
        <f>G13-F13</f>
        <v/>
      </c>
      <c r="K13" s="74">
        <f>H13-F13</f>
        <v/>
      </c>
      <c r="L13" s="74">
        <f>H13-G13</f>
        <v/>
      </c>
      <c r="M13" s="55">
        <f>J13/F13</f>
        <v/>
      </c>
      <c r="N13" s="6" t="n">
        <v>315.52</v>
      </c>
      <c r="O13" s="6" t="n">
        <v>357.1</v>
      </c>
      <c r="P13" s="55">
        <f>(N13-O13)/O13</f>
        <v/>
      </c>
      <c r="Q13" s="74">
        <f>O13*0.9056*0.85</f>
        <v/>
      </c>
      <c r="R13" s="74">
        <f>O13*1.15</f>
        <v/>
      </c>
      <c r="S13" s="74">
        <f>IF(N13&lt;O13*0.9056*0.85,O13*0.9056*0.85,IF(N13&gt;O13*1.15,O13*1.15,N13))</f>
        <v/>
      </c>
      <c r="T13" s="74" t="n">
        <v>31552</v>
      </c>
      <c r="U13" s="74" t="n">
        <v>0</v>
      </c>
      <c r="V13" s="74">
        <f>T13+S13*K13</f>
        <v/>
      </c>
      <c r="W13" s="74">
        <f>U13-T13</f>
        <v/>
      </c>
      <c r="X13" s="74">
        <f>V13-T13</f>
        <v/>
      </c>
      <c r="Y13" s="74">
        <f>V13-U13</f>
        <v/>
      </c>
      <c r="Z13" s="5" t="n"/>
      <c r="AA13" s="73" t="n"/>
    </row>
    <row r="14" ht="20" customHeight="1" s="1">
      <c r="A14" s="5" t="n">
        <v>9</v>
      </c>
      <c r="B14" s="5" t="inlineStr">
        <is>
          <t>010301002004</t>
        </is>
      </c>
      <c r="C14" s="5" t="inlineStr">
        <is>
          <t>预制钢筋混凝土管桩（送桩）</t>
        </is>
      </c>
      <c r="D14" s="5" t="inlineStr">
        <is>
          <t>1.桩外径、壁厚:Φ400PHC80预应力管桩AB型壁厚95mm</t>
        </is>
      </c>
      <c r="E14" s="5" t="inlineStr">
        <is>
          <t>m</t>
        </is>
      </c>
      <c r="F14" s="74" t="n">
        <v>264</v>
      </c>
      <c r="G14" s="74" t="n">
        <v>122.3</v>
      </c>
      <c r="H14" s="74" t="n">
        <v>122.3</v>
      </c>
      <c r="I14" s="74" t="n"/>
      <c r="J14" s="74">
        <f>G14-F14</f>
        <v/>
      </c>
      <c r="K14" s="74">
        <f>H14-F14</f>
        <v/>
      </c>
      <c r="L14" s="74">
        <f>H14-G14</f>
        <v/>
      </c>
      <c r="M14" s="55">
        <f>J14/F14</f>
        <v/>
      </c>
      <c r="N14" s="6" t="n">
        <v>56.37</v>
      </c>
      <c r="O14" s="6" t="n">
        <v>58.71</v>
      </c>
      <c r="P14" s="55">
        <f>(N14-O14)/O14</f>
        <v/>
      </c>
      <c r="Q14" s="74">
        <f>O14*0.9056*0.85</f>
        <v/>
      </c>
      <c r="R14" s="74">
        <f>O14*1.15</f>
        <v/>
      </c>
      <c r="S14" s="74">
        <f>IF(N14&lt;O14*0.9056*0.85,O14*0.9056*0.85,IF(N14&gt;O14*1.15,O14*1.15,N14))</f>
        <v/>
      </c>
      <c r="T14" s="74" t="n">
        <v>14881.68</v>
      </c>
      <c r="U14" s="74" t="n">
        <v>6894.05</v>
      </c>
      <c r="V14" s="74">
        <f>T14+S14*K14</f>
        <v/>
      </c>
      <c r="W14" s="74">
        <f>U14-T14</f>
        <v/>
      </c>
      <c r="X14" s="74">
        <f>V14-T14</f>
        <v/>
      </c>
      <c r="Y14" s="74">
        <f>V14-U14</f>
        <v/>
      </c>
      <c r="Z14" s="5" t="n"/>
      <c r="AA14" s="73" t="n"/>
    </row>
    <row r="15" ht="20" customHeight="1" s="1">
      <c r="A15" s="5" t="n">
        <v>10</v>
      </c>
      <c r="B15" s="5" t="inlineStr">
        <is>
          <t>010301004001</t>
        </is>
      </c>
      <c r="C15" s="5" t="inlineStr">
        <is>
          <t>截(凿)桩头</t>
        </is>
      </c>
      <c r="D15" s="5" t="inlineStr">
        <is>
          <t>1.桩类型:管桩
2.桩头截面、高度:桩径D为400
3.场外运输:综合考虑</t>
        </is>
      </c>
      <c r="E15" s="5" t="inlineStr">
        <is>
          <t>根</t>
        </is>
      </c>
      <c r="F15" s="74" t="n">
        <v>176</v>
      </c>
      <c r="G15" s="74" t="n">
        <v>176</v>
      </c>
      <c r="H15" s="75" t="n">
        <v>176</v>
      </c>
      <c r="I15" s="75" t="n"/>
      <c r="J15" s="74">
        <f>G15-F15</f>
        <v/>
      </c>
      <c r="K15" s="74">
        <f>H15-F15</f>
        <v/>
      </c>
      <c r="L15" s="74">
        <f>H15-G15</f>
        <v/>
      </c>
      <c r="M15" s="55">
        <f>J15/F15</f>
        <v/>
      </c>
      <c r="N15" s="6" t="n">
        <v>78.16</v>
      </c>
      <c r="O15" s="6" t="n">
        <v>95.36</v>
      </c>
      <c r="P15" s="55">
        <f>(N15-O15)/O15</f>
        <v/>
      </c>
      <c r="Q15" s="74">
        <f>O15*0.9056*0.85</f>
        <v/>
      </c>
      <c r="R15" s="74">
        <f>O15*1.15</f>
        <v/>
      </c>
      <c r="S15" s="74">
        <f>IF(N15&lt;O15*0.9056*0.85,O15*0.9056*0.85,IF(N15&gt;O15*1.15,O15*1.15,N15))</f>
        <v/>
      </c>
      <c r="T15" s="74" t="n">
        <v>13756.16</v>
      </c>
      <c r="U15" s="74" t="n">
        <v>13756.16</v>
      </c>
      <c r="V15" s="74">
        <f>T15+S15*K15</f>
        <v/>
      </c>
      <c r="W15" s="74">
        <f>U15-T15</f>
        <v/>
      </c>
      <c r="X15" s="74">
        <f>V15-T15</f>
        <v/>
      </c>
      <c r="Y15" s="74">
        <f>V15-U15</f>
        <v/>
      </c>
      <c r="Z15" s="5" t="n"/>
    </row>
    <row r="16" ht="20" customHeight="1" s="1">
      <c r="A16" s="5" t="n">
        <v>11</v>
      </c>
      <c r="B16" s="5" t="inlineStr">
        <is>
          <t>粤010301005001</t>
        </is>
      </c>
      <c r="C16" s="5" t="inlineStr">
        <is>
          <t>桩尖</t>
        </is>
      </c>
      <c r="D16" s="5" t="inlineStr">
        <is>
          <t>1.钢桩尖制作
2.桩径:400
3.具体做法详见图纸</t>
        </is>
      </c>
      <c r="E16" s="5" t="inlineStr">
        <is>
          <t>个</t>
        </is>
      </c>
      <c r="F16" s="74" t="n">
        <v>176</v>
      </c>
      <c r="G16" s="74" t="n">
        <v>176</v>
      </c>
      <c r="H16" s="75" t="n">
        <v>176</v>
      </c>
      <c r="I16" s="75" t="n"/>
      <c r="J16" s="74">
        <f>G16-F16</f>
        <v/>
      </c>
      <c r="K16" s="74">
        <f>H16-F16</f>
        <v/>
      </c>
      <c r="L16" s="74">
        <f>H16-G16</f>
        <v/>
      </c>
      <c r="M16" s="55">
        <f>J16/F16</f>
        <v/>
      </c>
      <c r="N16" s="6" t="n">
        <v>268.05</v>
      </c>
      <c r="O16" s="6" t="n">
        <v>259.06</v>
      </c>
      <c r="P16" s="55">
        <f>(N16-O16)/O16</f>
        <v/>
      </c>
      <c r="Q16" s="74">
        <f>O16*0.9056*0.85</f>
        <v/>
      </c>
      <c r="R16" s="74">
        <f>O16*1.15</f>
        <v/>
      </c>
      <c r="S16" s="74">
        <f>IF(N16&lt;O16*0.9056*0.85,O16*0.9056*0.85,IF(N16&gt;O16*1.15,O16*1.15,N16))</f>
        <v/>
      </c>
      <c r="T16" s="74" t="n">
        <v>47176.8</v>
      </c>
      <c r="U16" s="74" t="n">
        <v>47176.8</v>
      </c>
      <c r="V16" s="74">
        <f>T16+S16*K16</f>
        <v/>
      </c>
      <c r="W16" s="74">
        <f>U16-T16</f>
        <v/>
      </c>
      <c r="X16" s="74">
        <f>V16-T16</f>
        <v/>
      </c>
      <c r="Y16" s="74">
        <f>V16-U16</f>
        <v/>
      </c>
      <c r="Z16" s="5" t="n"/>
    </row>
    <row r="17" ht="20" customHeight="1" s="1">
      <c r="A17" s="5" t="n">
        <v>12</v>
      </c>
      <c r="B17" s="5" t="inlineStr">
        <is>
          <t>010515001001</t>
        </is>
      </c>
      <c r="C17" s="5" t="inlineStr">
        <is>
          <t>现浇构件钢筋</t>
        </is>
      </c>
      <c r="D17" s="5" t="inlineStr">
        <is>
          <t>1.桩头插筋</t>
        </is>
      </c>
      <c r="E17" s="5" t="inlineStr">
        <is>
          <t>t</t>
        </is>
      </c>
      <c r="F17" s="74" t="n">
        <v>2.76</v>
      </c>
      <c r="G17" s="74" t="n">
        <v>0.87</v>
      </c>
      <c r="H17" s="76" t="n">
        <v>0.87</v>
      </c>
      <c r="I17" s="76" t="n"/>
      <c r="J17" s="74">
        <f>G17-F17</f>
        <v/>
      </c>
      <c r="K17" s="74">
        <f>H17-F17</f>
        <v/>
      </c>
      <c r="L17" s="74">
        <f>H17-G17</f>
        <v/>
      </c>
      <c r="M17" s="55">
        <f>J17/F17</f>
        <v/>
      </c>
      <c r="N17" s="6" t="n">
        <v>5341.14</v>
      </c>
      <c r="O17" s="6" t="n">
        <v>6492.43</v>
      </c>
      <c r="P17" s="55">
        <f>(N17-O17)/O17</f>
        <v/>
      </c>
      <c r="Q17" s="74">
        <f>O17*0.9056*0.85</f>
        <v/>
      </c>
      <c r="R17" s="74">
        <f>O17*1.15</f>
        <v/>
      </c>
      <c r="S17" s="74">
        <f>IF(N17&lt;O17*0.9056*0.85,O17*0.9056*0.85,IF(N17&gt;O17*1.15,O17*1.15,N17))</f>
        <v/>
      </c>
      <c r="T17" s="74" t="n">
        <v>14739.94</v>
      </c>
      <c r="U17" s="74" t="n">
        <v>4653.2</v>
      </c>
      <c r="V17" s="74">
        <f>T17+S17*K17</f>
        <v/>
      </c>
      <c r="W17" s="74">
        <f>U17-T17</f>
        <v/>
      </c>
      <c r="X17" s="74">
        <f>V17-T17</f>
        <v/>
      </c>
      <c r="Y17" s="74">
        <f>V17-U17</f>
        <v/>
      </c>
      <c r="Z17" s="5" t="n"/>
    </row>
    <row r="18" ht="20" customHeight="1" s="1">
      <c r="A18" s="5" t="n"/>
      <c r="B18" s="5" t="n"/>
      <c r="C18" s="5" t="inlineStr">
        <is>
          <t>砌筑工程</t>
        </is>
      </c>
      <c r="D18" s="5" t="n"/>
      <c r="E18" s="5" t="n"/>
      <c r="F18" s="74" t="n"/>
      <c r="G18" s="74" t="n"/>
      <c r="H18" s="74" t="n"/>
      <c r="I18" s="74" t="n"/>
      <c r="J18" s="74" t="n"/>
      <c r="K18" s="74" t="n"/>
      <c r="L18" s="74" t="n"/>
      <c r="M18" s="55" t="n"/>
      <c r="N18" s="6" t="n"/>
      <c r="O18" s="6" t="n"/>
      <c r="P18" s="55" t="n"/>
      <c r="Q18" s="74" t="n"/>
      <c r="R18" s="74" t="n"/>
      <c r="S18" s="74" t="n"/>
      <c r="T18" s="74" t="n">
        <v>563645.6899999999</v>
      </c>
      <c r="U18" s="74" t="n">
        <v>835049.33</v>
      </c>
      <c r="V18" s="74">
        <f>+SUM(V19:V27)</f>
        <v/>
      </c>
      <c r="W18" s="74">
        <f>U18-T18</f>
        <v/>
      </c>
      <c r="X18" s="74">
        <f>V18-T18</f>
        <v/>
      </c>
      <c r="Y18" s="74">
        <f>V18-U18</f>
        <v/>
      </c>
      <c r="Z18" s="5" t="n"/>
      <c r="AA18" s="73" t="n"/>
    </row>
    <row r="19" ht="20" customHeight="1" s="1">
      <c r="A19" s="5" t="n">
        <v>13</v>
      </c>
      <c r="B19" s="5" t="inlineStr">
        <is>
          <t>010103001002</t>
        </is>
      </c>
      <c r="C19" s="5" t="inlineStr">
        <is>
          <t>回填方</t>
        </is>
      </c>
      <c r="D19" s="5" t="inlineStr">
        <is>
          <t>1.卫生间回填
2.20厚WSM15找平层
3.陶粒混凝土(水泥:陶粒=1:8)回填兼找坡
4.20厚M20水泥砂浆找平层</t>
        </is>
      </c>
      <c r="E19" s="5" t="inlineStr">
        <is>
          <t>m3</t>
        </is>
      </c>
      <c r="F19" s="74" t="n">
        <v>27.86</v>
      </c>
      <c r="G19" s="74" t="n">
        <v>266.77</v>
      </c>
      <c r="H19" s="74" t="n">
        <v>266.77</v>
      </c>
      <c r="I19" s="74" t="n"/>
      <c r="J19" s="74">
        <f>G19-F19</f>
        <v/>
      </c>
      <c r="K19" s="74">
        <f>H19-F19</f>
        <v/>
      </c>
      <c r="L19" s="74">
        <f>H19-G19</f>
        <v/>
      </c>
      <c r="M19" s="55">
        <f>J19/F19</f>
        <v/>
      </c>
      <c r="N19" s="6" t="n">
        <v>793.8099999999999</v>
      </c>
      <c r="O19" s="6" t="n">
        <v>770.77</v>
      </c>
      <c r="P19" s="55">
        <f>(N19-O19)/O19</f>
        <v/>
      </c>
      <c r="Q19" s="74">
        <f>O19*0.9056*0.85</f>
        <v/>
      </c>
      <c r="R19" s="74">
        <f>O19*1.15</f>
        <v/>
      </c>
      <c r="S19" s="74">
        <f>IF(N19&lt;O19*0.9056*0.85,O19*0.9056*0.85,IF(N19&gt;O19*1.15,O19*1.15,N19))</f>
        <v/>
      </c>
      <c r="T19" s="74" t="n">
        <v>22116.18</v>
      </c>
      <c r="U19" s="74" t="n">
        <v>211762.63</v>
      </c>
      <c r="V19" s="74" t="n">
        <v>211762.63</v>
      </c>
      <c r="W19" s="74">
        <f>U19-T19</f>
        <v/>
      </c>
      <c r="X19" s="74">
        <f>V19-T19</f>
        <v/>
      </c>
      <c r="Y19" s="74">
        <f>V19-U19</f>
        <v/>
      </c>
      <c r="Z19" s="5" t="n"/>
    </row>
    <row r="20" ht="20" customHeight="1" s="1">
      <c r="A20" s="5" t="n">
        <v>14</v>
      </c>
      <c r="B20" s="5" t="inlineStr">
        <is>
          <t>010402001001</t>
        </is>
      </c>
      <c r="C20" s="5" t="inlineStr">
        <is>
          <t>砌块墙</t>
        </is>
      </c>
      <c r="D20" s="5" t="inlineStr">
        <is>
          <t>1.砌块品种、规格、强度等级:A5.0蒸压加气混凝土砌块
2.墙体类型:外墙
3.厚度:200
4.砂浆强度等级、配合比:DMM5专用砌筑砂浆</t>
        </is>
      </c>
      <c r="E20" s="5" t="inlineStr">
        <is>
          <t>m3</t>
        </is>
      </c>
      <c r="F20" s="74" t="n">
        <v>384.69</v>
      </c>
      <c r="G20" s="74" t="n">
        <v>399.19</v>
      </c>
      <c r="H20" s="74">
        <f>268.41</f>
        <v/>
      </c>
      <c r="I20" s="74" t="n"/>
      <c r="J20" s="74">
        <f>G20-F20</f>
        <v/>
      </c>
      <c r="K20" s="74">
        <f>H20-F20</f>
        <v/>
      </c>
      <c r="L20" s="74">
        <f>H20-G20</f>
        <v/>
      </c>
      <c r="M20" s="55">
        <f>J20/F20</f>
        <v/>
      </c>
      <c r="N20" s="6" t="n">
        <v>589.41</v>
      </c>
      <c r="O20" s="6" t="n">
        <v>676.12</v>
      </c>
      <c r="P20" s="55">
        <f>(N20-O20)/O20</f>
        <v/>
      </c>
      <c r="Q20" s="74">
        <f>O20*0.9056*0.85</f>
        <v/>
      </c>
      <c r="R20" s="74">
        <f>O20*1.15</f>
        <v/>
      </c>
      <c r="S20" s="74">
        <f>IF(N20&lt;O20*0.9056*0.85,O20*0.9056*0.85,IF(N20&gt;O20*1.15,O20*1.15,N20))</f>
        <v/>
      </c>
      <c r="T20" s="74" t="n">
        <v>226742.37</v>
      </c>
      <c r="U20" s="74" t="n">
        <v>235288.82</v>
      </c>
      <c r="V20" s="74">
        <f>T20+S20*K20</f>
        <v/>
      </c>
      <c r="W20" s="74">
        <f>U20-T20</f>
        <v/>
      </c>
      <c r="X20" s="74">
        <f>V20-T20</f>
        <v/>
      </c>
      <c r="Y20" s="74">
        <f>V20-U20</f>
        <v/>
      </c>
      <c r="Z20" s="5" t="n"/>
    </row>
    <row r="21" ht="20" customHeight="1" s="1">
      <c r="A21" s="5" t="n">
        <v>15</v>
      </c>
      <c r="B21" s="5" t="inlineStr">
        <is>
          <t>010402001002</t>
        </is>
      </c>
      <c r="C21" s="5" t="inlineStr">
        <is>
          <t>砌块墙</t>
        </is>
      </c>
      <c r="D21" s="5" t="inlineStr">
        <is>
          <t>1.砌块品种、规格、强度等级:A5.0蒸压加气混凝土砌块
2.墙体类型:内墙
3.厚度:200
4.砂浆强度等级、配合比:DMM5专用砌筑砂浆</t>
        </is>
      </c>
      <c r="E21" s="5" t="inlineStr">
        <is>
          <t>m3</t>
        </is>
      </c>
      <c r="F21" s="74" t="n">
        <v>331.51</v>
      </c>
      <c r="G21" s="74" t="n">
        <v>440.98</v>
      </c>
      <c r="H21" s="74" t="n">
        <v>424.16</v>
      </c>
      <c r="I21" s="74" t="n"/>
      <c r="J21" s="74">
        <f>G21-F21</f>
        <v/>
      </c>
      <c r="K21" s="74">
        <f>H21-F21</f>
        <v/>
      </c>
      <c r="L21" s="74">
        <f>H21-G21</f>
        <v/>
      </c>
      <c r="M21" s="55">
        <f>J21/F21</f>
        <v/>
      </c>
      <c r="N21" s="6" t="n">
        <v>576.98</v>
      </c>
      <c r="O21" s="6" t="n">
        <v>661.47</v>
      </c>
      <c r="P21" s="55">
        <f>(N21-O21)/O21</f>
        <v/>
      </c>
      <c r="Q21" s="74">
        <f>O21*0.9056*0.85</f>
        <v/>
      </c>
      <c r="R21" s="74">
        <f>O21*1.15</f>
        <v/>
      </c>
      <c r="S21" s="74">
        <f>IF(N21&lt;O21*0.9056*0.85,O21*0.9056*0.85,IF(N21&gt;O21*1.15,O21*1.15,N21))</f>
        <v/>
      </c>
      <c r="T21" s="74" t="n">
        <v>191272.56</v>
      </c>
      <c r="U21" s="74" t="n">
        <v>254438.2</v>
      </c>
      <c r="V21" s="74">
        <f>T21+S21*K21</f>
        <v/>
      </c>
      <c r="W21" s="74">
        <f>U21-T21</f>
        <v/>
      </c>
      <c r="X21" s="74">
        <f>V21-T21</f>
        <v/>
      </c>
      <c r="Y21" s="74">
        <f>V21-U21</f>
        <v/>
      </c>
      <c r="Z21" s="5" t="n"/>
    </row>
    <row r="22" ht="20" customHeight="1" s="1">
      <c r="A22" s="5" t="n">
        <v>16</v>
      </c>
      <c r="B22" s="5" t="inlineStr">
        <is>
          <t>010402001004</t>
        </is>
      </c>
      <c r="C22" s="5" t="inlineStr">
        <is>
          <t>砌块墙</t>
        </is>
      </c>
      <c r="D22" s="5" t="inlineStr">
        <is>
          <t>1.砌块品种、规格、强度等级:A5.0蒸压加气混凝土砌块
2.墙体类型:内墙
3.厚度:100
4.砂浆强度等级、配合比:DMM5专用砌筑砂浆</t>
        </is>
      </c>
      <c r="E22" s="5" t="inlineStr">
        <is>
          <t>m3</t>
        </is>
      </c>
      <c r="F22" s="74" t="n">
        <v>1.09</v>
      </c>
      <c r="G22" s="74" t="n">
        <v>2.59</v>
      </c>
      <c r="H22" s="74" t="n">
        <v>0</v>
      </c>
      <c r="I22" s="74" t="n"/>
      <c r="J22" s="74">
        <f>G22-F22</f>
        <v/>
      </c>
      <c r="K22" s="74">
        <f>H22-F22</f>
        <v/>
      </c>
      <c r="L22" s="74">
        <f>H22-G22</f>
        <v/>
      </c>
      <c r="M22" s="55">
        <f>J22/F22</f>
        <v/>
      </c>
      <c r="N22" s="6" t="n">
        <v>599.51</v>
      </c>
      <c r="O22" s="6" t="n">
        <v>686.9</v>
      </c>
      <c r="P22" s="55">
        <f>(N22-O22)/O22</f>
        <v/>
      </c>
      <c r="Q22" s="74">
        <f>O22*0.9056*0.85</f>
        <v/>
      </c>
      <c r="R22" s="74">
        <f>O22*1.15</f>
        <v/>
      </c>
      <c r="S22" s="74">
        <f>IF(N22&lt;O22*0.9056*0.85,O22*0.9056*0.85,IF(N22&gt;O22*1.15,O22*1.15,N22))</f>
        <v/>
      </c>
      <c r="T22" s="74" t="n">
        <v>655.5</v>
      </c>
      <c r="U22" s="74" t="n">
        <v>1554.77</v>
      </c>
      <c r="V22" s="74">
        <f>T22+S22*K22</f>
        <v/>
      </c>
      <c r="W22" s="74">
        <f>U22-T22</f>
        <v/>
      </c>
      <c r="X22" s="74">
        <f>V22-T22</f>
        <v/>
      </c>
      <c r="Y22" s="74">
        <f>V22-U22</f>
        <v/>
      </c>
      <c r="Z22" s="5" t="n"/>
      <c r="AA22" s="73" t="n"/>
    </row>
    <row r="23" ht="20" customHeight="1" s="1">
      <c r="A23" s="5" t="n">
        <v>17</v>
      </c>
      <c r="B23" s="5" t="inlineStr">
        <is>
          <t>010402001005</t>
        </is>
      </c>
      <c r="C23" s="5" t="inlineStr">
        <is>
          <t>砌块墙</t>
        </is>
      </c>
      <c r="D23" s="5" t="inlineStr">
        <is>
          <t>1.砌块品种、规格、强度等级:A5.0蒸压加气混凝土砌块
2.墙体类型:装饰墙
3.厚度:100
4.砂浆强度等级、配合比:DMM5专用砌筑砂浆</t>
        </is>
      </c>
      <c r="E23" s="5" t="inlineStr">
        <is>
          <t>m3</t>
        </is>
      </c>
      <c r="F23" s="74" t="n">
        <v>147.47</v>
      </c>
      <c r="G23" s="74" t="n">
        <v>148.91</v>
      </c>
      <c r="H23" s="74">
        <f>72.8+74.08</f>
        <v/>
      </c>
      <c r="I23" s="74" t="n"/>
      <c r="J23" s="74">
        <f>G23-F23</f>
        <v/>
      </c>
      <c r="K23" s="74">
        <f>H23-F23</f>
        <v/>
      </c>
      <c r="L23" s="74">
        <f>H23-G23</f>
        <v/>
      </c>
      <c r="M23" s="55">
        <f>J23/F23</f>
        <v/>
      </c>
      <c r="N23" s="6" t="n">
        <v>599.53</v>
      </c>
      <c r="O23" s="6" t="n">
        <v>686.9</v>
      </c>
      <c r="P23" s="55">
        <f>(N23-O23)/O23</f>
        <v/>
      </c>
      <c r="Q23" s="74">
        <f>O23*0.9056*0.85</f>
        <v/>
      </c>
      <c r="R23" s="74">
        <f>O23*1.15</f>
        <v/>
      </c>
      <c r="S23" s="74">
        <f>IF(N23&lt;O23*0.9056*0.85,O23*0.9056*0.85,IF(N23&gt;O23*1.15,O23*1.15,N23))</f>
        <v/>
      </c>
      <c r="T23" s="74" t="n">
        <v>88409.92999999999</v>
      </c>
      <c r="U23" s="74" t="n">
        <v>89273.91</v>
      </c>
      <c r="V23" s="74">
        <f>T23+S23*K23</f>
        <v/>
      </c>
      <c r="W23" s="74">
        <f>U23-T23</f>
        <v/>
      </c>
      <c r="X23" s="74">
        <f>V23-T23</f>
        <v/>
      </c>
      <c r="Y23" s="74">
        <f>V23-U23</f>
        <v/>
      </c>
      <c r="Z23" s="5" t="n"/>
    </row>
    <row r="24" ht="20" customHeight="1" s="1">
      <c r="A24" s="5" t="n">
        <v>18</v>
      </c>
      <c r="B24" s="5" t="inlineStr">
        <is>
          <t>010402001006</t>
        </is>
      </c>
      <c r="C24" s="5" t="inlineStr">
        <is>
          <t>砌块墙</t>
        </is>
      </c>
      <c r="D24" s="5" t="inlineStr">
        <is>
          <t>1.砌块品种、规格、强度等级:A5.0蒸压加气混凝土砌块
2.墙体类型:装饰墙
3.厚度:200
4.砂浆强度等级、配合比:DMM5专用砌筑砂浆</t>
        </is>
      </c>
      <c r="E24" s="5" t="inlineStr">
        <is>
          <t>m3</t>
        </is>
      </c>
      <c r="F24" s="74" t="n">
        <v>33.46</v>
      </c>
      <c r="G24" s="74" t="n">
        <v>35.46</v>
      </c>
      <c r="H24" s="74">
        <f>4.1+25.86+0.57+0.11</f>
        <v/>
      </c>
      <c r="I24" s="74" t="n"/>
      <c r="J24" s="74">
        <f>G24-F24</f>
        <v/>
      </c>
      <c r="K24" s="74">
        <f>H24-F24</f>
        <v/>
      </c>
      <c r="L24" s="74">
        <f>H24-G24</f>
        <v/>
      </c>
      <c r="M24" s="55">
        <f>J24/F24</f>
        <v/>
      </c>
      <c r="N24" s="6" t="n">
        <v>589.41</v>
      </c>
      <c r="O24" s="6" t="n">
        <v>661.47</v>
      </c>
      <c r="P24" s="55">
        <f>(N24-O24)/O24</f>
        <v/>
      </c>
      <c r="Q24" s="74">
        <f>O24*0.9056*0.85</f>
        <v/>
      </c>
      <c r="R24" s="74">
        <f>O24*1.15</f>
        <v/>
      </c>
      <c r="S24" s="74">
        <f>IF(N24&lt;O24*0.9056*0.85,O24*0.9056*0.85,IF(N24&gt;O24*1.15,O24*1.15,N24))</f>
        <v/>
      </c>
      <c r="T24" s="74" t="n">
        <v>19722.31</v>
      </c>
      <c r="U24" s="74" t="n">
        <v>20901.13</v>
      </c>
      <c r="V24" s="74">
        <f>T24+S24*K24</f>
        <v/>
      </c>
      <c r="W24" s="74">
        <f>U24-T24</f>
        <v/>
      </c>
      <c r="X24" s="74">
        <f>V24-T24</f>
        <v/>
      </c>
      <c r="Y24" s="74">
        <f>V24-U24</f>
        <v/>
      </c>
      <c r="Z24" s="5" t="n"/>
    </row>
    <row r="25" ht="20" customHeight="1" s="1">
      <c r="A25" s="5" t="n">
        <v>19</v>
      </c>
      <c r="B25" s="5" t="inlineStr">
        <is>
          <t>010402001007</t>
        </is>
      </c>
      <c r="C25" s="5" t="inlineStr">
        <is>
          <t>砌块墙</t>
        </is>
      </c>
      <c r="D25" s="5" t="inlineStr">
        <is>
          <t>1.砌块品种、规格、强度等级:MU15混凝土实心砖
2.墙体类型:女儿墙、栏板
3.厚度:200
4.砂浆强度等级、配合比:DMM10专用砌筑砂浆</t>
        </is>
      </c>
      <c r="E25" s="5" t="inlineStr">
        <is>
          <t>m3</t>
        </is>
      </c>
      <c r="F25" s="74" t="n">
        <v>17.53</v>
      </c>
      <c r="G25" s="74" t="n">
        <v>18.74</v>
      </c>
      <c r="H25" s="74">
        <f>11.3+7.01</f>
        <v/>
      </c>
      <c r="I25" s="74" t="n"/>
      <c r="J25" s="74">
        <f>G25-F25</f>
        <v/>
      </c>
      <c r="K25" s="74">
        <f>H25-F25</f>
        <v/>
      </c>
      <c r="L25" s="74">
        <f>H25-G25</f>
        <v/>
      </c>
      <c r="M25" s="55">
        <f>J25/F25</f>
        <v/>
      </c>
      <c r="N25" s="6" t="n">
        <v>591.21</v>
      </c>
      <c r="O25" s="6" t="n">
        <v>677</v>
      </c>
      <c r="P25" s="55">
        <f>(N25-O25)/O25</f>
        <v/>
      </c>
      <c r="Q25" s="74">
        <f>O25*0.9056*0.85</f>
        <v/>
      </c>
      <c r="R25" s="74">
        <f>O25*1.15</f>
        <v/>
      </c>
      <c r="S25" s="74">
        <f>IF(N25&lt;O25*0.9056*0.85,O25*0.9056*0.85,IF(N25&gt;O25*1.15,O25*1.15,N25))</f>
        <v/>
      </c>
      <c r="T25" s="74" t="n">
        <v>10362.08</v>
      </c>
      <c r="U25" s="74" t="n">
        <v>11081.76</v>
      </c>
      <c r="V25" s="74">
        <f>T25+S25*K25</f>
        <v/>
      </c>
      <c r="W25" s="74">
        <f>U25-T25</f>
        <v/>
      </c>
      <c r="X25" s="74">
        <f>V25-T25</f>
        <v/>
      </c>
      <c r="Y25" s="74">
        <f>V25-U25</f>
        <v/>
      </c>
      <c r="Z25" s="5" t="n"/>
    </row>
    <row r="26" ht="20" customHeight="1" s="1">
      <c r="A26" s="5" t="n">
        <v>20</v>
      </c>
      <c r="B26" s="5" t="inlineStr">
        <is>
          <t>010401012001</t>
        </is>
      </c>
      <c r="C26" s="5" t="inlineStr">
        <is>
          <t>零星砌砖</t>
        </is>
      </c>
      <c r="D26" s="5" t="inlineStr">
        <is>
          <t>1.砖砌台阶
2.砂浆强度等级、配合比:WMM5专用砌筑砂浆</t>
        </is>
      </c>
      <c r="E26" s="5" t="inlineStr">
        <is>
          <t>m2</t>
        </is>
      </c>
      <c r="F26" s="74" t="n">
        <v>6.24</v>
      </c>
      <c r="G26" s="74" t="n">
        <v>10.57</v>
      </c>
      <c r="H26" s="74" t="n">
        <v>10.57</v>
      </c>
      <c r="I26" s="74" t="n"/>
      <c r="J26" s="74">
        <f>G26-F26</f>
        <v/>
      </c>
      <c r="K26" s="74">
        <f>H26-F26</f>
        <v/>
      </c>
      <c r="L26" s="74">
        <f>H26-G26</f>
        <v/>
      </c>
      <c r="M26" s="55">
        <f>J26/F26</f>
        <v/>
      </c>
      <c r="N26" s="6" t="n">
        <v>159.23</v>
      </c>
      <c r="O26" s="6" t="n">
        <v>189.88</v>
      </c>
      <c r="P26" s="55">
        <f>(N26-O26)/O26</f>
        <v/>
      </c>
      <c r="Q26" s="74">
        <f>O26*0.9056*0.85</f>
        <v/>
      </c>
      <c r="R26" s="74">
        <f>O26*1.15</f>
        <v/>
      </c>
      <c r="S26" s="74">
        <f>IF(N26&lt;O26*0.9056*0.85,O26*0.9056*0.85,IF(N26&gt;O26*1.15,O26*1.15,N26))</f>
        <v/>
      </c>
      <c r="T26" s="74" t="n">
        <v>993.6</v>
      </c>
      <c r="U26" s="74" t="n">
        <v>1683.7</v>
      </c>
      <c r="V26" s="74">
        <f>T26+S26*K26</f>
        <v/>
      </c>
      <c r="W26" s="74">
        <f>U26-T26</f>
        <v/>
      </c>
      <c r="X26" s="74">
        <f>V26-T26</f>
        <v/>
      </c>
      <c r="Y26" s="74">
        <f>V26-U26</f>
        <v/>
      </c>
      <c r="Z26" s="5" t="n"/>
    </row>
    <row r="27" ht="20" customHeight="1" s="1">
      <c r="A27" s="5" t="n">
        <v>21</v>
      </c>
      <c r="B27" s="5" t="inlineStr">
        <is>
          <t>010401012003</t>
        </is>
      </c>
      <c r="C27" s="5" t="inlineStr">
        <is>
          <t>零星砌砖</t>
        </is>
      </c>
      <c r="D27" s="5" t="inlineStr">
        <is>
          <t>1.台阶侧边、砖砌小步级
2.砂浆强度等级、配合比:WMM5专用砌筑砂浆</t>
        </is>
      </c>
      <c r="E27" s="5" t="inlineStr">
        <is>
          <t>m3</t>
        </is>
      </c>
      <c r="F27" s="74" t="n">
        <v>4.66</v>
      </c>
      <c r="G27" s="74" t="n">
        <v>12.54</v>
      </c>
      <c r="H27" s="74">
        <f>7.75+4.79</f>
        <v/>
      </c>
      <c r="I27" s="74" t="n"/>
      <c r="J27" s="74">
        <f>G27-F27</f>
        <v/>
      </c>
      <c r="K27" s="74">
        <f>H27-F27</f>
        <v/>
      </c>
      <c r="L27" s="74">
        <f>H27-G27</f>
        <v/>
      </c>
      <c r="M27" s="55">
        <f>J27/F27</f>
        <v/>
      </c>
      <c r="N27" s="6" t="n">
        <v>722.99</v>
      </c>
      <c r="O27" s="6" t="n">
        <v>864.65</v>
      </c>
      <c r="P27" s="55">
        <f>(N27-O27)/O27</f>
        <v/>
      </c>
      <c r="Q27" s="74">
        <f>O27*0.9056*0.85</f>
        <v/>
      </c>
      <c r="R27" s="74">
        <f>O27*1.15</f>
        <v/>
      </c>
      <c r="S27" s="74">
        <f>IF(N27&lt;O27*0.9056*0.85,O27*0.9056*0.85,IF(N27&gt;O27*1.15,O27*1.15,N27))</f>
        <v/>
      </c>
      <c r="T27" s="74" t="n">
        <v>3371.16</v>
      </c>
      <c r="U27" s="74" t="n">
        <v>9064.41</v>
      </c>
      <c r="V27" s="74" t="n">
        <v>9064.41</v>
      </c>
      <c r="W27" s="74">
        <f>U27-T27</f>
        <v/>
      </c>
      <c r="X27" s="74">
        <f>V27-T27</f>
        <v/>
      </c>
      <c r="Y27" s="74">
        <f>V27-U27</f>
        <v/>
      </c>
      <c r="Z27" s="5" t="n"/>
    </row>
    <row r="28" ht="20" customHeight="1" s="1">
      <c r="A28" s="5" t="n"/>
      <c r="B28" s="5" t="n"/>
      <c r="C28" s="5" t="inlineStr">
        <is>
          <t>混凝土及钢筋混凝土工程</t>
        </is>
      </c>
      <c r="D28" s="5" t="n"/>
      <c r="E28" s="5" t="n"/>
      <c r="F28" s="74" t="n"/>
      <c r="G28" s="74" t="n"/>
      <c r="H28" s="74" t="n"/>
      <c r="I28" s="74" t="n"/>
      <c r="J28" s="74" t="n"/>
      <c r="K28" s="74" t="n"/>
      <c r="L28" s="74" t="n"/>
      <c r="M28" s="55" t="n"/>
      <c r="N28" s="6" t="n"/>
      <c r="O28" s="6" t="n"/>
      <c r="P28" s="55" t="n"/>
      <c r="Q28" s="74" t="n"/>
      <c r="R28" s="74" t="n"/>
      <c r="S28" s="74" t="n"/>
      <c r="T28" s="74" t="n">
        <v>4004682.77</v>
      </c>
      <c r="U28" s="74" t="n">
        <v>3988491.76</v>
      </c>
      <c r="V28" s="74">
        <f>+SUM(V29:V54)</f>
        <v/>
      </c>
      <c r="W28" s="74">
        <f>U28-T28</f>
        <v/>
      </c>
      <c r="X28" s="74">
        <f>V28-T28</f>
        <v/>
      </c>
      <c r="Y28" s="74">
        <f>V28-U28</f>
        <v/>
      </c>
      <c r="Z28" s="5" t="n"/>
      <c r="AA28" s="73" t="n"/>
    </row>
    <row r="29" ht="20" customHeight="1" s="1">
      <c r="A29" s="5" t="n">
        <v>22</v>
      </c>
      <c r="B29" s="5" t="inlineStr">
        <is>
          <t>010501001001</t>
        </is>
      </c>
      <c r="C29" s="5" t="inlineStr">
        <is>
          <t>垫层</t>
        </is>
      </c>
      <c r="D29" s="5" t="inlineStr">
        <is>
          <t>1.垫层
2.混凝土种类:预拌混凝土
3.混凝土强度等级:C15
4.含混凝土泵送费用</t>
        </is>
      </c>
      <c r="E29" s="5" t="inlineStr">
        <is>
          <t>m3</t>
        </is>
      </c>
      <c r="F29" s="74" t="n">
        <v>295.51</v>
      </c>
      <c r="G29" s="74" t="n">
        <v>261.34</v>
      </c>
      <c r="H29" s="74">
        <f>237.87+10.87</f>
        <v/>
      </c>
      <c r="I29" s="74" t="n"/>
      <c r="J29" s="74">
        <f>G29-F29</f>
        <v/>
      </c>
      <c r="K29" s="74">
        <f>H29-F29</f>
        <v/>
      </c>
      <c r="L29" s="74">
        <f>H29-G29</f>
        <v/>
      </c>
      <c r="M29" s="55">
        <f>J29/F29</f>
        <v/>
      </c>
      <c r="N29" s="6" t="n">
        <v>626.1799999999999</v>
      </c>
      <c r="O29" s="6" t="n">
        <v>830</v>
      </c>
      <c r="P29" s="55">
        <f>(N29-O29)/O29</f>
        <v/>
      </c>
      <c r="Q29" s="74">
        <f>O29*0.9056*0.85</f>
        <v/>
      </c>
      <c r="R29" s="74">
        <f>O29*1.15</f>
        <v/>
      </c>
      <c r="S29" s="74">
        <f>IF(N29&lt;O29*0.9056*0.85,O29*0.9056*0.85,IF(N29&gt;O29*1.15,O29*1.15,N29))</f>
        <v/>
      </c>
      <c r="T29" s="74" t="n">
        <v>185040.01</v>
      </c>
      <c r="U29" s="74" t="n">
        <v>163210.83</v>
      </c>
      <c r="V29" s="74">
        <f>T29+S29*K29</f>
        <v/>
      </c>
      <c r="W29" s="74">
        <f>U29-T29</f>
        <v/>
      </c>
      <c r="X29" s="74">
        <f>V29-T29</f>
        <v/>
      </c>
      <c r="Y29" s="74">
        <f>V29-U29</f>
        <v/>
      </c>
      <c r="Z29" s="5" t="n"/>
      <c r="AA29" s="73" t="inlineStr">
        <is>
          <t>加负一层垫层</t>
        </is>
      </c>
    </row>
    <row r="30" ht="20" customHeight="1" s="1">
      <c r="A30" s="5" t="n">
        <v>23</v>
      </c>
      <c r="B30" s="5" t="inlineStr">
        <is>
          <t>010501005001</t>
        </is>
      </c>
      <c r="C30" s="5" t="inlineStr">
        <is>
          <t>桩承台基础</t>
        </is>
      </c>
      <c r="D30" s="5" t="inlineStr">
        <is>
          <t>1.桩承台
2.混凝土种类:预拌混凝土
3.混凝土强度等级:C35P6
4.含混凝土泵送费用</t>
        </is>
      </c>
      <c r="E30" s="5" t="inlineStr">
        <is>
          <t>m3</t>
        </is>
      </c>
      <c r="F30" s="74" t="n">
        <v>181.51</v>
      </c>
      <c r="G30" s="74" t="n">
        <v>233.54</v>
      </c>
      <c r="H30" s="74">
        <f>53.3+176.3</f>
        <v/>
      </c>
      <c r="I30" s="74" t="n"/>
      <c r="J30" s="74">
        <f>G30-F30</f>
        <v/>
      </c>
      <c r="K30" s="74">
        <f>H30-F30</f>
        <v/>
      </c>
      <c r="L30" s="74">
        <f>H30-G30</f>
        <v/>
      </c>
      <c r="M30" s="55">
        <f>J30/F30</f>
        <v/>
      </c>
      <c r="N30" s="6" t="n">
        <v>687.16</v>
      </c>
      <c r="O30" s="6" t="n">
        <v>871.16</v>
      </c>
      <c r="P30" s="55">
        <f>(N30-O30)/O30</f>
        <v/>
      </c>
      <c r="Q30" s="74">
        <f>O30*0.9056*0.85</f>
        <v/>
      </c>
      <c r="R30" s="74">
        <f>O30*1.15</f>
        <v/>
      </c>
      <c r="S30" s="74">
        <f>IF(N30&lt;O30*0.9056*0.85,O30*0.9056*0.85,IF(N30&gt;O30*1.15,O30*1.15,N30))</f>
        <v/>
      </c>
      <c r="T30" s="74" t="n">
        <v>124725.04</v>
      </c>
      <c r="U30" s="74" t="n">
        <v>160477.65</v>
      </c>
      <c r="V30" s="74">
        <f>T30+S30*K30</f>
        <v/>
      </c>
      <c r="W30" s="74">
        <f>U30-T30</f>
        <v/>
      </c>
      <c r="X30" s="74">
        <f>V30-T30</f>
        <v/>
      </c>
      <c r="Y30" s="74">
        <f>V30-U30</f>
        <v/>
      </c>
      <c r="Z30" s="5" t="n"/>
    </row>
    <row r="31" ht="20" customHeight="1" s="1">
      <c r="A31" s="5" t="n">
        <v>24</v>
      </c>
      <c r="B31" s="5" t="inlineStr">
        <is>
          <t>010503001001</t>
        </is>
      </c>
      <c r="C31" s="5" t="inlineStr">
        <is>
          <t>基础梁</t>
        </is>
      </c>
      <c r="D31" s="5" t="inlineStr">
        <is>
          <t>1.基础梁
2.混凝土种类:预拌混凝土
3.混凝土强度等级:C35P6
4.含混凝土泵送费用</t>
        </is>
      </c>
      <c r="E31" s="5" t="inlineStr">
        <is>
          <t>m3</t>
        </is>
      </c>
      <c r="F31" s="74" t="n">
        <v>113.08</v>
      </c>
      <c r="G31" s="74" t="n">
        <v>114.47</v>
      </c>
      <c r="H31" s="74" t="n">
        <v>110.3</v>
      </c>
      <c r="I31" s="74" t="n"/>
      <c r="J31" s="74">
        <f>G31-F31</f>
        <v/>
      </c>
      <c r="K31" s="74">
        <f>H31-F31</f>
        <v/>
      </c>
      <c r="L31" s="74">
        <f>H31-G31</f>
        <v/>
      </c>
      <c r="M31" s="55">
        <f>J31/F31</f>
        <v/>
      </c>
      <c r="N31" s="6" t="n">
        <v>679.67</v>
      </c>
      <c r="O31" s="6" t="n">
        <v>863.84</v>
      </c>
      <c r="P31" s="55">
        <f>(N31-O31)/O31</f>
        <v/>
      </c>
      <c r="Q31" s="74">
        <f>O31*0.9056*0.85</f>
        <v/>
      </c>
      <c r="R31" s="74">
        <f>O31*1.15</f>
        <v/>
      </c>
      <c r="S31" s="74">
        <f>IF(N31&lt;O31*0.9056*0.85,O31*0.9056*0.85,IF(N31&gt;O31*1.15,O31*1.15,N31))</f>
        <v/>
      </c>
      <c r="T31" s="74" t="n">
        <v>76855.86</v>
      </c>
      <c r="U31" s="74" t="n">
        <v>77801.22</v>
      </c>
      <c r="V31" s="74">
        <f>T31+S31*K31</f>
        <v/>
      </c>
      <c r="W31" s="74">
        <f>U31-T31</f>
        <v/>
      </c>
      <c r="X31" s="74">
        <f>V31-T31</f>
        <v/>
      </c>
      <c r="Y31" s="74">
        <f>V31-U31</f>
        <v/>
      </c>
      <c r="Z31" s="5" t="n"/>
    </row>
    <row r="32" ht="20" customHeight="1" s="1">
      <c r="A32" s="5" t="n">
        <v>25</v>
      </c>
      <c r="B32" s="5" t="inlineStr">
        <is>
          <t>010501004001</t>
        </is>
      </c>
      <c r="C32" s="5" t="inlineStr">
        <is>
          <t>满堂基础</t>
        </is>
      </c>
      <c r="D32" s="5" t="inlineStr">
        <is>
          <t>1.满堂基础
2.预拌混凝土
3.混凝土强度等级:C35P6
4.含混凝土泵送费用</t>
        </is>
      </c>
      <c r="E32" s="5" t="inlineStr">
        <is>
          <t>m3</t>
        </is>
      </c>
      <c r="F32" s="74" t="n">
        <v>411.63</v>
      </c>
      <c r="G32" s="74" t="n">
        <v>360.95</v>
      </c>
      <c r="H32" s="74">
        <f>340.67+3.09</f>
        <v/>
      </c>
      <c r="I32" s="74" t="n"/>
      <c r="J32" s="74">
        <f>G32-F32</f>
        <v/>
      </c>
      <c r="K32" s="74">
        <f>H32-F32</f>
        <v/>
      </c>
      <c r="L32" s="74">
        <f>H32-G32</f>
        <v/>
      </c>
      <c r="M32" s="55">
        <f>J32/F32</f>
        <v/>
      </c>
      <c r="N32" s="6" t="n">
        <v>686.38</v>
      </c>
      <c r="O32" s="6" t="n">
        <v>871.16</v>
      </c>
      <c r="P32" s="55">
        <f>(N32-O32)/O32</f>
        <v/>
      </c>
      <c r="Q32" s="74">
        <f>O32*0.9056*0.85</f>
        <v/>
      </c>
      <c r="R32" s="74">
        <f>O32*1.15</f>
        <v/>
      </c>
      <c r="S32" s="74">
        <f>IF(N32&lt;O32*0.9056*0.85,O32*0.9056*0.85,IF(N32&gt;O32*1.15,O32*1.15,N32))</f>
        <v/>
      </c>
      <c r="T32" s="74" t="n">
        <v>282533.23</v>
      </c>
      <c r="U32" s="74" t="n">
        <v>247750.59</v>
      </c>
      <c r="V32" s="74">
        <f>T32+S32*K32</f>
        <v/>
      </c>
      <c r="W32" s="74">
        <f>U32-T32</f>
        <v/>
      </c>
      <c r="X32" s="74">
        <f>V32-T32</f>
        <v/>
      </c>
      <c r="Y32" s="74">
        <f>V32-U32</f>
        <v/>
      </c>
      <c r="Z32" s="5" t="n"/>
      <c r="AA32" s="73" t="inlineStr">
        <is>
          <t>加首层集水井</t>
        </is>
      </c>
    </row>
    <row r="33" ht="20" customHeight="1" s="1">
      <c r="A33" s="5" t="n">
        <v>26</v>
      </c>
      <c r="B33" s="5" t="inlineStr">
        <is>
          <t>010502001005</t>
        </is>
      </c>
      <c r="C33" s="5" t="inlineStr">
        <is>
          <t>矩形柱、异性柱</t>
        </is>
      </c>
      <c r="D33" s="5" t="inlineStr">
        <is>
          <t>1.现浇建筑物混凝土矩形、多边形、异形、圆形柱、钢管柱
2.混凝土种类:预拌混凝土
3.混凝土强度等级:C30
4.含混凝土泵送费用</t>
        </is>
      </c>
      <c r="E33" s="5" t="inlineStr">
        <is>
          <t>m3</t>
        </is>
      </c>
      <c r="F33" s="74" t="n">
        <v>374.97</v>
      </c>
      <c r="G33" s="74" t="n">
        <v>389.37</v>
      </c>
      <c r="H33" s="74">
        <f>340.09+30.12+0.61+14.7</f>
        <v/>
      </c>
      <c r="I33" s="74" t="n"/>
      <c r="J33" s="74">
        <f>G33-F33</f>
        <v/>
      </c>
      <c r="K33" s="74">
        <f>H33-F33</f>
        <v/>
      </c>
      <c r="L33" s="74">
        <f>H33-G33</f>
        <v/>
      </c>
      <c r="M33" s="55">
        <f>J33/F33</f>
        <v/>
      </c>
      <c r="N33" s="6" t="n">
        <v>767.6900000000001</v>
      </c>
      <c r="O33" s="6" t="n">
        <v>959.74</v>
      </c>
      <c r="P33" s="55">
        <f>(N33-O33)/O33</f>
        <v/>
      </c>
      <c r="Q33" s="74">
        <f>O33*0.9056*0.85</f>
        <v/>
      </c>
      <c r="R33" s="74">
        <f>O33*1.15</f>
        <v/>
      </c>
      <c r="S33" s="74">
        <f>IF(N33&lt;O33*0.9056*0.85,O33*0.9056*0.85,IF(N33&gt;O33*1.15,O33*1.15,N33))</f>
        <v/>
      </c>
      <c r="T33" s="74" t="n">
        <v>287859.49</v>
      </c>
      <c r="U33" s="74" t="n">
        <v>298913.06</v>
      </c>
      <c r="V33" s="74">
        <f>T33+S33*K33</f>
        <v/>
      </c>
      <c r="W33" s="74">
        <f>U33-T33</f>
        <v/>
      </c>
      <c r="X33" s="74">
        <f>V33-T33</f>
        <v/>
      </c>
      <c r="Y33" s="74">
        <f>V33-U33</f>
        <v/>
      </c>
      <c r="Z33" s="5" t="n"/>
    </row>
    <row r="34" ht="20" customHeight="1" s="1">
      <c r="A34" s="5" t="n">
        <v>27</v>
      </c>
      <c r="B34" s="5" t="inlineStr">
        <is>
          <t>010502002001</t>
        </is>
      </c>
      <c r="C34" s="5" t="inlineStr">
        <is>
          <t>构造柱</t>
        </is>
      </c>
      <c r="D34" s="5" t="inlineStr">
        <is>
          <t>1.构造柱
2.混凝土种类:预拌混凝土
3.混凝土强度等级:C25</t>
        </is>
      </c>
      <c r="E34" s="5" t="inlineStr">
        <is>
          <t>m3</t>
        </is>
      </c>
      <c r="F34" s="74" t="n">
        <v>59.54</v>
      </c>
      <c r="G34" s="74" t="n">
        <v>65.14</v>
      </c>
      <c r="H34" s="74" t="n">
        <v>65.14</v>
      </c>
      <c r="I34" s="74" t="n"/>
      <c r="J34" s="74">
        <f>G34-F34</f>
        <v/>
      </c>
      <c r="K34" s="74">
        <f>H34-F34</f>
        <v/>
      </c>
      <c r="L34" s="74">
        <f>H34-G34</f>
        <v/>
      </c>
      <c r="M34" s="55">
        <f>J34/F34</f>
        <v/>
      </c>
      <c r="N34" s="6" t="n">
        <v>820.9400000000001</v>
      </c>
      <c r="O34" s="6" t="n">
        <v>1006.12</v>
      </c>
      <c r="P34" s="55">
        <f>(N34-O34)/O34</f>
        <v/>
      </c>
      <c r="Q34" s="74">
        <f>O34*0.9056*0.85</f>
        <v/>
      </c>
      <c r="R34" s="74">
        <f>O34*1.15</f>
        <v/>
      </c>
      <c r="S34" s="74">
        <f>IF(N34&lt;O34*0.9056*0.85,O34*0.9056*0.85,IF(N34&gt;O34*1.15,O34*1.15,N34))</f>
        <v/>
      </c>
      <c r="T34" s="74" t="n">
        <v>48878.52</v>
      </c>
      <c r="U34" s="74" t="n">
        <v>53476.03</v>
      </c>
      <c r="V34" s="74">
        <f>T34+S34*K34</f>
        <v/>
      </c>
      <c r="W34" s="74">
        <f>U34-T34</f>
        <v/>
      </c>
      <c r="X34" s="74">
        <f>V34-T34</f>
        <v/>
      </c>
      <c r="Y34" s="74">
        <f>V34-U34</f>
        <v/>
      </c>
      <c r="Z34" s="5" t="n"/>
    </row>
    <row r="35" ht="20" customHeight="1" s="1">
      <c r="A35" s="5" t="n">
        <v>28</v>
      </c>
      <c r="B35" s="5" t="inlineStr">
        <is>
          <t>010505001002</t>
        </is>
      </c>
      <c r="C35" s="5" t="inlineStr">
        <is>
          <t>有梁板</t>
        </is>
      </c>
      <c r="D35" s="5" t="inlineStr">
        <is>
          <t>1.有梁板
2.混凝土种类:预拌混凝土
3.混凝土强度等级:C30
4.含混凝土泵送费用</t>
        </is>
      </c>
      <c r="E35" s="5" t="inlineStr">
        <is>
          <t>m3</t>
        </is>
      </c>
      <c r="F35" s="74" t="n">
        <v>1100.15</v>
      </c>
      <c r="G35" s="74" t="n">
        <v>1139.02</v>
      </c>
      <c r="H35" s="74">
        <f>549.51+211.22+325.1</f>
        <v/>
      </c>
      <c r="I35" s="74" t="n"/>
      <c r="J35" s="74">
        <f>G35-F35</f>
        <v/>
      </c>
      <c r="K35" s="74">
        <f>H35-F35</f>
        <v/>
      </c>
      <c r="L35" s="74">
        <f>H35-G35</f>
        <v/>
      </c>
      <c r="M35" s="55">
        <f>J35/F35</f>
        <v/>
      </c>
      <c r="N35" s="6" t="n">
        <v>674.8</v>
      </c>
      <c r="O35" s="6" t="n">
        <v>855.35</v>
      </c>
      <c r="P35" s="55">
        <f>(N35-O35)/O35</f>
        <v/>
      </c>
      <c r="Q35" s="74">
        <f>O35*0.9056*0.85</f>
        <v/>
      </c>
      <c r="R35" s="74">
        <f>O35*1.15</f>
        <v/>
      </c>
      <c r="S35" s="74">
        <f>IF(N35&lt;O35*0.9056*0.85,O35*0.9056*0.85,IF(N35&gt;O35*1.15,O35*1.15,N35))</f>
        <v/>
      </c>
      <c r="T35" s="74" t="n">
        <v>742380.21</v>
      </c>
      <c r="U35" s="74" t="n">
        <v>768609.1</v>
      </c>
      <c r="V35" s="74">
        <f>T35+S35*K35</f>
        <v/>
      </c>
      <c r="W35" s="74">
        <f>U35-T35</f>
        <v/>
      </c>
      <c r="X35" s="74">
        <f>V35-T35</f>
        <v/>
      </c>
      <c r="Y35" s="74">
        <f>V35-U35</f>
        <v/>
      </c>
      <c r="Z35" s="5" t="n"/>
    </row>
    <row r="36" ht="20" customHeight="1" s="1">
      <c r="A36" s="5" t="n">
        <v>29</v>
      </c>
      <c r="B36" s="5" t="inlineStr">
        <is>
          <t>010505001003</t>
        </is>
      </c>
      <c r="C36" s="5" t="inlineStr">
        <is>
          <t>有梁板（斜板）</t>
        </is>
      </c>
      <c r="D36" s="5" t="inlineStr">
        <is>
          <t>1.有梁板
2.混凝土种类:预拌混凝土
3.混凝土强度等级:C30
4.含混凝土泵送费用</t>
        </is>
      </c>
      <c r="E36" s="5" t="inlineStr">
        <is>
          <t>m3</t>
        </is>
      </c>
      <c r="F36" s="74" t="n">
        <v>36.14</v>
      </c>
      <c r="G36" s="74" t="n">
        <v>27.25</v>
      </c>
      <c r="H36" s="74">
        <f>2.75+23.2</f>
        <v/>
      </c>
      <c r="I36" s="74" t="n"/>
      <c r="J36" s="74">
        <f>G36-F36</f>
        <v/>
      </c>
      <c r="K36" s="74">
        <f>H36-F36</f>
        <v/>
      </c>
      <c r="L36" s="74">
        <f>H36-G36</f>
        <v/>
      </c>
      <c r="M36" s="55">
        <f>J36/F36</f>
        <v/>
      </c>
      <c r="N36" s="6" t="n">
        <v>674.8</v>
      </c>
      <c r="O36" s="6" t="n">
        <v>869.35</v>
      </c>
      <c r="P36" s="55">
        <f>(N36-O36)/O36</f>
        <v/>
      </c>
      <c r="Q36" s="74">
        <f>O36*0.9056*0.85</f>
        <v/>
      </c>
      <c r="R36" s="74">
        <f>O36*1.15</f>
        <v/>
      </c>
      <c r="S36" s="74">
        <f>IF(N36&lt;O36*0.9056*0.85,O36*0.9056*0.85,IF(N36&gt;O36*1.15,O36*1.15,N36))</f>
        <v/>
      </c>
      <c r="T36" s="74" t="n">
        <v>24386.26</v>
      </c>
      <c r="U36" s="74" t="n">
        <v>18387.39</v>
      </c>
      <c r="V36" s="74">
        <f>T36+S36*K36</f>
        <v/>
      </c>
      <c r="W36" s="74">
        <f>U36-T36</f>
        <v/>
      </c>
      <c r="X36" s="74">
        <f>V36-T36</f>
        <v/>
      </c>
      <c r="Y36" s="74">
        <f>V36-U36</f>
        <v/>
      </c>
      <c r="Z36" s="5" t="n"/>
    </row>
    <row r="37" ht="20" customHeight="1" s="1">
      <c r="A37" s="5" t="n">
        <v>30</v>
      </c>
      <c r="B37" s="5" t="inlineStr">
        <is>
          <t>010504001003</t>
        </is>
      </c>
      <c r="C37" s="5" t="inlineStr">
        <is>
          <t>直形墙</t>
        </is>
      </c>
      <c r="D37" s="5" t="inlineStr">
        <is>
          <t>1.直行墙
2.混凝土种类:预拌混凝土
3.混凝土强度等级:C30
4.含混凝土泵送费用</t>
        </is>
      </c>
      <c r="E37" s="5" t="inlineStr">
        <is>
          <t>m3</t>
        </is>
      </c>
      <c r="F37" s="74" t="n">
        <v>49.41</v>
      </c>
      <c r="G37" s="74" t="n">
        <v>22.39</v>
      </c>
      <c r="H37" s="74">
        <f>21.29</f>
        <v/>
      </c>
      <c r="I37" s="74" t="n"/>
      <c r="J37" s="74">
        <f>G37-F37</f>
        <v/>
      </c>
      <c r="K37" s="74">
        <f>H37-F37</f>
        <v/>
      </c>
      <c r="L37" s="74">
        <f>H37-G37</f>
        <v/>
      </c>
      <c r="M37" s="55">
        <f>J37/F37</f>
        <v/>
      </c>
      <c r="N37" s="6" t="n">
        <v>699.01</v>
      </c>
      <c r="O37" s="6" t="n">
        <v>882.4400000000001</v>
      </c>
      <c r="P37" s="55">
        <f>(N37-O37)/O37</f>
        <v/>
      </c>
      <c r="Q37" s="74">
        <f>O37*0.9056*0.85</f>
        <v/>
      </c>
      <c r="R37" s="74">
        <f>O37*1.15</f>
        <v/>
      </c>
      <c r="S37" s="74">
        <f>IF(N37&lt;O37*0.9056*0.85,O37*0.9056*0.85,IF(N37&gt;O37*1.15,O37*1.15,N37))</f>
        <v/>
      </c>
      <c r="T37" s="74" t="n">
        <v>34535.99</v>
      </c>
      <c r="U37" s="74" t="n">
        <v>15647.96</v>
      </c>
      <c r="V37" s="74">
        <f>T37+S37*K37</f>
        <v/>
      </c>
      <c r="W37" s="74">
        <f>U37-T37</f>
        <v/>
      </c>
      <c r="X37" s="74">
        <f>V37-T37</f>
        <v/>
      </c>
      <c r="Y37" s="74">
        <f>V37-U37</f>
        <v/>
      </c>
      <c r="Z37" s="5" t="n"/>
    </row>
    <row r="38" ht="20" customHeight="1" s="1">
      <c r="A38" s="5" t="n">
        <v>31</v>
      </c>
      <c r="B38" s="5" t="inlineStr">
        <is>
          <t>010506001002</t>
        </is>
      </c>
      <c r="C38" s="5" t="inlineStr">
        <is>
          <t>直形楼梯</t>
        </is>
      </c>
      <c r="D38" s="5" t="inlineStr">
        <is>
          <t>1.混凝土种类:预拌混凝土
2.混凝土强度等级:C30
3.含混凝土泵送费用</t>
        </is>
      </c>
      <c r="E38" s="5" t="inlineStr">
        <is>
          <t>m3</t>
        </is>
      </c>
      <c r="F38" s="74" t="n">
        <v>145.46</v>
      </c>
      <c r="G38" s="74" t="n">
        <v>111.17</v>
      </c>
      <c r="H38" s="74" t="n">
        <v>107.54</v>
      </c>
      <c r="I38" s="74" t="n"/>
      <c r="J38" s="74">
        <f>G38-F38</f>
        <v/>
      </c>
      <c r="K38" s="74">
        <f>H38-F38</f>
        <v/>
      </c>
      <c r="L38" s="74">
        <f>H38-G38</f>
        <v/>
      </c>
      <c r="M38" s="55">
        <f>J38/F38</f>
        <v/>
      </c>
      <c r="N38" s="6" t="n">
        <v>726.66</v>
      </c>
      <c r="O38" s="6" t="n">
        <v>913.95</v>
      </c>
      <c r="P38" s="55">
        <f>(N38-O38)/O38</f>
        <v/>
      </c>
      <c r="Q38" s="74">
        <f>O38*0.9056*0.85</f>
        <v/>
      </c>
      <c r="R38" s="74">
        <f>O38*1.15</f>
        <v/>
      </c>
      <c r="S38" s="74">
        <f>IF(N38&lt;O38*0.9056*0.85,O38*0.9056*0.85,IF(N38&gt;O38*1.15,O38*1.15,N38))</f>
        <v/>
      </c>
      <c r="T38" s="74" t="n">
        <v>105702.36</v>
      </c>
      <c r="U38" s="74" t="n">
        <v>80781.2</v>
      </c>
      <c r="V38" s="74">
        <f>T38+S38*K38</f>
        <v/>
      </c>
      <c r="W38" s="74">
        <f>U38-T38</f>
        <v/>
      </c>
      <c r="X38" s="74">
        <f>V38-T38</f>
        <v/>
      </c>
      <c r="Y38" s="74">
        <f>V38-U38</f>
        <v/>
      </c>
      <c r="Z38" s="5" t="n"/>
    </row>
    <row r="39" ht="20" customHeight="1" s="1">
      <c r="A39" s="5" t="n">
        <v>32</v>
      </c>
      <c r="B39" s="5" t="inlineStr">
        <is>
          <t>010505008001</t>
        </is>
      </c>
      <c r="C39" s="5" t="inlineStr">
        <is>
          <t>飘板</t>
        </is>
      </c>
      <c r="D39" s="5" t="inlineStr">
        <is>
          <t>1.部位:空调板、装饰飘板
2.混凝土种类:预拌混凝土
3.混凝土强度等级:C30
4.含混凝土泵送费用</t>
        </is>
      </c>
      <c r="E39" s="5" t="inlineStr">
        <is>
          <t>m3</t>
        </is>
      </c>
      <c r="F39" s="74" t="n">
        <v>3.49</v>
      </c>
      <c r="G39" s="74" t="n">
        <v>12.68</v>
      </c>
      <c r="H39" s="74">
        <f>4.33+6.24+1.51</f>
        <v/>
      </c>
      <c r="I39" s="74" t="n"/>
      <c r="J39" s="74">
        <f>G39-F39</f>
        <v/>
      </c>
      <c r="K39" s="74">
        <f>H39-F39</f>
        <v/>
      </c>
      <c r="L39" s="74">
        <f>H39-G39</f>
        <v/>
      </c>
      <c r="M39" s="55">
        <f>J39/F39</f>
        <v/>
      </c>
      <c r="N39" s="6" t="n">
        <v>838.64</v>
      </c>
      <c r="O39" s="6" t="n">
        <v>1035.77</v>
      </c>
      <c r="P39" s="55">
        <f>(N39-O39)/O39</f>
        <v/>
      </c>
      <c r="Q39" s="74">
        <f>O39*0.9056*0.85</f>
        <v/>
      </c>
      <c r="R39" s="74">
        <f>O39*1.15</f>
        <v/>
      </c>
      <c r="S39" s="74">
        <f>IF(N39&lt;O39*0.9056*0.85,O39*0.9056*0.85,IF(N39&gt;O39*1.15,O39*1.15,N39))</f>
        <v/>
      </c>
      <c r="T39" s="74" t="n">
        <v>2923</v>
      </c>
      <c r="U39" s="74" t="n">
        <v>10630.79</v>
      </c>
      <c r="V39" s="74">
        <f>T39+S39*K39</f>
        <v/>
      </c>
      <c r="W39" s="74">
        <f>U39-T39</f>
        <v/>
      </c>
      <c r="X39" s="74">
        <f>V39-T39</f>
        <v/>
      </c>
      <c r="Y39" s="74">
        <f>V39-U39</f>
        <v/>
      </c>
      <c r="Z39" s="5" t="n"/>
      <c r="AA39" s="73" t="inlineStr">
        <is>
          <t>加首层排水沟，复核单价</t>
        </is>
      </c>
    </row>
    <row r="40" ht="20" customHeight="1" s="1">
      <c r="A40" s="5" t="n">
        <v>33</v>
      </c>
      <c r="B40" s="5" t="inlineStr">
        <is>
          <t>010507007002</t>
        </is>
      </c>
      <c r="C40" s="5" t="inlineStr">
        <is>
          <t>其他构件</t>
        </is>
      </c>
      <c r="D40" s="5" t="inlineStr">
        <is>
          <t>1.部位:外墙造型、挑檐
2.混凝土种类:预拌混凝土
3.混凝土强度等级:C30
4.含混凝土泵送费用</t>
        </is>
      </c>
      <c r="E40" s="5" t="inlineStr">
        <is>
          <t>m3</t>
        </is>
      </c>
      <c r="F40" s="74" t="n">
        <v>116.23</v>
      </c>
      <c r="G40" s="74" t="n">
        <v>71.20999999999999</v>
      </c>
      <c r="H40" s="74" t="n">
        <v>69.73999999999999</v>
      </c>
      <c r="I40" s="74" t="n"/>
      <c r="J40" s="74">
        <f>G40-F40</f>
        <v/>
      </c>
      <c r="K40" s="74">
        <f>H40-F40</f>
        <v/>
      </c>
      <c r="L40" s="74">
        <f>H40-G40</f>
        <v/>
      </c>
      <c r="M40" s="55">
        <f>J40/F40</f>
        <v/>
      </c>
      <c r="N40" s="6" t="n">
        <v>994.4400000000001</v>
      </c>
      <c r="O40" s="6" t="n">
        <v>1058.32</v>
      </c>
      <c r="P40" s="55">
        <f>(N40-O40)/O40</f>
        <v/>
      </c>
      <c r="Q40" s="74">
        <f>O40*0.9056*0.85</f>
        <v/>
      </c>
      <c r="R40" s="74">
        <f>O40*1.15</f>
        <v/>
      </c>
      <c r="S40" s="74">
        <f>IF(N40&lt;O40*0.9056*0.85,O40*0.9056*0.85,IF(N40&gt;O40*1.15,O40*1.15,N40))</f>
        <v/>
      </c>
      <c r="T40" s="74" t="n">
        <v>115587.84</v>
      </c>
      <c r="U40" s="74" t="n">
        <v>70817.89</v>
      </c>
      <c r="V40" s="74">
        <f>T40+S40*K40</f>
        <v/>
      </c>
      <c r="W40" s="74">
        <f>U40-T40</f>
        <v/>
      </c>
      <c r="X40" s="74">
        <f>V40-T40</f>
        <v/>
      </c>
      <c r="Y40" s="74">
        <f>V40-U40</f>
        <v/>
      </c>
      <c r="Z40" s="5" t="n"/>
    </row>
    <row r="41" ht="20" customHeight="1" s="1">
      <c r="A41" s="5" t="n">
        <v>34</v>
      </c>
      <c r="B41" s="5" t="inlineStr">
        <is>
          <t>010503004002</t>
        </is>
      </c>
      <c r="C41" s="5" t="inlineStr">
        <is>
          <t>圈梁</t>
        </is>
      </c>
      <c r="D41" s="5" t="inlineStr">
        <is>
          <t>1.部位:圈梁
2.混凝土种类:预拌混凝土
3.混凝土强度等级:C30
4.含混凝土泵送费用</t>
        </is>
      </c>
      <c r="E41" s="5" t="inlineStr">
        <is>
          <t>m3</t>
        </is>
      </c>
      <c r="F41" s="74" t="n">
        <v>4.76</v>
      </c>
      <c r="G41" s="74" t="n">
        <v>15.08</v>
      </c>
      <c r="H41" s="74">
        <f>8.31+4.06+2.68</f>
        <v/>
      </c>
      <c r="I41" s="74" t="n"/>
      <c r="J41" s="74">
        <f>G41-F41</f>
        <v/>
      </c>
      <c r="K41" s="74">
        <f>H41-F41</f>
        <v/>
      </c>
      <c r="L41" s="74">
        <f>H41-G41</f>
        <v/>
      </c>
      <c r="M41" s="55">
        <f>J41/F41</f>
        <v/>
      </c>
      <c r="N41" s="6" t="n">
        <v>766.65</v>
      </c>
      <c r="O41" s="6" t="n">
        <v>957.91</v>
      </c>
      <c r="P41" s="55">
        <f>(N41-O41)/O41</f>
        <v/>
      </c>
      <c r="Q41" s="74">
        <f>O41*0.9056*0.85</f>
        <v/>
      </c>
      <c r="R41" s="74">
        <f>O41*1.15</f>
        <v/>
      </c>
      <c r="S41" s="74">
        <f>IF(N41&lt;O41*0.9056*0.85,O41*0.9056*0.85,IF(N41&gt;O41*1.15,O41*1.15,N41))</f>
        <v/>
      </c>
      <c r="T41" s="74" t="n">
        <v>3650.17</v>
      </c>
      <c r="U41" s="74" t="n">
        <v>11559.47</v>
      </c>
      <c r="V41" s="74">
        <f>T41+S41*K41</f>
        <v/>
      </c>
      <c r="W41" s="74">
        <f>U41-T41</f>
        <v/>
      </c>
      <c r="X41" s="74">
        <f>V41-T41</f>
        <v/>
      </c>
      <c r="Y41" s="74">
        <f>V41-U41</f>
        <v/>
      </c>
      <c r="Z41" s="5" t="n"/>
    </row>
    <row r="42" ht="20" customHeight="1" s="1">
      <c r="A42" s="5" t="n">
        <v>35</v>
      </c>
      <c r="B42" s="5" t="inlineStr">
        <is>
          <t>010503004003</t>
        </is>
      </c>
      <c r="C42" s="5" t="inlineStr">
        <is>
          <t>圈梁</t>
        </is>
      </c>
      <c r="D42" s="5" t="inlineStr">
        <is>
          <t>1.部位:圈梁、压顶
2.混凝土种类:预拌混凝土
3.混凝土强度等级:C25
4.含混凝土泵送费用</t>
        </is>
      </c>
      <c r="E42" s="5" t="inlineStr">
        <is>
          <t>m3</t>
        </is>
      </c>
      <c r="F42" s="74" t="n">
        <v>7.63</v>
      </c>
      <c r="G42" s="74" t="n">
        <v>24.62</v>
      </c>
      <c r="H42" s="74">
        <f>24.62</f>
        <v/>
      </c>
      <c r="I42" s="74" t="n"/>
      <c r="J42" s="74">
        <f>G42-F42</f>
        <v/>
      </c>
      <c r="K42" s="74">
        <f>H42-F42</f>
        <v/>
      </c>
      <c r="L42" s="74">
        <f>H42-G42</f>
        <v/>
      </c>
      <c r="M42" s="55">
        <f>J42/F42</f>
        <v/>
      </c>
      <c r="N42" s="6" t="n">
        <v>730.1</v>
      </c>
      <c r="O42" s="6" t="n">
        <v>934.35</v>
      </c>
      <c r="P42" s="55">
        <f>(N42-O42)/O42</f>
        <v/>
      </c>
      <c r="Q42" s="74">
        <f>O42*0.9056*0.85</f>
        <v/>
      </c>
      <c r="R42" s="74">
        <f>O42*1.15</f>
        <v/>
      </c>
      <c r="S42" s="74">
        <f>IF(N42&lt;O42*0.9056*0.85,O42*0.9056*0.85,IF(N42&gt;O42*1.15,O42*1.15,N42))</f>
        <v/>
      </c>
      <c r="T42" s="74" t="n">
        <v>5568.11</v>
      </c>
      <c r="U42" s="74" t="n">
        <v>17975.06</v>
      </c>
      <c r="V42" s="74">
        <f>T42+S42*K42</f>
        <v/>
      </c>
      <c r="W42" s="74">
        <f>U42-T42</f>
        <v/>
      </c>
      <c r="X42" s="74">
        <f>V42-T42</f>
        <v/>
      </c>
      <c r="Y42" s="74">
        <f>V42-U42</f>
        <v/>
      </c>
      <c r="Z42" s="5" t="n"/>
      <c r="AA42" s="73" t="n"/>
      <c r="AD42">
        <f>+AB44+AB36</f>
        <v/>
      </c>
    </row>
    <row r="43" ht="20" customHeight="1" s="1">
      <c r="A43" s="5" t="n">
        <v>36</v>
      </c>
      <c r="B43" s="5" t="inlineStr">
        <is>
          <t>010503005001</t>
        </is>
      </c>
      <c r="C43" s="5" t="inlineStr">
        <is>
          <t>过梁</t>
        </is>
      </c>
      <c r="D43" s="5" t="inlineStr">
        <is>
          <t>1.过梁
2.混凝土种类:预拌混凝土
3.混凝土强度等级:C25</t>
        </is>
      </c>
      <c r="E43" s="5" t="inlineStr">
        <is>
          <t>m3</t>
        </is>
      </c>
      <c r="F43" s="74" t="n">
        <v>4.46</v>
      </c>
      <c r="G43" s="74" t="n">
        <v>4.46</v>
      </c>
      <c r="H43" s="74">
        <f>1.66</f>
        <v/>
      </c>
      <c r="I43" s="74" t="n"/>
      <c r="J43" s="74">
        <f>G43-F43</f>
        <v/>
      </c>
      <c r="K43" s="74">
        <f>H43-F43</f>
        <v/>
      </c>
      <c r="L43" s="74">
        <f>H43-G43</f>
        <v/>
      </c>
      <c r="M43" s="55">
        <f>J43/F43</f>
        <v/>
      </c>
      <c r="N43" s="6" t="n">
        <v>730.1</v>
      </c>
      <c r="O43" s="6" t="n">
        <v>906.2</v>
      </c>
      <c r="P43" s="55">
        <f>(N43-O43)/O43</f>
        <v/>
      </c>
      <c r="Q43" s="74">
        <f>O43*0.9056*0.85</f>
        <v/>
      </c>
      <c r="R43" s="74">
        <f>O43*1.15</f>
        <v/>
      </c>
      <c r="S43" s="74">
        <f>IF(N43&lt;O43*0.9056*0.85,O43*0.9056*0.85,IF(N43&gt;O43*1.15,O43*1.15,N43))</f>
        <v/>
      </c>
      <c r="T43" s="74" t="n">
        <v>3257.2</v>
      </c>
      <c r="U43" s="74" t="n">
        <v>3257.2</v>
      </c>
      <c r="V43" s="74">
        <f>T43+S43*K43</f>
        <v/>
      </c>
      <c r="W43" s="74">
        <f>U43-T43</f>
        <v/>
      </c>
      <c r="X43" s="74">
        <f>V43-T43</f>
        <v/>
      </c>
      <c r="Y43" s="74">
        <f>V43-U43</f>
        <v/>
      </c>
      <c r="Z43" s="5" t="n"/>
      <c r="AA43" s="73" t="n"/>
    </row>
    <row r="44" ht="20" customHeight="1" s="1">
      <c r="A44" s="5" t="n">
        <v>37</v>
      </c>
      <c r="B44" s="5" t="inlineStr">
        <is>
          <t>010505006001</t>
        </is>
      </c>
      <c r="C44" s="5" t="inlineStr">
        <is>
          <t>栏板、反檐</t>
        </is>
      </c>
      <c r="D44" s="5" t="inlineStr">
        <is>
          <t>1.部位:栏板、反坎
2.混凝土强度等级:C25商品混凝土
3.含混凝土泵送费用</t>
        </is>
      </c>
      <c r="E44" s="5" t="inlineStr">
        <is>
          <t>m3</t>
        </is>
      </c>
      <c r="F44" s="74" t="n">
        <v>4.3</v>
      </c>
      <c r="G44" s="74" t="n">
        <v>0.2</v>
      </c>
      <c r="H44" s="74" t="n">
        <v>0.19</v>
      </c>
      <c r="I44" s="74" t="n"/>
      <c r="J44" s="74">
        <f>G44-F44</f>
        <v/>
      </c>
      <c r="K44" s="74">
        <f>H44-F44</f>
        <v/>
      </c>
      <c r="L44" s="74">
        <f>H44-G44</f>
        <v/>
      </c>
      <c r="M44" s="55">
        <f>J44/F44</f>
        <v/>
      </c>
      <c r="N44" s="6" t="n">
        <v>826.88</v>
      </c>
      <c r="O44" s="6" t="n">
        <v>1019.22</v>
      </c>
      <c r="P44" s="55">
        <f>(N44-O44)/O44</f>
        <v/>
      </c>
      <c r="Q44" s="74">
        <f>O44*0.9056*0.85</f>
        <v/>
      </c>
      <c r="R44" s="74">
        <f>O44*1.15</f>
        <v/>
      </c>
      <c r="S44" s="74">
        <f>IF(N44&lt;O44*0.9056*0.85,O44*0.9056*0.85,IF(N44&gt;O44*1.15,O44*1.15,N44))</f>
        <v/>
      </c>
      <c r="T44" s="74" t="n">
        <v>3557.57</v>
      </c>
      <c r="U44" s="74" t="n">
        <v>166.7</v>
      </c>
      <c r="V44" s="74">
        <f>T44+S44*K44</f>
        <v/>
      </c>
      <c r="W44" s="74">
        <f>U44-T44</f>
        <v/>
      </c>
      <c r="X44" s="74">
        <f>V44-T44</f>
        <v/>
      </c>
      <c r="Y44" s="74">
        <f>V44-U44</f>
        <v/>
      </c>
      <c r="Z44" s="5" t="n"/>
    </row>
    <row r="45" ht="20" customHeight="1" s="1">
      <c r="A45" s="5" t="n">
        <v>38</v>
      </c>
      <c r="B45" s="5" t="inlineStr">
        <is>
          <t>010401013001</t>
        </is>
      </c>
      <c r="C45" s="5" t="inlineStr">
        <is>
          <t>砖散水、地坪</t>
        </is>
      </c>
      <c r="D45" s="5" t="inlineStr">
        <is>
          <t>1.散水
2.C20素砼垫层60厚
3.150厚3:7灰土</t>
        </is>
      </c>
      <c r="E45" s="5" t="inlineStr">
        <is>
          <t>m2</t>
        </is>
      </c>
      <c r="F45" s="74" t="n">
        <v>142.78</v>
      </c>
      <c r="G45" s="74" t="n">
        <v>142.78</v>
      </c>
      <c r="H45" s="74" t="n">
        <v>0</v>
      </c>
      <c r="I45" s="74" t="n"/>
      <c r="J45" s="74">
        <f>G45-F45</f>
        <v/>
      </c>
      <c r="K45" s="74">
        <f>H45-F45</f>
        <v/>
      </c>
      <c r="L45" s="74">
        <f>H45-G45</f>
        <v/>
      </c>
      <c r="M45" s="55">
        <f>J45/F45</f>
        <v/>
      </c>
      <c r="N45" s="6" t="n">
        <v>80.23999999999999</v>
      </c>
      <c r="O45" s="6" t="n">
        <v>95.34</v>
      </c>
      <c r="P45" s="55">
        <f>(N45-O45)/O45</f>
        <v/>
      </c>
      <c r="Q45" s="74">
        <f>O45*0.9056*0.85</f>
        <v/>
      </c>
      <c r="R45" s="74">
        <f>O45*1.15</f>
        <v/>
      </c>
      <c r="S45" s="74">
        <f>IF(N45&lt;O45*0.9056*0.85,O45*0.9056*0.85,IF(N45&gt;O45*1.15,O45*1.15,N45))</f>
        <v/>
      </c>
      <c r="T45" s="74" t="n">
        <v>11456.35</v>
      </c>
      <c r="U45" s="74" t="n">
        <v>11456.35</v>
      </c>
      <c r="V45" s="74">
        <f>T45+S45*K45</f>
        <v/>
      </c>
      <c r="W45" s="74">
        <f>U45-T45</f>
        <v/>
      </c>
      <c r="X45" s="74">
        <f>V45-T45</f>
        <v/>
      </c>
      <c r="Y45" s="74">
        <f>V45-U45</f>
        <v/>
      </c>
      <c r="Z45" s="5" t="n"/>
      <c r="AA45" s="77" t="inlineStr">
        <is>
          <t>周边有园建铺装，无需做散水</t>
        </is>
      </c>
    </row>
    <row r="46" ht="20" customHeight="1" s="1">
      <c r="A46" s="5" t="n">
        <v>39</v>
      </c>
      <c r="B46" s="5" t="inlineStr">
        <is>
          <t>010515001002</t>
        </is>
      </c>
      <c r="C46" s="5" t="inlineStr">
        <is>
          <t>现浇构件钢筋</t>
        </is>
      </c>
      <c r="D46" s="5" t="inlineStr">
        <is>
          <t>1.钢筋种类、规格:现浇构件带肋钢筋(HRB400)φ10以内</t>
        </is>
      </c>
      <c r="E46" s="5" t="inlineStr">
        <is>
          <t>t</t>
        </is>
      </c>
      <c r="F46" s="74" t="n">
        <v>88.84</v>
      </c>
      <c r="G46" s="74" t="n">
        <v>100.86</v>
      </c>
      <c r="H46" s="76" t="n">
        <v>100.86</v>
      </c>
      <c r="I46" s="76" t="n"/>
      <c r="J46" s="74">
        <f>G46-F46</f>
        <v/>
      </c>
      <c r="K46" s="74">
        <f>H46-F46</f>
        <v/>
      </c>
      <c r="L46" s="74">
        <f>H46-G46</f>
        <v/>
      </c>
      <c r="M46" s="55">
        <f>J46/F46</f>
        <v/>
      </c>
      <c r="N46" s="6" t="n">
        <v>5708.81</v>
      </c>
      <c r="O46" s="6" t="n">
        <v>6995.45</v>
      </c>
      <c r="P46" s="55">
        <f>(N46-O46)/O46</f>
        <v/>
      </c>
      <c r="Q46" s="74">
        <f>O46*0.9056*0.85</f>
        <v/>
      </c>
      <c r="R46" s="74">
        <f>O46*1.15</f>
        <v/>
      </c>
      <c r="S46" s="74">
        <f>IF(N46&lt;O46*0.9056*0.85,O46*0.9056*0.85,IF(N46&gt;O46*1.15,O46*1.15,N46))</f>
        <v/>
      </c>
      <c r="T46" s="74" t="n">
        <v>507176.39</v>
      </c>
      <c r="U46" s="74" t="n">
        <v>575817.64</v>
      </c>
      <c r="V46" s="74">
        <f>T46+S46*K46</f>
        <v/>
      </c>
      <c r="W46" s="74">
        <f>U46-T46</f>
        <v/>
      </c>
      <c r="X46" s="74">
        <f>V46-T46</f>
        <v/>
      </c>
      <c r="Y46" s="74">
        <f>V46-U46</f>
        <v/>
      </c>
      <c r="Z46" s="5" t="n"/>
    </row>
    <row r="47" ht="20" customHeight="1" s="1">
      <c r="A47" s="5" t="n">
        <v>40</v>
      </c>
      <c r="B47" s="5" t="inlineStr">
        <is>
          <t>010515001003</t>
        </is>
      </c>
      <c r="C47" s="5" t="inlineStr">
        <is>
          <t>现浇构件钢筋</t>
        </is>
      </c>
      <c r="D47" s="5" t="inlineStr">
        <is>
          <t>1.钢筋种类、规格:现浇构件带肋钢筋(HRB400E)φ10以内</t>
        </is>
      </c>
      <c r="E47" s="5" t="inlineStr">
        <is>
          <t>t</t>
        </is>
      </c>
      <c r="F47" s="74" t="n">
        <v>10.71</v>
      </c>
      <c r="G47" s="74" t="n">
        <v>7.35</v>
      </c>
      <c r="H47" s="76" t="n">
        <v>7.35</v>
      </c>
      <c r="I47" s="76" t="n"/>
      <c r="J47" s="74">
        <f>G47-F47</f>
        <v/>
      </c>
      <c r="K47" s="74">
        <f>H47-F47</f>
        <v/>
      </c>
      <c r="L47" s="74">
        <f>H47-G47</f>
        <v/>
      </c>
      <c r="M47" s="55">
        <f>J47/F47</f>
        <v/>
      </c>
      <c r="N47" s="6" t="n">
        <v>5708.81</v>
      </c>
      <c r="O47" s="6" t="n">
        <v>7085.72</v>
      </c>
      <c r="P47" s="55">
        <f>(N47-O47)/O47</f>
        <v/>
      </c>
      <c r="Q47" s="74">
        <f>O47*0.9056*0.85</f>
        <v/>
      </c>
      <c r="R47" s="74">
        <f>O47*1.15</f>
        <v/>
      </c>
      <c r="S47" s="74">
        <f>IF(N47&lt;O47*0.9056*0.85,O47*0.9056*0.85,IF(N47&gt;O47*1.15,O47*1.15,N47))</f>
        <v/>
      </c>
      <c r="T47" s="74" t="n">
        <v>61118.52</v>
      </c>
      <c r="U47" s="74" t="n">
        <v>41966.95</v>
      </c>
      <c r="V47" s="74">
        <f>T47+S47*K47</f>
        <v/>
      </c>
      <c r="W47" s="74">
        <f>U47-T47</f>
        <v/>
      </c>
      <c r="X47" s="74">
        <f>V47-T47</f>
        <v/>
      </c>
      <c r="Y47" s="74">
        <f>V47-U47</f>
        <v/>
      </c>
      <c r="Z47" s="5" t="n"/>
    </row>
    <row r="48" ht="20" customHeight="1" s="1">
      <c r="A48" s="5" t="n">
        <v>41</v>
      </c>
      <c r="B48" s="5" t="inlineStr">
        <is>
          <t>010515001004</t>
        </is>
      </c>
      <c r="C48" s="5" t="inlineStr">
        <is>
          <t>现浇构件钢筋</t>
        </is>
      </c>
      <c r="D48" s="5" t="inlineStr">
        <is>
          <t>1.钢筋种类、规格:现浇构件带肋钢筋(HRB400)φ25以内</t>
        </is>
      </c>
      <c r="E48" s="5" t="inlineStr">
        <is>
          <t>t</t>
        </is>
      </c>
      <c r="F48" s="74" t="n">
        <v>44.38</v>
      </c>
      <c r="G48" s="74" t="n">
        <v>41.66</v>
      </c>
      <c r="H48" s="76" t="n">
        <v>41.66</v>
      </c>
      <c r="I48" s="76" t="n"/>
      <c r="J48" s="74">
        <f>G48-F48</f>
        <v/>
      </c>
      <c r="K48" s="74">
        <f>H48-F48</f>
        <v/>
      </c>
      <c r="L48" s="74">
        <f>H48-G48</f>
        <v/>
      </c>
      <c r="M48" s="55">
        <f>J48/F48</f>
        <v/>
      </c>
      <c r="N48" s="6" t="n">
        <v>5570.86</v>
      </c>
      <c r="O48" s="6" t="n">
        <v>6793.55</v>
      </c>
      <c r="P48" s="55">
        <f>(N48-O48)/O48</f>
        <v/>
      </c>
      <c r="Q48" s="74">
        <f>O48*0.9056*0.85</f>
        <v/>
      </c>
      <c r="R48" s="74">
        <f>O48*1.15</f>
        <v/>
      </c>
      <c r="S48" s="74">
        <f>IF(N48&lt;O48*0.9056*0.85,O48*0.9056*0.85,IF(N48&gt;O48*1.15,O48*1.15,N48))</f>
        <v/>
      </c>
      <c r="T48" s="74" t="n">
        <v>247212.48</v>
      </c>
      <c r="U48" s="74" t="n">
        <v>232074.03</v>
      </c>
      <c r="V48" s="74">
        <f>T48+S48*K48</f>
        <v/>
      </c>
      <c r="W48" s="74">
        <f>U48-T48</f>
        <v/>
      </c>
      <c r="X48" s="74">
        <f>V48-T48</f>
        <v/>
      </c>
      <c r="Y48" s="74">
        <f>V48-U48</f>
        <v/>
      </c>
      <c r="Z48" s="5" t="n"/>
    </row>
    <row r="49" ht="20" customHeight="1" s="1">
      <c r="A49" s="5" t="n">
        <v>42</v>
      </c>
      <c r="B49" s="5" t="inlineStr">
        <is>
          <t>010515001005</t>
        </is>
      </c>
      <c r="C49" s="5" t="inlineStr">
        <is>
          <t>现浇构件钢筋</t>
        </is>
      </c>
      <c r="D49" s="5" t="inlineStr">
        <is>
          <t>1.钢筋种类、规格:现浇构件带肋钢筋(HRB400E)φ25以内</t>
        </is>
      </c>
      <c r="E49" s="5" t="inlineStr">
        <is>
          <t>t</t>
        </is>
      </c>
      <c r="F49" s="74" t="n">
        <v>102.11</v>
      </c>
      <c r="G49" s="74" t="n">
        <v>110.02</v>
      </c>
      <c r="H49" s="76" t="n">
        <v>110.02</v>
      </c>
      <c r="I49" s="76" t="n"/>
      <c r="J49" s="74">
        <f>G49-F49</f>
        <v/>
      </c>
      <c r="K49" s="74">
        <f>H49-F49</f>
        <v/>
      </c>
      <c r="L49" s="74">
        <f>H49-G49</f>
        <v/>
      </c>
      <c r="M49" s="55">
        <f>J49/F49</f>
        <v/>
      </c>
      <c r="N49" s="6" t="n">
        <v>5570.86</v>
      </c>
      <c r="O49" s="6" t="n">
        <v>6884.26</v>
      </c>
      <c r="P49" s="55">
        <f>(N49-O49)/O49</f>
        <v/>
      </c>
      <c r="Q49" s="74">
        <f>O49*0.9056*0.85</f>
        <v/>
      </c>
      <c r="R49" s="74">
        <f>O49*1.15</f>
        <v/>
      </c>
      <c r="S49" s="74">
        <f>IF(N49&lt;O49*0.9056*0.85,O49*0.9056*0.85,IF(N49&gt;O49*1.15,O49*1.15,N49))</f>
        <v/>
      </c>
      <c r="T49" s="74" t="n">
        <v>568818.23</v>
      </c>
      <c r="U49" s="74" t="n">
        <v>612880.85</v>
      </c>
      <c r="V49" s="74" t="n">
        <v>612880.85</v>
      </c>
      <c r="W49" s="74">
        <f>U49-T49</f>
        <v/>
      </c>
      <c r="X49" s="74">
        <f>V49-T49</f>
        <v/>
      </c>
      <c r="Y49" s="74">
        <f>V49-U49</f>
        <v/>
      </c>
      <c r="Z49" s="5" t="n"/>
    </row>
    <row r="50" ht="20" customHeight="1" s="1">
      <c r="A50" s="5" t="n">
        <v>43</v>
      </c>
      <c r="B50" s="5" t="inlineStr">
        <is>
          <t>010515001006</t>
        </is>
      </c>
      <c r="C50" s="5" t="inlineStr">
        <is>
          <t>现浇构件钢筋</t>
        </is>
      </c>
      <c r="D50" s="5" t="inlineStr">
        <is>
          <t>1.钢筋种类、规格:现浇构件带肋钢筋(HRB400E)φ25以外</t>
        </is>
      </c>
      <c r="E50" s="5" t="inlineStr">
        <is>
          <t>t</t>
        </is>
      </c>
      <c r="F50" s="74" t="n">
        <v>13.81</v>
      </c>
      <c r="G50" s="74" t="n">
        <v>11.02</v>
      </c>
      <c r="H50" s="76" t="n">
        <v>11.015</v>
      </c>
      <c r="I50" s="76" t="n"/>
      <c r="J50" s="74">
        <f>G50-F50</f>
        <v/>
      </c>
      <c r="K50" s="74">
        <f>H50-F50</f>
        <v/>
      </c>
      <c r="L50" s="74">
        <f>H50-G50</f>
        <v/>
      </c>
      <c r="M50" s="55">
        <f>J50/F50</f>
        <v/>
      </c>
      <c r="N50" s="6" t="n">
        <v>5507.01</v>
      </c>
      <c r="O50" s="6" t="n">
        <v>6766.86</v>
      </c>
      <c r="P50" s="55">
        <f>(N50-O50)/O50</f>
        <v/>
      </c>
      <c r="Q50" s="74">
        <f>O50*0.9056*0.85</f>
        <v/>
      </c>
      <c r="R50" s="74">
        <f>O50*1.15</f>
        <v/>
      </c>
      <c r="S50" s="74">
        <f>IF(N50&lt;O50*0.9056*0.85,O50*0.9056*0.85,IF(N50&gt;O50*1.15,O50*1.15,N50))</f>
        <v/>
      </c>
      <c r="T50" s="74" t="n">
        <v>76051.81</v>
      </c>
      <c r="U50" s="74" t="n">
        <v>60671.42</v>
      </c>
      <c r="V50" s="74">
        <f>T50+S50*K50</f>
        <v/>
      </c>
      <c r="W50" s="74">
        <f>U50-T50</f>
        <v/>
      </c>
      <c r="X50" s="74">
        <f>V50-T50</f>
        <v/>
      </c>
      <c r="Y50" s="74">
        <f>V50-U50</f>
        <v/>
      </c>
      <c r="Z50" s="5" t="n"/>
    </row>
    <row r="51" ht="20" customHeight="1" s="1">
      <c r="A51" s="5" t="n">
        <v>44</v>
      </c>
      <c r="B51" s="5" t="inlineStr">
        <is>
          <t>010515001007</t>
        </is>
      </c>
      <c r="C51" s="5" t="inlineStr">
        <is>
          <t>现浇构件钢筋</t>
        </is>
      </c>
      <c r="D51" s="5" t="inlineStr">
        <is>
          <t>1.钢筋种类、规格:现浇构件箍筋带肋钢筋(HRB400)φ10以内</t>
        </is>
      </c>
      <c r="E51" s="5" t="inlineStr">
        <is>
          <t>t</t>
        </is>
      </c>
      <c r="F51" s="74" t="n">
        <v>64.06999999999999</v>
      </c>
      <c r="G51" s="74" t="n">
        <v>66.42</v>
      </c>
      <c r="H51" s="76" t="n">
        <v>66.42</v>
      </c>
      <c r="I51" s="76" t="n"/>
      <c r="J51" s="74">
        <f>G51-F51</f>
        <v/>
      </c>
      <c r="K51" s="74">
        <f>H51-F51</f>
        <v/>
      </c>
      <c r="L51" s="74">
        <f>H51-G51</f>
        <v/>
      </c>
      <c r="M51" s="55">
        <f>J51/F51</f>
        <v/>
      </c>
      <c r="N51" s="6" t="n">
        <v>6837.26</v>
      </c>
      <c r="O51" s="6" t="n">
        <v>8255.91</v>
      </c>
      <c r="P51" s="55">
        <f>(N51-O51)/O51</f>
        <v/>
      </c>
      <c r="Q51" s="74">
        <f>O51*0.9056*0.85</f>
        <v/>
      </c>
      <c r="R51" s="74">
        <f>O51*1.15</f>
        <v/>
      </c>
      <c r="S51" s="74">
        <f>IF(N51&lt;O51*0.9056*0.85,O51*0.9056*0.85,IF(N51&gt;O51*1.15,O51*1.15,N51))</f>
        <v/>
      </c>
      <c r="T51" s="74" t="n">
        <v>438076.92</v>
      </c>
      <c r="U51" s="74" t="n">
        <v>454162.38</v>
      </c>
      <c r="V51" s="74">
        <f>T51+S51*K51</f>
        <v/>
      </c>
      <c r="W51" s="74">
        <f>U51-T51</f>
        <v/>
      </c>
      <c r="X51" s="74">
        <f>V51-T51</f>
        <v/>
      </c>
      <c r="Y51" s="74">
        <f>V51-U51</f>
        <v/>
      </c>
      <c r="Z51" s="5" t="n"/>
    </row>
    <row r="52" ht="20" customHeight="1" s="1">
      <c r="A52" s="5" t="n">
        <v>45</v>
      </c>
      <c r="B52" s="5" t="inlineStr">
        <is>
          <t>010516003001</t>
        </is>
      </c>
      <c r="C52" s="5" t="inlineStr">
        <is>
          <t>钢筋连接</t>
        </is>
      </c>
      <c r="D52" s="5" t="inlineStr">
        <is>
          <t>1.连接方式:电渣压力焊接
2.规格:φ18以内</t>
        </is>
      </c>
      <c r="E52" s="5" t="inlineStr">
        <is>
          <t>个</t>
        </is>
      </c>
      <c r="F52" s="74" t="n">
        <v>1022</v>
      </c>
      <c r="G52" s="74" t="n">
        <v>0</v>
      </c>
      <c r="H52" s="75" t="n">
        <v>0</v>
      </c>
      <c r="I52" s="75" t="n"/>
      <c r="J52" s="74">
        <f>G52-F52</f>
        <v/>
      </c>
      <c r="K52" s="74">
        <f>H52-F52</f>
        <v/>
      </c>
      <c r="L52" s="74">
        <f>H52-G52</f>
        <v/>
      </c>
      <c r="M52" s="55">
        <f>J52/F52</f>
        <v/>
      </c>
      <c r="N52" s="6" t="n">
        <v>7.47</v>
      </c>
      <c r="O52" s="6" t="n">
        <v>8.25</v>
      </c>
      <c r="P52" s="55">
        <f>(N52-O52)/O52</f>
        <v/>
      </c>
      <c r="Q52" s="74">
        <f>O52*0.9056*0.85</f>
        <v/>
      </c>
      <c r="R52" s="74">
        <f>O52*1.15</f>
        <v/>
      </c>
      <c r="S52" s="74">
        <f>IF(N52&lt;O52*0.9056*0.85,O52*0.9056*0.85,IF(N52&gt;O52*1.15,O52*1.15,N52))</f>
        <v/>
      </c>
      <c r="T52" s="74" t="n">
        <v>7634.34</v>
      </c>
      <c r="U52" s="74" t="n">
        <v>0</v>
      </c>
      <c r="V52" s="74">
        <f>T52+S52*K52</f>
        <v/>
      </c>
      <c r="W52" s="74">
        <f>U52-T52</f>
        <v/>
      </c>
      <c r="X52" s="74">
        <f>V52-T52</f>
        <v/>
      </c>
      <c r="Y52" s="74">
        <f>V52-U52</f>
        <v/>
      </c>
      <c r="Z52" s="5" t="n"/>
    </row>
    <row r="53" ht="20" customHeight="1" s="1">
      <c r="A53" s="5" t="n">
        <v>46</v>
      </c>
      <c r="B53" s="5" t="inlineStr">
        <is>
          <t>010516003002</t>
        </is>
      </c>
      <c r="C53" s="5" t="inlineStr">
        <is>
          <t>钢筋连接</t>
        </is>
      </c>
      <c r="D53" s="5" t="inlineStr">
        <is>
          <t>1.连接方式:电渣压力焊接
2.规格:φ32以内</t>
        </is>
      </c>
      <c r="E53" s="5" t="inlineStr">
        <is>
          <t>个</t>
        </is>
      </c>
      <c r="F53" s="74" t="n">
        <v>1509</v>
      </c>
      <c r="G53" s="74" t="n">
        <v>0</v>
      </c>
      <c r="H53" s="75" t="n">
        <v>0</v>
      </c>
      <c r="I53" s="75" t="n"/>
      <c r="J53" s="74">
        <f>G53-F53</f>
        <v/>
      </c>
      <c r="K53" s="74">
        <f>H53-F53</f>
        <v/>
      </c>
      <c r="L53" s="74">
        <f>H53-G53</f>
        <v/>
      </c>
      <c r="M53" s="55">
        <f>J53/F53</f>
        <v/>
      </c>
      <c r="N53" s="6" t="n">
        <v>9.460000000000001</v>
      </c>
      <c r="O53" s="6" t="n">
        <v>10.44</v>
      </c>
      <c r="P53" s="55">
        <f>(N53-O53)/O53</f>
        <v/>
      </c>
      <c r="Q53" s="74">
        <f>O53*0.9056*0.85</f>
        <v/>
      </c>
      <c r="R53" s="74">
        <f>O53*1.15</f>
        <v/>
      </c>
      <c r="S53" s="74">
        <f>IF(N53&lt;O53*0.9056*0.85,O53*0.9056*0.85,IF(N53&gt;O53*1.15,O53*1.15,N53))</f>
        <v/>
      </c>
      <c r="T53" s="74" t="n">
        <v>14275.14</v>
      </c>
      <c r="U53" s="74" t="n">
        <v>0</v>
      </c>
      <c r="V53" s="74">
        <f>T53+S53*K53</f>
        <v/>
      </c>
      <c r="W53" s="74">
        <f>U53-T53</f>
        <v/>
      </c>
      <c r="X53" s="74">
        <f>V53-T53</f>
        <v/>
      </c>
      <c r="Y53" s="74">
        <f>V53-U53</f>
        <v/>
      </c>
      <c r="Z53" s="5" t="n"/>
    </row>
    <row r="54" ht="20" customHeight="1" s="1">
      <c r="A54" s="5" t="n">
        <v>47</v>
      </c>
      <c r="B54" s="5" t="inlineStr">
        <is>
          <t>010516003003</t>
        </is>
      </c>
      <c r="C54" s="5" t="inlineStr">
        <is>
          <t>机械连接</t>
        </is>
      </c>
      <c r="D54" s="5" t="inlineStr">
        <is>
          <t>1.连接方式:套筒直螺纹钢筋接头
2.规格:φ32以内</t>
        </is>
      </c>
      <c r="E54" s="5" t="inlineStr">
        <is>
          <t>个</t>
        </is>
      </c>
      <c r="F54" s="74" t="n">
        <v>1525</v>
      </c>
      <c r="G54" s="74" t="n">
        <v>0</v>
      </c>
      <c r="H54" s="75" t="n">
        <v>0</v>
      </c>
      <c r="I54" s="75" t="n"/>
      <c r="J54" s="74">
        <f>G54-F54</f>
        <v/>
      </c>
      <c r="K54" s="74">
        <f>H54-F54</f>
        <v/>
      </c>
      <c r="L54" s="74">
        <f>H54-G54</f>
        <v/>
      </c>
      <c r="M54" s="55">
        <f>J54/F54</f>
        <v/>
      </c>
      <c r="N54" s="6" t="n">
        <v>16.67</v>
      </c>
      <c r="O54" s="6" t="n">
        <v>21.53</v>
      </c>
      <c r="P54" s="55">
        <f>(N54-O54)/O54</f>
        <v/>
      </c>
      <c r="Q54" s="74">
        <f>O54*0.9056*0.85</f>
        <v/>
      </c>
      <c r="R54" s="74">
        <f>O54*1.15</f>
        <v/>
      </c>
      <c r="S54" s="74">
        <f>IF(N54&lt;O54*0.9056*0.85,O54*0.9056*0.85,IF(N54&gt;O54*1.15,O54*1.15,N54))</f>
        <v/>
      </c>
      <c r="T54" s="74" t="n">
        <v>25421.75</v>
      </c>
      <c r="U54" s="74" t="n">
        <v>0</v>
      </c>
      <c r="V54" s="74">
        <f>T54+S54*K54</f>
        <v/>
      </c>
      <c r="W54" s="74">
        <f>U54-T54</f>
        <v/>
      </c>
      <c r="X54" s="74">
        <f>V54-T54</f>
        <v/>
      </c>
      <c r="Y54" s="74">
        <f>V54-U54</f>
        <v/>
      </c>
      <c r="Z54" s="5" t="n"/>
    </row>
    <row r="55" ht="20" customHeight="1" s="1">
      <c r="A55" s="5" t="n"/>
      <c r="B55" s="5" t="n"/>
      <c r="C55" s="5" t="inlineStr">
        <is>
          <t>金属结构工程</t>
        </is>
      </c>
      <c r="D55" s="5" t="n"/>
      <c r="E55" s="5" t="n"/>
      <c r="F55" s="74" t="n"/>
      <c r="G55" s="74" t="n"/>
      <c r="H55" s="74" t="n"/>
      <c r="I55" s="74" t="n"/>
      <c r="J55" s="74" t="n"/>
      <c r="K55" s="74" t="n"/>
      <c r="L55" s="74" t="n"/>
      <c r="M55" s="55" t="n"/>
      <c r="N55" s="6" t="n"/>
      <c r="O55" s="6" t="n"/>
      <c r="P55" s="55" t="n"/>
      <c r="Q55" s="74" t="n"/>
      <c r="R55" s="74" t="n"/>
      <c r="S55" s="74" t="n"/>
      <c r="T55" s="74" t="n">
        <v>1979944.66</v>
      </c>
      <c r="U55" s="74" t="n">
        <v>1901843.25</v>
      </c>
      <c r="V55" s="74">
        <f>+SUM(V56:V71)</f>
        <v/>
      </c>
      <c r="W55" s="74">
        <f>U55-T55</f>
        <v/>
      </c>
      <c r="X55" s="74">
        <f>V55-T55</f>
        <v/>
      </c>
      <c r="Y55" s="74">
        <f>V55-U55</f>
        <v/>
      </c>
      <c r="Z55" s="5" t="n"/>
      <c r="AA55" s="73" t="n"/>
    </row>
    <row r="56" ht="20" customHeight="1" s="1">
      <c r="A56" s="5" t="n">
        <v>48</v>
      </c>
      <c r="B56" s="5" t="inlineStr">
        <is>
          <t>010607005001</t>
        </is>
      </c>
      <c r="C56" s="5" t="inlineStr">
        <is>
          <t>砌块墙钢丝网加固</t>
        </is>
      </c>
      <c r="D56" s="5" t="inlineStr">
        <is>
          <t>1.镀锌钢丝网
2.材料品种、规格:Φ0.9@12.7*12.7</t>
        </is>
      </c>
      <c r="E56" s="5" t="inlineStr">
        <is>
          <t>m2</t>
        </is>
      </c>
      <c r="F56" s="74" t="n">
        <v>5631.67</v>
      </c>
      <c r="G56" s="74" t="n">
        <v>4161.91</v>
      </c>
      <c r="H56" s="74" t="n">
        <v>4161.91</v>
      </c>
      <c r="I56" s="74" t="n"/>
      <c r="J56" s="74">
        <f>G56-F56</f>
        <v/>
      </c>
      <c r="K56" s="74">
        <f>H56-F56</f>
        <v/>
      </c>
      <c r="L56" s="74">
        <f>H56-G56</f>
        <v/>
      </c>
      <c r="M56" s="55">
        <f>J56/F56</f>
        <v/>
      </c>
      <c r="N56" s="6" t="n">
        <v>6.91</v>
      </c>
      <c r="O56" s="6" t="n">
        <v>16.21</v>
      </c>
      <c r="P56" s="55">
        <f>(N56-O56)/O56</f>
        <v/>
      </c>
      <c r="Q56" s="74">
        <f>O56*0.9056*0.85</f>
        <v/>
      </c>
      <c r="R56" s="74">
        <f>O56*1.15</f>
        <v/>
      </c>
      <c r="S56" s="74">
        <f>IF(N56&lt;O56*0.9056*0.85,O56*0.9056*0.85,IF(N56&gt;O56*1.15,O56*1.15,N56))</f>
        <v/>
      </c>
      <c r="T56" s="74" t="n">
        <v>38914.84</v>
      </c>
      <c r="U56" s="74" t="n">
        <v>20575.48</v>
      </c>
      <c r="V56" s="74">
        <f>T56+S56*K56</f>
        <v/>
      </c>
      <c r="W56" s="74">
        <f>U56-T56</f>
        <v/>
      </c>
      <c r="X56" s="74">
        <f>V56-T56</f>
        <v/>
      </c>
      <c r="Y56" s="74">
        <f>V56-U56</f>
        <v/>
      </c>
      <c r="Z56" s="5" t="n"/>
    </row>
    <row r="57" ht="20" customHeight="1" s="1">
      <c r="A57" s="5" t="n">
        <v>49</v>
      </c>
      <c r="B57" s="5" t="inlineStr">
        <is>
          <t>010607005002</t>
        </is>
      </c>
      <c r="C57" s="5" t="inlineStr">
        <is>
          <t>砌块墙钢丝网加固</t>
        </is>
      </c>
      <c r="D57" s="5" t="inlineStr">
        <is>
          <t>1.耐碱玻璃纤维网布</t>
        </is>
      </c>
      <c r="E57" s="5" t="inlineStr">
        <is>
          <t>m2</t>
        </is>
      </c>
      <c r="F57" s="74" t="n">
        <v>781.41</v>
      </c>
      <c r="G57" s="74" t="n">
        <v>788.4</v>
      </c>
      <c r="H57" s="74" t="n">
        <v>784.84</v>
      </c>
      <c r="I57" s="74" t="n"/>
      <c r="J57" s="74">
        <f>G57-F57</f>
        <v/>
      </c>
      <c r="K57" s="74">
        <f>H57-F57</f>
        <v/>
      </c>
      <c r="L57" s="74">
        <f>H57-G57</f>
        <v/>
      </c>
      <c r="M57" s="55">
        <f>J57/F57</f>
        <v/>
      </c>
      <c r="N57" s="6" t="n">
        <v>4.58</v>
      </c>
      <c r="O57" s="6" t="n">
        <v>11.97</v>
      </c>
      <c r="P57" s="55">
        <f>(N57-O57)/O57</f>
        <v/>
      </c>
      <c r="Q57" s="74">
        <f>O57*0.9056*0.85</f>
        <v/>
      </c>
      <c r="R57" s="74">
        <f>O57*1.15</f>
        <v/>
      </c>
      <c r="S57" s="74">
        <f>IF(N57&lt;O57*0.9056*0.85,O57*0.9056*0.85,IF(N57&gt;O57*1.15,O57*1.15,N57))</f>
        <v/>
      </c>
      <c r="T57" s="74" t="n">
        <v>3578.85</v>
      </c>
      <c r="U57" s="74" t="n">
        <v>3643.3</v>
      </c>
      <c r="V57" s="74">
        <f>T57+S57*K57</f>
        <v/>
      </c>
      <c r="W57" s="74">
        <f>U57-T57</f>
        <v/>
      </c>
      <c r="X57" s="74">
        <f>V57-T57</f>
        <v/>
      </c>
      <c r="Y57" s="74">
        <f>V57-U57</f>
        <v/>
      </c>
      <c r="Z57" s="5" t="n"/>
    </row>
    <row r="58" ht="20" customHeight="1" s="1">
      <c r="A58" s="5" t="n">
        <v>50</v>
      </c>
      <c r="B58" s="5" t="inlineStr">
        <is>
          <t>010603002001</t>
        </is>
      </c>
      <c r="C58" s="5" t="inlineStr">
        <is>
          <t>钢柱</t>
        </is>
      </c>
      <c r="D58" s="5" t="inlineStr">
        <is>
          <t>1.钢结构柱
2.钢材品种、规格:Q235B
3.钢柱制作、安装、除锈
4.综合考虑场内、场外运输
5.其他详见施工设计图</t>
        </is>
      </c>
      <c r="E58" s="5" t="inlineStr">
        <is>
          <t>t</t>
        </is>
      </c>
      <c r="F58" s="74" t="n">
        <v>0.6899999999999999</v>
      </c>
      <c r="G58" s="74" t="n">
        <v>1.85</v>
      </c>
      <c r="H58" s="76">
        <f>4*(20.03-9)*36.55/1000</f>
        <v/>
      </c>
      <c r="I58" s="76" t="n"/>
      <c r="J58" s="74">
        <f>G58-F58</f>
        <v/>
      </c>
      <c r="K58" s="74">
        <f>H58-F58</f>
        <v/>
      </c>
      <c r="L58" s="74">
        <f>H58-G58</f>
        <v/>
      </c>
      <c r="M58" s="55">
        <f>J58/F58</f>
        <v/>
      </c>
      <c r="N58" s="6" t="n">
        <v>8068.1</v>
      </c>
      <c r="O58" s="6" t="n">
        <v>9670.09</v>
      </c>
      <c r="P58" s="55">
        <f>(N58-O58)/O58</f>
        <v/>
      </c>
      <c r="Q58" s="74">
        <f>O58*0.9056*0.85</f>
        <v/>
      </c>
      <c r="R58" s="74">
        <f>O58*1.15</f>
        <v/>
      </c>
      <c r="S58" s="74">
        <f>IF(N58&lt;O58*0.9056*0.85,O58*0.9056*0.85,IF(N58&gt;O58*1.15,O58*1.15,N58))</f>
        <v/>
      </c>
      <c r="T58" s="74" t="n">
        <v>5534.72</v>
      </c>
      <c r="U58" s="74" t="n">
        <v>14887.26</v>
      </c>
      <c r="V58" s="74">
        <f>T58+S58*K58</f>
        <v/>
      </c>
      <c r="W58" s="74">
        <f>U58-T58</f>
        <v/>
      </c>
      <c r="X58" s="74">
        <f>V58-T58</f>
        <v/>
      </c>
      <c r="Y58" s="74">
        <f>V58-U58</f>
        <v/>
      </c>
      <c r="Z58" s="5" t="n"/>
    </row>
    <row r="59" ht="20" customHeight="1" s="1">
      <c r="A59" s="5" t="n">
        <v>51</v>
      </c>
      <c r="B59" s="5" t="inlineStr">
        <is>
          <t>010604001001</t>
        </is>
      </c>
      <c r="C59" s="5" t="inlineStr">
        <is>
          <t>钢梁</t>
        </is>
      </c>
      <c r="D59" s="5" t="inlineStr">
        <is>
          <t>1.钢结构梁
2.钢材品种、规格:Q355B
3.钢梁制作、安装、除锈
4.其他详见施工设计图</t>
        </is>
      </c>
      <c r="E59" s="5" t="inlineStr">
        <is>
          <t>t</t>
        </is>
      </c>
      <c r="F59" s="74" t="n">
        <v>12.35</v>
      </c>
      <c r="G59" s="74" t="n">
        <v>19.01</v>
      </c>
      <c r="H59" s="76" t="n">
        <v>19.004</v>
      </c>
      <c r="I59" s="76" t="n"/>
      <c r="J59" s="74">
        <f>G59-F59</f>
        <v/>
      </c>
      <c r="K59" s="74">
        <f>H59-F59</f>
        <v/>
      </c>
      <c r="L59" s="74">
        <f>H59-G59</f>
        <v/>
      </c>
      <c r="M59" s="55">
        <f>J59/F59</f>
        <v/>
      </c>
      <c r="N59" s="6" t="n">
        <v>8895</v>
      </c>
      <c r="O59" s="6" t="n">
        <v>9802.52</v>
      </c>
      <c r="P59" s="55">
        <f>(N59-O59)/O59</f>
        <v/>
      </c>
      <c r="Q59" s="74">
        <f>O59*0.9056*0.85</f>
        <v/>
      </c>
      <c r="R59" s="74">
        <f>O59*1.15</f>
        <v/>
      </c>
      <c r="S59" s="74">
        <f>IF(N59&lt;O59*0.9056*0.85,O59*0.9056*0.85,IF(N59&gt;O59*1.15,O59*1.15,N59))</f>
        <v/>
      </c>
      <c r="T59" s="74" t="n">
        <v>109890.61</v>
      </c>
      <c r="U59" s="74" t="n">
        <v>169073.49</v>
      </c>
      <c r="V59" s="74">
        <f>T59+S59*K59</f>
        <v/>
      </c>
      <c r="W59" s="74">
        <f>U59-T59</f>
        <v/>
      </c>
      <c r="X59" s="74">
        <f>V59-T59</f>
        <v/>
      </c>
      <c r="Y59" s="74">
        <f>V59-U59</f>
        <v/>
      </c>
      <c r="Z59" s="5" t="n"/>
    </row>
    <row r="60" ht="20" customHeight="1" s="1">
      <c r="A60" s="5" t="n">
        <v>52</v>
      </c>
      <c r="B60" s="5" t="inlineStr">
        <is>
          <t>010604001002</t>
        </is>
      </c>
      <c r="C60" s="5" t="inlineStr">
        <is>
          <t>钢梁</t>
        </is>
      </c>
      <c r="D60" s="5" t="inlineStr">
        <is>
          <t>1.钢结构梁
2.钢材品种、规格:Q235B
3.钢梁制作、安装、除锈
4.其他详见施工设计图</t>
        </is>
      </c>
      <c r="E60" s="5" t="inlineStr">
        <is>
          <t>t</t>
        </is>
      </c>
      <c r="F60" s="74" t="n">
        <v>38.23</v>
      </c>
      <c r="G60" s="74" t="n">
        <v>11.43</v>
      </c>
      <c r="H60" s="76" t="n">
        <v>11.424</v>
      </c>
      <c r="I60" s="76" t="n"/>
      <c r="J60" s="74">
        <f>G60-F60</f>
        <v/>
      </c>
      <c r="K60" s="74">
        <f>H60-F60</f>
        <v/>
      </c>
      <c r="L60" s="74">
        <f>H60-G60</f>
        <v/>
      </c>
      <c r="M60" s="55">
        <f>J60/F60</f>
        <v/>
      </c>
      <c r="N60" s="6" t="n">
        <v>6839.9</v>
      </c>
      <c r="O60" s="6" t="n">
        <v>9706.68</v>
      </c>
      <c r="P60" s="55">
        <f>(N60-O60)/O60</f>
        <v/>
      </c>
      <c r="Q60" s="74">
        <f>O60*0.9056*0.85</f>
        <v/>
      </c>
      <c r="R60" s="74">
        <f>O60*1.15</f>
        <v/>
      </c>
      <c r="S60" s="74">
        <f>IF(N60&lt;O60*0.9056*0.85,O60*0.9056*0.85,IF(N60&gt;O60*1.15,O60*1.15,N60))</f>
        <v/>
      </c>
      <c r="T60" s="74" t="n">
        <v>261520.16</v>
      </c>
      <c r="U60" s="74" t="n">
        <v>61226.23</v>
      </c>
      <c r="V60" s="74">
        <f>T60+S60*K60</f>
        <v/>
      </c>
      <c r="W60" s="74">
        <f>U60-T60</f>
        <v/>
      </c>
      <c r="X60" s="74">
        <f>V60-T60</f>
        <v/>
      </c>
      <c r="Y60" s="74">
        <f>V60-U60</f>
        <v/>
      </c>
      <c r="Z60" s="5" t="n"/>
    </row>
    <row r="61" ht="20" customHeight="1" s="1">
      <c r="A61" s="5" t="n">
        <v>53</v>
      </c>
      <c r="B61" s="5" t="inlineStr">
        <is>
          <t>010602003001</t>
        </is>
      </c>
      <c r="C61" s="5" t="inlineStr">
        <is>
          <t>钢桁架</t>
        </is>
      </c>
      <c r="D61" s="5" t="inlineStr">
        <is>
          <t>1.钢桁架
2.钢材品种、规格:Q355B
3.钢桁架制作、安装、除锈
4.综合考虑场内、场外运输
5.其他详见施工设计图</t>
        </is>
      </c>
      <c r="E61" s="5" t="inlineStr">
        <is>
          <t>t</t>
        </is>
      </c>
      <c r="F61" s="74" t="n">
        <v>49.33</v>
      </c>
      <c r="G61" s="74" t="n">
        <v>45.65</v>
      </c>
      <c r="H61" s="76" t="n">
        <v>45.645</v>
      </c>
      <c r="I61" s="76" t="n"/>
      <c r="J61" s="74">
        <f>G61-F61</f>
        <v/>
      </c>
      <c r="K61" s="74">
        <f>H61-F61</f>
        <v/>
      </c>
      <c r="L61" s="74">
        <f>H61-G61</f>
        <v/>
      </c>
      <c r="M61" s="55">
        <f>J61/F61</f>
        <v/>
      </c>
      <c r="N61" s="6" t="n">
        <v>10367.99</v>
      </c>
      <c r="O61" s="6" t="n">
        <v>11465.39</v>
      </c>
      <c r="P61" s="55">
        <f>(N61-O61)/O61</f>
        <v/>
      </c>
      <c r="Q61" s="74">
        <f>O61*0.9056*0.85</f>
        <v/>
      </c>
      <c r="R61" s="74">
        <f>O61*1.15</f>
        <v/>
      </c>
      <c r="S61" s="74">
        <f>IF(N61&lt;O61*0.9056*0.85,O61*0.9056*0.85,IF(N61&gt;O61*1.15,O61*1.15,N61))</f>
        <v/>
      </c>
      <c r="T61" s="74" t="n">
        <v>511438.43</v>
      </c>
      <c r="U61" s="74" t="n">
        <v>473276.97</v>
      </c>
      <c r="V61" s="74">
        <f>T61+S61*K61</f>
        <v/>
      </c>
      <c r="W61" s="74">
        <f>U61-T61</f>
        <v/>
      </c>
      <c r="X61" s="74">
        <f>V61-T61</f>
        <v/>
      </c>
      <c r="Y61" s="74">
        <f>V61-U61</f>
        <v/>
      </c>
      <c r="Z61" s="5" t="n"/>
    </row>
    <row r="62" ht="20" customHeight="1" s="1">
      <c r="A62" s="5" t="n">
        <v>54</v>
      </c>
      <c r="B62" s="5" t="inlineStr">
        <is>
          <t>010602001001</t>
        </is>
      </c>
      <c r="C62" s="5" t="inlineStr">
        <is>
          <t>钢屋架</t>
        </is>
      </c>
      <c r="D62" s="5" t="inlineStr">
        <is>
          <t>1.钢屋架
2.钢材品种、规格:Q235B
3.钢屋架制作、安装、除锈
4.综合考虑场内、场外运输
5.其他详见施工设计图</t>
        </is>
      </c>
      <c r="E62" s="5" t="inlineStr">
        <is>
          <t>t</t>
        </is>
      </c>
      <c r="F62" s="74" t="n">
        <v>23.92</v>
      </c>
      <c r="G62" s="74" t="n">
        <v>41.4</v>
      </c>
      <c r="H62" s="76" t="n">
        <v>41.4</v>
      </c>
      <c r="I62" s="76" t="n"/>
      <c r="J62" s="74">
        <f>G62-F62</f>
        <v/>
      </c>
      <c r="K62" s="74">
        <f>H62-F62</f>
        <v/>
      </c>
      <c r="L62" s="74">
        <f>H62-G62</f>
        <v/>
      </c>
      <c r="M62" s="55">
        <f>J62/F62</f>
        <v/>
      </c>
      <c r="N62" s="6" t="n">
        <v>7068.28</v>
      </c>
      <c r="O62" s="6" t="n">
        <v>9954.190000000001</v>
      </c>
      <c r="P62" s="55">
        <f>(N62-O62)/O62</f>
        <v/>
      </c>
      <c r="Q62" s="74">
        <f>O62*0.9056*0.85</f>
        <v/>
      </c>
      <c r="R62" s="74">
        <f>O62*1.15</f>
        <v/>
      </c>
      <c r="S62" s="74">
        <f>IF(N62&lt;O62*0.9056*0.85,O62*0.9056*0.85,IF(N62&gt;O62*1.15,O62*1.15,N62))</f>
        <v/>
      </c>
      <c r="T62" s="74" t="n">
        <v>169081.74</v>
      </c>
      <c r="U62" s="74" t="n">
        <v>303046.21</v>
      </c>
      <c r="V62" s="74">
        <f>T62+S62*K62</f>
        <v/>
      </c>
      <c r="W62" s="74">
        <f>U62-T62</f>
        <v/>
      </c>
      <c r="X62" s="74">
        <f>V62-T62</f>
        <v/>
      </c>
      <c r="Y62" s="74">
        <f>V62-U62</f>
        <v/>
      </c>
      <c r="Z62" s="5" t="n"/>
    </row>
    <row r="63" ht="20" customHeight="1" s="1">
      <c r="A63" s="5" t="n">
        <v>55</v>
      </c>
      <c r="B63" s="5" t="inlineStr">
        <is>
          <t>010602001002</t>
        </is>
      </c>
      <c r="C63" s="5" t="inlineStr">
        <is>
          <t>钢屋架</t>
        </is>
      </c>
      <c r="D63" s="5" t="inlineStr">
        <is>
          <t>1.钢屋架
2.钢材品种、规格:Q355B
3.钢屋架制作、安装、除锈
4.综合考虑场内、场外运输
5.其他详见施工设计图</t>
        </is>
      </c>
      <c r="E63" s="5" t="inlineStr">
        <is>
          <t>t</t>
        </is>
      </c>
      <c r="F63" s="74" t="n">
        <v>9.51</v>
      </c>
      <c r="G63" s="74" t="n">
        <v>10.26</v>
      </c>
      <c r="H63" s="76" t="n">
        <v>10.26</v>
      </c>
      <c r="I63" s="76" t="n"/>
      <c r="J63" s="74">
        <f>G63-F63</f>
        <v/>
      </c>
      <c r="K63" s="74">
        <f>H63-F63</f>
        <v/>
      </c>
      <c r="L63" s="74">
        <f>H63-G63</f>
        <v/>
      </c>
      <c r="M63" s="55">
        <f>J63/F63</f>
        <v/>
      </c>
      <c r="N63" s="6" t="n">
        <v>9123.379999999999</v>
      </c>
      <c r="O63" s="6" t="n">
        <v>10054.19</v>
      </c>
      <c r="P63" s="55">
        <f>(N63-O63)/O63</f>
        <v/>
      </c>
      <c r="Q63" s="74">
        <f>O63*0.9056*0.85</f>
        <v/>
      </c>
      <c r="R63" s="74">
        <f>O63*1.15</f>
        <v/>
      </c>
      <c r="S63" s="74">
        <f>IF(N63&lt;O63*0.9056*0.85,O63*0.9056*0.85,IF(N63&gt;O63*1.15,O63*1.15,N63))</f>
        <v/>
      </c>
      <c r="T63" s="74" t="n">
        <v>86719.55</v>
      </c>
      <c r="U63" s="74" t="n">
        <v>93584.89999999999</v>
      </c>
      <c r="V63" s="74">
        <f>T63+S63*K63</f>
        <v/>
      </c>
      <c r="W63" s="74">
        <f>U63-T63</f>
        <v/>
      </c>
      <c r="X63" s="74">
        <f>V63-T63</f>
        <v/>
      </c>
      <c r="Y63" s="74">
        <f>V63-U63</f>
        <v/>
      </c>
      <c r="Z63" s="5" t="n"/>
    </row>
    <row r="64" ht="20" customHeight="1" s="1">
      <c r="A64" s="5" t="n">
        <v>56</v>
      </c>
      <c r="B64" s="5" t="inlineStr">
        <is>
          <t>010606007001</t>
        </is>
      </c>
      <c r="C64" s="5" t="inlineStr">
        <is>
          <t>钢马道</t>
        </is>
      </c>
      <c r="D64" s="5" t="inlineStr">
        <is>
          <t>1.钢马道
2.钢材品种、规格:Q235B、
3.钢屋架制作、安装、除锈
4.综合考虑场内、场外运输
5.其他详见施工设计图</t>
        </is>
      </c>
      <c r="E64" s="5" t="inlineStr">
        <is>
          <t>t</t>
        </is>
      </c>
      <c r="F64" s="74" t="n">
        <v>5.92</v>
      </c>
      <c r="G64" s="74" t="n">
        <v>9.02</v>
      </c>
      <c r="H64" s="76" t="n">
        <v>9.02</v>
      </c>
      <c r="I64" s="76" t="n"/>
      <c r="J64" s="74">
        <f>G64-F64</f>
        <v/>
      </c>
      <c r="K64" s="74">
        <f>H64-F64</f>
        <v/>
      </c>
      <c r="L64" s="74">
        <f>H64-G64</f>
        <v/>
      </c>
      <c r="M64" s="55">
        <f>J64/F64</f>
        <v/>
      </c>
      <c r="N64" s="6" t="n">
        <v>7232.27</v>
      </c>
      <c r="O64" s="6" t="n">
        <v>10133.72</v>
      </c>
      <c r="P64" s="55">
        <f>(N64-O64)/O64</f>
        <v/>
      </c>
      <c r="Q64" s="74">
        <f>O64*0.9056*0.85</f>
        <v/>
      </c>
      <c r="R64" s="74">
        <f>O64*1.15</f>
        <v/>
      </c>
      <c r="S64" s="74">
        <f>IF(N64&lt;O64*0.9056*0.85,O64*0.9056*0.85,IF(N64&gt;O64*1.15,O64*1.15,N64))</f>
        <v/>
      </c>
      <c r="T64" s="74" t="n">
        <v>42788.28</v>
      </c>
      <c r="U64" s="74" t="n">
        <v>67004.25</v>
      </c>
      <c r="V64" s="74">
        <f>T64+S64*K64</f>
        <v/>
      </c>
      <c r="W64" s="74">
        <f>U64-T64</f>
        <v/>
      </c>
      <c r="X64" s="74">
        <f>V64-T64</f>
        <v/>
      </c>
      <c r="Y64" s="74">
        <f>V64-U64</f>
        <v/>
      </c>
      <c r="Z64" s="5" t="n"/>
    </row>
    <row r="65" ht="20" customHeight="1" s="1">
      <c r="A65" s="5" t="n">
        <v>57</v>
      </c>
      <c r="B65" s="5" t="inlineStr">
        <is>
          <t>010516002001</t>
        </is>
      </c>
      <c r="C65" s="5" t="inlineStr">
        <is>
          <t>预埋铁件</t>
        </is>
      </c>
      <c r="D65" s="5" t="inlineStr">
        <is>
          <t>1.钢材种类:预埋铁件
2.其他详见施工设计图</t>
        </is>
      </c>
      <c r="E65" s="5" t="inlineStr">
        <is>
          <t>t</t>
        </is>
      </c>
      <c r="F65" s="74" t="n">
        <v>2.11</v>
      </c>
      <c r="G65" s="74" t="n">
        <v>2.12</v>
      </c>
      <c r="H65" s="76" t="n">
        <v>2.12</v>
      </c>
      <c r="I65" s="76" t="n"/>
      <c r="J65" s="74">
        <f>G65-F65</f>
        <v/>
      </c>
      <c r="K65" s="74">
        <f>H65-F65</f>
        <v/>
      </c>
      <c r="L65" s="74">
        <f>H65-G65</f>
        <v/>
      </c>
      <c r="M65" s="55">
        <f>J65/F65</f>
        <v/>
      </c>
      <c r="N65" s="6" t="n">
        <v>9040.459999999999</v>
      </c>
      <c r="O65" s="6" t="n">
        <v>10467.11</v>
      </c>
      <c r="P65" s="55">
        <f>(N65-O65)/O65</f>
        <v/>
      </c>
      <c r="Q65" s="74">
        <f>O65*0.9056*0.85</f>
        <v/>
      </c>
      <c r="R65" s="74">
        <f>O65*1.15</f>
        <v/>
      </c>
      <c r="S65" s="74">
        <f>IF(N65&lt;O65*0.9056*0.85,O65*0.9056*0.85,IF(N65&gt;O65*1.15,O65*1.15,N65))</f>
        <v/>
      </c>
      <c r="T65" s="74" t="n">
        <v>19099.78</v>
      </c>
      <c r="U65" s="74" t="n">
        <v>19208.27</v>
      </c>
      <c r="V65" s="74">
        <f>T65+S65*K65</f>
        <v/>
      </c>
      <c r="W65" s="74">
        <f>U65-T65</f>
        <v/>
      </c>
      <c r="X65" s="74">
        <f>V65-T65</f>
        <v/>
      </c>
      <c r="Y65" s="74">
        <f>V65-U65</f>
        <v/>
      </c>
      <c r="Z65" s="5" t="n"/>
    </row>
    <row r="66" ht="20" customHeight="1" s="1">
      <c r="A66" s="5" t="n">
        <v>58</v>
      </c>
      <c r="B66" s="5" t="inlineStr">
        <is>
          <t>010605001001</t>
        </is>
      </c>
      <c r="C66" s="5" t="inlineStr">
        <is>
          <t>钢板楼板</t>
        </is>
      </c>
      <c r="D66" s="5" t="inlineStr">
        <is>
          <t>1.部位：钢板楼板
2.钢材品种、规格：压型钢板YXB65-185-555(B)Q355B（含镀锌层）
3.钢板厚：0.91mm
4.金属结构件场内运输
5.其他详见施工设计图</t>
        </is>
      </c>
      <c r="E66" s="5" t="inlineStr">
        <is>
          <t>m2</t>
        </is>
      </c>
      <c r="F66" s="74" t="n">
        <v>1681.88</v>
      </c>
      <c r="G66" s="74" t="n">
        <v>1695</v>
      </c>
      <c r="H66" s="74">
        <f>317.9+1367.78</f>
        <v/>
      </c>
      <c r="I66" s="74" t="n"/>
      <c r="J66" s="74">
        <f>G66-F66</f>
        <v/>
      </c>
      <c r="K66" s="74">
        <f>H66-F66</f>
        <v/>
      </c>
      <c r="L66" s="74">
        <f>H66-G66</f>
        <v/>
      </c>
      <c r="M66" s="55">
        <f>J66/F66</f>
        <v/>
      </c>
      <c r="N66" s="6" t="n">
        <v>133.37</v>
      </c>
      <c r="O66" s="6" t="n">
        <v>156.01</v>
      </c>
      <c r="P66" s="55">
        <f>(N66-O66)/O66</f>
        <v/>
      </c>
      <c r="Q66" s="74">
        <f>O66*0.9056*0.85</f>
        <v/>
      </c>
      <c r="R66" s="74">
        <f>O66*1.15</f>
        <v/>
      </c>
      <c r="S66" s="74">
        <f>IF(N66&lt;O66*0.9056*0.85,O66*0.9056*0.85,IF(N66&gt;O66*1.15,O66*1.15,N66))</f>
        <v/>
      </c>
      <c r="T66" s="74" t="n">
        <v>224312.34</v>
      </c>
      <c r="U66" s="74" t="n">
        <v>226062.15</v>
      </c>
      <c r="V66" s="74">
        <f>T66+S66*K66</f>
        <v/>
      </c>
      <c r="W66" s="74">
        <f>U66-T66</f>
        <v/>
      </c>
      <c r="X66" s="74">
        <f>V66-T66</f>
        <v/>
      </c>
      <c r="Y66" s="74">
        <f>V66-U66</f>
        <v/>
      </c>
      <c r="Z66" s="5" t="n"/>
      <c r="AA66" s="73" t="inlineStr">
        <is>
          <t>区分0.75和0.91</t>
        </is>
      </c>
    </row>
    <row r="67" ht="20" customHeight="1" s="1">
      <c r="A67" s="5" t="n">
        <v>59</v>
      </c>
      <c r="B67" s="5" t="inlineStr">
        <is>
          <t>010606013001</t>
        </is>
      </c>
      <c r="C67" s="5" t="inlineStr">
        <is>
          <t>零星钢构件</t>
        </is>
      </c>
      <c r="D67" s="5" t="inlineStr">
        <is>
          <t>1.构件名称:栓钉
2.钢材规格:Φ16，L=100mm
3.其他:具体详见图纸</t>
        </is>
      </c>
      <c r="E67" s="5" t="inlineStr">
        <is>
          <t>套</t>
        </is>
      </c>
      <c r="F67" s="74" t="n">
        <v>5586</v>
      </c>
      <c r="G67" s="74" t="n">
        <v>6828</v>
      </c>
      <c r="H67" s="75" t="n">
        <v>6828</v>
      </c>
      <c r="I67" s="75" t="n"/>
      <c r="J67" s="74">
        <f>G67-F67</f>
        <v/>
      </c>
      <c r="K67" s="74">
        <f>H67-F67</f>
        <v/>
      </c>
      <c r="L67" s="74">
        <f>H67-G67</f>
        <v/>
      </c>
      <c r="M67" s="55">
        <f>J67/F67</f>
        <v/>
      </c>
      <c r="N67" s="6" t="n">
        <v>3.34</v>
      </c>
      <c r="O67" s="6" t="n">
        <v>5.64</v>
      </c>
      <c r="P67" s="55">
        <f>(N67-O67)/O67</f>
        <v/>
      </c>
      <c r="Q67" s="74">
        <f>O67*0.9056*0.85</f>
        <v/>
      </c>
      <c r="R67" s="74">
        <f>O67*1.15</f>
        <v/>
      </c>
      <c r="S67" s="74">
        <f>IF(N67&lt;O67*0.9056*0.85,O67*0.9056*0.85,IF(N67&gt;O67*1.15,O67*1.15,N67))</f>
        <v/>
      </c>
      <c r="T67" s="74" t="n">
        <v>18657.24</v>
      </c>
      <c r="U67" s="74" t="n">
        <v>24049.32</v>
      </c>
      <c r="V67" s="74">
        <f>T67+S67*K67</f>
        <v/>
      </c>
      <c r="W67" s="74">
        <f>U67-T67</f>
        <v/>
      </c>
      <c r="X67" s="74">
        <f>V67-T67</f>
        <v/>
      </c>
      <c r="Y67" s="74">
        <f>V67-U67</f>
        <v/>
      </c>
      <c r="Z67" s="5" t="n"/>
    </row>
    <row r="68" ht="20" customHeight="1" s="1">
      <c r="A68" s="5" t="n">
        <v>60</v>
      </c>
      <c r="B68" s="5" t="inlineStr">
        <is>
          <t>011405001004</t>
        </is>
      </c>
      <c r="C68" s="5" t="inlineStr">
        <is>
          <t>金属面油漆</t>
        </is>
      </c>
      <c r="D68" s="5" t="inlineStr">
        <is>
          <t>部位：钢板楼板
1.膨胀型防火涂料（耐火极限1.0h）
2.聚硅氧烷面漆2遍
3.其他详见施工设计图</t>
        </is>
      </c>
      <c r="E68" s="5" t="inlineStr">
        <is>
          <t>m2</t>
        </is>
      </c>
      <c r="F68" s="74" t="n">
        <v>1681.88</v>
      </c>
      <c r="G68" s="74" t="n">
        <v>1695</v>
      </c>
      <c r="H68" s="74">
        <f>H66</f>
        <v/>
      </c>
      <c r="I68" s="74" t="n"/>
      <c r="J68" s="74">
        <f>G68-F68</f>
        <v/>
      </c>
      <c r="K68" s="74">
        <f>H68-F68</f>
        <v/>
      </c>
      <c r="L68" s="74">
        <f>H68-G68</f>
        <v/>
      </c>
      <c r="M68" s="55">
        <f>J68/F68</f>
        <v/>
      </c>
      <c r="N68" s="6" t="n">
        <v>32.5</v>
      </c>
      <c r="O68" s="6" t="n">
        <v>42.71</v>
      </c>
      <c r="P68" s="55">
        <f>(N68-O68)/O68</f>
        <v/>
      </c>
      <c r="Q68" s="74">
        <f>O68*0.9056*0.85</f>
        <v/>
      </c>
      <c r="R68" s="74">
        <f>O68*1.15</f>
        <v/>
      </c>
      <c r="S68" s="74">
        <f>IF(N68&lt;O68*0.9056*0.85,O68*0.9056*0.85,IF(N68&gt;O68*1.15,O68*1.15,N68))</f>
        <v/>
      </c>
      <c r="T68" s="74" t="n">
        <v>54661.1</v>
      </c>
      <c r="U68" s="74" t="n">
        <v>55092.44</v>
      </c>
      <c r="V68" s="74">
        <f>T68+S68*K68</f>
        <v/>
      </c>
      <c r="W68" s="74">
        <f>U68-T68</f>
        <v/>
      </c>
      <c r="X68" s="74">
        <f>V68-T68</f>
        <v/>
      </c>
      <c r="Y68" s="74">
        <f>V68-U68</f>
        <v/>
      </c>
      <c r="Z68" s="5" t="n"/>
      <c r="AA68" s="73" t="inlineStr">
        <is>
          <t>金属面油漆</t>
        </is>
      </c>
      <c r="AB68" s="0" t="n">
        <v>1695</v>
      </c>
    </row>
    <row r="69" ht="20" customHeight="1" s="1">
      <c r="A69" s="5" t="n">
        <v>61</v>
      </c>
      <c r="B69" s="5" t="inlineStr">
        <is>
          <t>011405001002</t>
        </is>
      </c>
      <c r="C69" s="5" t="inlineStr">
        <is>
          <t>金属面油漆</t>
        </is>
      </c>
      <c r="D69" s="5" t="inlineStr">
        <is>
          <t>部位：钢柱
1.环氧富锌底漆2遍
2.环氧云铁中间漆3遍
3.非膨胀型防火涂料40mm（耐火极限2.5h）
4.聚硅氧烷面漆2遍
5.其他详见施工设计图</t>
        </is>
      </c>
      <c r="E69" s="5" t="inlineStr">
        <is>
          <t>m2</t>
        </is>
      </c>
      <c r="F69" s="74" t="n">
        <v>14.99</v>
      </c>
      <c r="G69" s="74" t="n">
        <v>25.23</v>
      </c>
      <c r="H69" s="74" t="n">
        <v>25.23</v>
      </c>
      <c r="I69" s="74" t="n"/>
      <c r="J69" s="74">
        <f>G69-F69</f>
        <v/>
      </c>
      <c r="K69" s="74">
        <f>H69-F69</f>
        <v/>
      </c>
      <c r="L69" s="74">
        <f>H69-G69</f>
        <v/>
      </c>
      <c r="M69" s="55">
        <f>J69/F69</f>
        <v/>
      </c>
      <c r="N69" s="6" t="n">
        <v>311.94</v>
      </c>
      <c r="O69" s="6" t="n">
        <v>214.23</v>
      </c>
      <c r="P69" s="55">
        <f>(N69-O69)/O69</f>
        <v/>
      </c>
      <c r="Q69" s="74">
        <f>O69*0.9056*0.85</f>
        <v/>
      </c>
      <c r="R69" s="74">
        <f>O69*1.15</f>
        <v/>
      </c>
      <c r="S69" s="74">
        <f>IF(N69&lt;O69*0.9056*0.85,O69*0.9056*0.85,IF(N69&gt;O69*1.15,O69*1.15,N69))</f>
        <v/>
      </c>
      <c r="T69" s="74" t="n">
        <v>4675.98</v>
      </c>
      <c r="U69" s="74" t="n">
        <v>7198.75</v>
      </c>
      <c r="V69" s="74">
        <f>T69+S69*K69</f>
        <v/>
      </c>
      <c r="W69" s="74">
        <f>U69-T69</f>
        <v/>
      </c>
      <c r="X69" s="74">
        <f>V69-T69</f>
        <v/>
      </c>
      <c r="Y69" s="74">
        <f>V69-U69</f>
        <v/>
      </c>
      <c r="Z69" s="5" t="n"/>
    </row>
    <row r="70" ht="20" customHeight="1" s="1">
      <c r="A70" s="5" t="n">
        <v>62</v>
      </c>
      <c r="B70" s="5" t="inlineStr">
        <is>
          <t>011405001003</t>
        </is>
      </c>
      <c r="C70" s="5" t="inlineStr">
        <is>
          <t>金属面油漆</t>
        </is>
      </c>
      <c r="D70" s="5" t="inlineStr">
        <is>
          <t>部位：钢梁、钢屋架、钢桁架、钢马道等
1.环氧富锌底漆2遍
2.环氧云铁中间漆3遍
3.膨胀型防火涂料（耐火极限1.5h）
4.聚硅氧烷面漆2遍
5.其他详见施工设计图</t>
        </is>
      </c>
      <c r="E70" s="5" t="inlineStr">
        <is>
          <t>m2</t>
        </is>
      </c>
      <c r="F70" s="74" t="n">
        <v>3436.94</v>
      </c>
      <c r="G70" s="74" t="n">
        <v>2873.67</v>
      </c>
      <c r="H70" s="74" t="n">
        <v>2873.67</v>
      </c>
      <c r="I70" s="74" t="n"/>
      <c r="J70" s="74">
        <f>G70-F70</f>
        <v/>
      </c>
      <c r="K70" s="74">
        <f>H70-F70</f>
        <v/>
      </c>
      <c r="L70" s="74">
        <f>H70-G70</f>
        <v/>
      </c>
      <c r="M70" s="55">
        <f>J70/F70</f>
        <v/>
      </c>
      <c r="N70" s="6" t="n">
        <v>116.14</v>
      </c>
      <c r="O70" s="6" t="n">
        <v>114.29</v>
      </c>
      <c r="P70" s="55">
        <f>(N70-O70)/O70</f>
        <v/>
      </c>
      <c r="Q70" s="74">
        <f>O70*0.9056*0.85</f>
        <v/>
      </c>
      <c r="R70" s="74">
        <f>O70*1.15</f>
        <v/>
      </c>
      <c r="S70" s="74">
        <f>IF(N70&lt;O70*0.9056*0.85,O70*0.9056*0.85,IF(N70&gt;O70*1.15,O70*1.15,N70))</f>
        <v/>
      </c>
      <c r="T70" s="74" t="n">
        <v>399166.21</v>
      </c>
      <c r="U70" s="74" t="n">
        <v>333748.03</v>
      </c>
      <c r="V70" s="74">
        <f>T70+S70*K70</f>
        <v/>
      </c>
      <c r="W70" s="74">
        <f>U70-T70</f>
        <v/>
      </c>
      <c r="X70" s="74">
        <f>V70-T70</f>
        <v/>
      </c>
      <c r="Y70" s="74">
        <f>V70-U70</f>
        <v/>
      </c>
      <c r="Z70" s="5" t="n"/>
    </row>
    <row r="71" ht="20" customHeight="1" s="1">
      <c r="A71" s="5" t="n">
        <v>63</v>
      </c>
      <c r="B71" s="5" t="inlineStr">
        <is>
          <t>011303001001</t>
        </is>
      </c>
      <c r="C71" s="5" t="inlineStr">
        <is>
          <t>采光窗</t>
        </is>
      </c>
      <c r="D71" s="5" t="inlineStr">
        <is>
          <t>1.low-E中空玻璃（6+12A+6）+0.76PVB+6mm夹胶玻璃采光窗
2.铝合金骨架、铁丝网防护
3.其他详见施工设计图</t>
        </is>
      </c>
      <c r="E71" s="5" t="inlineStr">
        <is>
          <t>m2</t>
        </is>
      </c>
      <c r="F71" s="74" t="n">
        <v>36.82</v>
      </c>
      <c r="G71" s="74" t="n">
        <v>37.24</v>
      </c>
      <c r="H71" s="74" t="n">
        <v>37.24</v>
      </c>
      <c r="I71" s="74" t="n"/>
      <c r="J71" s="74">
        <f>G71-F71</f>
        <v/>
      </c>
      <c r="K71" s="74">
        <f>H71-F71</f>
        <v/>
      </c>
      <c r="L71" s="74">
        <f>H71-G71</f>
        <v/>
      </c>
      <c r="M71" s="55">
        <f>J71/F71</f>
        <v/>
      </c>
      <c r="N71" s="6" t="n">
        <v>812.1900000000001</v>
      </c>
      <c r="O71" s="6" t="n">
        <v>537.8099999999999</v>
      </c>
      <c r="P71" s="55">
        <f>(N71-O71)/O71</f>
        <v/>
      </c>
      <c r="Q71" s="74">
        <f>O71*0.9056*0.85</f>
        <v/>
      </c>
      <c r="R71" s="74">
        <f>O71*1.15</f>
        <v/>
      </c>
      <c r="S71" s="74">
        <f>IF(N71&lt;O71*0.9056*0.85,O71*0.9056*0.85,IF(N71&gt;O71*1.15,O71*1.15,N71))</f>
        <v/>
      </c>
      <c r="T71" s="74" t="n">
        <v>29904.84</v>
      </c>
      <c r="U71" s="74" t="n">
        <v>30166.21</v>
      </c>
      <c r="V71" s="74">
        <f>T71+S71*K71</f>
        <v/>
      </c>
      <c r="W71" s="74">
        <f>U71-T71</f>
        <v/>
      </c>
      <c r="X71" s="74">
        <f>V71-T71</f>
        <v/>
      </c>
      <c r="Y71" s="74">
        <f>V71-U71</f>
        <v/>
      </c>
      <c r="Z71" s="5" t="n"/>
    </row>
    <row r="72" ht="20" customHeight="1" s="1">
      <c r="A72" s="5" t="n"/>
      <c r="B72" s="5" t="n"/>
      <c r="C72" s="5" t="inlineStr">
        <is>
          <t>门窗工程</t>
        </is>
      </c>
      <c r="D72" s="5" t="n"/>
      <c r="E72" s="5" t="n"/>
      <c r="F72" s="74" t="n"/>
      <c r="G72" s="74" t="n"/>
      <c r="H72" s="74" t="n"/>
      <c r="I72" s="74" t="n"/>
      <c r="J72" s="74" t="n"/>
      <c r="K72" s="74" t="n"/>
      <c r="L72" s="74" t="n"/>
      <c r="M72" s="55" t="n"/>
      <c r="N72" s="6" t="n"/>
      <c r="O72" s="6" t="n"/>
      <c r="P72" s="55" t="n"/>
      <c r="Q72" s="74" t="n"/>
      <c r="R72" s="74" t="n"/>
      <c r="S72" s="74" t="n"/>
      <c r="T72" s="74" t="n">
        <v>954137.67</v>
      </c>
      <c r="U72" s="74" t="n">
        <v>998562.1899999999</v>
      </c>
      <c r="V72" s="74">
        <f>+SUM(V73:V93)</f>
        <v/>
      </c>
      <c r="W72" s="74">
        <f>U72-T72</f>
        <v/>
      </c>
      <c r="X72" s="74">
        <f>V72-T72</f>
        <v/>
      </c>
      <c r="Y72" s="74">
        <f>V72-U72</f>
        <v/>
      </c>
      <c r="Z72" s="5" t="n"/>
      <c r="AA72" s="73" t="n"/>
    </row>
    <row r="73" ht="20" customHeight="1" s="1">
      <c r="A73" s="5" t="n">
        <v>64</v>
      </c>
      <c r="B73" s="5" t="inlineStr">
        <is>
          <t>010802003001</t>
        </is>
      </c>
      <c r="C73" s="5" t="inlineStr">
        <is>
          <t>钢质防火门</t>
        </is>
      </c>
      <c r="D73" s="5" t="inlineStr">
        <is>
          <t>1.门类型:钢质防火门单扇(甲级）
2.闭门器安装
3.其他详见施工设计图</t>
        </is>
      </c>
      <c r="E73" s="5" t="inlineStr">
        <is>
          <t>m2</t>
        </is>
      </c>
      <c r="F73" s="74" t="n">
        <v>2.3</v>
      </c>
      <c r="G73" s="74" t="n">
        <v>3.85</v>
      </c>
      <c r="H73" s="74" t="n">
        <v>3.85</v>
      </c>
      <c r="I73" s="74" t="n"/>
      <c r="J73" s="74">
        <f>G73-F73</f>
        <v/>
      </c>
      <c r="K73" s="74">
        <f>H73-F73</f>
        <v/>
      </c>
      <c r="L73" s="74">
        <f>H73-G73</f>
        <v/>
      </c>
      <c r="M73" s="55">
        <f>J73/F73</f>
        <v/>
      </c>
      <c r="N73" s="6" t="n">
        <v>569.8099999999999</v>
      </c>
      <c r="O73" s="6" t="n">
        <v>650.54</v>
      </c>
      <c r="P73" s="55">
        <f>(N73-O73)/O73</f>
        <v/>
      </c>
      <c r="Q73" s="74">
        <f>O73*0.9056*0.85</f>
        <v/>
      </c>
      <c r="R73" s="74">
        <f>O73*1.15</f>
        <v/>
      </c>
      <c r="S73" s="74">
        <f>IF(N73&lt;O73*0.9056*0.85,O73*0.9056*0.85,IF(N73&gt;O73*1.15,O73*1.15,N73))</f>
        <v/>
      </c>
      <c r="T73" s="74" t="n">
        <v>1310.56</v>
      </c>
      <c r="U73" s="74" t="n">
        <v>2193.77</v>
      </c>
      <c r="V73" s="74">
        <f>T73+S73*K73</f>
        <v/>
      </c>
      <c r="W73" s="74">
        <f>U73-T73</f>
        <v/>
      </c>
      <c r="X73" s="74">
        <f>V73-T73</f>
        <v/>
      </c>
      <c r="Y73" s="74">
        <f>V73-U73</f>
        <v/>
      </c>
      <c r="Z73" s="5" t="n"/>
    </row>
    <row r="74" ht="20" customHeight="1" s="1">
      <c r="A74" s="5" t="n">
        <v>65</v>
      </c>
      <c r="B74" s="5" t="inlineStr">
        <is>
          <t>010802003002</t>
        </is>
      </c>
      <c r="C74" s="5" t="inlineStr">
        <is>
          <t>钢质防火门</t>
        </is>
      </c>
      <c r="D74" s="5" t="inlineStr">
        <is>
          <t>1.门类型:钢质防火门单扇(乙级）
2.闭门器安装
3.其他详见施工设计图</t>
        </is>
      </c>
      <c r="E74" s="5" t="inlineStr">
        <is>
          <t>m2</t>
        </is>
      </c>
      <c r="F74" s="74" t="n">
        <v>7.25</v>
      </c>
      <c r="G74" s="74" t="n">
        <v>11.15</v>
      </c>
      <c r="H74" s="74" t="n">
        <v>11.15</v>
      </c>
      <c r="I74" s="74" t="n"/>
      <c r="J74" s="74">
        <f>G74-F74</f>
        <v/>
      </c>
      <c r="K74" s="74">
        <f>H74-F74</f>
        <v/>
      </c>
      <c r="L74" s="74">
        <f>H74-G74</f>
        <v/>
      </c>
      <c r="M74" s="55">
        <f>J74/F74</f>
        <v/>
      </c>
      <c r="N74" s="6" t="n">
        <v>547.91</v>
      </c>
      <c r="O74" s="6" t="n">
        <v>602.37</v>
      </c>
      <c r="P74" s="55">
        <f>(N74-O74)/O74</f>
        <v/>
      </c>
      <c r="Q74" s="74">
        <f>O74*0.9056*0.85</f>
        <v/>
      </c>
      <c r="R74" s="74">
        <f>O74*1.15</f>
        <v/>
      </c>
      <c r="S74" s="74">
        <f>IF(N74&lt;O74*0.9056*0.85,O74*0.9056*0.85,IF(N74&gt;O74*1.15,O74*1.15,N74))</f>
        <v/>
      </c>
      <c r="T74" s="74" t="n">
        <v>3969.61</v>
      </c>
      <c r="U74" s="74" t="n">
        <v>6106.46</v>
      </c>
      <c r="V74" s="74">
        <f>T74+S74*K74</f>
        <v/>
      </c>
      <c r="W74" s="74">
        <f>U74-T74</f>
        <v/>
      </c>
      <c r="X74" s="74">
        <f>V74-T74</f>
        <v/>
      </c>
      <c r="Y74" s="74">
        <f>V74-U74</f>
        <v/>
      </c>
      <c r="Z74" s="5" t="n"/>
    </row>
    <row r="75" ht="20" customHeight="1" s="1">
      <c r="A75" s="5" t="n">
        <v>66</v>
      </c>
      <c r="B75" s="5" t="inlineStr">
        <is>
          <t>010802003003</t>
        </is>
      </c>
      <c r="C75" s="5" t="inlineStr">
        <is>
          <t>钢质防火门</t>
        </is>
      </c>
      <c r="D75" s="5" t="inlineStr">
        <is>
          <t>1.门类型:钢质防火门单扇(丙级）
2.闭门器安装
3.其他详见施工设计图</t>
        </is>
      </c>
      <c r="E75" s="5" t="inlineStr">
        <is>
          <t>m2</t>
        </is>
      </c>
      <c r="F75" s="74" t="n">
        <v>9.6</v>
      </c>
      <c r="G75" s="74" t="n">
        <v>17.6</v>
      </c>
      <c r="H75" s="74">
        <f>14.4+3.2</f>
        <v/>
      </c>
      <c r="I75" s="74" t="n"/>
      <c r="J75" s="74">
        <f>G75-F75</f>
        <v/>
      </c>
      <c r="K75" s="74">
        <f>H75-F75</f>
        <v/>
      </c>
      <c r="L75" s="74">
        <f>H75-G75</f>
        <v/>
      </c>
      <c r="M75" s="55">
        <f>J75/F75</f>
        <v/>
      </c>
      <c r="N75" s="6" t="n">
        <v>585.85</v>
      </c>
      <c r="O75" s="6" t="n">
        <v>565.65</v>
      </c>
      <c r="P75" s="55">
        <f>(N75-O75)/O75</f>
        <v/>
      </c>
      <c r="Q75" s="74">
        <f>O75*0.9056*0.85</f>
        <v/>
      </c>
      <c r="R75" s="74">
        <f>O75*1.15</f>
        <v/>
      </c>
      <c r="S75" s="74">
        <f>IF(N75&lt;O75*0.9056*0.85,O75*0.9056*0.85,IF(N75&gt;O75*1.15,O75*1.15,N75))</f>
        <v/>
      </c>
      <c r="T75" s="74" t="n">
        <v>5624.16</v>
      </c>
      <c r="U75" s="74" t="n">
        <v>10310.96</v>
      </c>
      <c r="V75" s="74">
        <f>T75+S75*K75</f>
        <v/>
      </c>
      <c r="W75" s="74">
        <f>U75-T75</f>
        <v/>
      </c>
      <c r="X75" s="74">
        <f>V75-T75</f>
        <v/>
      </c>
      <c r="Y75" s="74">
        <f>V75-U75</f>
        <v/>
      </c>
      <c r="Z75" s="5" t="n"/>
    </row>
    <row r="76" ht="20" customHeight="1" s="1">
      <c r="A76" s="5" t="n">
        <v>67</v>
      </c>
      <c r="B76" s="5" t="inlineStr">
        <is>
          <t>010802003004</t>
        </is>
      </c>
      <c r="C76" s="5" t="inlineStr">
        <is>
          <t>钢质防火门</t>
        </is>
      </c>
      <c r="D76" s="5" t="inlineStr">
        <is>
          <t>1.门类型:钢质防火门双扇(甲级）
2.闭门器安装
3.其他详见施工设计图</t>
        </is>
      </c>
      <c r="E76" s="5" t="inlineStr">
        <is>
          <t>m2</t>
        </is>
      </c>
      <c r="F76" s="74" t="n">
        <v>16.4</v>
      </c>
      <c r="G76" s="74" t="n">
        <v>16.4</v>
      </c>
      <c r="H76" s="74" t="n">
        <v>16.4</v>
      </c>
      <c r="I76" s="74" t="n"/>
      <c r="J76" s="74">
        <f>G76-F76</f>
        <v/>
      </c>
      <c r="K76" s="74">
        <f>H76-F76</f>
        <v/>
      </c>
      <c r="L76" s="74">
        <f>H76-G76</f>
        <v/>
      </c>
      <c r="M76" s="55">
        <f>J76/F76</f>
        <v/>
      </c>
      <c r="N76" s="6" t="n">
        <v>585.83</v>
      </c>
      <c r="O76" s="6" t="n">
        <v>686.35</v>
      </c>
      <c r="P76" s="55">
        <f>(N76-O76)/O76</f>
        <v/>
      </c>
      <c r="Q76" s="74">
        <f>O76*0.9056*0.85</f>
        <v/>
      </c>
      <c r="R76" s="74">
        <f>O76*1.15</f>
        <v/>
      </c>
      <c r="S76" s="74">
        <f>IF(N76&lt;O76*0.9056*0.85,O76*0.9056*0.85,IF(N76&gt;O76*1.15,O76*1.15,N76))</f>
        <v/>
      </c>
      <c r="T76" s="74" t="n">
        <v>9607.610000000001</v>
      </c>
      <c r="U76" s="74" t="n">
        <v>9607.610000000001</v>
      </c>
      <c r="V76" s="74">
        <f>T76+S76*K76</f>
        <v/>
      </c>
      <c r="W76" s="74">
        <f>U76-T76</f>
        <v/>
      </c>
      <c r="X76" s="74">
        <f>V76-T76</f>
        <v/>
      </c>
      <c r="Y76" s="74">
        <f>V76-U76</f>
        <v/>
      </c>
      <c r="Z76" s="5" t="n"/>
    </row>
    <row r="77" ht="20" customHeight="1" s="1">
      <c r="A77" s="5" t="n">
        <v>68</v>
      </c>
      <c r="B77" s="5" t="inlineStr">
        <is>
          <t>010802003005</t>
        </is>
      </c>
      <c r="C77" s="5" t="inlineStr">
        <is>
          <t>钢质防火门</t>
        </is>
      </c>
      <c r="D77" s="5" t="inlineStr">
        <is>
          <t>1.门类型:钢质防火门双扇(乙级）
2.闭门器安装
3.其他详见施工设计图</t>
        </is>
      </c>
      <c r="E77" s="5" t="inlineStr">
        <is>
          <t>m2</t>
        </is>
      </c>
      <c r="F77" s="74" t="n">
        <v>38.87</v>
      </c>
      <c r="G77" s="74" t="n">
        <v>52.67</v>
      </c>
      <c r="H77" s="74">
        <f>3.68+40.71+8.28</f>
        <v/>
      </c>
      <c r="I77" s="74" t="n"/>
      <c r="J77" s="74">
        <f>G77-F77</f>
        <v/>
      </c>
      <c r="K77" s="74">
        <f>H77-F77</f>
        <v/>
      </c>
      <c r="L77" s="74">
        <f>H77-G77</f>
        <v/>
      </c>
      <c r="M77" s="55">
        <f>J77/F77</f>
        <v/>
      </c>
      <c r="N77" s="6" t="n">
        <v>514.6900000000001</v>
      </c>
      <c r="O77" s="6" t="n">
        <v>636.8</v>
      </c>
      <c r="P77" s="55">
        <f>(N77-O77)/O77</f>
        <v/>
      </c>
      <c r="Q77" s="74">
        <f>O77*0.9056*0.85</f>
        <v/>
      </c>
      <c r="R77" s="74">
        <f>O77*1.15</f>
        <v/>
      </c>
      <c r="S77" s="74">
        <f>IF(N77&lt;O77*0.9056*0.85,O77*0.9056*0.85,IF(N77&gt;O77*1.15,O77*1.15,N77))</f>
        <v/>
      </c>
      <c r="T77" s="74" t="n">
        <v>20006</v>
      </c>
      <c r="U77" s="74" t="n">
        <v>27108.72</v>
      </c>
      <c r="V77" s="74">
        <f>T77+S77*K77</f>
        <v/>
      </c>
      <c r="W77" s="74">
        <f>U77-T77</f>
        <v/>
      </c>
      <c r="X77" s="74">
        <f>V77-T77</f>
        <v/>
      </c>
      <c r="Y77" s="74">
        <f>V77-U77</f>
        <v/>
      </c>
      <c r="Z77" s="5" t="n"/>
    </row>
    <row r="78" ht="20" customHeight="1" s="1">
      <c r="A78" s="5" t="n">
        <v>69</v>
      </c>
      <c r="B78" s="5" t="inlineStr">
        <is>
          <t>010802003006</t>
        </is>
      </c>
      <c r="C78" s="5" t="inlineStr">
        <is>
          <t>钢质防火门</t>
        </is>
      </c>
      <c r="D78" s="5" t="inlineStr">
        <is>
          <t>1.门类型:钢质防火门四扇(乙级）
2.闭门器安装
3.其他详见施工设计图</t>
        </is>
      </c>
      <c r="E78" s="5" t="inlineStr">
        <is>
          <t>m2</t>
        </is>
      </c>
      <c r="F78" s="74" t="n">
        <v>8.279999999999999</v>
      </c>
      <c r="G78" s="74" t="n">
        <v>8.279999999999999</v>
      </c>
      <c r="H78" s="74" t="n">
        <v>8.279999999999999</v>
      </c>
      <c r="I78" s="74" t="n"/>
      <c r="J78" s="74">
        <f>G78-F78</f>
        <v/>
      </c>
      <c r="K78" s="74">
        <f>H78-F78</f>
        <v/>
      </c>
      <c r="L78" s="74">
        <f>H78-G78</f>
        <v/>
      </c>
      <c r="M78" s="55">
        <f>J78/F78</f>
        <v/>
      </c>
      <c r="N78" s="6" t="n">
        <v>554.23</v>
      </c>
      <c r="O78" s="6" t="n">
        <v>636.9400000000001</v>
      </c>
      <c r="P78" s="55">
        <f>(N78-O78)/O78</f>
        <v/>
      </c>
      <c r="Q78" s="74">
        <f>O78*0.9056*0.85</f>
        <v/>
      </c>
      <c r="R78" s="74">
        <f>O78*1.15</f>
        <v/>
      </c>
      <c r="S78" s="74">
        <f>IF(N78&lt;O78*0.9056*0.85,O78*0.9056*0.85,IF(N78&gt;O78*1.15,O78*1.15,N78))</f>
        <v/>
      </c>
      <c r="T78" s="74" t="n">
        <v>4589.02</v>
      </c>
      <c r="U78" s="74" t="n">
        <v>4589.02</v>
      </c>
      <c r="V78" s="74">
        <f>T78+S78*K78</f>
        <v/>
      </c>
      <c r="W78" s="74">
        <f>U78-T78</f>
        <v/>
      </c>
      <c r="X78" s="74">
        <f>V78-T78</f>
        <v/>
      </c>
      <c r="Y78" s="74">
        <f>V78-U78</f>
        <v/>
      </c>
      <c r="Z78" s="5" t="n"/>
    </row>
    <row r="79" ht="20" customHeight="1" s="1">
      <c r="A79" s="5" t="n">
        <v>70</v>
      </c>
      <c r="B79" s="5" t="inlineStr">
        <is>
          <t>010802001001</t>
        </is>
      </c>
      <c r="C79" s="5" t="inlineStr">
        <is>
          <t>金属(塑钢)门</t>
        </is>
      </c>
      <c r="D79" s="5" t="inlineStr">
        <is>
          <t>1.门类型:钢质平开门单扇
2.闭门器安装
3.其他详见施工设计图</t>
        </is>
      </c>
      <c r="E79" s="5" t="inlineStr">
        <is>
          <t>m2</t>
        </is>
      </c>
      <c r="F79" s="74" t="n">
        <v>33.81</v>
      </c>
      <c r="G79" s="74" t="n">
        <v>33.81</v>
      </c>
      <c r="H79" s="74">
        <f>28.98+4.83</f>
        <v/>
      </c>
      <c r="I79" s="74" t="n"/>
      <c r="J79" s="74">
        <f>G79-F79</f>
        <v/>
      </c>
      <c r="K79" s="74">
        <f>H79-F79</f>
        <v/>
      </c>
      <c r="L79" s="74">
        <f>H79-G79</f>
        <v/>
      </c>
      <c r="M79" s="55">
        <f>J79/F79</f>
        <v/>
      </c>
      <c r="N79" s="6" t="n">
        <v>767.13</v>
      </c>
      <c r="O79" s="6" t="n">
        <v>592.75</v>
      </c>
      <c r="P79" s="55">
        <f>(N79-O79)/O79</f>
        <v/>
      </c>
      <c r="Q79" s="74">
        <f>O79*0.9056*0.85</f>
        <v/>
      </c>
      <c r="R79" s="74">
        <f>O79*1.15</f>
        <v/>
      </c>
      <c r="S79" s="74">
        <f>IF(N79&lt;O79*0.9056*0.85,O79*0.9056*0.85,IF(N79&gt;O79*1.15,O79*1.15,N79))</f>
        <v/>
      </c>
      <c r="T79" s="74" t="n">
        <v>25936.67</v>
      </c>
      <c r="U79" s="74" t="n">
        <v>25936.67</v>
      </c>
      <c r="V79" s="74">
        <f>T79+S79*K79</f>
        <v/>
      </c>
      <c r="W79" s="74">
        <f>U79-T79</f>
        <v/>
      </c>
      <c r="X79" s="74">
        <f>V79-T79</f>
        <v/>
      </c>
      <c r="Y79" s="74">
        <f>V79-U79</f>
        <v/>
      </c>
      <c r="Z79" s="5" t="n"/>
    </row>
    <row r="80" ht="20" customHeight="1" s="1">
      <c r="A80" s="5" t="n">
        <v>71</v>
      </c>
      <c r="B80" s="5" t="inlineStr">
        <is>
          <t>010802001002</t>
        </is>
      </c>
      <c r="C80" s="5" t="inlineStr">
        <is>
          <t>金属(塑钢)门</t>
        </is>
      </c>
      <c r="D80" s="5" t="inlineStr">
        <is>
          <t>1.门类型:钢质平开门双扇
2.闭门器安装
3.其他详见施工设计图</t>
        </is>
      </c>
      <c r="E80" s="5" t="inlineStr">
        <is>
          <t>m2</t>
        </is>
      </c>
      <c r="F80" s="74" t="n">
        <v>77.73999999999999</v>
      </c>
      <c r="G80" s="74" t="n">
        <v>77.73999999999999</v>
      </c>
      <c r="H80" s="74">
        <f>10.35+57.04</f>
        <v/>
      </c>
      <c r="I80" s="74" t="n"/>
      <c r="J80" s="74">
        <f>G80-F80</f>
        <v/>
      </c>
      <c r="K80" s="74">
        <f>H80-F80</f>
        <v/>
      </c>
      <c r="L80" s="74">
        <f>H80-G80</f>
        <v/>
      </c>
      <c r="M80" s="55">
        <f>J80/F80</f>
        <v/>
      </c>
      <c r="N80" s="6" t="n">
        <v>818.97</v>
      </c>
      <c r="O80" s="6" t="n">
        <v>638.3099999999999</v>
      </c>
      <c r="P80" s="55">
        <f>(N80-O80)/O80</f>
        <v/>
      </c>
      <c r="Q80" s="74">
        <f>O80*0.9056*0.85</f>
        <v/>
      </c>
      <c r="R80" s="74">
        <f>O80*1.15</f>
        <v/>
      </c>
      <c r="S80" s="74">
        <f>IF(N80&lt;O80*0.9056*0.85,O80*0.9056*0.85,IF(N80&gt;O80*1.15,O80*1.15,N80))</f>
        <v/>
      </c>
      <c r="T80" s="74" t="n">
        <v>63666.73</v>
      </c>
      <c r="U80" s="74" t="n">
        <v>63666.73</v>
      </c>
      <c r="V80" s="74">
        <f>T80+S80*K80</f>
        <v/>
      </c>
      <c r="W80" s="74">
        <f>U80-T80</f>
        <v/>
      </c>
      <c r="X80" s="74">
        <f>V80-T80</f>
        <v/>
      </c>
      <c r="Y80" s="74">
        <f>V80-U80</f>
        <v/>
      </c>
      <c r="Z80" s="5" t="n"/>
    </row>
    <row r="81" ht="20" customHeight="1" s="1">
      <c r="A81" s="5" t="n">
        <v>72</v>
      </c>
      <c r="B81" s="5" t="inlineStr">
        <is>
          <t>010802001003</t>
        </is>
      </c>
      <c r="C81" s="5" t="inlineStr">
        <is>
          <t>金属(塑钢)门</t>
        </is>
      </c>
      <c r="D81" s="5" t="inlineStr">
        <is>
          <t>1.门类型:钢质平开门四扇
2.闭门器安装
3.其他详见施工设计图</t>
        </is>
      </c>
      <c r="E81" s="5" t="inlineStr">
        <is>
          <t>m2</t>
        </is>
      </c>
      <c r="F81" s="74" t="n">
        <v>8.279999999999999</v>
      </c>
      <c r="G81" s="74" t="n">
        <v>13.32</v>
      </c>
      <c r="H81" s="74" t="n">
        <v>8.279999999999999</v>
      </c>
      <c r="I81" s="74" t="n"/>
      <c r="J81" s="74">
        <f>G81-F81</f>
        <v/>
      </c>
      <c r="K81" s="74">
        <f>H81-F81</f>
        <v/>
      </c>
      <c r="L81" s="74">
        <f>H81-G81</f>
        <v/>
      </c>
      <c r="M81" s="55">
        <f>J81/F81</f>
        <v/>
      </c>
      <c r="N81" s="6" t="n">
        <v>880.74</v>
      </c>
      <c r="O81" s="6" t="n">
        <v>636.9400000000001</v>
      </c>
      <c r="P81" s="55">
        <f>(N81-O81)/O81</f>
        <v/>
      </c>
      <c r="Q81" s="74">
        <f>O81*0.9056*0.85</f>
        <v/>
      </c>
      <c r="R81" s="74">
        <f>O81*1.15</f>
        <v/>
      </c>
      <c r="S81" s="74">
        <f>IF(N81&lt;O81*0.9056*0.85,O81*0.9056*0.85,IF(N81&gt;O81*1.15,O81*1.15,N81))</f>
        <v/>
      </c>
      <c r="T81" s="74" t="n">
        <v>7292.53</v>
      </c>
      <c r="U81" s="74" t="n">
        <v>10984.23</v>
      </c>
      <c r="V81" s="74">
        <f>T81+S81*K81</f>
        <v/>
      </c>
      <c r="W81" s="74">
        <f>U81-T81</f>
        <v/>
      </c>
      <c r="X81" s="74">
        <f>V81-T81</f>
        <v/>
      </c>
      <c r="Y81" s="74">
        <f>V81-U81</f>
        <v/>
      </c>
      <c r="Z81" s="5" t="n"/>
    </row>
    <row r="82" ht="20" customHeight="1" s="1">
      <c r="A82" s="5" t="n">
        <v>73</v>
      </c>
      <c r="B82" s="5" t="inlineStr">
        <is>
          <t>010802001004</t>
        </is>
      </c>
      <c r="C82" s="5" t="inlineStr">
        <is>
          <t>金属(塑钢)门</t>
        </is>
      </c>
      <c r="D82" s="5" t="inlineStr">
        <is>
          <t>1.门类型:铝合金门联窗
2.铝材厚度:1.8mm
3.玻璃品种、厚度:Low-E中空玻璃(6+12A+6)
4.门拉手安装
5.其他详见施工设计图</t>
        </is>
      </c>
      <c r="E82" s="5" t="inlineStr">
        <is>
          <t>m2</t>
        </is>
      </c>
      <c r="F82" s="74" t="n">
        <v>95.98</v>
      </c>
      <c r="G82" s="74" t="n">
        <v>95.98</v>
      </c>
      <c r="H82" s="74">
        <f>67.76+27.9</f>
        <v/>
      </c>
      <c r="I82" s="74" t="n"/>
      <c r="J82" s="74">
        <f>G82-F82</f>
        <v/>
      </c>
      <c r="K82" s="74">
        <f>H82-F82</f>
        <v/>
      </c>
      <c r="L82" s="74">
        <f>H82-G82</f>
        <v/>
      </c>
      <c r="M82" s="55">
        <f>J82/F82</f>
        <v/>
      </c>
      <c r="N82" s="6" t="n">
        <v>735.1</v>
      </c>
      <c r="O82" s="6" t="n">
        <v>686.26</v>
      </c>
      <c r="P82" s="55">
        <f>(N82-O82)/O82</f>
        <v/>
      </c>
      <c r="Q82" s="74">
        <f>O82*0.9056*0.85</f>
        <v/>
      </c>
      <c r="R82" s="74">
        <f>O82*1.15</f>
        <v/>
      </c>
      <c r="S82" s="74">
        <f>IF(N82&lt;O82*0.9056*0.85,O82*0.9056*0.85,IF(N82&gt;O82*1.15,O82*1.15,N82))</f>
        <v/>
      </c>
      <c r="T82" s="74" t="n">
        <v>70554.89999999999</v>
      </c>
      <c r="U82" s="74" t="n">
        <v>70554.89999999999</v>
      </c>
      <c r="V82" s="74">
        <f>T82+S82*K82</f>
        <v/>
      </c>
      <c r="W82" s="74">
        <f>U82-T82</f>
        <v/>
      </c>
      <c r="X82" s="74">
        <f>V82-T82</f>
        <v/>
      </c>
      <c r="Y82" s="74">
        <f>V82-U82</f>
        <v/>
      </c>
      <c r="Z82" s="5" t="n"/>
    </row>
    <row r="83" ht="20" customHeight="1" s="1">
      <c r="A83" s="5" t="n">
        <v>74</v>
      </c>
      <c r="B83" s="5" t="inlineStr">
        <is>
          <t>010807006001</t>
        </is>
      </c>
      <c r="C83" s="5" t="inlineStr">
        <is>
          <t>配餐间售卖窗</t>
        </is>
      </c>
      <c r="D83" s="5" t="inlineStr">
        <is>
          <t>1.配餐间售卖窗
2.立杆：1.0mm304原色磨砂不锈钢
3.横杆：1.0mm304原色哑光不锈钢
4.上部8mm钢化清玻璃
5.下部15mm活动透明亚克力板
6.其他详见施工设计图</t>
        </is>
      </c>
      <c r="E83" s="5" t="inlineStr">
        <is>
          <t>m2</t>
        </is>
      </c>
      <c r="F83" s="74" t="n">
        <v>42.28</v>
      </c>
      <c r="G83" s="74" t="n">
        <v>43.08</v>
      </c>
      <c r="H83" s="74" t="n">
        <v>43.08</v>
      </c>
      <c r="I83" s="74" t="n"/>
      <c r="J83" s="74">
        <f>G83-F83</f>
        <v/>
      </c>
      <c r="K83" s="74">
        <f>H83-F83</f>
        <v/>
      </c>
      <c r="L83" s="74">
        <f>H83-G83</f>
        <v/>
      </c>
      <c r="M83" s="55">
        <f>J83/F83</f>
        <v/>
      </c>
      <c r="N83" s="6" t="n">
        <v>543</v>
      </c>
      <c r="O83" s="6" t="n">
        <v>450</v>
      </c>
      <c r="P83" s="55">
        <f>(N83-O83)/O83</f>
        <v/>
      </c>
      <c r="Q83" s="74">
        <f>O83*0.9056*0.85</f>
        <v/>
      </c>
      <c r="R83" s="74">
        <f>O83*1.15</f>
        <v/>
      </c>
      <c r="S83" s="74">
        <f>IF(N83&lt;O83*0.9056*0.85,O83*0.9056*0.85,IF(N83&gt;O83*1.15,O83*1.15,N83))</f>
        <v/>
      </c>
      <c r="T83" s="74" t="n">
        <v>22958.04</v>
      </c>
      <c r="U83" s="74" t="n">
        <v>23372.04</v>
      </c>
      <c r="V83" s="74">
        <f>T83+S83*K83</f>
        <v/>
      </c>
      <c r="W83" s="74">
        <f>U83-T83</f>
        <v/>
      </c>
      <c r="X83" s="74">
        <f>V83-T83</f>
        <v/>
      </c>
      <c r="Y83" s="74">
        <f>V83-U83</f>
        <v/>
      </c>
      <c r="Z83" s="5" t="n"/>
      <c r="AA83" s="73" t="inlineStr">
        <is>
          <t>图纸手算</t>
        </is>
      </c>
    </row>
    <row r="84" ht="20" customHeight="1" s="1">
      <c r="A84" s="5" t="n">
        <v>75</v>
      </c>
      <c r="B84" s="5" t="inlineStr">
        <is>
          <t>010807001001</t>
        </is>
      </c>
      <c r="C84" s="5" t="inlineStr">
        <is>
          <t>金属(塑钢、断桥)窗</t>
        </is>
      </c>
      <c r="D84" s="5" t="inlineStr">
        <is>
          <t>1.窗类型:外墙铝合金玻璃窗（编号MQ）
2.铝材厚度:1.8mm
3.玻璃品种、厚度:Low-E中空玻璃(6+12A+6)
4.排烟窗、新风防雨百叶做法详见图纸
5.其他详见施工设计图</t>
        </is>
      </c>
      <c r="E84" s="5" t="inlineStr">
        <is>
          <t>m2</t>
        </is>
      </c>
      <c r="F84" s="74" t="n">
        <v>673.01</v>
      </c>
      <c r="G84" s="74" t="n">
        <v>673.25</v>
      </c>
      <c r="H84" s="74" t="n">
        <v>673.25</v>
      </c>
      <c r="I84" s="74" t="n"/>
      <c r="J84" s="74">
        <f>G84-F84</f>
        <v/>
      </c>
      <c r="K84" s="74">
        <f>H84-F84</f>
        <v/>
      </c>
      <c r="L84" s="74">
        <f>H84-G84</f>
        <v/>
      </c>
      <c r="M84" s="55">
        <f>J84/F84</f>
        <v/>
      </c>
      <c r="N84" s="6" t="n">
        <v>803.79</v>
      </c>
      <c r="O84" s="6" t="n">
        <v>591.27</v>
      </c>
      <c r="P84" s="55">
        <f>(N84-O84)/O84</f>
        <v/>
      </c>
      <c r="Q84" s="74">
        <f>O84*0.9056*0.85</f>
        <v/>
      </c>
      <c r="R84" s="74">
        <f>O84*1.15</f>
        <v/>
      </c>
      <c r="S84" s="74">
        <f>IF(N84&lt;O84*0.9056*0.85,O84*0.9056*0.85,IF(N84&gt;O84*1.15,O84*1.15,N84))</f>
        <v/>
      </c>
      <c r="T84" s="74" t="n">
        <v>540958.71</v>
      </c>
      <c r="U84" s="74" t="n">
        <v>541121.9</v>
      </c>
      <c r="V84" s="74">
        <f>T84+S84*K84</f>
        <v/>
      </c>
      <c r="W84" s="74">
        <f>U84-T84</f>
        <v/>
      </c>
      <c r="X84" s="74">
        <f>V84-T84</f>
        <v/>
      </c>
      <c r="Y84" s="74">
        <f>V84-U84</f>
        <v/>
      </c>
      <c r="Z84" s="5" t="n"/>
    </row>
    <row r="85" ht="20" customHeight="1" s="1">
      <c r="A85" s="5" t="n">
        <v>76</v>
      </c>
      <c r="B85" s="5" t="inlineStr">
        <is>
          <t>010807001002</t>
        </is>
      </c>
      <c r="C85" s="5" t="inlineStr">
        <is>
          <t>金属(塑钢、断桥)窗</t>
        </is>
      </c>
      <c r="D85" s="5" t="inlineStr">
        <is>
          <t>1.厨房钢质传递窗
2.其他详见施工设计图</t>
        </is>
      </c>
      <c r="E85" s="5" t="inlineStr">
        <is>
          <t>m2</t>
        </is>
      </c>
      <c r="F85" s="74" t="n">
        <v>0.96</v>
      </c>
      <c r="G85" s="74" t="n">
        <v>0.96</v>
      </c>
      <c r="H85" s="74">
        <f>0.8*1.2</f>
        <v/>
      </c>
      <c r="I85" s="74" t="n"/>
      <c r="J85" s="74">
        <f>G85-F85</f>
        <v/>
      </c>
      <c r="K85" s="74">
        <f>H85-F85</f>
        <v/>
      </c>
      <c r="L85" s="74">
        <f>H85-G85</f>
        <v/>
      </c>
      <c r="M85" s="55">
        <f>J85/F85</f>
        <v/>
      </c>
      <c r="N85" s="6" t="n">
        <v>582</v>
      </c>
      <c r="O85" s="6" t="n">
        <v>428.75</v>
      </c>
      <c r="P85" s="55">
        <f>(N85-O85)/O85</f>
        <v/>
      </c>
      <c r="Q85" s="74">
        <f>O85*0.9056*0.85</f>
        <v/>
      </c>
      <c r="R85" s="74">
        <f>O85*1.15</f>
        <v/>
      </c>
      <c r="S85" s="74">
        <f>IF(N85&lt;O85*0.9056*0.85,O85*0.9056*0.85,IF(N85&gt;O85*1.15,O85*1.15,N85))</f>
        <v/>
      </c>
      <c r="T85" s="74" t="n">
        <v>558.72</v>
      </c>
      <c r="U85" s="74" t="n">
        <v>558.72</v>
      </c>
      <c r="V85" s="74">
        <f>T85+S85*K85</f>
        <v/>
      </c>
      <c r="W85" s="74">
        <f>U85-T85</f>
        <v/>
      </c>
      <c r="X85" s="74">
        <f>V85-T85</f>
        <v/>
      </c>
      <c r="Y85" s="74">
        <f>V85-U85</f>
        <v/>
      </c>
      <c r="Z85" s="5" t="n"/>
    </row>
    <row r="86" ht="20" customHeight="1" s="1">
      <c r="A86" s="5" t="n">
        <v>77</v>
      </c>
      <c r="B86" s="5" t="inlineStr">
        <is>
          <t>010807001003</t>
        </is>
      </c>
      <c r="C86" s="5" t="inlineStr">
        <is>
          <t>金属(塑钢、断桥)窗</t>
        </is>
      </c>
      <c r="D86" s="5" t="inlineStr">
        <is>
          <t>1.窗类型:90系列推拉窗
2.铝材厚度:1.8mm
3.玻璃品种、厚度:Low-E中空玻璃(6+12A+6)
4.排烟窗、新风防雨百叶做法详见图纸
5.其他详见施工设计图</t>
        </is>
      </c>
      <c r="E86" s="5" t="inlineStr">
        <is>
          <t>m2</t>
        </is>
      </c>
      <c r="F86" s="74" t="n">
        <v>101.88</v>
      </c>
      <c r="G86" s="74" t="n">
        <v>101.88</v>
      </c>
      <c r="H86" s="74">
        <f>91.82</f>
        <v/>
      </c>
      <c r="I86" s="74" t="n"/>
      <c r="J86" s="74">
        <f>G86-F86</f>
        <v/>
      </c>
      <c r="K86" s="74">
        <f>H86-F86</f>
        <v/>
      </c>
      <c r="L86" s="74">
        <f>H86-G86</f>
        <v/>
      </c>
      <c r="M86" s="55">
        <f>J86/F86</f>
        <v/>
      </c>
      <c r="N86" s="6" t="n">
        <v>565.96</v>
      </c>
      <c r="O86" s="6" t="n">
        <v>604.01</v>
      </c>
      <c r="P86" s="55">
        <f>(N86-O86)/O86</f>
        <v/>
      </c>
      <c r="Q86" s="74">
        <f>O86*0.9056*0.85</f>
        <v/>
      </c>
      <c r="R86" s="74">
        <f>O86*1.15</f>
        <v/>
      </c>
      <c r="S86" s="74">
        <f>IF(N86&lt;O86*0.9056*0.85,O86*0.9056*0.85,IF(N86&gt;O86*1.15,O86*1.15,N86))</f>
        <v/>
      </c>
      <c r="T86" s="74" t="n">
        <v>57660</v>
      </c>
      <c r="U86" s="74" t="n">
        <v>57660</v>
      </c>
      <c r="V86" s="74">
        <f>T86+S86*K86</f>
        <v/>
      </c>
      <c r="W86" s="74">
        <f>U86-T86</f>
        <v/>
      </c>
      <c r="X86" s="74">
        <f>V86-T86</f>
        <v/>
      </c>
      <c r="Y86" s="74">
        <f>V86-U86</f>
        <v/>
      </c>
      <c r="Z86" s="5" t="n"/>
    </row>
    <row r="87" ht="20" customHeight="1" s="1">
      <c r="A87" s="5" t="n">
        <v>78</v>
      </c>
      <c r="B87" s="5" t="inlineStr">
        <is>
          <t>010807001004</t>
        </is>
      </c>
      <c r="C87" s="5" t="inlineStr">
        <is>
          <t>金属(塑钢、断桥)窗</t>
        </is>
      </c>
      <c r="D87" s="5" t="inlineStr">
        <is>
          <t>1.窗类型:70系列铝合金平开窗
2.铝材厚度:1.8mm
3.玻璃品种、厚度:Low-E中空玻璃(6+12A+6)
4.其他详见施工设计图</t>
        </is>
      </c>
      <c r="E87" s="5" t="inlineStr">
        <is>
          <t>m2</t>
        </is>
      </c>
      <c r="F87" s="74" t="n">
        <v>5.07</v>
      </c>
      <c r="G87" s="74" t="n">
        <v>5.85</v>
      </c>
      <c r="H87" s="74">
        <f>5.85</f>
        <v/>
      </c>
      <c r="I87" s="74" t="n"/>
      <c r="J87" s="74">
        <f>G87-F87</f>
        <v/>
      </c>
      <c r="K87" s="74">
        <f>H87-F87</f>
        <v/>
      </c>
      <c r="L87" s="74">
        <f>H87-G87</f>
        <v/>
      </c>
      <c r="M87" s="55">
        <f>J87/F87</f>
        <v/>
      </c>
      <c r="N87" s="6" t="n">
        <v>657.9299999999999</v>
      </c>
      <c r="O87" s="6" t="n">
        <v>574.3</v>
      </c>
      <c r="P87" s="55">
        <f>(N87-O87)/O87</f>
        <v/>
      </c>
      <c r="Q87" s="74">
        <f>O87*0.9056*0.85</f>
        <v/>
      </c>
      <c r="R87" s="74">
        <f>O87*1.15</f>
        <v/>
      </c>
      <c r="S87" s="74">
        <f>IF(N87&lt;O87*0.9056*0.85,O87*0.9056*0.85,IF(N87&gt;O87*1.15,O87*1.15,N87))</f>
        <v/>
      </c>
      <c r="T87" s="74" t="n">
        <v>3335.71</v>
      </c>
      <c r="U87" s="74" t="n">
        <v>3848.89</v>
      </c>
      <c r="V87" s="74" t="n">
        <v>3848.89</v>
      </c>
      <c r="W87" s="74">
        <f>U87-T87</f>
        <v/>
      </c>
      <c r="X87" s="74">
        <f>V87-T87</f>
        <v/>
      </c>
      <c r="Y87" s="74">
        <f>V87-U87</f>
        <v/>
      </c>
      <c r="Z87" s="5" t="n"/>
    </row>
    <row r="88" ht="20" customHeight="1" s="1">
      <c r="A88" s="5" t="n">
        <v>79</v>
      </c>
      <c r="B88" s="5" t="inlineStr">
        <is>
          <t>010807001005</t>
        </is>
      </c>
      <c r="C88" s="5" t="inlineStr">
        <is>
          <t>金属(塑钢、断桥)窗</t>
        </is>
      </c>
      <c r="D88" s="5" t="inlineStr">
        <is>
          <t>1.窗类型:铝合金固定窗
2.铝材厚度:1.8mm
3.玻璃品种、厚度:Low-E中空玻璃(6+12A+6)
4.其他详见施工设计图</t>
        </is>
      </c>
      <c r="E88" s="5" t="inlineStr">
        <is>
          <t>m2</t>
        </is>
      </c>
      <c r="F88" s="74" t="n">
        <v>48.24</v>
      </c>
      <c r="G88" s="74" t="n">
        <v>79.29000000000001</v>
      </c>
      <c r="H88" s="74">
        <f>16.29+38.88</f>
        <v/>
      </c>
      <c r="I88" s="74" t="n"/>
      <c r="J88" s="74">
        <f>G88-F88</f>
        <v/>
      </c>
      <c r="K88" s="74">
        <f>H88-F88</f>
        <v/>
      </c>
      <c r="L88" s="74">
        <f>H88-G88</f>
        <v/>
      </c>
      <c r="M88" s="55">
        <f>J88/F88</f>
        <v/>
      </c>
      <c r="N88" s="6" t="n">
        <v>568.25</v>
      </c>
      <c r="O88" s="6" t="n">
        <v>523.72</v>
      </c>
      <c r="P88" s="55">
        <f>(N88-O88)/O88</f>
        <v/>
      </c>
      <c r="Q88" s="74">
        <f>O88*0.9056*0.85</f>
        <v/>
      </c>
      <c r="R88" s="74">
        <f>O88*1.15</f>
        <v/>
      </c>
      <c r="S88" s="74">
        <f>IF(N88&lt;O88*0.9056*0.85,O88*0.9056*0.85,IF(N88&gt;O88*1.15,O88*1.15,N88))</f>
        <v/>
      </c>
      <c r="T88" s="74" t="n">
        <v>27412.38</v>
      </c>
      <c r="U88" s="74" t="n">
        <v>45053.7</v>
      </c>
      <c r="V88" s="74">
        <f>T88+S88*K88</f>
        <v/>
      </c>
      <c r="W88" s="74">
        <f>U88-T88</f>
        <v/>
      </c>
      <c r="X88" s="74">
        <f>V88-T88</f>
        <v/>
      </c>
      <c r="Y88" s="74">
        <f>V88-U88</f>
        <v/>
      </c>
      <c r="Z88" s="5" t="n"/>
    </row>
    <row r="89" ht="20" customHeight="1" s="1">
      <c r="A89" s="5" t="n">
        <v>80</v>
      </c>
      <c r="B89" s="5" t="inlineStr">
        <is>
          <t>010807003001</t>
        </is>
      </c>
      <c r="C89" s="5" t="inlineStr">
        <is>
          <t>金属百叶窗</t>
        </is>
      </c>
      <c r="D89" s="5" t="inlineStr">
        <is>
          <t>1.铝合金百叶窗
2.其他详见施工设计图</t>
        </is>
      </c>
      <c r="E89" s="5" t="inlineStr">
        <is>
          <t>m2</t>
        </is>
      </c>
      <c r="F89" s="74" t="n">
        <v>13.44</v>
      </c>
      <c r="G89" s="74" t="n">
        <v>36.73</v>
      </c>
      <c r="H89" s="74">
        <f>15.63</f>
        <v/>
      </c>
      <c r="I89" s="74" t="n"/>
      <c r="J89" s="74">
        <f>G89-F89</f>
        <v/>
      </c>
      <c r="K89" s="74">
        <f>H89-F89</f>
        <v/>
      </c>
      <c r="L89" s="74">
        <f>H89-G89</f>
        <v/>
      </c>
      <c r="M89" s="55">
        <f>J89/F89</f>
        <v/>
      </c>
      <c r="N89" s="6" t="n">
        <v>301.24</v>
      </c>
      <c r="O89" s="6" t="n">
        <v>401</v>
      </c>
      <c r="P89" s="55">
        <f>(N89-O89)/O89</f>
        <v/>
      </c>
      <c r="Q89" s="74">
        <f>O89*0.9056*0.85</f>
        <v/>
      </c>
      <c r="R89" s="74">
        <f>O89*1.15</f>
        <v/>
      </c>
      <c r="S89" s="74">
        <f>IF(N89&lt;O89*0.9056*0.85,O89*0.9056*0.85,IF(N89&gt;O89*1.15,O89*1.15,N89))</f>
        <v/>
      </c>
      <c r="T89" s="74" t="n">
        <v>4047.16</v>
      </c>
      <c r="U89" s="74" t="n">
        <v>11238.7</v>
      </c>
      <c r="V89" s="74">
        <f>T89+S89*K89</f>
        <v/>
      </c>
      <c r="W89" s="74">
        <f>U89-T89</f>
        <v/>
      </c>
      <c r="X89" s="74">
        <f>V89-T89</f>
        <v/>
      </c>
      <c r="Y89" s="74">
        <f>V89-U89</f>
        <v/>
      </c>
      <c r="Z89" s="5" t="n"/>
    </row>
    <row r="90" ht="20" customHeight="1" s="1">
      <c r="A90" s="5" t="n">
        <v>81</v>
      </c>
      <c r="B90" s="5" t="inlineStr">
        <is>
          <t>010807003004</t>
        </is>
      </c>
      <c r="C90" s="5" t="inlineStr">
        <is>
          <t>金属百叶窗</t>
        </is>
      </c>
      <c r="D90" s="5" t="inlineStr">
        <is>
          <t>1.铝合金空调百叶
2.30*30*2.0灰色铝方通
3.25*50*1.5灰色铝方通
4.其他详见施工设计图</t>
        </is>
      </c>
      <c r="E90" s="5" t="inlineStr">
        <is>
          <t>m2</t>
        </is>
      </c>
      <c r="F90" s="74" t="n">
        <v>21</v>
      </c>
      <c r="G90" s="74" t="n">
        <v>21</v>
      </c>
      <c r="H90" s="74" t="n">
        <v>21</v>
      </c>
      <c r="I90" s="74" t="n"/>
      <c r="J90" s="74">
        <f>G90-F90</f>
        <v/>
      </c>
      <c r="K90" s="74">
        <f>H90-F90</f>
        <v/>
      </c>
      <c r="L90" s="74">
        <f>H90-G90</f>
        <v/>
      </c>
      <c r="M90" s="55">
        <f>J90/F90</f>
        <v/>
      </c>
      <c r="N90" s="6" t="n">
        <v>301.24</v>
      </c>
      <c r="O90" s="6" t="n">
        <v>428.94</v>
      </c>
      <c r="P90" s="55">
        <f>(N90-O90)/O90</f>
        <v/>
      </c>
      <c r="Q90" s="74">
        <f>O90*0.9056*0.85</f>
        <v/>
      </c>
      <c r="R90" s="74">
        <f>O90*1.15</f>
        <v/>
      </c>
      <c r="S90" s="74">
        <f>IF(N90&lt;O90*0.9056*0.85,O90*0.9056*0.85,IF(N90&gt;O90*1.15,O90*1.15,N90))</f>
        <v/>
      </c>
      <c r="T90" s="74" t="n">
        <v>6326.04</v>
      </c>
      <c r="U90" s="74" t="n">
        <v>6326.04</v>
      </c>
      <c r="V90" s="74">
        <f>T90+S90*K90</f>
        <v/>
      </c>
      <c r="W90" s="74">
        <f>U90-T90</f>
        <v/>
      </c>
      <c r="X90" s="74">
        <f>V90-T90</f>
        <v/>
      </c>
      <c r="Y90" s="74">
        <f>V90-U90</f>
        <v/>
      </c>
      <c r="Z90" s="5" t="n"/>
    </row>
    <row r="91" ht="20" customHeight="1" s="1">
      <c r="A91" s="5" t="n">
        <v>82</v>
      </c>
      <c r="B91" s="5" t="inlineStr">
        <is>
          <t>010807005001</t>
        </is>
      </c>
      <c r="C91" s="5" t="inlineStr">
        <is>
          <t>封窗铁丝网</t>
        </is>
      </c>
      <c r="D91" s="5" t="inlineStr">
        <is>
          <t>1.室内篮球场窗内封定制铁丝网
2.其他详见施工设计图</t>
        </is>
      </c>
      <c r="E91" s="5" t="inlineStr">
        <is>
          <t>m2</t>
        </is>
      </c>
      <c r="F91" s="74" t="n">
        <v>324.72</v>
      </c>
      <c r="G91" s="74" t="n">
        <v>324.72</v>
      </c>
      <c r="H91" s="74" t="n">
        <v>324.72</v>
      </c>
      <c r="I91" s="74" t="n"/>
      <c r="J91" s="74">
        <f>G91-F91</f>
        <v/>
      </c>
      <c r="K91" s="74">
        <f>H91-F91</f>
        <v/>
      </c>
      <c r="L91" s="74">
        <f>H91-G91</f>
        <v/>
      </c>
      <c r="M91" s="55">
        <f>J91/F91</f>
        <v/>
      </c>
      <c r="N91" s="6" t="n">
        <v>200</v>
      </c>
      <c r="O91" s="6" t="n">
        <v>227.64</v>
      </c>
      <c r="P91" s="55">
        <f>(N91-O91)/O91</f>
        <v/>
      </c>
      <c r="Q91" s="74">
        <f>O91*0.9056*0.85</f>
        <v/>
      </c>
      <c r="R91" s="74">
        <f>O91*1.15</f>
        <v/>
      </c>
      <c r="S91" s="74">
        <f>IF(N91&lt;O91*0.9056*0.85,O91*0.9056*0.85,IF(N91&gt;O91*1.15,O91*1.15,N91))</f>
        <v/>
      </c>
      <c r="T91" s="74" t="n">
        <v>64944</v>
      </c>
      <c r="U91" s="74" t="n">
        <v>64944</v>
      </c>
      <c r="V91" s="74">
        <f>T91+S91*K91</f>
        <v/>
      </c>
      <c r="W91" s="74">
        <f>U91-T91</f>
        <v/>
      </c>
      <c r="X91" s="74">
        <f>V91-T91</f>
        <v/>
      </c>
      <c r="Y91" s="74">
        <f>V91-U91</f>
        <v/>
      </c>
      <c r="Z91" s="5" t="n"/>
    </row>
    <row r="92" ht="20" customHeight="1" s="1">
      <c r="A92" s="5" t="n">
        <v>83</v>
      </c>
      <c r="B92" s="5" t="inlineStr">
        <is>
          <t>010808004001</t>
        </is>
      </c>
      <c r="C92" s="5" t="inlineStr">
        <is>
          <t>金属门窗套</t>
        </is>
      </c>
      <c r="D92" s="5" t="inlineStr">
        <is>
          <t>1.基层材料种类:30*30阻燃木龙骨底架
2.面层材料品种、规格:2.5mm厚黄色铝单板
3.其他详见施工设计图</t>
        </is>
      </c>
      <c r="E92" s="5" t="inlineStr">
        <is>
          <t>m2</t>
        </is>
      </c>
      <c r="F92" s="74" t="n">
        <v>12.97</v>
      </c>
      <c r="G92" s="74" t="n">
        <v>12.97</v>
      </c>
      <c r="H92" s="74" t="n">
        <v>12.97</v>
      </c>
      <c r="I92" s="74" t="n"/>
      <c r="J92" s="74">
        <f>G92-F92</f>
        <v/>
      </c>
      <c r="K92" s="74">
        <f>H92-F92</f>
        <v/>
      </c>
      <c r="L92" s="74">
        <f>H92-G92</f>
        <v/>
      </c>
      <c r="M92" s="55">
        <f>J92/F92</f>
        <v/>
      </c>
      <c r="N92" s="6" t="n">
        <v>583.16</v>
      </c>
      <c r="O92" s="6" t="n">
        <v>890.22</v>
      </c>
      <c r="P92" s="55">
        <f>(N92-O92)/O92</f>
        <v/>
      </c>
      <c r="Q92" s="74">
        <f>O92*0.9056*0.85</f>
        <v/>
      </c>
      <c r="R92" s="74">
        <f>O92*1.15</f>
        <v/>
      </c>
      <c r="S92" s="74">
        <f>IF(N92&lt;O92*0.9056*0.85,O92*0.9056*0.85,IF(N92&gt;O92*1.15,O92*1.15,N92))</f>
        <v/>
      </c>
      <c r="T92" s="74" t="n">
        <v>7563.59</v>
      </c>
      <c r="U92" s="74" t="n">
        <v>7563.59</v>
      </c>
      <c r="V92" s="74">
        <f>T92+S92*K92</f>
        <v/>
      </c>
      <c r="W92" s="74">
        <f>U92-T92</f>
        <v/>
      </c>
      <c r="X92" s="74">
        <f>V92-T92</f>
        <v/>
      </c>
      <c r="Y92" s="74">
        <f>V92-U92</f>
        <v/>
      </c>
      <c r="Z92" s="5" t="n"/>
    </row>
    <row r="93" ht="20" customHeight="1" s="1">
      <c r="A93" s="5" t="n">
        <v>84</v>
      </c>
      <c r="B93" s="5" t="inlineStr">
        <is>
          <t>010808005001</t>
        </is>
      </c>
      <c r="C93" s="5" t="inlineStr">
        <is>
          <t>石材门窗套</t>
        </is>
      </c>
      <c r="D93" s="5" t="inlineStr">
        <is>
          <t>1.成品石材门窗套</t>
        </is>
      </c>
      <c r="E93" s="5" t="inlineStr">
        <is>
          <t>m2</t>
        </is>
      </c>
      <c r="F93" s="74" t="n">
        <v>4.49</v>
      </c>
      <c r="G93" s="74" t="n">
        <v>4.49</v>
      </c>
      <c r="H93" s="74" t="n">
        <v>4.49</v>
      </c>
      <c r="I93" s="74" t="n"/>
      <c r="J93" s="74">
        <f>G93-F93</f>
        <v/>
      </c>
      <c r="K93" s="74">
        <f>H93-F93</f>
        <v/>
      </c>
      <c r="L93" s="74">
        <f>H93-G93</f>
        <v/>
      </c>
      <c r="M93" s="55">
        <f>J93/F93</f>
        <v/>
      </c>
      <c r="N93" s="6" t="n">
        <v>1295.22</v>
      </c>
      <c r="O93" s="6" t="n">
        <v>410.19</v>
      </c>
      <c r="P93" s="55">
        <f>(N93-O93)/O93</f>
        <v/>
      </c>
      <c r="Q93" s="74">
        <f>O93*0.9056*0.85</f>
        <v/>
      </c>
      <c r="R93" s="74">
        <f>O93*1.15</f>
        <v/>
      </c>
      <c r="S93" s="74">
        <f>IF(N93&lt;O93*0.9056*0.85,O93*0.9056*0.85,IF(N93&gt;O93*1.15,O93*1.15,N93))</f>
        <v/>
      </c>
      <c r="T93" s="74" t="n">
        <v>5815.54</v>
      </c>
      <c r="U93" s="74" t="n">
        <v>5815.54</v>
      </c>
      <c r="V93" s="74">
        <f>T93+S93*K93</f>
        <v/>
      </c>
      <c r="W93" s="74">
        <f>U93-T93</f>
        <v/>
      </c>
      <c r="X93" s="74">
        <f>V93-T93</f>
        <v/>
      </c>
      <c r="Y93" s="74">
        <f>V93-U93</f>
        <v/>
      </c>
      <c r="Z93" s="5" t="n"/>
      <c r="AA93" s="73" t="inlineStr">
        <is>
          <t>在变更23扣减，变更23的投标单价有误，需修改</t>
        </is>
      </c>
    </row>
    <row r="94" ht="20" customHeight="1" s="1">
      <c r="A94" s="5" t="n"/>
      <c r="B94" s="5" t="n"/>
      <c r="C94" s="5" t="inlineStr">
        <is>
          <t>屋面及防水工程</t>
        </is>
      </c>
      <c r="D94" s="5" t="n"/>
      <c r="E94" s="5" t="n"/>
      <c r="F94" s="74" t="n"/>
      <c r="G94" s="74" t="n"/>
      <c r="H94" s="74" t="n"/>
      <c r="I94" s="74" t="n"/>
      <c r="J94" s="74" t="n"/>
      <c r="K94" s="74" t="n"/>
      <c r="L94" s="74" t="n"/>
      <c r="M94" s="55" t="n"/>
      <c r="N94" s="6" t="n"/>
      <c r="O94" s="6" t="n"/>
      <c r="P94" s="55" t="n"/>
      <c r="Q94" s="74" t="n"/>
      <c r="R94" s="74" t="n"/>
      <c r="S94" s="74" t="n"/>
      <c r="T94" s="74" t="n">
        <v>789275.49</v>
      </c>
      <c r="U94" s="74" t="n">
        <v>880995.26</v>
      </c>
      <c r="V94" s="74">
        <f>+SUM(V95:V107)</f>
        <v/>
      </c>
      <c r="W94" s="74">
        <f>U94-T94</f>
        <v/>
      </c>
      <c r="X94" s="74">
        <f>V94-T94</f>
        <v/>
      </c>
      <c r="Y94" s="74">
        <f>V94-U94</f>
        <v/>
      </c>
      <c r="Z94" s="5" t="n"/>
      <c r="AA94" s="73" t="n"/>
    </row>
    <row r="95" ht="20" customHeight="1" s="1">
      <c r="A95" s="5" t="n">
        <v>85</v>
      </c>
      <c r="B95" s="5" t="inlineStr">
        <is>
          <t>010903002002</t>
        </is>
      </c>
      <c r="C95" s="5" t="inlineStr">
        <is>
          <t>墙面涂膜防水（墙4）</t>
        </is>
      </c>
      <c r="D95" s="5" t="inlineStr">
        <is>
          <t>1.1.5厚聚合物水泥防水涂料分3遍成活，遇门洞反入梁面不少于50mm（本防水层与地面反起防水层为同一道防水层）
2.15厚WPM20水泥砂浆找平,分两遍成活，底层抹灰应压实搓毛</t>
        </is>
      </c>
      <c r="E95" s="5" t="inlineStr">
        <is>
          <t>m2</t>
        </is>
      </c>
      <c r="F95" s="74" t="n">
        <v>1624.08</v>
      </c>
      <c r="G95" s="74" t="n">
        <v>1764.22</v>
      </c>
      <c r="H95" s="74" t="n">
        <v>1764.22</v>
      </c>
      <c r="I95" s="74" t="n"/>
      <c r="J95" s="74">
        <f>G95-F95</f>
        <v/>
      </c>
      <c r="K95" s="74">
        <f>H95-F95</f>
        <v/>
      </c>
      <c r="L95" s="74">
        <f>H95-G95</f>
        <v/>
      </c>
      <c r="M95" s="55">
        <f>J95/F95</f>
        <v/>
      </c>
      <c r="N95" s="6" t="n">
        <v>52.26</v>
      </c>
      <c r="O95" s="6" t="n">
        <v>81.34999999999999</v>
      </c>
      <c r="P95" s="55">
        <f>(N95-O95)/O95</f>
        <v/>
      </c>
      <c r="Q95" s="74">
        <f>O95*0.9056*0.85</f>
        <v/>
      </c>
      <c r="R95" s="74">
        <f>O95*1.15</f>
        <v/>
      </c>
      <c r="S95" s="74">
        <f>IF(N95&lt;O95*0.9056*0.85,O95*0.9056*0.85,IF(N95&gt;O95*1.15,O95*1.15,N95))</f>
        <v/>
      </c>
      <c r="T95" s="74" t="n">
        <v>84874.62</v>
      </c>
      <c r="U95" s="74" t="n">
        <v>93650.00999999999</v>
      </c>
      <c r="V95" s="74" t="n">
        <v>93650.00999999999</v>
      </c>
      <c r="W95" s="74">
        <f>U95-T95</f>
        <v/>
      </c>
      <c r="X95" s="74">
        <f>V95-T95</f>
        <v/>
      </c>
      <c r="Y95" s="74">
        <f>V95-U95</f>
        <v/>
      </c>
      <c r="Z95" s="5" t="n"/>
    </row>
    <row r="96" ht="20" customHeight="1" s="1">
      <c r="A96" s="5" t="n">
        <v>86</v>
      </c>
      <c r="B96" s="5" t="inlineStr">
        <is>
          <t>010904002001</t>
        </is>
      </c>
      <c r="C96" s="5" t="inlineStr">
        <is>
          <t>楼(地)面涂膜防水（沉池）</t>
        </is>
      </c>
      <c r="D96" s="5" t="inlineStr">
        <is>
          <t>1.1.5厚聚合物水泥防水涂料
2.20厚M20水泥砂浆找平找坡层</t>
        </is>
      </c>
      <c r="E96" s="5" t="inlineStr">
        <is>
          <t>m2</t>
        </is>
      </c>
      <c r="F96" s="74" t="n">
        <v>108.07</v>
      </c>
      <c r="G96" s="74" t="n">
        <v>108.07</v>
      </c>
      <c r="H96" s="74">
        <f>10.44</f>
        <v/>
      </c>
      <c r="I96" s="74" t="n"/>
      <c r="J96" s="74">
        <f>G96-F96</f>
        <v/>
      </c>
      <c r="K96" s="74">
        <f>H96-F96</f>
        <v/>
      </c>
      <c r="L96" s="74">
        <f>H96-G96</f>
        <v/>
      </c>
      <c r="M96" s="55">
        <f>J96/F96</f>
        <v/>
      </c>
      <c r="N96" s="6" t="n">
        <v>63.95</v>
      </c>
      <c r="O96" s="6" t="n">
        <v>70.44</v>
      </c>
      <c r="P96" s="55">
        <f>(N96-O96)/O96</f>
        <v/>
      </c>
      <c r="Q96" s="74">
        <f>O96*0.9056*0.85</f>
        <v/>
      </c>
      <c r="R96" s="74">
        <f>O96*1.15</f>
        <v/>
      </c>
      <c r="S96" s="74">
        <f>IF(N96&lt;O96*0.9056*0.85,O96*0.9056*0.85,IF(N96&gt;O96*1.15,O96*1.15,N96))</f>
        <v/>
      </c>
      <c r="T96" s="74" t="n">
        <v>6911.22</v>
      </c>
      <c r="U96" s="74" t="n">
        <v>6911.22</v>
      </c>
      <c r="V96" s="74">
        <f>T96+S96*K96</f>
        <v/>
      </c>
      <c r="W96" s="74">
        <f>U96-T96</f>
        <v/>
      </c>
      <c r="X96" s="74">
        <f>V96-T96</f>
        <v/>
      </c>
      <c r="Y96" s="74">
        <f>V96-U96</f>
        <v/>
      </c>
      <c r="Z96" s="5" t="n"/>
    </row>
    <row r="97" ht="20" customHeight="1" s="1">
      <c r="A97" s="5" t="n">
        <v>87</v>
      </c>
      <c r="B97" s="5" t="inlineStr">
        <is>
          <t>010904002002</t>
        </is>
      </c>
      <c r="C97" s="5" t="inlineStr">
        <is>
          <t>楼(地)面涂膜防水（卫生间）</t>
        </is>
      </c>
      <c r="D97" s="5" t="inlineStr">
        <is>
          <t>1.1.5厚聚合物水泥防水涂料</t>
        </is>
      </c>
      <c r="E97" s="5" t="inlineStr">
        <is>
          <t>m2</t>
        </is>
      </c>
      <c r="F97" s="74" t="n">
        <v>78.15000000000001</v>
      </c>
      <c r="G97" s="74" t="n">
        <v>0</v>
      </c>
      <c r="H97" s="74" t="n">
        <v>78.42</v>
      </c>
      <c r="I97" s="74" t="n"/>
      <c r="J97" s="74">
        <f>G97-F97</f>
        <v/>
      </c>
      <c r="K97" s="74">
        <f>H97-F97</f>
        <v/>
      </c>
      <c r="L97" s="74">
        <f>H97-G97</f>
        <v/>
      </c>
      <c r="M97" s="55">
        <f>J97/F97</f>
        <v/>
      </c>
      <c r="N97" s="6" t="n">
        <v>42.91</v>
      </c>
      <c r="O97" s="6" t="n">
        <v>46.07</v>
      </c>
      <c r="P97" s="55">
        <f>(N97-O97)/O97</f>
        <v/>
      </c>
      <c r="Q97" s="74">
        <f>O97*0.9056*0.85</f>
        <v/>
      </c>
      <c r="R97" s="74">
        <f>O97*1.15</f>
        <v/>
      </c>
      <c r="S97" s="74">
        <f>IF(N97&lt;O97*0.9056*0.85,O97*0.9056*0.85,IF(N97&gt;O97*1.15,O97*1.15,N97))</f>
        <v/>
      </c>
      <c r="T97" s="74" t="n">
        <v>3353.3</v>
      </c>
      <c r="U97" s="74" t="n">
        <v>0</v>
      </c>
      <c r="V97" s="74">
        <f>T97+S97*K97</f>
        <v/>
      </c>
      <c r="W97" s="74">
        <f>U97-T97</f>
        <v/>
      </c>
      <c r="X97" s="74">
        <f>V97-T97</f>
        <v/>
      </c>
      <c r="Y97" s="74">
        <f>V97-U97</f>
        <v/>
      </c>
      <c r="Z97" s="5" t="n"/>
    </row>
    <row r="98" ht="20" customHeight="1" s="1">
      <c r="A98" s="5" t="n">
        <v>88</v>
      </c>
      <c r="B98" s="5" t="inlineStr">
        <is>
          <t>010903002003</t>
        </is>
      </c>
      <c r="C98" s="5" t="inlineStr">
        <is>
          <t>墙面涂膜防水（墙4）</t>
        </is>
      </c>
      <c r="D98" s="5" t="inlineStr">
        <is>
          <t>1.1.5厚聚合物水泥基防水涂料
2.15厚WPM20水泥砂浆找平,分两遍成活,底层抹灰应压实搓毛</t>
        </is>
      </c>
      <c r="E98" s="5" t="inlineStr">
        <is>
          <t>m2</t>
        </is>
      </c>
      <c r="F98" s="74" t="n">
        <v>1624.08</v>
      </c>
      <c r="G98" s="74" t="n">
        <v>0</v>
      </c>
      <c r="H98" s="74" t="n">
        <v>0</v>
      </c>
      <c r="I98" s="74" t="n"/>
      <c r="J98" s="74">
        <f>G98-F98</f>
        <v/>
      </c>
      <c r="K98" s="74">
        <f>H98-F98</f>
        <v/>
      </c>
      <c r="L98" s="74">
        <f>H98-G98</f>
        <v/>
      </c>
      <c r="M98" s="55">
        <f>J98/F98</f>
        <v/>
      </c>
      <c r="N98" s="6" t="n">
        <v>52.26</v>
      </c>
      <c r="O98" s="6" t="n">
        <v>80.23</v>
      </c>
      <c r="P98" s="55">
        <f>(N98-O98)/O98</f>
        <v/>
      </c>
      <c r="Q98" s="74">
        <f>O98*0.9056*0.85</f>
        <v/>
      </c>
      <c r="R98" s="74">
        <f>O98*1.15</f>
        <v/>
      </c>
      <c r="S98" s="74">
        <f>IF(N98&lt;O98*0.9056*0.85,O98*0.9056*0.85,IF(N98&gt;O98*1.15,O98*1.15,N98))</f>
        <v/>
      </c>
      <c r="T98" s="74" t="n">
        <v>84874.62</v>
      </c>
      <c r="U98" s="74" t="n">
        <v>-15425.3</v>
      </c>
      <c r="V98" s="74">
        <f>T98+S98*K98</f>
        <v/>
      </c>
      <c r="W98" s="74">
        <f>U98-T98</f>
        <v/>
      </c>
      <c r="X98" s="74">
        <f>V98-T98</f>
        <v/>
      </c>
      <c r="Y98" s="74">
        <f>V98-U98</f>
        <v/>
      </c>
      <c r="Z98" s="5" t="n"/>
    </row>
    <row r="99" ht="20" customHeight="1" s="1">
      <c r="A99" s="5" t="n">
        <v>89</v>
      </c>
      <c r="B99" s="5" t="inlineStr">
        <is>
          <t>011102003001</t>
        </is>
      </c>
      <c r="C99" s="5" t="inlineStr">
        <is>
          <t>块料楼地面（屋1）</t>
        </is>
      </c>
      <c r="D99" s="5" t="inlineStr">
        <is>
          <t>1.面层:8~10厚防滑地砖,缝宽5~8
2.20厚M15干硬性水泥沙浆</t>
        </is>
      </c>
      <c r="E99" s="5" t="inlineStr">
        <is>
          <t>m2</t>
        </is>
      </c>
      <c r="F99" s="74" t="n">
        <v>1372.8</v>
      </c>
      <c r="G99" s="74" t="n">
        <v>2337.08</v>
      </c>
      <c r="H99" s="74">
        <f>2118.46+161.94+56.68</f>
        <v/>
      </c>
      <c r="I99" s="74" t="n"/>
      <c r="J99" s="74">
        <f>G99-F99</f>
        <v/>
      </c>
      <c r="K99" s="74">
        <f>H99-F99</f>
        <v/>
      </c>
      <c r="L99" s="74">
        <f>H99-G99</f>
        <v/>
      </c>
      <c r="M99" s="55">
        <f>J99/F99</f>
        <v/>
      </c>
      <c r="N99" s="6" t="n">
        <v>117.09</v>
      </c>
      <c r="O99" s="6" t="n">
        <v>116.28</v>
      </c>
      <c r="P99" s="55">
        <f>(N99-O99)/O99</f>
        <v/>
      </c>
      <c r="Q99" s="74">
        <f>O99*0.9056*0.85</f>
        <v/>
      </c>
      <c r="R99" s="74">
        <f>O99*1.15</f>
        <v/>
      </c>
      <c r="S99" s="74">
        <f>IF(N99&lt;O99*0.9056*0.85,O99*0.9056*0.85,IF(N99&gt;O99*1.15,O99*1.15,N99))</f>
        <v/>
      </c>
      <c r="T99" s="74" t="n">
        <v>160741.15</v>
      </c>
      <c r="U99" s="74" t="n">
        <v>273648.33</v>
      </c>
      <c r="V99" s="74" t="n">
        <v>273648.33</v>
      </c>
      <c r="W99" s="74">
        <f>U99-T99</f>
        <v/>
      </c>
      <c r="X99" s="74">
        <f>V99-T99</f>
        <v/>
      </c>
      <c r="Y99" s="74">
        <f>V99-U99</f>
        <v/>
      </c>
      <c r="Z99" s="5" t="n"/>
    </row>
    <row r="100" ht="20" customHeight="1" s="1">
      <c r="A100" s="5" t="n">
        <v>90</v>
      </c>
      <c r="B100" s="5" t="inlineStr">
        <is>
          <t>010902003002</t>
        </is>
      </c>
      <c r="C100" s="5" t="inlineStr">
        <is>
          <t>屋面刚性层（屋1）</t>
        </is>
      </c>
      <c r="D100" s="5" t="inlineStr">
        <is>
          <t>1.40厚C20细石混凝土找平层,表面压光。(双向配筋ΦC4@150,每6米设缝,密封胶嵌缝。）</t>
        </is>
      </c>
      <c r="E100" s="5" t="inlineStr">
        <is>
          <t>m2</t>
        </is>
      </c>
      <c r="F100" s="74" t="n">
        <v>1943.37</v>
      </c>
      <c r="G100" s="74" t="n">
        <v>2337.08</v>
      </c>
      <c r="H100" s="74" t="n">
        <v>2337.08</v>
      </c>
      <c r="I100" s="74" t="n"/>
      <c r="J100" s="74">
        <f>G100-F100</f>
        <v/>
      </c>
      <c r="K100" s="74">
        <f>H100-F100</f>
        <v/>
      </c>
      <c r="L100" s="74">
        <f>H100-G100</f>
        <v/>
      </c>
      <c r="M100" s="55">
        <f>J100/F100</f>
        <v/>
      </c>
      <c r="N100" s="6" t="n">
        <v>59.04</v>
      </c>
      <c r="O100" s="6" t="n">
        <v>56.42</v>
      </c>
      <c r="P100" s="55">
        <f>(N100-O100)/O100</f>
        <v/>
      </c>
      <c r="Q100" s="74">
        <f>O100*0.9056*0.85</f>
        <v/>
      </c>
      <c r="R100" s="74">
        <f>O100*1.15</f>
        <v/>
      </c>
      <c r="S100" s="74">
        <f>IF(N100&lt;O100*0.9056*0.85,O100*0.9056*0.85,IF(N100&gt;O100*1.15,O100*1.15,N100))</f>
        <v/>
      </c>
      <c r="T100" s="74" t="n">
        <v>114736.56</v>
      </c>
      <c r="U100" s="74" t="n">
        <v>137981.02</v>
      </c>
      <c r="V100" s="74" t="n">
        <v>137981.02</v>
      </c>
      <c r="W100" s="74">
        <f>U100-T100</f>
        <v/>
      </c>
      <c r="X100" s="74">
        <f>V100-T100</f>
        <v/>
      </c>
      <c r="Y100" s="74">
        <f>V100-U100</f>
        <v/>
      </c>
      <c r="Z100" s="5" t="n"/>
    </row>
    <row r="101" ht="20" customHeight="1" s="1">
      <c r="A101" s="5" t="n">
        <v>91</v>
      </c>
      <c r="B101" s="5" t="inlineStr">
        <is>
          <t>010902001004</t>
        </is>
      </c>
      <c r="C101" s="5" t="inlineStr">
        <is>
          <t>屋面卷材防水（屋1、屋3、屋4）</t>
        </is>
      </c>
      <c r="D101" s="5" t="inlineStr">
        <is>
          <t>1.1.5厚自粘聚合物改性沥青防水卷材(无胎)</t>
        </is>
      </c>
      <c r="E101" s="5" t="inlineStr">
        <is>
          <t>m2</t>
        </is>
      </c>
      <c r="F101" s="74" t="n">
        <v>2533.72</v>
      </c>
      <c r="G101" s="74" t="n">
        <v>2890.84</v>
      </c>
      <c r="H101" s="74">
        <f>2275.39+196.6+61.15+30.24+237.67+89.79</f>
        <v/>
      </c>
      <c r="I101" s="74" t="n"/>
      <c r="J101" s="74">
        <f>G101-F101</f>
        <v/>
      </c>
      <c r="K101" s="74">
        <f>H101-F101</f>
        <v/>
      </c>
      <c r="L101" s="74">
        <f>H101-G101</f>
        <v/>
      </c>
      <c r="M101" s="55">
        <f>J101/F101</f>
        <v/>
      </c>
      <c r="N101" s="6" t="n">
        <v>38.75</v>
      </c>
      <c r="O101" s="6" t="n">
        <v>31.86</v>
      </c>
      <c r="P101" s="55">
        <f>(N101-O101)/O101</f>
        <v/>
      </c>
      <c r="Q101" s="74">
        <f>O101*0.9056*0.85</f>
        <v/>
      </c>
      <c r="R101" s="74">
        <f>O101*1.15</f>
        <v/>
      </c>
      <c r="S101" s="74">
        <f>IF(N101&lt;O101*0.9056*0.85,O101*0.9056*0.85,IF(N101&gt;O101*1.15,O101*1.15,N101))</f>
        <v/>
      </c>
      <c r="T101" s="74" t="n">
        <v>98181.75</v>
      </c>
      <c r="U101" s="74" t="n">
        <v>111266.07</v>
      </c>
      <c r="V101" s="74">
        <f>T101+S101*K101</f>
        <v/>
      </c>
      <c r="W101" s="74">
        <f>U101-T101</f>
        <v/>
      </c>
      <c r="X101" s="74">
        <f>V101-T101</f>
        <v/>
      </c>
      <c r="Y101" s="74">
        <f>V101-U101</f>
        <v/>
      </c>
      <c r="Z101" s="5" t="n"/>
    </row>
    <row r="102" ht="20" customHeight="1" s="1">
      <c r="A102" s="5" t="n">
        <v>92</v>
      </c>
      <c r="B102" s="5" t="inlineStr">
        <is>
          <t>010902003003</t>
        </is>
      </c>
      <c r="C102" s="5" t="inlineStr">
        <is>
          <t>屋面刚性层（屋1）</t>
        </is>
      </c>
      <c r="D102" s="5" t="inlineStr">
        <is>
          <t>1.40厚WSM20水泥浆找平层,纵横设置分格缝间距≤4000,缝宽15~20</t>
        </is>
      </c>
      <c r="E102" s="5" t="inlineStr">
        <is>
          <t>m2</t>
        </is>
      </c>
      <c r="F102" s="74" t="n">
        <v>1943.37</v>
      </c>
      <c r="G102" s="74" t="n">
        <v>2459.24</v>
      </c>
      <c r="H102" s="74">
        <f>2150.83+161.94+56.68+89.79</f>
        <v/>
      </c>
      <c r="I102" s="74" t="n"/>
      <c r="J102" s="74">
        <f>G102-F102</f>
        <v/>
      </c>
      <c r="K102" s="74">
        <f>H102-F102</f>
        <v/>
      </c>
      <c r="L102" s="74">
        <f>H102-G102</f>
        <v/>
      </c>
      <c r="M102" s="55">
        <f>J102/F102</f>
        <v/>
      </c>
      <c r="N102" s="6" t="n">
        <v>37.14</v>
      </c>
      <c r="O102" s="6" t="n">
        <v>55.93</v>
      </c>
      <c r="P102" s="55">
        <f>(N102-O102)/O102</f>
        <v/>
      </c>
      <c r="Q102" s="74">
        <f>O102*0.9056*0.85</f>
        <v/>
      </c>
      <c r="R102" s="74">
        <f>O102*1.15</f>
        <v/>
      </c>
      <c r="S102" s="74">
        <f>IF(N102&lt;O102*0.9056*0.85,O102*0.9056*0.85,IF(N102&gt;O102*1.15,O102*1.15,N102))</f>
        <v/>
      </c>
      <c r="T102" s="74" t="n">
        <v>72176.75999999999</v>
      </c>
      <c r="U102" s="74" t="n">
        <v>94386.21000000001</v>
      </c>
      <c r="V102" s="74">
        <f>T102+S102*K102</f>
        <v/>
      </c>
      <c r="W102" s="74">
        <f>U102-T102</f>
        <v/>
      </c>
      <c r="X102" s="74">
        <f>V102-T102</f>
        <v/>
      </c>
      <c r="Y102" s="74">
        <f>V102-U102</f>
        <v/>
      </c>
      <c r="Z102" s="5" t="n"/>
    </row>
    <row r="103" ht="20" customHeight="1" s="1">
      <c r="A103" s="5" t="n">
        <v>93</v>
      </c>
      <c r="B103" s="5" t="inlineStr">
        <is>
          <t>010902002001</t>
        </is>
      </c>
      <c r="C103" s="5" t="inlineStr">
        <is>
          <t>屋面涂膜防水（屋1、屋3、屋4）</t>
        </is>
      </c>
      <c r="D103" s="5" t="inlineStr">
        <is>
          <t>1.1.5厚聚氨酯防水涂膜</t>
        </is>
      </c>
      <c r="E103" s="5" t="inlineStr">
        <is>
          <t>m2</t>
        </is>
      </c>
      <c r="F103" s="74" t="n">
        <v>2449.13</v>
      </c>
      <c r="G103" s="74" t="n">
        <v>2890.84</v>
      </c>
      <c r="H103" s="74">
        <f>H101</f>
        <v/>
      </c>
      <c r="I103" s="74" t="n"/>
      <c r="J103" s="74">
        <f>G103-F103</f>
        <v/>
      </c>
      <c r="K103" s="74">
        <f>H103-F103</f>
        <v/>
      </c>
      <c r="L103" s="74">
        <f>H103-G103</f>
        <v/>
      </c>
      <c r="M103" s="55">
        <f>J103/F103</f>
        <v/>
      </c>
      <c r="N103" s="6" t="n">
        <v>33.79</v>
      </c>
      <c r="O103" s="6" t="n">
        <v>31.82</v>
      </c>
      <c r="P103" s="55">
        <f>(N103-O103)/O103</f>
        <v/>
      </c>
      <c r="Q103" s="74">
        <f>O103*0.9056*0.85</f>
        <v/>
      </c>
      <c r="R103" s="74">
        <f>O103*1.15</f>
        <v/>
      </c>
      <c r="S103" s="74">
        <f>IF(N103&lt;O103*0.9056*0.85,O103*0.9056*0.85,IF(N103&gt;O103*1.15,O103*1.15,N103))</f>
        <v/>
      </c>
      <c r="T103" s="74" t="n">
        <v>82756.10000000001</v>
      </c>
      <c r="U103" s="74" t="n">
        <v>97681.39</v>
      </c>
      <c r="V103" s="74">
        <f>T103+S103*K103</f>
        <v/>
      </c>
      <c r="W103" s="74">
        <f>U103-T103</f>
        <v/>
      </c>
      <c r="X103" s="74">
        <f>V103-T103</f>
        <v/>
      </c>
      <c r="Y103" s="74">
        <f>V103-U103</f>
        <v/>
      </c>
      <c r="Z103" s="5" t="n"/>
      <c r="AA103" s="73" t="inlineStr">
        <is>
          <t>建筑大样图有注明上翻</t>
        </is>
      </c>
    </row>
    <row r="104" ht="20" customHeight="1" s="1">
      <c r="A104" s="5" t="n">
        <v>94</v>
      </c>
      <c r="B104" s="5" t="inlineStr">
        <is>
          <t>010902003004</t>
        </is>
      </c>
      <c r="C104" s="5" t="inlineStr">
        <is>
          <t>屋面刚性层（屋3）</t>
        </is>
      </c>
      <c r="D104" s="5" t="inlineStr">
        <is>
          <t>1.20厚(最薄处)WSM20水泥浆找2%坡,纵横设置分格缝间距≤6000,缝宽10~20的分格缝</t>
        </is>
      </c>
      <c r="E104" s="5" t="inlineStr">
        <is>
          <t>m2</t>
        </is>
      </c>
      <c r="F104" s="74" t="n">
        <v>303.77</v>
      </c>
      <c r="G104" s="74" t="n">
        <v>303.77</v>
      </c>
      <c r="H104" s="74">
        <f>23.7</f>
        <v/>
      </c>
      <c r="I104" s="74" t="n"/>
      <c r="J104" s="74">
        <f>G104-F104</f>
        <v/>
      </c>
      <c r="K104" s="74">
        <f>H104-F104</f>
        <v/>
      </c>
      <c r="L104" s="74">
        <f>H104-G104</f>
        <v/>
      </c>
      <c r="M104" s="55">
        <f>J104/F104</f>
        <v/>
      </c>
      <c r="N104" s="6" t="n">
        <v>28.13</v>
      </c>
      <c r="O104" s="6" t="n">
        <v>21.75</v>
      </c>
      <c r="P104" s="55">
        <f>(N104-O104)/O104</f>
        <v/>
      </c>
      <c r="Q104" s="74">
        <f>O104*0.9056*0.85</f>
        <v/>
      </c>
      <c r="R104" s="74">
        <f>O104*1.15</f>
        <v/>
      </c>
      <c r="S104" s="74">
        <f>IF(N104&lt;O104*0.9056*0.85,O104*0.9056*0.85,IF(N104&gt;O104*1.15,O104*1.15,N104))</f>
        <v/>
      </c>
      <c r="T104" s="74" t="n">
        <v>8545.049999999999</v>
      </c>
      <c r="U104" s="74" t="n">
        <v>8545.049999999999</v>
      </c>
      <c r="V104" s="74">
        <f>T104+S104*K104</f>
        <v/>
      </c>
      <c r="W104" s="74">
        <f>U104-T104</f>
        <v/>
      </c>
      <c r="X104" s="74">
        <f>V104-T104</f>
        <v/>
      </c>
      <c r="Y104" s="74">
        <f>V104-U104</f>
        <v/>
      </c>
      <c r="Z104" s="5" t="n"/>
    </row>
    <row r="105" ht="20" customHeight="1" s="1">
      <c r="A105" s="5" t="n">
        <v>95</v>
      </c>
      <c r="B105" s="5" t="inlineStr">
        <is>
          <t>010902003005</t>
        </is>
      </c>
      <c r="C105" s="5" t="inlineStr">
        <is>
          <t>屋面刚性层（屋3）</t>
        </is>
      </c>
      <c r="D105" s="5" t="inlineStr">
        <is>
          <t>1.20厚(最薄处)WSM20水泥浆找平,纵横设置分格缝间距≤4000,缝宽10~20的分格缝</t>
        </is>
      </c>
      <c r="E105" s="5" t="inlineStr">
        <is>
          <t>m2</t>
        </is>
      </c>
      <c r="F105" s="74" t="n">
        <v>303.77</v>
      </c>
      <c r="G105" s="74" t="n">
        <v>303.77</v>
      </c>
      <c r="H105" s="74" t="n">
        <v>23.7</v>
      </c>
      <c r="I105" s="74" t="n"/>
      <c r="J105" s="74">
        <f>G105-F105</f>
        <v/>
      </c>
      <c r="K105" s="74">
        <f>H105-F105</f>
        <v/>
      </c>
      <c r="L105" s="74">
        <f>H105-G105</f>
        <v/>
      </c>
      <c r="M105" s="55">
        <f>J105/F105</f>
        <v/>
      </c>
      <c r="N105" s="6" t="n">
        <v>28.16</v>
      </c>
      <c r="O105" s="6" t="n">
        <v>21.75</v>
      </c>
      <c r="P105" s="55">
        <f>(N105-O105)/O105</f>
        <v/>
      </c>
      <c r="Q105" s="74">
        <f>O105*0.9056*0.85</f>
        <v/>
      </c>
      <c r="R105" s="74">
        <f>O105*1.15</f>
        <v/>
      </c>
      <c r="S105" s="74">
        <f>IF(N105&lt;O105*0.9056*0.85,O105*0.9056*0.85,IF(N105&gt;O105*1.15,O105*1.15,N105))</f>
        <v/>
      </c>
      <c r="T105" s="74" t="n">
        <v>8554.16</v>
      </c>
      <c r="U105" s="74" t="n">
        <v>8554.16</v>
      </c>
      <c r="V105" s="74">
        <f>T105+S105*K105</f>
        <v/>
      </c>
      <c r="W105" s="74">
        <f>U105-T105</f>
        <v/>
      </c>
      <c r="X105" s="74">
        <f>V105-T105</f>
        <v/>
      </c>
      <c r="Y105" s="74">
        <f>V105-U105</f>
        <v/>
      </c>
      <c r="Z105" s="5" t="n"/>
    </row>
    <row r="106" ht="20" customHeight="1" s="1">
      <c r="A106" s="5" t="n">
        <v>96</v>
      </c>
      <c r="B106" s="5" t="inlineStr">
        <is>
          <t>010902003006</t>
        </is>
      </c>
      <c r="C106" s="5" t="inlineStr">
        <is>
          <t>屋面刚性层（屋4）</t>
        </is>
      </c>
      <c r="D106" s="5" t="inlineStr">
        <is>
          <t>1.20厚(最薄处)DSM15水泥浆找平</t>
        </is>
      </c>
      <c r="E106" s="5" t="inlineStr">
        <is>
          <t>m2</t>
        </is>
      </c>
      <c r="F106" s="74" t="n">
        <v>242.44</v>
      </c>
      <c r="G106" s="74" t="n">
        <v>253.07</v>
      </c>
      <c r="H106" s="74">
        <f>229.37</f>
        <v/>
      </c>
      <c r="I106" s="74" t="n"/>
      <c r="J106" s="74">
        <f>G106-F106</f>
        <v/>
      </c>
      <c r="K106" s="74">
        <f>H106-F106</f>
        <v/>
      </c>
      <c r="L106" s="74">
        <f>H106-G106</f>
        <v/>
      </c>
      <c r="M106" s="55">
        <f>J106/F106</f>
        <v/>
      </c>
      <c r="N106" s="6" t="n">
        <v>21.35</v>
      </c>
      <c r="O106" s="6" t="n">
        <v>22.51</v>
      </c>
      <c r="P106" s="55">
        <f>(N106-O106)/O106</f>
        <v/>
      </c>
      <c r="Q106" s="74">
        <f>O106*0.9056*0.85</f>
        <v/>
      </c>
      <c r="R106" s="74">
        <f>O106*1.15</f>
        <v/>
      </c>
      <c r="S106" s="74">
        <f>IF(N106&lt;O106*0.9056*0.85,O106*0.9056*0.85,IF(N106&gt;O106*1.15,O106*1.15,N106))</f>
        <v/>
      </c>
      <c r="T106" s="74" t="n">
        <v>5176.09</v>
      </c>
      <c r="U106" s="74" t="n">
        <v>5402.99</v>
      </c>
      <c r="V106" s="74">
        <f>T106+S106*K106</f>
        <v/>
      </c>
      <c r="W106" s="74">
        <f>U106-T106</f>
        <v/>
      </c>
      <c r="X106" s="74">
        <f>V106-T106</f>
        <v/>
      </c>
      <c r="Y106" s="74">
        <f>V106-U106</f>
        <v/>
      </c>
      <c r="Z106" s="5" t="n"/>
    </row>
    <row r="107" ht="20" customHeight="1" s="1">
      <c r="A107" s="5" t="n">
        <v>97</v>
      </c>
      <c r="B107" s="5" t="inlineStr">
        <is>
          <t>010901001001</t>
        </is>
      </c>
      <c r="C107" s="5" t="inlineStr">
        <is>
          <t>瓦屋面（屋4、屋5）</t>
        </is>
      </c>
      <c r="D107" s="5" t="inlineStr">
        <is>
          <t>1.彩石金属瓦
2.冷弯型钢挂瓦条,中距按瓦材规格
3.其他详见施工设计图</t>
        </is>
      </c>
      <c r="E107" s="5" t="inlineStr">
        <is>
          <t>m2</t>
        </is>
      </c>
      <c r="F107" s="74" t="n">
        <v>242.44</v>
      </c>
      <c r="G107" s="74" t="n">
        <v>242.44</v>
      </c>
      <c r="H107" s="74">
        <f>229.37</f>
        <v/>
      </c>
      <c r="I107" s="74" t="n"/>
      <c r="J107" s="74">
        <f>G107-F107</f>
        <v/>
      </c>
      <c r="K107" s="74">
        <f>H107-F107</f>
        <v/>
      </c>
      <c r="L107" s="74">
        <f>H107-G107</f>
        <v/>
      </c>
      <c r="M107" s="55">
        <f>J107/F107</f>
        <v/>
      </c>
      <c r="N107" s="6" t="n">
        <v>240.86</v>
      </c>
      <c r="O107" s="6" t="n">
        <v>182.42</v>
      </c>
      <c r="P107" s="55">
        <f>(N107-O107)/O107</f>
        <v/>
      </c>
      <c r="Q107" s="74">
        <f>O107*0.9056*0.85</f>
        <v/>
      </c>
      <c r="R107" s="74">
        <f>O107*1.15</f>
        <v/>
      </c>
      <c r="S107" s="74">
        <f>IF(N107&lt;O107*0.9056*0.85,O107*0.9056*0.85,IF(N107&gt;O107*1.15,O107*1.15,N107))</f>
        <v/>
      </c>
      <c r="T107" s="74" t="n">
        <v>58394.1</v>
      </c>
      <c r="U107" s="74" t="n">
        <v>58394.1</v>
      </c>
      <c r="V107" s="74">
        <f>T107+S107*K107</f>
        <v/>
      </c>
      <c r="W107" s="74">
        <f>U107-T107</f>
        <v/>
      </c>
      <c r="X107" s="74">
        <f>V107-T107</f>
        <v/>
      </c>
      <c r="Y107" s="74">
        <f>V107-U107</f>
        <v/>
      </c>
      <c r="Z107" s="5" t="n"/>
    </row>
    <row r="108" ht="20" customHeight="1" s="1">
      <c r="A108" s="5" t="n"/>
      <c r="B108" s="5" t="n"/>
      <c r="C108" s="5" t="inlineStr">
        <is>
          <t>保温、隔热、防腐工程</t>
        </is>
      </c>
      <c r="D108" s="5" t="n"/>
      <c r="E108" s="5" t="n"/>
      <c r="F108" s="74" t="n"/>
      <c r="G108" s="74" t="n"/>
      <c r="H108" s="74" t="n"/>
      <c r="I108" s="74" t="n"/>
      <c r="J108" s="74" t="n"/>
      <c r="K108" s="74" t="n"/>
      <c r="L108" s="74" t="n"/>
      <c r="M108" s="55" t="n"/>
      <c r="N108" s="6" t="n"/>
      <c r="O108" s="6" t="n"/>
      <c r="P108" s="55" t="n"/>
      <c r="Q108" s="74" t="n"/>
      <c r="R108" s="74" t="n"/>
      <c r="S108" s="74" t="n"/>
      <c r="T108" s="74" t="n">
        <v>236978.02</v>
      </c>
      <c r="U108" s="74" t="n">
        <v>189955.02</v>
      </c>
      <c r="V108" s="74">
        <f>+SUM(V109:V112)</f>
        <v/>
      </c>
      <c r="W108" s="74">
        <f>U108-T108</f>
        <v/>
      </c>
      <c r="X108" s="74">
        <f>V108-T108</f>
        <v/>
      </c>
      <c r="Y108" s="74">
        <f>V108-U108</f>
        <v/>
      </c>
      <c r="Z108" s="5" t="n"/>
      <c r="AA108" s="73" t="n"/>
    </row>
    <row r="109" ht="20" customHeight="1" s="1">
      <c r="A109" s="5" t="n">
        <v>98</v>
      </c>
      <c r="B109" s="5" t="inlineStr">
        <is>
          <t>011001003002</t>
        </is>
      </c>
      <c r="C109" s="5" t="inlineStr">
        <is>
          <t>保温隔热墙面</t>
        </is>
      </c>
      <c r="D109" s="5" t="inlineStr">
        <is>
          <t>1.外墙内保温
2.15mm玻化微珠保温砂浆
3.5厚抗裂砂浆内置保温专用玻纤网(130g/m2)
4.做法详见图纸</t>
        </is>
      </c>
      <c r="E109" s="5" t="inlineStr">
        <is>
          <t>m2</t>
        </is>
      </c>
      <c r="F109" s="74" t="n">
        <v>1536.73</v>
      </c>
      <c r="G109" s="74" t="n">
        <v>1143.98</v>
      </c>
      <c r="H109" s="74" t="n">
        <v>798.76</v>
      </c>
      <c r="I109" s="74" t="n"/>
      <c r="J109" s="74">
        <f>G109-F109</f>
        <v/>
      </c>
      <c r="K109" s="74">
        <f>H109-F109</f>
        <v/>
      </c>
      <c r="L109" s="74">
        <f>H109-G109</f>
        <v/>
      </c>
      <c r="M109" s="55">
        <f>J109/F109</f>
        <v/>
      </c>
      <c r="N109" s="6" t="n">
        <v>95.23</v>
      </c>
      <c r="O109" s="6" t="n">
        <v>75.67</v>
      </c>
      <c r="P109" s="55">
        <f>(N109-O109)/O109</f>
        <v/>
      </c>
      <c r="Q109" s="74">
        <f>O109*0.9056*0.85</f>
        <v/>
      </c>
      <c r="R109" s="74">
        <f>O109*1.15</f>
        <v/>
      </c>
      <c r="S109" s="74">
        <f>IF(N109&lt;O109*0.9056*0.85,O109*0.9056*0.85,IF(N109&gt;O109*1.15,O109*1.15,N109))</f>
        <v/>
      </c>
      <c r="T109" s="74" t="n">
        <v>146342.32</v>
      </c>
      <c r="U109" s="74" t="n">
        <v>112165.59</v>
      </c>
      <c r="V109" s="74">
        <f>T109+S109*K109</f>
        <v/>
      </c>
      <c r="W109" s="74">
        <f>U109-T109</f>
        <v/>
      </c>
      <c r="X109" s="74">
        <f>V109-T109</f>
        <v/>
      </c>
      <c r="Y109" s="74">
        <f>V109-U109</f>
        <v/>
      </c>
      <c r="Z109" s="5" t="n"/>
      <c r="AA109" s="73" t="inlineStr">
        <is>
          <t>外墙东西方向</t>
        </is>
      </c>
    </row>
    <row r="110" ht="20" customHeight="1" s="1">
      <c r="A110" s="5" t="n">
        <v>99</v>
      </c>
      <c r="B110" s="5" t="inlineStr">
        <is>
          <t>011407001001</t>
        </is>
      </c>
      <c r="C110" s="5" t="inlineStr">
        <is>
          <t>墙面喷刷涂料</t>
        </is>
      </c>
      <c r="D110" s="5" t="inlineStr">
        <is>
          <t>1.隔热反射涂料
2.外墙内保温处
3.其他详见施工设计图</t>
        </is>
      </c>
      <c r="E110" s="5" t="inlineStr">
        <is>
          <t>m2</t>
        </is>
      </c>
      <c r="F110" s="74" t="n">
        <v>2348.5</v>
      </c>
      <c r="G110" s="74" t="n">
        <v>1907.81</v>
      </c>
      <c r="H110" s="74" t="n">
        <v>1907.81</v>
      </c>
      <c r="I110" s="74" t="n"/>
      <c r="J110" s="74">
        <f>G110-F110</f>
        <v/>
      </c>
      <c r="K110" s="74">
        <f>H110-F110</f>
        <v/>
      </c>
      <c r="L110" s="74">
        <f>H110-G110</f>
        <v/>
      </c>
      <c r="M110" s="55">
        <f>J110/F110</f>
        <v/>
      </c>
      <c r="N110" s="6" t="n">
        <v>31.26</v>
      </c>
      <c r="O110" s="6" t="n">
        <v>31.36</v>
      </c>
      <c r="P110" s="55">
        <f>(N110-O110)/O110</f>
        <v/>
      </c>
      <c r="Q110" s="74">
        <f>O110*0.9056*0.85</f>
        <v/>
      </c>
      <c r="R110" s="74">
        <f>O110*1.15</f>
        <v/>
      </c>
      <c r="S110" s="74">
        <f>IF(N110&lt;O110*0.9056*0.85,O110*0.9056*0.85,IF(N110&gt;O110*1.15,O110*1.15,N110))</f>
        <v/>
      </c>
      <c r="T110" s="74" t="n">
        <v>73414.19</v>
      </c>
      <c r="U110" s="74" t="n">
        <v>59638.07</v>
      </c>
      <c r="V110" s="74">
        <f>T110+S110*K110</f>
        <v/>
      </c>
      <c r="W110" s="74">
        <f>U110-T110</f>
        <v/>
      </c>
      <c r="X110" s="74">
        <f>V110-T110</f>
        <v/>
      </c>
      <c r="Y110" s="74">
        <f>V110-U110</f>
        <v/>
      </c>
      <c r="Z110" s="5" t="n"/>
    </row>
    <row r="111" ht="20" customHeight="1" s="1">
      <c r="A111" s="5" t="n">
        <v>100</v>
      </c>
      <c r="B111" s="5" t="inlineStr">
        <is>
          <t>011003001002</t>
        </is>
      </c>
      <c r="C111" s="5" t="inlineStr">
        <is>
          <t>隔离层（屋1、屋2、屋3、屋4）</t>
        </is>
      </c>
      <c r="D111" s="5" t="inlineStr">
        <is>
          <t>1.0.4厚聚乙烯薄膜隔离层</t>
        </is>
      </c>
      <c r="E111" s="5" t="inlineStr">
        <is>
          <t>m2</t>
        </is>
      </c>
      <c r="F111" s="74" t="n">
        <v>2449.13</v>
      </c>
      <c r="G111" s="74" t="n">
        <v>2706.13</v>
      </c>
      <c r="H111" s="74">
        <f>2134.54+229.37+172.06+56.68+23.7+89.78</f>
        <v/>
      </c>
      <c r="I111" s="74" t="n"/>
      <c r="J111" s="74">
        <f>G111-F111</f>
        <v/>
      </c>
      <c r="K111" s="74">
        <f>H111-F111</f>
        <v/>
      </c>
      <c r="L111" s="74">
        <f>H111-G111</f>
        <v/>
      </c>
      <c r="M111" s="55">
        <f>J111/F111</f>
        <v/>
      </c>
      <c r="N111" s="6" t="n">
        <v>4.06</v>
      </c>
      <c r="O111" s="6" t="n">
        <v>7.24</v>
      </c>
      <c r="P111" s="55">
        <f>(N111-O111)/O111</f>
        <v/>
      </c>
      <c r="Q111" s="74">
        <f>O111*0.9056*0.85</f>
        <v/>
      </c>
      <c r="R111" s="74">
        <f>O111*1.15</f>
        <v/>
      </c>
      <c r="S111" s="74">
        <f>IF(N111&lt;O111*0.9056*0.85,O111*0.9056*0.85,IF(N111&gt;O111*1.15,O111*1.15,N111))</f>
        <v/>
      </c>
      <c r="T111" s="74" t="n">
        <v>9943.469999999999</v>
      </c>
      <c r="U111" s="74" t="n">
        <v>11375.75</v>
      </c>
      <c r="V111" s="74">
        <f>T111+S111*K111</f>
        <v/>
      </c>
      <c r="W111" s="74">
        <f>U111-T111</f>
        <v/>
      </c>
      <c r="X111" s="74">
        <f>V111-T111</f>
        <v/>
      </c>
      <c r="Y111" s="74">
        <f>V111-U111</f>
        <v/>
      </c>
      <c r="Z111" s="5" t="n"/>
    </row>
    <row r="112" ht="20" customHeight="1" s="1">
      <c r="A112" s="5" t="n">
        <v>101</v>
      </c>
      <c r="B112" s="5" t="inlineStr">
        <is>
          <t>011001001001</t>
        </is>
      </c>
      <c r="C112" s="5" t="inlineStr">
        <is>
          <t>保温隔热屋面（屋4）</t>
        </is>
      </c>
      <c r="D112" s="5" t="inlineStr">
        <is>
          <t>1.50厚RC型B2级挤塑聚苯乙烯泡沫塑料板</t>
        </is>
      </c>
      <c r="E112" s="5" t="inlineStr">
        <is>
          <t>m2</t>
        </is>
      </c>
      <c r="F112" s="74" t="n">
        <v>242.44</v>
      </c>
      <c r="G112" s="74" t="n">
        <v>229.37</v>
      </c>
      <c r="H112" s="74" t="n">
        <v>229.37</v>
      </c>
      <c r="I112" s="74" t="n"/>
      <c r="J112" s="74">
        <f>G112-F112</f>
        <v/>
      </c>
      <c r="K112" s="74">
        <f>H112-F112</f>
        <v/>
      </c>
      <c r="L112" s="74">
        <f>H112-G112</f>
        <v/>
      </c>
      <c r="M112" s="55">
        <f>J112/F112</f>
        <v/>
      </c>
      <c r="N112" s="6" t="n">
        <v>30.02</v>
      </c>
      <c r="O112" s="6" t="n">
        <v>49.93</v>
      </c>
      <c r="P112" s="55">
        <f>(N112-O112)/O112</f>
        <v/>
      </c>
      <c r="Q112" s="74">
        <f>O112*0.9056*0.85</f>
        <v/>
      </c>
      <c r="R112" s="74">
        <f>O112*1.15</f>
        <v/>
      </c>
      <c r="S112" s="74">
        <f>IF(N112&lt;O112*0.9056*0.85,O112*0.9056*0.85,IF(N112&gt;O112*1.15,O112*1.15,N112))</f>
        <v/>
      </c>
      <c r="T112" s="74" t="n">
        <v>7278.05</v>
      </c>
      <c r="U112" s="74" t="n">
        <v>6775.61</v>
      </c>
      <c r="V112" s="74" t="n">
        <v>6775.61</v>
      </c>
      <c r="W112" s="74">
        <f>U112-T112</f>
        <v/>
      </c>
      <c r="X112" s="74">
        <f>V112-T112</f>
        <v/>
      </c>
      <c r="Y112" s="74">
        <f>V112-U112</f>
        <v/>
      </c>
      <c r="Z112" s="5" t="n"/>
    </row>
    <row r="113" ht="20" customHeight="1" s="1">
      <c r="A113" s="5" t="n"/>
      <c r="B113" s="5" t="n"/>
      <c r="C113" s="5" t="inlineStr">
        <is>
          <t>楼地面装饰工程</t>
        </is>
      </c>
      <c r="D113" s="5" t="n"/>
      <c r="E113" s="5" t="n"/>
      <c r="F113" s="74" t="n"/>
      <c r="G113" s="74" t="n"/>
      <c r="H113" s="74" t="n"/>
      <c r="I113" s="74" t="n"/>
      <c r="J113" s="74" t="n"/>
      <c r="K113" s="74" t="n"/>
      <c r="L113" s="74" t="n"/>
      <c r="M113" s="55" t="n"/>
      <c r="N113" s="6" t="n"/>
      <c r="O113" s="6" t="n"/>
      <c r="P113" s="55" t="n"/>
      <c r="Q113" s="74" t="n"/>
      <c r="R113" s="74" t="n"/>
      <c r="S113" s="74" t="n"/>
      <c r="T113" s="74" t="n">
        <v>852794.73</v>
      </c>
      <c r="U113" s="74" t="n">
        <v>850302.36</v>
      </c>
      <c r="V113" s="74">
        <f>+SUM(V114:V130)</f>
        <v/>
      </c>
      <c r="W113" s="74">
        <f>U113-T113</f>
        <v/>
      </c>
      <c r="X113" s="74">
        <f>V113-T113</f>
        <v/>
      </c>
      <c r="Y113" s="74">
        <f>V113-U113</f>
        <v/>
      </c>
      <c r="Z113" s="5" t="n"/>
      <c r="AA113" s="73" t="n"/>
    </row>
    <row r="114" ht="20" customHeight="1" s="1">
      <c r="A114" s="5" t="n">
        <v>102</v>
      </c>
      <c r="B114" s="5" t="inlineStr">
        <is>
          <t>011101001001</t>
        </is>
      </c>
      <c r="C114" s="5" t="inlineStr">
        <is>
          <t>水泥砂浆楼地面（地1）</t>
        </is>
      </c>
      <c r="D114" s="5" t="inlineStr">
        <is>
          <t>1.20厚M20水泥砂浆打底,加水泥粉随手抹光向地漏找坡
2.20~40厚C15素混凝土找坡兼找平水</t>
        </is>
      </c>
      <c r="E114" s="5" t="inlineStr">
        <is>
          <t>m2</t>
        </is>
      </c>
      <c r="F114" s="74" t="n">
        <v>15.72</v>
      </c>
      <c r="G114" s="74" t="n">
        <v>69.78</v>
      </c>
      <c r="H114" s="74" t="n">
        <v>69.78</v>
      </c>
      <c r="I114" s="74" t="n"/>
      <c r="J114" s="74">
        <f>G114-F114</f>
        <v/>
      </c>
      <c r="K114" s="74">
        <f>H114-F114</f>
        <v/>
      </c>
      <c r="L114" s="74">
        <f>H114-G114</f>
        <v/>
      </c>
      <c r="M114" s="55">
        <f>J114/F114</f>
        <v/>
      </c>
      <c r="N114" s="6" t="n">
        <v>64.92</v>
      </c>
      <c r="O114" s="6" t="n">
        <v>48.18</v>
      </c>
      <c r="P114" s="55">
        <f>(N114-O114)/O114</f>
        <v/>
      </c>
      <c r="Q114" s="74">
        <f>O114*0.9056*0.85</f>
        <v/>
      </c>
      <c r="R114" s="74">
        <f>O114*1.15</f>
        <v/>
      </c>
      <c r="S114" s="74">
        <f>IF(N114&lt;O114*0.9056*0.85,O114*0.9056*0.85,IF(N114&gt;O114*1.15,O114*1.15,N114))</f>
        <v/>
      </c>
      <c r="T114" s="74" t="n">
        <v>1020.46</v>
      </c>
      <c r="U114" s="74" t="n">
        <v>4016.02</v>
      </c>
      <c r="V114" s="74">
        <f>T114+S114*K114</f>
        <v/>
      </c>
      <c r="W114" s="74">
        <f>U114-T114</f>
        <v/>
      </c>
      <c r="X114" s="74">
        <f>V114-T114</f>
        <v/>
      </c>
      <c r="Y114" s="74">
        <f>V114-U114</f>
        <v/>
      </c>
      <c r="Z114" s="5" t="n"/>
    </row>
    <row r="115" ht="20" customHeight="1" s="1">
      <c r="A115" s="5" t="n">
        <v>103</v>
      </c>
      <c r="B115" s="5" t="inlineStr">
        <is>
          <t>011101001002</t>
        </is>
      </c>
      <c r="C115" s="5" t="inlineStr">
        <is>
          <t>水泥砂浆楼地面（地1）（水电井）</t>
        </is>
      </c>
      <c r="D115" s="5" t="inlineStr">
        <is>
          <t>1.20厚M20水泥砂浆打底,加水泥粉随手抹光向地漏找坡</t>
        </is>
      </c>
      <c r="E115" s="5" t="inlineStr">
        <is>
          <t>m2</t>
        </is>
      </c>
      <c r="F115" s="74" t="n">
        <v>13.26</v>
      </c>
      <c r="G115" s="74" t="n">
        <v>17.16</v>
      </c>
      <c r="H115" s="74" t="n">
        <v>17.16</v>
      </c>
      <c r="I115" s="74" t="n"/>
      <c r="J115" s="74">
        <f>G115-F115</f>
        <v/>
      </c>
      <c r="K115" s="74">
        <f>H115-F115</f>
        <v/>
      </c>
      <c r="L115" s="74">
        <f>H115-G115</f>
        <v/>
      </c>
      <c r="M115" s="55">
        <f>J115/F115</f>
        <v/>
      </c>
      <c r="N115" s="6" t="n">
        <v>29.28</v>
      </c>
      <c r="O115" s="6" t="n">
        <v>24.37</v>
      </c>
      <c r="P115" s="55">
        <f>(N115-O115)/O115</f>
        <v/>
      </c>
      <c r="Q115" s="74">
        <f>O115*0.9056*0.85</f>
        <v/>
      </c>
      <c r="R115" s="74">
        <f>O115*1.15</f>
        <v/>
      </c>
      <c r="S115" s="74">
        <f>IF(N115&lt;O115*0.9056*0.85,O115*0.9056*0.85,IF(N115&gt;O115*1.15,O115*1.15,N115))</f>
        <v/>
      </c>
      <c r="T115" s="74" t="n">
        <v>388.25</v>
      </c>
      <c r="U115" s="74" t="n">
        <v>497.55</v>
      </c>
      <c r="V115" s="74" t="n">
        <v>497.55</v>
      </c>
      <c r="W115" s="74">
        <f>U115-T115</f>
        <v/>
      </c>
      <c r="X115" s="74">
        <f>V115-T115</f>
        <v/>
      </c>
      <c r="Y115" s="74">
        <f>V115-U115</f>
        <v/>
      </c>
      <c r="Z115" s="5" t="n"/>
    </row>
    <row r="116" ht="20" customHeight="1" s="1">
      <c r="A116" s="5" t="n">
        <v>104</v>
      </c>
      <c r="B116" s="5" t="inlineStr">
        <is>
          <t>011102003002</t>
        </is>
      </c>
      <c r="C116" s="5" t="inlineStr">
        <is>
          <t>块料楼地面（地2）</t>
        </is>
      </c>
      <c r="D116" s="5" t="inlineStr">
        <is>
          <t>1.400*400mm防滑地砖铺平拍实,纯水泥浆擦缝
2.15厚DSM15水泥砂浆结合层</t>
        </is>
      </c>
      <c r="E116" s="5" t="inlineStr">
        <is>
          <t>m2</t>
        </is>
      </c>
      <c r="F116" s="74" t="n">
        <v>609.25</v>
      </c>
      <c r="G116" s="74" t="n">
        <v>727.13</v>
      </c>
      <c r="H116" s="74" t="n">
        <v>727.13</v>
      </c>
      <c r="I116" s="74" t="n"/>
      <c r="J116" s="74">
        <f>G116-F116</f>
        <v/>
      </c>
      <c r="K116" s="74">
        <f>H116-F116</f>
        <v/>
      </c>
      <c r="L116" s="74">
        <f>H116-G116</f>
        <v/>
      </c>
      <c r="M116" s="55">
        <f>J116/F116</f>
        <v/>
      </c>
      <c r="N116" s="6" t="n">
        <v>112.13</v>
      </c>
      <c r="O116" s="6" t="n">
        <v>74.23999999999999</v>
      </c>
      <c r="P116" s="55">
        <f>(N116-O116)/O116</f>
        <v/>
      </c>
      <c r="Q116" s="74">
        <f>O116*0.9056*0.85</f>
        <v/>
      </c>
      <c r="R116" s="74">
        <f>O116*1.15</f>
        <v/>
      </c>
      <c r="S116" s="74">
        <f>IF(N116&lt;O116*0.9056*0.85,O116*0.9056*0.85,IF(N116&gt;O116*1.15,O116*1.15,N116))</f>
        <v/>
      </c>
      <c r="T116" s="74" t="n">
        <v>68315.75</v>
      </c>
      <c r="U116" s="74" t="n">
        <v>78379.57000000001</v>
      </c>
      <c r="V116" s="74" t="n">
        <v>78379.57000000001</v>
      </c>
      <c r="W116" s="74">
        <f>U116-T116</f>
        <v/>
      </c>
      <c r="X116" s="74">
        <f>V116-T116</f>
        <v/>
      </c>
      <c r="Y116" s="74">
        <f>V116-U116</f>
        <v/>
      </c>
      <c r="Z116" s="5" t="n"/>
    </row>
    <row r="117" ht="20" customHeight="1" s="1">
      <c r="A117" s="5" t="n">
        <v>105</v>
      </c>
      <c r="B117" s="5" t="inlineStr">
        <is>
          <t>011103002001</t>
        </is>
      </c>
      <c r="C117" s="5" t="inlineStr">
        <is>
          <t>橡胶板卷材楼地面（地4）</t>
        </is>
      </c>
      <c r="D117" s="5" t="inlineStr">
        <is>
          <t>1.成品2厚UPVC卷材(同质透心)专用粘合剂粘贴
2.20~45厚M20水泥砂浆,压实赶光
3.做法详见图纸</t>
        </is>
      </c>
      <c r="E117" s="5" t="inlineStr">
        <is>
          <t>m2</t>
        </is>
      </c>
      <c r="F117" s="74" t="n">
        <v>312.05</v>
      </c>
      <c r="G117" s="74" t="n">
        <v>313.35</v>
      </c>
      <c r="H117" s="74" t="n">
        <v>313.35</v>
      </c>
      <c r="I117" s="74" t="n"/>
      <c r="J117" s="74">
        <f>G117-F117</f>
        <v/>
      </c>
      <c r="K117" s="74">
        <f>H117-F117</f>
        <v/>
      </c>
      <c r="L117" s="74">
        <f>H117-G117</f>
        <v/>
      </c>
      <c r="M117" s="55">
        <f>J117/F117</f>
        <v/>
      </c>
      <c r="N117" s="6" t="n">
        <v>142.46</v>
      </c>
      <c r="O117" s="6" t="n">
        <v>223.87</v>
      </c>
      <c r="P117" s="55">
        <f>(N117-O117)/O117</f>
        <v/>
      </c>
      <c r="Q117" s="74">
        <f>O117*0.9056*0.85</f>
        <v/>
      </c>
      <c r="R117" s="74">
        <f>O117*1.15</f>
        <v/>
      </c>
      <c r="S117" s="74">
        <f>IF(N117&lt;O117*0.9056*0.85,O117*0.9056*0.85,IF(N117&gt;O117*1.15,O117*1.15,N117))</f>
        <v/>
      </c>
      <c r="T117" s="74" t="n">
        <v>44454.93</v>
      </c>
      <c r="U117" s="74" t="n">
        <v>44679.33</v>
      </c>
      <c r="V117" s="74">
        <f>T117+S117*K117</f>
        <v/>
      </c>
      <c r="W117" s="74">
        <f>U117-T117</f>
        <v/>
      </c>
      <c r="X117" s="74">
        <f>V117-T117</f>
        <v/>
      </c>
      <c r="Y117" s="74">
        <f>V117-U117</f>
        <v/>
      </c>
      <c r="Z117" s="5" t="n"/>
    </row>
    <row r="118" ht="20" customHeight="1" s="1">
      <c r="A118" s="5" t="n">
        <v>106</v>
      </c>
      <c r="B118" s="5" t="inlineStr">
        <is>
          <t>010507004001</t>
        </is>
      </c>
      <c r="C118" s="5" t="inlineStr">
        <is>
          <t>台阶</t>
        </is>
      </c>
      <c r="D118" s="5" t="inlineStr">
        <is>
          <t>1.阶梯教室台阶地面
2.C15混凝土
3.具体详尽施工设计图</t>
        </is>
      </c>
      <c r="E118" s="5" t="inlineStr">
        <is>
          <t>m3</t>
        </is>
      </c>
      <c r="F118" s="74" t="n">
        <v>29.84</v>
      </c>
      <c r="G118" s="74" t="n">
        <v>31.74</v>
      </c>
      <c r="H118" s="74" t="n">
        <v>31.71</v>
      </c>
      <c r="I118" s="74" t="n"/>
      <c r="J118" s="74">
        <f>G118-F118</f>
        <v/>
      </c>
      <c r="K118" s="74">
        <f>H118-F118</f>
        <v/>
      </c>
      <c r="L118" s="74">
        <f>H118-G118</f>
        <v/>
      </c>
      <c r="M118" s="55">
        <f>J118/F118</f>
        <v/>
      </c>
      <c r="N118" s="6" t="n">
        <v>652.85</v>
      </c>
      <c r="O118" s="6" t="n">
        <v>856.45</v>
      </c>
      <c r="P118" s="55">
        <f>(N118-O118)/O118</f>
        <v/>
      </c>
      <c r="Q118" s="74">
        <f>O118*0.9056*0.85</f>
        <v/>
      </c>
      <c r="R118" s="74">
        <f>O118*1.15</f>
        <v/>
      </c>
      <c r="S118" s="74">
        <f>IF(N118&lt;O118*0.9056*0.85,O118*0.9056*0.85,IF(N118&gt;O118*1.15,O118*1.15,N118))</f>
        <v/>
      </c>
      <c r="T118" s="74" t="n">
        <v>19482.35</v>
      </c>
      <c r="U118" s="74" t="n">
        <v>20731.91</v>
      </c>
      <c r="V118" s="74">
        <f>T118+S118*K118</f>
        <v/>
      </c>
      <c r="W118" s="74">
        <f>U118-T118</f>
        <v/>
      </c>
      <c r="X118" s="74">
        <f>V118-T118</f>
        <v/>
      </c>
      <c r="Y118" s="74">
        <f>V118-U118</f>
        <v/>
      </c>
      <c r="Z118" s="5" t="n"/>
    </row>
    <row r="119" ht="20" customHeight="1" s="1">
      <c r="A119" s="5" t="n">
        <v>107</v>
      </c>
      <c r="B119" s="5" t="inlineStr">
        <is>
          <t>011104002001</t>
        </is>
      </c>
      <c r="C119" s="5" t="inlineStr">
        <is>
          <t>竹、木(复合)地板（地7）</t>
        </is>
      </c>
      <c r="D119" s="5" t="inlineStr">
        <is>
          <t>1.1200*150*20mm舞台专业木地板
2.24MM厚弹性龙骨，详见附图《T15R运动地板技术参数》
3.其他做法详见图纸</t>
        </is>
      </c>
      <c r="E119" s="5" t="inlineStr">
        <is>
          <t>m2</t>
        </is>
      </c>
      <c r="F119" s="74" t="n">
        <v>91.8</v>
      </c>
      <c r="G119" s="74" t="n">
        <v>114.81</v>
      </c>
      <c r="H119" s="74" t="n">
        <v>107.87</v>
      </c>
      <c r="I119" s="74" t="n"/>
      <c r="J119" s="74">
        <f>G119-F119</f>
        <v/>
      </c>
      <c r="K119" s="74">
        <f>H119-F119</f>
        <v/>
      </c>
      <c r="L119" s="74">
        <f>H119-G119</f>
        <v/>
      </c>
      <c r="M119" s="55">
        <f>J119/F119</f>
        <v/>
      </c>
      <c r="N119" s="6" t="n">
        <v>296.71</v>
      </c>
      <c r="O119" s="6" t="n">
        <v>528</v>
      </c>
      <c r="P119" s="55">
        <f>(N119-O119)/O119</f>
        <v/>
      </c>
      <c r="Q119" s="74">
        <f>O119*0.9056*0.85</f>
        <v/>
      </c>
      <c r="R119" s="74">
        <f>O119*1.15</f>
        <v/>
      </c>
      <c r="S119" s="74">
        <f>IF(N119&lt;O119*0.9056*0.85,O119*0.9056*0.85,IF(N119&gt;O119*1.15,O119*1.15,N119))</f>
        <v/>
      </c>
      <c r="T119" s="74" t="n">
        <v>27237.98</v>
      </c>
      <c r="U119" s="74" t="n">
        <v>36588.46</v>
      </c>
      <c r="V119" s="74">
        <f>T119+S119*K119</f>
        <v/>
      </c>
      <c r="W119" s="74">
        <f>U119-T119</f>
        <v/>
      </c>
      <c r="X119" s="74">
        <f>V119-T119</f>
        <v/>
      </c>
      <c r="Y119" s="74">
        <f>V119-U119</f>
        <v/>
      </c>
      <c r="Z119" s="5" t="n"/>
      <c r="AA119" s="73" t="inlineStr">
        <is>
          <t>复核室外阶梯是否做木地板</t>
        </is>
      </c>
    </row>
    <row r="120" ht="20" customHeight="1" s="1">
      <c r="A120" s="5" t="n">
        <v>108</v>
      </c>
      <c r="B120" s="5" t="inlineStr">
        <is>
          <t>011104002002</t>
        </is>
      </c>
      <c r="C120" s="5" t="inlineStr">
        <is>
          <t>运动木地板</t>
        </is>
      </c>
      <c r="D120" s="5" t="inlineStr">
        <is>
          <t>1.1800*62*22mm厚运动木地板
2.24MM厚弹性龙骨，详见附图《T15R运动地板技术参数》
3.含面层造型线
4.其他做法详见图纸</t>
        </is>
      </c>
      <c r="E120" s="5" t="inlineStr">
        <is>
          <t>m2</t>
        </is>
      </c>
      <c r="F120" s="74" t="n">
        <v>1026.02</v>
      </c>
      <c r="G120" s="74" t="n">
        <v>1025.87</v>
      </c>
      <c r="H120" s="74" t="n">
        <v>1025.87</v>
      </c>
      <c r="I120" s="74" t="n"/>
      <c r="J120" s="74">
        <f>G120-F120</f>
        <v/>
      </c>
      <c r="K120" s="74">
        <f>H120-F120</f>
        <v/>
      </c>
      <c r="L120" s="74">
        <f>H120-G120</f>
        <v/>
      </c>
      <c r="M120" s="55">
        <f>J120/F120</f>
        <v/>
      </c>
      <c r="N120" s="6" t="n">
        <v>296.71</v>
      </c>
      <c r="O120" s="6" t="n">
        <v>530.46</v>
      </c>
      <c r="P120" s="55">
        <f>(N120-O120)/O120</f>
        <v/>
      </c>
      <c r="Q120" s="74">
        <f>O120*0.9056*0.85</f>
        <v/>
      </c>
      <c r="R120" s="74">
        <f>O120*1.15</f>
        <v/>
      </c>
      <c r="S120" s="74">
        <f>IF(N120&lt;O120*0.9056*0.85,O120*0.9056*0.85,IF(N120&gt;O120*1.15,O120*1.15,N120))</f>
        <v/>
      </c>
      <c r="T120" s="74" t="n">
        <v>304430.39</v>
      </c>
      <c r="U120" s="74" t="n">
        <v>304368.12</v>
      </c>
      <c r="V120" s="74" t="n">
        <v>304368.12</v>
      </c>
      <c r="W120" s="74">
        <f>U120-T120</f>
        <v/>
      </c>
      <c r="X120" s="74">
        <f>V120-T120</f>
        <v/>
      </c>
      <c r="Y120" s="74">
        <f>V120-U120</f>
        <v/>
      </c>
      <c r="Z120" s="5" t="n"/>
    </row>
    <row r="121" ht="20" customHeight="1" s="1">
      <c r="A121" s="5" t="n">
        <v>109</v>
      </c>
      <c r="B121" s="5" t="inlineStr">
        <is>
          <t>011102003003</t>
        </is>
      </c>
      <c r="C121" s="5" t="inlineStr">
        <is>
          <t>块料楼地面（地8）</t>
        </is>
      </c>
      <c r="D121" s="5" t="inlineStr">
        <is>
          <t>1.楼地面铺贴800X800mm仿古地砖,面用白水泥擦缝
2.30厚1:3干硬性水泥砂浆结合层
3.3厚ALE隔声涂料
4.其他做法详见图纸</t>
        </is>
      </c>
      <c r="E121" s="5" t="inlineStr">
        <is>
          <t>m2</t>
        </is>
      </c>
      <c r="F121" s="74" t="n">
        <v>1293.78</v>
      </c>
      <c r="G121" s="74" t="n">
        <v>1285.93</v>
      </c>
      <c r="H121" s="74" t="n">
        <v>1283.96</v>
      </c>
      <c r="I121" s="74" t="n"/>
      <c r="J121" s="74">
        <f>G121-F121</f>
        <v/>
      </c>
      <c r="K121" s="74">
        <f>H121-F121</f>
        <v/>
      </c>
      <c r="L121" s="74">
        <f>H121-G121</f>
        <v/>
      </c>
      <c r="M121" s="55">
        <f>J121/F121</f>
        <v/>
      </c>
      <c r="N121" s="6" t="n">
        <v>167.91</v>
      </c>
      <c r="O121" s="6" t="n">
        <v>181.82</v>
      </c>
      <c r="P121" s="55">
        <f>(N121-O121)/O121</f>
        <v/>
      </c>
      <c r="Q121" s="74">
        <f>O121*0.9056*0.85</f>
        <v/>
      </c>
      <c r="R121" s="74">
        <f>O121*1.15</f>
        <v/>
      </c>
      <c r="S121" s="74">
        <f>IF(N121&lt;O121*0.9056*0.85,O121*0.9056*0.85,IF(N121&gt;O121*1.15,O121*1.15,N121))</f>
        <v/>
      </c>
      <c r="T121" s="74" t="n">
        <v>217238.1</v>
      </c>
      <c r="U121" s="74" t="n">
        <v>215920.94</v>
      </c>
      <c r="V121" s="74">
        <f>T121+S121*K121</f>
        <v/>
      </c>
      <c r="W121" s="74">
        <f>U121-T121</f>
        <v/>
      </c>
      <c r="X121" s="74">
        <f>V121-T121</f>
        <v/>
      </c>
      <c r="Y121" s="74">
        <f>V121-U121</f>
        <v/>
      </c>
      <c r="Z121" s="5" t="n"/>
    </row>
    <row r="122" ht="20" customHeight="1" s="1">
      <c r="A122" s="5" t="n">
        <v>110</v>
      </c>
      <c r="B122" s="5" t="inlineStr">
        <is>
          <t>011102003004</t>
        </is>
      </c>
      <c r="C122" s="5" t="inlineStr">
        <is>
          <t>块料楼地面</t>
        </is>
      </c>
      <c r="D122" s="5" t="inlineStr">
        <is>
          <t>1.仿古地砖门槛石
2.30厚1:3干硬性水泥砂浆结合层
3.3厚ALE隔声涂料
4.其他做法详见图纸</t>
        </is>
      </c>
      <c r="E122" s="5" t="inlineStr">
        <is>
          <t>m2</t>
        </is>
      </c>
      <c r="F122" s="74" t="n">
        <v>2.32</v>
      </c>
      <c r="G122" s="74" t="n">
        <v>2.32</v>
      </c>
      <c r="H122" s="74" t="n">
        <v>0.42</v>
      </c>
      <c r="I122" s="74" t="n"/>
      <c r="J122" s="74">
        <f>G122-F122</f>
        <v/>
      </c>
      <c r="K122" s="74">
        <f>H122-F122</f>
        <v/>
      </c>
      <c r="L122" s="74">
        <f>H122-G122</f>
        <v/>
      </c>
      <c r="M122" s="55">
        <f>J122/F122</f>
        <v/>
      </c>
      <c r="N122" s="6" t="n">
        <v>220.22</v>
      </c>
      <c r="O122" s="6" t="n">
        <v>249.18</v>
      </c>
      <c r="P122" s="55">
        <f>(N122-O122)/O122</f>
        <v/>
      </c>
      <c r="Q122" s="74">
        <f>O122*0.9056*0.85</f>
        <v/>
      </c>
      <c r="R122" s="74">
        <f>O122*1.15</f>
        <v/>
      </c>
      <c r="S122" s="74">
        <f>IF(N122&lt;O122*0.9056*0.85,O122*0.9056*0.85,IF(N122&gt;O122*1.15,O122*1.15,N122))</f>
        <v/>
      </c>
      <c r="T122" s="74" t="n">
        <v>510.91</v>
      </c>
      <c r="U122" s="74" t="n">
        <v>510.91</v>
      </c>
      <c r="V122" s="74">
        <f>T122+S122*K122</f>
        <v/>
      </c>
      <c r="W122" s="74">
        <f>U122-T122</f>
        <v/>
      </c>
      <c r="X122" s="74">
        <f>V122-T122</f>
        <v/>
      </c>
      <c r="Y122" s="74">
        <f>V122-U122</f>
        <v/>
      </c>
      <c r="Z122" s="5" t="n"/>
    </row>
    <row r="123" ht="20" customHeight="1" s="1">
      <c r="A123" s="5" t="n">
        <v>111</v>
      </c>
      <c r="B123" s="5" t="inlineStr">
        <is>
          <t>011102003005</t>
        </is>
      </c>
      <c r="C123" s="5" t="inlineStr">
        <is>
          <t>块料楼地面</t>
        </is>
      </c>
      <c r="D123" s="5" t="inlineStr">
        <is>
          <t>1.楼地面铺贴600X600mm仿古地砖,面用白水泥擦缝
2.30厚1:3干硬性水泥砂浆结合层
3.3厚ALE隔声涂料
4.做法详见图纸</t>
        </is>
      </c>
      <c r="E123" s="5" t="inlineStr">
        <is>
          <t>m2</t>
        </is>
      </c>
      <c r="F123" s="74" t="n">
        <v>23.76</v>
      </c>
      <c r="G123" s="74" t="n">
        <v>23.47</v>
      </c>
      <c r="H123" s="74" t="n">
        <v>23.47</v>
      </c>
      <c r="I123" s="74" t="n"/>
      <c r="J123" s="74">
        <f>G123-F123</f>
        <v/>
      </c>
      <c r="K123" s="74">
        <f>H123-F123</f>
        <v/>
      </c>
      <c r="L123" s="74">
        <f>H123-G123</f>
        <v/>
      </c>
      <c r="M123" s="55">
        <f>J123/F123</f>
        <v/>
      </c>
      <c r="N123" s="6" t="n">
        <v>139.46</v>
      </c>
      <c r="O123" s="6" t="n">
        <v>162.88</v>
      </c>
      <c r="P123" s="55">
        <f>(N123-O123)/O123</f>
        <v/>
      </c>
      <c r="Q123" s="74">
        <f>O123*0.9056*0.85</f>
        <v/>
      </c>
      <c r="R123" s="74">
        <f>O123*1.15</f>
        <v/>
      </c>
      <c r="S123" s="74">
        <f>IF(N123&lt;O123*0.9056*0.85,O123*0.9056*0.85,IF(N123&gt;O123*1.15,O123*1.15,N123))</f>
        <v/>
      </c>
      <c r="T123" s="74" t="n">
        <v>3313.47</v>
      </c>
      <c r="U123" s="74" t="n">
        <v>3272.54</v>
      </c>
      <c r="V123" s="74" t="n">
        <v>3272.54</v>
      </c>
      <c r="W123" s="74">
        <f>U123-T123</f>
        <v/>
      </c>
      <c r="X123" s="74">
        <f>V123-T123</f>
        <v/>
      </c>
      <c r="Y123" s="74">
        <f>V123-U123</f>
        <v/>
      </c>
      <c r="Z123" s="5" t="n"/>
    </row>
    <row r="124" ht="20" customHeight="1" s="1">
      <c r="A124" s="5" t="n">
        <v>112</v>
      </c>
      <c r="B124" s="5" t="inlineStr">
        <is>
          <t>011102003006</t>
        </is>
      </c>
      <c r="C124" s="5" t="inlineStr">
        <is>
          <t>块料楼地面（地10）</t>
        </is>
      </c>
      <c r="D124" s="5" t="inlineStr">
        <is>
          <t>1.8~10厚防滑地砖铺实拍平,水泥砂浆填缝
2.30厚1:3干硬性水泥砂浆结合层
3.做法详见图纸</t>
        </is>
      </c>
      <c r="E124" s="5" t="inlineStr">
        <is>
          <t>m2</t>
        </is>
      </c>
      <c r="F124" s="74" t="n">
        <v>860.3200000000001</v>
      </c>
      <c r="G124" s="74" t="n">
        <v>762.89</v>
      </c>
      <c r="H124" s="74" t="n">
        <v>762.5599999999999</v>
      </c>
      <c r="I124" s="74" t="n"/>
      <c r="J124" s="74">
        <f>G124-F124</f>
        <v/>
      </c>
      <c r="K124" s="74">
        <f>H124-F124</f>
        <v/>
      </c>
      <c r="L124" s="74">
        <f>H124-G124</f>
        <v/>
      </c>
      <c r="M124" s="55">
        <f>J124/F124</f>
        <v/>
      </c>
      <c r="N124" s="6" t="n">
        <v>129.21</v>
      </c>
      <c r="O124" s="6" t="n">
        <v>90.73</v>
      </c>
      <c r="P124" s="55">
        <f>(N124-O124)/O124</f>
        <v/>
      </c>
      <c r="Q124" s="74">
        <f>O124*0.9056*0.85</f>
        <v/>
      </c>
      <c r="R124" s="74">
        <f>O124*1.15</f>
        <v/>
      </c>
      <c r="S124" s="74">
        <f>IF(N124&lt;O124*0.9056*0.85,O124*0.9056*0.85,IF(N124&gt;O124*1.15,O124*1.15,N124))</f>
        <v/>
      </c>
      <c r="T124" s="74" t="n">
        <v>111162.35</v>
      </c>
      <c r="U124" s="74" t="n">
        <v>100996.22</v>
      </c>
      <c r="V124" s="74">
        <f>T124+S124*K124</f>
        <v/>
      </c>
      <c r="W124" s="74">
        <f>U124-T124</f>
        <v/>
      </c>
      <c r="X124" s="74">
        <f>V124-T124</f>
        <v/>
      </c>
      <c r="Y124" s="74">
        <f>V124-U124</f>
        <v/>
      </c>
      <c r="Z124" s="5" t="n"/>
    </row>
    <row r="125" ht="20" customHeight="1" s="1">
      <c r="A125" s="5" t="n">
        <v>113</v>
      </c>
      <c r="B125" s="5" t="inlineStr">
        <is>
          <t>011106002001</t>
        </is>
      </c>
      <c r="C125" s="5" t="inlineStr">
        <is>
          <t>块料楼梯面层（地10）</t>
        </is>
      </c>
      <c r="D125" s="5" t="inlineStr">
        <is>
          <t>1.楼梯面层
2.8~10厚防滑地砖铺实拍平,水泥砂浆填缝
3.30厚1:3干硬性水泥砂浆结合层
4.做法详见图纸</t>
        </is>
      </c>
      <c r="E125" s="5" t="inlineStr">
        <is>
          <t>m2</t>
        </is>
      </c>
      <c r="F125" s="74" t="n">
        <v>163.06</v>
      </c>
      <c r="G125" s="74" t="n">
        <v>60.62</v>
      </c>
      <c r="H125" s="74" t="n">
        <v>60.62</v>
      </c>
      <c r="I125" s="74" t="n"/>
      <c r="J125" s="74">
        <f>G125-F125</f>
        <v/>
      </c>
      <c r="K125" s="74">
        <f>H125-F125</f>
        <v/>
      </c>
      <c r="L125" s="74">
        <f>H125-G125</f>
        <v/>
      </c>
      <c r="M125" s="55">
        <f>J125/F125</f>
        <v/>
      </c>
      <c r="N125" s="6" t="n">
        <v>256.98</v>
      </c>
      <c r="O125" s="6" t="n">
        <v>212.4</v>
      </c>
      <c r="P125" s="55">
        <f>(N125-O125)/O125</f>
        <v/>
      </c>
      <c r="Q125" s="74">
        <f>O125*0.9056*0.85</f>
        <v/>
      </c>
      <c r="R125" s="74">
        <f>O125*1.15</f>
        <v/>
      </c>
      <c r="S125" s="74">
        <f>IF(N125&lt;O125*0.9056*0.85,O125*0.9056*0.85,IF(N125&gt;O125*1.15,O125*1.15,N125))</f>
        <v/>
      </c>
      <c r="T125" s="74" t="n">
        <v>41903.16</v>
      </c>
      <c r="U125" s="74" t="n">
        <v>16882.14</v>
      </c>
      <c r="V125" s="74">
        <f>T125+S125*K125</f>
        <v/>
      </c>
      <c r="W125" s="74">
        <f>U125-T125</f>
        <v/>
      </c>
      <c r="X125" s="74">
        <f>V125-T125</f>
        <v/>
      </c>
      <c r="Y125" s="74">
        <f>V125-U125</f>
        <v/>
      </c>
      <c r="Z125" s="5" t="n"/>
    </row>
    <row r="126" ht="20" customHeight="1" s="1">
      <c r="A126" s="5" t="n">
        <v>114</v>
      </c>
      <c r="B126" s="5" t="inlineStr">
        <is>
          <t>011105003001</t>
        </is>
      </c>
      <c r="C126" s="5" t="inlineStr">
        <is>
          <t>块料踢脚线</t>
        </is>
      </c>
      <c r="D126" s="5" t="inlineStr">
        <is>
          <t>1.5-10mm厚地砖踢脚线，稀水泥浆（或彩色水泥浆）擦缝
2.9mm厚M20水泥砂浆粘接层（内掺建筑胶）
3.高度:120mm</t>
        </is>
      </c>
      <c r="E126" s="5" t="inlineStr">
        <is>
          <t>m2</t>
        </is>
      </c>
      <c r="F126" s="74" t="n">
        <v>14.69</v>
      </c>
      <c r="G126" s="74" t="n">
        <v>27.2</v>
      </c>
      <c r="H126" s="74">
        <f>21.5+5.7</f>
        <v/>
      </c>
      <c r="I126" s="74" t="n"/>
      <c r="J126" s="74">
        <f>G126-F126</f>
        <v/>
      </c>
      <c r="K126" s="74">
        <f>H126-F126</f>
        <v/>
      </c>
      <c r="L126" s="74">
        <f>H126-G126</f>
        <v/>
      </c>
      <c r="M126" s="55">
        <f>J126/F126</f>
        <v/>
      </c>
      <c r="N126" s="6" t="n">
        <v>103.72</v>
      </c>
      <c r="O126" s="6" t="n">
        <v>127.05</v>
      </c>
      <c r="P126" s="55">
        <f>(N126-O126)/O126</f>
        <v/>
      </c>
      <c r="Q126" s="74">
        <f>O126*0.9056*0.85</f>
        <v/>
      </c>
      <c r="R126" s="74">
        <f>O126*1.15</f>
        <v/>
      </c>
      <c r="S126" s="74">
        <f>IF(N126&lt;O126*0.9056*0.85,O126*0.9056*0.85,IF(N126&gt;O126*1.15,O126*1.15,N126))</f>
        <v/>
      </c>
      <c r="T126" s="74" t="n">
        <v>1524.06</v>
      </c>
      <c r="U126" s="74" t="n">
        <v>2821.24</v>
      </c>
      <c r="V126" s="74" t="n">
        <v>2821.24</v>
      </c>
      <c r="W126" s="74">
        <f>U126-T126</f>
        <v/>
      </c>
      <c r="X126" s="74">
        <f>V126-T126</f>
        <v/>
      </c>
      <c r="Y126" s="74">
        <f>V126-U126</f>
        <v/>
      </c>
      <c r="Z126" s="5" t="n"/>
    </row>
    <row r="127" ht="20" customHeight="1" s="1">
      <c r="A127" s="5" t="n">
        <v>115</v>
      </c>
      <c r="B127" s="5" t="inlineStr">
        <is>
          <t>011105003002</t>
        </is>
      </c>
      <c r="C127" s="5" t="inlineStr">
        <is>
          <t>块料踢脚线</t>
        </is>
      </c>
      <c r="D127" s="5" t="inlineStr">
        <is>
          <t>1.木纹砖地脚线，稀水泥浆（或彩色水泥浆）擦缝
2.9mm厚M20水泥砂浆粘接层（内掺建筑胶）
3.高度:100mm</t>
        </is>
      </c>
      <c r="E127" s="5" t="inlineStr">
        <is>
          <t>m2</t>
        </is>
      </c>
      <c r="F127" s="74" t="n">
        <v>2.86</v>
      </c>
      <c r="G127" s="74" t="n">
        <v>8.83</v>
      </c>
      <c r="H127" s="74" t="n">
        <v>8.82</v>
      </c>
      <c r="I127" s="74" t="n"/>
      <c r="J127" s="74">
        <f>G127-F127</f>
        <v/>
      </c>
      <c r="K127" s="74">
        <f>H127-F127</f>
        <v/>
      </c>
      <c r="L127" s="74">
        <f>H127-G127</f>
        <v/>
      </c>
      <c r="M127" s="55">
        <f>J127/F127</f>
        <v/>
      </c>
      <c r="N127" s="6" t="n">
        <v>98.75</v>
      </c>
      <c r="O127" s="6" t="n">
        <v>116.9</v>
      </c>
      <c r="P127" s="55">
        <f>(N127-O127)/O127</f>
        <v/>
      </c>
      <c r="Q127" s="74">
        <f>O127*0.9056*0.85</f>
        <v/>
      </c>
      <c r="R127" s="74">
        <f>O127*1.15</f>
        <v/>
      </c>
      <c r="S127" s="74">
        <f>IF(N127&lt;O127*0.9056*0.85,O127*0.9056*0.85,IF(N127&gt;O127*1.15,O127*1.15,N127))</f>
        <v/>
      </c>
      <c r="T127" s="74" t="n">
        <v>282.83</v>
      </c>
      <c r="U127" s="74" t="n">
        <v>871.49</v>
      </c>
      <c r="V127" s="74">
        <f>T127+S127*K127</f>
        <v/>
      </c>
      <c r="W127" s="74">
        <f>U127-T127</f>
        <v/>
      </c>
      <c r="X127" s="74">
        <f>V127-T127</f>
        <v/>
      </c>
      <c r="Y127" s="74">
        <f>V127-U127</f>
        <v/>
      </c>
      <c r="Z127" s="5" t="n"/>
    </row>
    <row r="128" ht="20" customHeight="1" s="1">
      <c r="A128" s="5" t="n">
        <v>116</v>
      </c>
      <c r="B128" s="5" t="inlineStr">
        <is>
          <t>011105006001</t>
        </is>
      </c>
      <c r="C128" s="5" t="inlineStr">
        <is>
          <t>金属踢脚线</t>
        </is>
      </c>
      <c r="D128" s="5" t="inlineStr">
        <is>
          <t>1.100mm高1.0mm厚深灰色磨砂不锈钢踢脚线
2.其他详见施工设计图</t>
        </is>
      </c>
      <c r="E128" s="5" t="inlineStr">
        <is>
          <t>m2</t>
        </is>
      </c>
      <c r="F128" s="74" t="n">
        <v>19.35</v>
      </c>
      <c r="G128" s="74" t="n">
        <v>29.34</v>
      </c>
      <c r="H128" s="74">
        <f>29.31</f>
        <v/>
      </c>
      <c r="I128" s="74" t="n"/>
      <c r="J128" s="74">
        <f>G128-F128</f>
        <v/>
      </c>
      <c r="K128" s="74">
        <f>H128-F128</f>
        <v/>
      </c>
      <c r="L128" s="74">
        <f>H128-G128</f>
        <v/>
      </c>
      <c r="M128" s="55">
        <f>J128/F128</f>
        <v/>
      </c>
      <c r="N128" s="6" t="n">
        <v>392.29</v>
      </c>
      <c r="O128" s="6" t="n">
        <v>287.46</v>
      </c>
      <c r="P128" s="55">
        <f>(N128-O128)/O128</f>
        <v/>
      </c>
      <c r="Q128" s="74">
        <f>O128*0.9056*0.85</f>
        <v/>
      </c>
      <c r="R128" s="74">
        <f>O128*1.15</f>
        <v/>
      </c>
      <c r="S128" s="74">
        <f>IF(N128&lt;O128*0.9056*0.85,O128*0.9056*0.85,IF(N128&gt;O128*1.15,O128*1.15,N128))</f>
        <v/>
      </c>
      <c r="T128" s="74" t="n">
        <v>7591.2</v>
      </c>
      <c r="U128" s="74" t="n">
        <v>10893.26</v>
      </c>
      <c r="V128" s="74">
        <f>T128+S128*K128</f>
        <v/>
      </c>
      <c r="W128" s="74">
        <f>U128-T128</f>
        <v/>
      </c>
      <c r="X128" s="74">
        <f>V128-T128</f>
        <v/>
      </c>
      <c r="Y128" s="74">
        <f>V128-U128</f>
        <v/>
      </c>
      <c r="Z128" s="5" t="n"/>
    </row>
    <row r="129" ht="20" customHeight="1" s="1">
      <c r="A129" s="5" t="n">
        <v>117</v>
      </c>
      <c r="B129" s="5" t="inlineStr">
        <is>
          <t>011105006002</t>
        </is>
      </c>
      <c r="C129" s="5" t="inlineStr">
        <is>
          <t>金属踢脚线</t>
        </is>
      </c>
      <c r="D129" s="5" t="inlineStr">
        <is>
          <t>1.100mm高1.2mm厚原色拉丝不锈钢踢脚线
2.其他详见施工设计图</t>
        </is>
      </c>
      <c r="E129" s="5" t="inlineStr">
        <is>
          <t>m2</t>
        </is>
      </c>
      <c r="F129" s="74" t="n">
        <v>3.14</v>
      </c>
      <c r="G129" s="74" t="n">
        <v>16</v>
      </c>
      <c r="H129" s="74">
        <f>16</f>
        <v/>
      </c>
      <c r="I129" s="74" t="n"/>
      <c r="J129" s="74">
        <f>G129-F129</f>
        <v/>
      </c>
      <c r="K129" s="74">
        <f>H129-F129</f>
        <v/>
      </c>
      <c r="L129" s="74">
        <f>H129-G129</f>
        <v/>
      </c>
      <c r="M129" s="55">
        <f>J129/F129</f>
        <v/>
      </c>
      <c r="N129" s="6" t="n">
        <v>392.29</v>
      </c>
      <c r="O129" s="6" t="n">
        <v>333.66</v>
      </c>
      <c r="P129" s="55">
        <f>(N129-O129)/O129</f>
        <v/>
      </c>
      <c r="Q129" s="74">
        <f>O129*0.9056*0.85</f>
        <v/>
      </c>
      <c r="R129" s="74">
        <f>O129*1.15</f>
        <v/>
      </c>
      <c r="S129" s="74">
        <f>IF(N129&lt;O129*0.9056*0.85,O129*0.9056*0.85,IF(N129&gt;O129*1.15,O129*1.15,N129))</f>
        <v/>
      </c>
      <c r="T129" s="74" t="n">
        <v>1230.61</v>
      </c>
      <c r="U129" s="74" t="n">
        <v>6164.73</v>
      </c>
      <c r="V129" s="74" t="n">
        <v>6164.73</v>
      </c>
      <c r="W129" s="74">
        <f>U129-T129</f>
        <v/>
      </c>
      <c r="X129" s="74">
        <f>V129-T129</f>
        <v/>
      </c>
      <c r="Y129" s="74">
        <f>V129-U129</f>
        <v/>
      </c>
      <c r="Z129" s="5" t="n"/>
    </row>
    <row r="130" ht="20" customHeight="1" s="1">
      <c r="A130" s="5" t="n">
        <v>118</v>
      </c>
      <c r="B130" s="5" t="inlineStr">
        <is>
          <t>011105005001</t>
        </is>
      </c>
      <c r="C130" s="5" t="inlineStr">
        <is>
          <t>木质踢脚线</t>
        </is>
      </c>
      <c r="D130" s="5" t="inlineStr">
        <is>
          <t>1.100mm实木板踢脚线
2.其他详见施工设计图</t>
        </is>
      </c>
      <c r="E130" s="5" t="inlineStr">
        <is>
          <t>m2</t>
        </is>
      </c>
      <c r="F130" s="74" t="n">
        <v>9.960000000000001</v>
      </c>
      <c r="G130" s="74" t="n">
        <v>9.960000000000001</v>
      </c>
      <c r="H130" s="74" t="n">
        <v>2.51</v>
      </c>
      <c r="I130" s="74" t="n"/>
      <c r="J130" s="74">
        <f>G130-F130</f>
        <v/>
      </c>
      <c r="K130" s="74">
        <f>H130-F130</f>
        <v/>
      </c>
      <c r="L130" s="74">
        <f>H130-G130</f>
        <v/>
      </c>
      <c r="M130" s="55">
        <f>J130/F130</f>
        <v/>
      </c>
      <c r="N130" s="6" t="n">
        <v>271.88</v>
      </c>
      <c r="O130" s="6" t="n">
        <v>392.16</v>
      </c>
      <c r="P130" s="55">
        <f>(N130-O130)/O130</f>
        <v/>
      </c>
      <c r="Q130" s="74">
        <f>O130*0.9056*0.85</f>
        <v/>
      </c>
      <c r="R130" s="74">
        <f>O130*1.15</f>
        <v/>
      </c>
      <c r="S130" s="74">
        <f>IF(N130&lt;O130*0.9056*0.85,O130*0.9056*0.85,IF(N130&gt;O130*1.15,O130*1.15,N130))</f>
        <v/>
      </c>
      <c r="T130" s="74" t="n">
        <v>2707.92</v>
      </c>
      <c r="U130" s="74" t="n">
        <v>2707.92</v>
      </c>
      <c r="V130" s="74">
        <f>T130+S130*K130</f>
        <v/>
      </c>
      <c r="W130" s="74">
        <f>U130-T130</f>
        <v/>
      </c>
      <c r="X130" s="74">
        <f>V130-T130</f>
        <v/>
      </c>
      <c r="Y130" s="74">
        <f>V130-U130</f>
        <v/>
      </c>
      <c r="Z130" s="5" t="n"/>
    </row>
    <row r="131" ht="20" customHeight="1" s="1">
      <c r="A131" s="5" t="n"/>
      <c r="B131" s="5" t="n"/>
      <c r="C131" s="5" t="inlineStr">
        <is>
          <t>墙、柱面装饰与隔断、幕墙工程</t>
        </is>
      </c>
      <c r="D131" s="5" t="n"/>
      <c r="E131" s="5" t="n"/>
      <c r="F131" s="74" t="n"/>
      <c r="G131" s="74" t="n"/>
      <c r="H131" s="74" t="n"/>
      <c r="I131" s="74" t="n"/>
      <c r="J131" s="74" t="n"/>
      <c r="K131" s="74" t="n"/>
      <c r="L131" s="74" t="n"/>
      <c r="M131" s="55" t="n"/>
      <c r="N131" s="6" t="n"/>
      <c r="O131" s="6" t="n"/>
      <c r="P131" s="55" t="n"/>
      <c r="Q131" s="74" t="n"/>
      <c r="R131" s="74" t="n"/>
      <c r="S131" s="74" t="n"/>
      <c r="T131" s="74" t="n">
        <v>2850747.95</v>
      </c>
      <c r="U131" s="74" t="n">
        <v>3314824.03</v>
      </c>
      <c r="V131" s="74">
        <f>+SUM(V132:V158)</f>
        <v/>
      </c>
      <c r="W131" s="74">
        <f>U131-T131</f>
        <v/>
      </c>
      <c r="X131" s="74">
        <f>V131-T131</f>
        <v/>
      </c>
      <c r="Y131" s="74">
        <f>V131-U131</f>
        <v/>
      </c>
      <c r="Z131" s="5" t="n"/>
      <c r="AA131" s="73" t="n"/>
    </row>
    <row r="132" ht="20" customHeight="1" s="1">
      <c r="A132" s="5" t="n">
        <v>119</v>
      </c>
      <c r="B132" s="5" t="inlineStr">
        <is>
          <t>011204003001</t>
        </is>
      </c>
      <c r="C132" s="5" t="inlineStr">
        <is>
          <t>块料墙面(外墙2)</t>
        </is>
      </c>
      <c r="D132" s="5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132" s="5" t="inlineStr">
        <is>
          <t>m2</t>
        </is>
      </c>
      <c r="F132" s="74" t="n">
        <v>2787.83</v>
      </c>
      <c r="G132" s="74" t="n">
        <v>3039.21</v>
      </c>
      <c r="H132" s="74" t="n">
        <v>3037.23</v>
      </c>
      <c r="I132" s="74" t="n"/>
      <c r="J132" s="74">
        <f>G132-F132</f>
        <v/>
      </c>
      <c r="K132" s="74">
        <f>H132-F132</f>
        <v/>
      </c>
      <c r="L132" s="74">
        <f>H132-G132</f>
        <v/>
      </c>
      <c r="M132" s="55">
        <f>J132/F132</f>
        <v/>
      </c>
      <c r="N132" s="6" t="n">
        <v>188.2</v>
      </c>
      <c r="O132" s="6" t="n">
        <v>140.67</v>
      </c>
      <c r="P132" s="55">
        <f>(N132-O132)/O132</f>
        <v/>
      </c>
      <c r="Q132" s="74">
        <f>O132*0.9056*0.85</f>
        <v/>
      </c>
      <c r="R132" s="74">
        <f>O132*1.15</f>
        <v/>
      </c>
      <c r="S132" s="74">
        <f>IF(N132&lt;O132*0.9056*0.85,O132*0.9056*0.85,IF(N132&gt;O132*1.15,O132*1.15,N132))</f>
        <v/>
      </c>
      <c r="T132" s="74" t="n">
        <v>524669.61</v>
      </c>
      <c r="U132" s="74" t="n">
        <v>565335.38</v>
      </c>
      <c r="V132" s="74">
        <f>T132+S132*K132</f>
        <v/>
      </c>
      <c r="W132" s="74">
        <f>U132-T132</f>
        <v/>
      </c>
      <c r="X132" s="74">
        <f>V132-T132</f>
        <v/>
      </c>
      <c r="Y132" s="74">
        <f>V132-U132</f>
        <v/>
      </c>
      <c r="Z132" s="5" t="n"/>
    </row>
    <row r="133" ht="20" customHeight="1" s="1">
      <c r="A133" s="5" t="n">
        <v>120</v>
      </c>
      <c r="B133" s="5" t="inlineStr">
        <is>
          <t>011407001002</t>
        </is>
      </c>
      <c r="C133" s="5" t="inlineStr">
        <is>
          <t>墙面喷刷涂料(外墙1)</t>
        </is>
      </c>
      <c r="D133" s="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33" s="5" t="inlineStr">
        <is>
          <t>m2</t>
        </is>
      </c>
      <c r="F133" s="74" t="n">
        <v>858.46</v>
      </c>
      <c r="G133" s="74" t="n">
        <v>1044.02</v>
      </c>
      <c r="H133" s="74" t="n">
        <v>1044.02</v>
      </c>
      <c r="I133" s="74" t="n"/>
      <c r="J133" s="74">
        <f>G133-F133</f>
        <v/>
      </c>
      <c r="K133" s="74">
        <f>H133-F133</f>
        <v/>
      </c>
      <c r="L133" s="74">
        <f>H133-G133</f>
        <v/>
      </c>
      <c r="M133" s="55">
        <f>J133/F133</f>
        <v/>
      </c>
      <c r="N133" s="6" t="n">
        <v>133.2</v>
      </c>
      <c r="O133" s="6" t="n">
        <v>98.47</v>
      </c>
      <c r="P133" s="55">
        <f>(N133-O133)/O133</f>
        <v/>
      </c>
      <c r="Q133" s="74">
        <f>O133*0.9056*0.85</f>
        <v/>
      </c>
      <c r="R133" s="74">
        <f>O133*1.15</f>
        <v/>
      </c>
      <c r="S133" s="74">
        <f>IF(N133&lt;O133*0.9056*0.85,O133*0.9056*0.85,IF(N133&gt;O133*1.15,O133*1.15,N133))</f>
        <v/>
      </c>
      <c r="T133" s="74" t="n">
        <v>114347.24</v>
      </c>
      <c r="U133" s="74" t="n">
        <v>135360.23</v>
      </c>
      <c r="V133" s="74">
        <f>T133+S133*K133</f>
        <v/>
      </c>
      <c r="W133" s="74">
        <f>U133-T133</f>
        <v/>
      </c>
      <c r="X133" s="74">
        <f>V133-T133</f>
        <v/>
      </c>
      <c r="Y133" s="74">
        <f>V133-U133</f>
        <v/>
      </c>
      <c r="Z133" s="5" t="n"/>
    </row>
    <row r="134" ht="20" customHeight="1" s="1">
      <c r="A134" s="5" t="n">
        <v>121</v>
      </c>
      <c r="B134" s="5" t="inlineStr">
        <is>
          <t>011407001003</t>
        </is>
      </c>
      <c r="C134" s="5" t="inlineStr">
        <is>
          <t>柱面喷刷涂料(外墙1)</t>
        </is>
      </c>
      <c r="D134" s="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34" s="5" t="inlineStr">
        <is>
          <t>m2</t>
        </is>
      </c>
      <c r="F134" s="74" t="n">
        <v>380.82</v>
      </c>
      <c r="G134" s="74" t="n">
        <v>431.67</v>
      </c>
      <c r="H134" s="74" t="n">
        <v>431.67</v>
      </c>
      <c r="I134" s="74" t="n"/>
      <c r="J134" s="74">
        <f>G134-F134</f>
        <v/>
      </c>
      <c r="K134" s="74">
        <f>H134-F134</f>
        <v/>
      </c>
      <c r="L134" s="74">
        <f>H134-G134</f>
        <v/>
      </c>
      <c r="M134" s="55">
        <f>J134/F134</f>
        <v/>
      </c>
      <c r="N134" s="6" t="n">
        <v>133.2</v>
      </c>
      <c r="O134" s="6" t="n">
        <v>105.64</v>
      </c>
      <c r="P134" s="55">
        <f>(N134-O134)/O134</f>
        <v/>
      </c>
      <c r="Q134" s="74">
        <f>O134*0.9056*0.85</f>
        <v/>
      </c>
      <c r="R134" s="74">
        <f>O134*1.15</f>
        <v/>
      </c>
      <c r="S134" s="74">
        <f>IF(N134&lt;O134*0.9056*0.85,O134*0.9056*0.85,IF(N134&gt;O134*1.15,O134*1.15,N134))</f>
        <v/>
      </c>
      <c r="T134" s="74" t="n">
        <v>50725.22</v>
      </c>
      <c r="U134" s="74" t="n">
        <v>56903.22</v>
      </c>
      <c r="V134" s="74">
        <f>T134+S134*K134</f>
        <v/>
      </c>
      <c r="W134" s="74">
        <f>U134-T134</f>
        <v/>
      </c>
      <c r="X134" s="74">
        <f>V134-T134</f>
        <v/>
      </c>
      <c r="Y134" s="74">
        <f>V134-U134</f>
        <v/>
      </c>
      <c r="Z134" s="5" t="n"/>
    </row>
    <row r="135" ht="20" customHeight="1" s="1">
      <c r="A135" s="5" t="n">
        <v>122</v>
      </c>
      <c r="B135" s="5" t="inlineStr">
        <is>
          <t>011201001001</t>
        </is>
      </c>
      <c r="C135" s="5" t="inlineStr">
        <is>
          <t>墙面一般抹灰（墙1、墙5）</t>
        </is>
      </c>
      <c r="D135" s="5" t="inlineStr">
        <is>
          <t>1.20厚M10水泥砂浆抹面压光
2.甩浆拉毛刷108胶素水泥浆一道(内掺水重8%的胶料)</t>
        </is>
      </c>
      <c r="E135" s="5" t="inlineStr">
        <is>
          <t>m2</t>
        </is>
      </c>
      <c r="F135" s="74" t="n">
        <v>680.54</v>
      </c>
      <c r="G135" s="74" t="n">
        <v>797.9</v>
      </c>
      <c r="H135" s="74">
        <f>300.48+107.1+390.25</f>
        <v/>
      </c>
      <c r="I135" s="74" t="n"/>
      <c r="J135" s="74">
        <f>G135-F135</f>
        <v/>
      </c>
      <c r="K135" s="74">
        <f>H135-F135</f>
        <v/>
      </c>
      <c r="L135" s="74">
        <f>H135-G135</f>
        <v/>
      </c>
      <c r="M135" s="55">
        <f>J135/F135</f>
        <v/>
      </c>
      <c r="N135" s="6" t="n">
        <v>30.33</v>
      </c>
      <c r="O135" s="6" t="n">
        <v>31.52</v>
      </c>
      <c r="P135" s="55">
        <f>(N135-O135)/O135</f>
        <v/>
      </c>
      <c r="Q135" s="74">
        <f>O135*0.9056*0.85</f>
        <v/>
      </c>
      <c r="R135" s="74">
        <f>O135*1.15</f>
        <v/>
      </c>
      <c r="S135" s="74">
        <f>IF(N135&lt;O135*0.9056*0.85,O135*0.9056*0.85,IF(N135&gt;O135*1.15,O135*1.15,N135))</f>
        <v/>
      </c>
      <c r="T135" s="74" t="n">
        <v>20640.63</v>
      </c>
      <c r="U135" s="74" t="n">
        <v>24200.2</v>
      </c>
      <c r="V135" s="74">
        <f>T135+S135*K135</f>
        <v/>
      </c>
      <c r="W135" s="74">
        <f>U135-T135</f>
        <v/>
      </c>
      <c r="X135" s="74">
        <f>V135-T135</f>
        <v/>
      </c>
      <c r="Y135" s="74">
        <f>V135-U135</f>
        <v/>
      </c>
      <c r="Z135" s="5" t="n"/>
    </row>
    <row r="136" ht="20" customHeight="1" s="1">
      <c r="A136" s="5" t="n">
        <v>123</v>
      </c>
      <c r="B136" s="5" t="inlineStr">
        <is>
          <t>011201001002</t>
        </is>
      </c>
      <c r="C136" s="5" t="inlineStr">
        <is>
          <t>墙面一般抹灰（墙3、4）</t>
        </is>
      </c>
      <c r="D136" s="5" t="inlineStr">
        <is>
          <t>1.15mm厚WPM20水泥砂浆找平，分两遍成活，底层抹灰应压实搓毛</t>
        </is>
      </c>
      <c r="E136" s="5" t="inlineStr">
        <is>
          <t>m2</t>
        </is>
      </c>
      <c r="F136" s="74" t="n">
        <v>5055.46</v>
      </c>
      <c r="G136" s="74" t="n">
        <v>5055.46</v>
      </c>
      <c r="H136" s="74">
        <f>142.99+1994.65+2130.5+88.7</f>
        <v/>
      </c>
      <c r="I136" s="74" t="n"/>
      <c r="J136" s="74">
        <f>G136-F136</f>
        <v/>
      </c>
      <c r="K136" s="74">
        <f>H136-F136</f>
        <v/>
      </c>
      <c r="L136" s="74">
        <f>H136-G136</f>
        <v/>
      </c>
      <c r="M136" s="55">
        <f>J136/F136</f>
        <v/>
      </c>
      <c r="N136" s="6" t="n">
        <v>22.12</v>
      </c>
      <c r="O136" s="6" t="n">
        <v>25.5</v>
      </c>
      <c r="P136" s="55">
        <f>(N136-O136)/O136</f>
        <v/>
      </c>
      <c r="Q136" s="74">
        <f>O136*0.9056*0.85</f>
        <v/>
      </c>
      <c r="R136" s="74">
        <f>O136*1.15</f>
        <v/>
      </c>
      <c r="S136" s="74">
        <f>IF(N136&lt;O136*0.9056*0.85,O136*0.9056*0.85,IF(N136&gt;O136*1.15,O136*1.15,N136))</f>
        <v/>
      </c>
      <c r="T136" s="74" t="n">
        <v>111826.78</v>
      </c>
      <c r="U136" s="74" t="n">
        <v>111826.78</v>
      </c>
      <c r="V136" s="74">
        <f>T136+S136*K136</f>
        <v/>
      </c>
      <c r="W136" s="74">
        <f>U136-T136</f>
        <v/>
      </c>
      <c r="X136" s="74">
        <f>V136-T136</f>
        <v/>
      </c>
      <c r="Y136" s="74">
        <f>V136-U136</f>
        <v/>
      </c>
      <c r="Z136" s="5" t="n"/>
    </row>
    <row r="137" ht="20" customHeight="1" s="1">
      <c r="A137" s="5" t="n">
        <v>124</v>
      </c>
      <c r="B137" s="5" t="inlineStr">
        <is>
          <t>011204003002</t>
        </is>
      </c>
      <c r="C137" s="5" t="inlineStr">
        <is>
          <t>块料墙面（墙4）</t>
        </is>
      </c>
      <c r="D137" s="5" t="inlineStr">
        <is>
          <t>1.镶贴400*400陶瓷面砖墙面建筑胶粘剂粘贴</t>
        </is>
      </c>
      <c r="E137" s="5" t="inlineStr">
        <is>
          <t>m2</t>
        </is>
      </c>
      <c r="F137" s="74" t="n">
        <v>1624.08</v>
      </c>
      <c r="G137" s="74" t="n">
        <v>2173.41</v>
      </c>
      <c r="H137" s="74">
        <f>2149.24+19.39</f>
        <v/>
      </c>
      <c r="I137" s="74" t="n"/>
      <c r="J137" s="74">
        <f>G137-F137</f>
        <v/>
      </c>
      <c r="K137" s="74">
        <f>H137-F137</f>
        <v/>
      </c>
      <c r="L137" s="74">
        <f>H137-G137</f>
        <v/>
      </c>
      <c r="M137" s="55">
        <f>J137/F137</f>
        <v/>
      </c>
      <c r="N137" s="6" t="n">
        <v>148.21</v>
      </c>
      <c r="O137" s="6" t="n">
        <v>117.46</v>
      </c>
      <c r="P137" s="55">
        <f>(N137-O137)/O137</f>
        <v/>
      </c>
      <c r="Q137" s="74">
        <f>O137*0.9056*0.85</f>
        <v/>
      </c>
      <c r="R137" s="74">
        <f>O137*1.15</f>
        <v/>
      </c>
      <c r="S137" s="74">
        <f>IF(N137&lt;O137*0.9056*0.85,O137*0.9056*0.85,IF(N137&gt;O137*1.15,O137*1.15,N137))</f>
        <v/>
      </c>
      <c r="T137" s="74" t="n">
        <v>240705.46</v>
      </c>
      <c r="U137" s="74" t="n">
        <v>314907.73</v>
      </c>
      <c r="V137" s="74">
        <f>T137+S137*K137</f>
        <v/>
      </c>
      <c r="W137" s="74">
        <f>U137-T137</f>
        <v/>
      </c>
      <c r="X137" s="74">
        <f>V137-T137</f>
        <v/>
      </c>
      <c r="Y137" s="74">
        <f>V137-U137</f>
        <v/>
      </c>
      <c r="Z137" s="5" t="n"/>
    </row>
    <row r="138" ht="20" customHeight="1" s="1">
      <c r="A138" s="5" t="n">
        <v>125</v>
      </c>
      <c r="B138" s="5" t="inlineStr">
        <is>
          <t>011406001001</t>
        </is>
      </c>
      <c r="C138" s="5" t="inlineStr">
        <is>
          <t>墙面喷刷涂料(墙3）</t>
        </is>
      </c>
      <c r="D138" s="5" t="inlineStr">
        <is>
          <t>1.满刮腻子二道
2.刷内墙无机涂料,底漆一道,面漆两道</t>
        </is>
      </c>
      <c r="E138" s="5" t="inlineStr">
        <is>
          <t>m2</t>
        </is>
      </c>
      <c r="F138" s="74" t="n">
        <v>3431.38</v>
      </c>
      <c r="G138" s="74" t="n">
        <v>3431.38</v>
      </c>
      <c r="H138" s="74">
        <f>59.79+139.19+2636.31</f>
        <v/>
      </c>
      <c r="I138" s="74" t="n"/>
      <c r="J138" s="74">
        <f>G138-F138</f>
        <v/>
      </c>
      <c r="K138" s="74">
        <f>H138-F138</f>
        <v/>
      </c>
      <c r="L138" s="74">
        <f>H138-G138</f>
        <v/>
      </c>
      <c r="M138" s="55">
        <f>J138/F138</f>
        <v/>
      </c>
      <c r="N138" s="6" t="n">
        <v>36.95</v>
      </c>
      <c r="O138" s="6" t="n">
        <v>50.6</v>
      </c>
      <c r="P138" s="55">
        <f>(N138-O138)/O138</f>
        <v/>
      </c>
      <c r="Q138" s="74">
        <f>O138*0.9056*0.85</f>
        <v/>
      </c>
      <c r="R138" s="74">
        <f>O138*1.15</f>
        <v/>
      </c>
      <c r="S138" s="74">
        <f>IF(N138&lt;O138*0.9056*0.85,O138*0.9056*0.85,IF(N138&gt;O138*1.15,O138*1.15,N138))</f>
        <v/>
      </c>
      <c r="T138" s="74" t="n">
        <v>126789.35</v>
      </c>
      <c r="U138" s="74" t="n">
        <v>126789.35</v>
      </c>
      <c r="V138" s="74">
        <f>T138+S138*K138</f>
        <v/>
      </c>
      <c r="W138" s="74">
        <f>U138-T138</f>
        <v/>
      </c>
      <c r="X138" s="74">
        <f>V138-T138</f>
        <v/>
      </c>
      <c r="Y138" s="74">
        <f>V138-U138</f>
        <v/>
      </c>
      <c r="Z138" s="5" t="n"/>
    </row>
    <row r="139" ht="20" customHeight="1" s="1">
      <c r="A139" s="5" t="n">
        <v>126</v>
      </c>
      <c r="B139" s="5" t="inlineStr">
        <is>
          <t>011406001002</t>
        </is>
      </c>
      <c r="C139" s="5" t="inlineStr">
        <is>
          <t>墙面喷刷涂料(墙5）</t>
        </is>
      </c>
      <c r="D139" s="5" t="inlineStr">
        <is>
          <t>1.满刮耐水防霉白色腻子</t>
        </is>
      </c>
      <c r="E139" s="5" t="inlineStr">
        <is>
          <t>m2</t>
        </is>
      </c>
      <c r="F139" s="74" t="n">
        <v>312.9</v>
      </c>
      <c r="G139" s="74" t="n">
        <v>437.02</v>
      </c>
      <c r="H139" s="74">
        <f>G139</f>
        <v/>
      </c>
      <c r="I139" s="74" t="n"/>
      <c r="J139" s="74">
        <f>G139-F139</f>
        <v/>
      </c>
      <c r="K139" s="74">
        <f>H139-F139</f>
        <v/>
      </c>
      <c r="L139" s="74">
        <f>H139-G139</f>
        <v/>
      </c>
      <c r="M139" s="55">
        <f>J139/F139</f>
        <v/>
      </c>
      <c r="N139" s="6" t="n">
        <v>17.13</v>
      </c>
      <c r="O139" s="6" t="n">
        <v>18.67</v>
      </c>
      <c r="P139" s="55">
        <f>(N139-O139)/O139</f>
        <v/>
      </c>
      <c r="Q139" s="74">
        <f>O139*0.9056*0.85</f>
        <v/>
      </c>
      <c r="R139" s="74">
        <f>O139*1.15</f>
        <v/>
      </c>
      <c r="S139" s="74">
        <f>IF(N139&lt;O139*0.9056*0.85,O139*0.9056*0.85,IF(N139&gt;O139*1.15,O139*1.15,N139))</f>
        <v/>
      </c>
      <c r="T139" s="74" t="n">
        <v>5359.91</v>
      </c>
      <c r="U139" s="74" t="n">
        <v>7486.18</v>
      </c>
      <c r="V139" s="74">
        <f>T139+S139*K139</f>
        <v/>
      </c>
      <c r="W139" s="74">
        <f>U139-T139</f>
        <v/>
      </c>
      <c r="X139" s="74">
        <f>V139-T139</f>
        <v/>
      </c>
      <c r="Y139" s="74">
        <f>V139-U139</f>
        <v/>
      </c>
      <c r="Z139" s="5" t="n"/>
      <c r="AA139" s="73" t="inlineStr">
        <is>
          <t>复核首层车道墙5是否在地下室计算</t>
        </is>
      </c>
    </row>
    <row r="140" ht="20" customHeight="1" s="1">
      <c r="A140" s="5" t="n">
        <v>127</v>
      </c>
      <c r="B140" s="5" t="inlineStr">
        <is>
          <t>011204003005</t>
        </is>
      </c>
      <c r="C140" s="5" t="inlineStr">
        <is>
          <t>块料墙面（墙8）</t>
        </is>
      </c>
      <c r="D140" s="5" t="inlineStr">
        <is>
          <t>1.镶贴300*600陶瓷面砖墙面建筑胶粘剂粘贴
2.15厚WPM20水泥砂浆找平</t>
        </is>
      </c>
      <c r="E140" s="5" t="inlineStr">
        <is>
          <t>m2</t>
        </is>
      </c>
      <c r="F140" s="74" t="n">
        <v>977.1900000000001</v>
      </c>
      <c r="G140" s="74" t="n">
        <v>977.1900000000001</v>
      </c>
      <c r="H140" s="74">
        <f>25.44+549.77</f>
        <v/>
      </c>
      <c r="I140" s="74" t="n"/>
      <c r="J140" s="74">
        <f>G140-F140</f>
        <v/>
      </c>
      <c r="K140" s="74">
        <f>H140-F140</f>
        <v/>
      </c>
      <c r="L140" s="74">
        <f>H140-G140</f>
        <v/>
      </c>
      <c r="M140" s="55">
        <f>J140/F140</f>
        <v/>
      </c>
      <c r="N140" s="6" t="n">
        <v>162.51</v>
      </c>
      <c r="O140" s="6" t="n">
        <v>147.48</v>
      </c>
      <c r="P140" s="55">
        <f>(N140-O140)/O140</f>
        <v/>
      </c>
      <c r="Q140" s="74">
        <f>O140*0.9056*0.85</f>
        <v/>
      </c>
      <c r="R140" s="74">
        <f>O140*1.15</f>
        <v/>
      </c>
      <c r="S140" s="74">
        <f>IF(N140&lt;O140*0.9056*0.85,O140*0.9056*0.85,IF(N140&gt;O140*1.15,O140*1.15,N140))</f>
        <v/>
      </c>
      <c r="T140" s="74" t="n">
        <v>158803.15</v>
      </c>
      <c r="U140" s="74" t="n">
        <v>158803.15</v>
      </c>
      <c r="V140" s="74">
        <f>T140+S140*K140</f>
        <v/>
      </c>
      <c r="W140" s="74">
        <f>U140-T140</f>
        <v/>
      </c>
      <c r="X140" s="74">
        <f>V140-T140</f>
        <v/>
      </c>
      <c r="Y140" s="74">
        <f>V140-U140</f>
        <v/>
      </c>
      <c r="Z140" s="5" t="n"/>
    </row>
    <row r="141" ht="20" customHeight="1" s="1">
      <c r="A141" s="5" t="n">
        <v>128</v>
      </c>
      <c r="B141" s="5" t="inlineStr">
        <is>
          <t>011205001001</t>
        </is>
      </c>
      <c r="C141" s="5" t="inlineStr">
        <is>
          <t>石材柱面</t>
        </is>
      </c>
      <c r="D141" s="5" t="inlineStr">
        <is>
          <t>1.石材柱面
2.安装方式:挂贴米色大理石
3.其他详见施工设计图</t>
        </is>
      </c>
      <c r="E141" s="5" t="inlineStr">
        <is>
          <t>m2</t>
        </is>
      </c>
      <c r="F141" s="74" t="n">
        <v>186.44</v>
      </c>
      <c r="G141" s="74" t="n">
        <v>186.44</v>
      </c>
      <c r="H141" s="74">
        <f>98.24</f>
        <v/>
      </c>
      <c r="I141" s="74" t="n"/>
      <c r="J141" s="74">
        <f>G141-F141</f>
        <v/>
      </c>
      <c r="K141" s="74">
        <f>H141-F141</f>
        <v/>
      </c>
      <c r="L141" s="74">
        <f>H141-G141</f>
        <v/>
      </c>
      <c r="M141" s="55">
        <f>J141/F141</f>
        <v/>
      </c>
      <c r="N141" s="6" t="n">
        <v>682.21</v>
      </c>
      <c r="O141" s="6" t="n">
        <v>453.37</v>
      </c>
      <c r="P141" s="55">
        <f>(N141-O141)/O141</f>
        <v/>
      </c>
      <c r="Q141" s="74">
        <f>O141*0.9056*0.85</f>
        <v/>
      </c>
      <c r="R141" s="74">
        <f>O141*1.15</f>
        <v/>
      </c>
      <c r="S141" s="74">
        <f>IF(N141&lt;O141*0.9056*0.85,O141*0.9056*0.85,IF(N141&gt;O141*1.15,O141*1.15,N141))</f>
        <v/>
      </c>
      <c r="T141" s="74" t="n">
        <v>127191.23</v>
      </c>
      <c r="U141" s="74" t="n">
        <v>127191.23</v>
      </c>
      <c r="V141" s="74">
        <f>T141+S141*K141</f>
        <v/>
      </c>
      <c r="W141" s="74">
        <f>U141-T141</f>
        <v/>
      </c>
      <c r="X141" s="74">
        <f>V141-T141</f>
        <v/>
      </c>
      <c r="Y141" s="74">
        <f>V141-U141</f>
        <v/>
      </c>
      <c r="Z141" s="5" t="n"/>
    </row>
    <row r="142" ht="20" customHeight="1" s="1">
      <c r="A142" s="5" t="n">
        <v>129</v>
      </c>
      <c r="B142" s="5" t="inlineStr">
        <is>
          <t>011502001001</t>
        </is>
      </c>
      <c r="C142" s="5" t="inlineStr">
        <is>
          <t>金属装饰线</t>
        </is>
      </c>
      <c r="D142" s="5" t="inlineStr">
        <is>
          <t>1.外墙装饰线
2.200*200*2.5mm厚铝通
3.其他详见施工设计图</t>
        </is>
      </c>
      <c r="E142" s="5" t="inlineStr">
        <is>
          <t>m</t>
        </is>
      </c>
      <c r="F142" s="74" t="n">
        <v>379.9</v>
      </c>
      <c r="G142" s="74" t="n">
        <v>404.6</v>
      </c>
      <c r="H142" s="74">
        <f>404.6</f>
        <v/>
      </c>
      <c r="I142" s="74" t="n"/>
      <c r="J142" s="74">
        <f>G142-F142</f>
        <v/>
      </c>
      <c r="K142" s="74">
        <f>H142-F142</f>
        <v/>
      </c>
      <c r="L142" s="74">
        <f>H142-G142</f>
        <v/>
      </c>
      <c r="M142" s="55">
        <f>J142/F142</f>
        <v/>
      </c>
      <c r="N142" s="6" t="n">
        <v>217.73</v>
      </c>
      <c r="O142" s="6" t="n">
        <v>207.95</v>
      </c>
      <c r="P142" s="55">
        <f>(N142-O142)/O142</f>
        <v/>
      </c>
      <c r="Q142" s="74">
        <f>O142*0.9056*0.85</f>
        <v/>
      </c>
      <c r="R142" s="74">
        <f>O142*1.15</f>
        <v/>
      </c>
      <c r="S142" s="74">
        <f>IF(N142&lt;O142*0.9056*0.85,O142*0.9056*0.85,IF(N142&gt;O142*1.15,O142*1.15,N142))</f>
        <v/>
      </c>
      <c r="T142" s="74" t="n">
        <v>82715.63</v>
      </c>
      <c r="U142" s="74" t="n">
        <v>88093.56</v>
      </c>
      <c r="V142" s="74">
        <f>T142+S142*K142</f>
        <v/>
      </c>
      <c r="W142" s="74">
        <f>U142-T142</f>
        <v/>
      </c>
      <c r="X142" s="74">
        <f>V142-T142</f>
        <v/>
      </c>
      <c r="Y142" s="74">
        <f>V142-U142</f>
        <v/>
      </c>
      <c r="Z142" s="5" t="n"/>
    </row>
    <row r="143" ht="20" customHeight="1" s="1">
      <c r="A143" s="5" t="n">
        <v>130</v>
      </c>
      <c r="B143" s="5" t="inlineStr">
        <is>
          <t>011208001001</t>
        </is>
      </c>
      <c r="C143" s="5" t="inlineStr">
        <is>
          <t>柱(梁)面装饰</t>
        </is>
      </c>
      <c r="D143" s="5" t="inlineStr">
        <is>
          <t>1.外墙装饰造型
2.2.5mm铝单板
3.L50*5角钢龙骨@1200
4.其他详见施工设计图</t>
        </is>
      </c>
      <c r="E143" s="5" t="inlineStr">
        <is>
          <t>m2</t>
        </is>
      </c>
      <c r="F143" s="74" t="n">
        <v>791.39</v>
      </c>
      <c r="G143" s="74" t="n">
        <v>791.39</v>
      </c>
      <c r="H143" s="74" t="n">
        <v>791.39</v>
      </c>
      <c r="I143" s="74" t="n"/>
      <c r="J143" s="74">
        <f>G143-F143</f>
        <v/>
      </c>
      <c r="K143" s="74">
        <f>H143-F143</f>
        <v/>
      </c>
      <c r="L143" s="74">
        <f>H143-G143</f>
        <v/>
      </c>
      <c r="M143" s="55">
        <f>J143/F143</f>
        <v/>
      </c>
      <c r="N143" s="6" t="n">
        <v>588.26</v>
      </c>
      <c r="O143" s="6" t="n">
        <v>621.97</v>
      </c>
      <c r="P143" s="55">
        <f>(N143-O143)/O143</f>
        <v/>
      </c>
      <c r="Q143" s="74">
        <f>O143*0.9056*0.85</f>
        <v/>
      </c>
      <c r="R143" s="74">
        <f>O143*1.15</f>
        <v/>
      </c>
      <c r="S143" s="74">
        <f>IF(N143&lt;O143*0.9056*0.85,O143*0.9056*0.85,IF(N143&gt;O143*1.15,O143*1.15,N143))</f>
        <v/>
      </c>
      <c r="T143" s="74" t="n">
        <v>465543.08</v>
      </c>
      <c r="U143" s="74" t="n">
        <v>465543.08</v>
      </c>
      <c r="V143" s="74">
        <f>T143+S143*K143</f>
        <v/>
      </c>
      <c r="W143" s="74">
        <f>U143-T143</f>
        <v/>
      </c>
      <c r="X143" s="74">
        <f>V143-T143</f>
        <v/>
      </c>
      <c r="Y143" s="74">
        <f>V143-U143</f>
        <v/>
      </c>
      <c r="Z143" s="5" t="n"/>
    </row>
    <row r="144" ht="20" customHeight="1" s="1">
      <c r="A144" s="5" t="n">
        <v>131</v>
      </c>
      <c r="B144" s="5" t="inlineStr">
        <is>
          <t>011207001001</t>
        </is>
      </c>
      <c r="C144" s="5" t="inlineStr">
        <is>
          <t>墙面装饰板</t>
        </is>
      </c>
      <c r="D144" s="5" t="inlineStr">
        <is>
          <t>1.外墙窗侧异性铝通造型
2.2.5mm铝单板
3.其他详见施工设计图</t>
        </is>
      </c>
      <c r="E144" s="5" t="inlineStr">
        <is>
          <t>m2</t>
        </is>
      </c>
      <c r="F144" s="74" t="n">
        <v>683.02</v>
      </c>
      <c r="G144" s="74" t="n">
        <v>950.67</v>
      </c>
      <c r="H144" s="74">
        <f>19.25+877.43</f>
        <v/>
      </c>
      <c r="I144" s="74" t="n"/>
      <c r="J144" s="74">
        <f>G144-F144</f>
        <v/>
      </c>
      <c r="K144" s="74">
        <f>H144-F144</f>
        <v/>
      </c>
      <c r="L144" s="74">
        <f>H144-G144</f>
        <v/>
      </c>
      <c r="M144" s="55">
        <f>J144/F144</f>
        <v/>
      </c>
      <c r="N144" s="6" t="n">
        <v>604.05</v>
      </c>
      <c r="O144" s="6" t="n">
        <v>569.7</v>
      </c>
      <c r="P144" s="55">
        <f>(N144-O144)/O144</f>
        <v/>
      </c>
      <c r="Q144" s="74">
        <f>O144*0.9056*0.85</f>
        <v/>
      </c>
      <c r="R144" s="74">
        <f>O144*1.15</f>
        <v/>
      </c>
      <c r="S144" s="74">
        <f>IF(N144&lt;O144*0.9056*0.85,O144*0.9056*0.85,IF(N144&gt;O144*1.15,O144*1.15,N144))</f>
        <v/>
      </c>
      <c r="T144" s="74" t="n">
        <v>412578.23</v>
      </c>
      <c r="U144" s="74" t="n">
        <v>574252.15</v>
      </c>
      <c r="V144" s="74">
        <f>T144+S144*K144</f>
        <v/>
      </c>
      <c r="W144" s="74">
        <f>U144-T144</f>
        <v/>
      </c>
      <c r="X144" s="74">
        <f>V144-T144</f>
        <v/>
      </c>
      <c r="Y144" s="74">
        <f>V144-U144</f>
        <v/>
      </c>
      <c r="Z144" s="5" t="n"/>
    </row>
    <row r="145" ht="20" customHeight="1" s="1">
      <c r="A145" s="5" t="n">
        <v>132</v>
      </c>
      <c r="B145" s="5" t="inlineStr">
        <is>
          <t>011207001002</t>
        </is>
      </c>
      <c r="C145" s="5" t="inlineStr">
        <is>
          <t>墙面装饰板</t>
        </is>
      </c>
      <c r="D145" s="5" t="inlineStr">
        <is>
          <t>1.9mm阻燃夹板
2.30*30阻燃木龙骨
3.其他详见施工设计图纸</t>
        </is>
      </c>
      <c r="E145" s="5" t="inlineStr">
        <is>
          <t>m2</t>
        </is>
      </c>
      <c r="F145" s="74" t="n">
        <v>8.19</v>
      </c>
      <c r="G145" s="74" t="n">
        <v>18.98</v>
      </c>
      <c r="H145" s="74" t="n">
        <v>0</v>
      </c>
      <c r="I145" s="74" t="n"/>
      <c r="J145" s="74">
        <f>G145-F145</f>
        <v/>
      </c>
      <c r="K145" s="74">
        <f>H145-F145</f>
        <v/>
      </c>
      <c r="L145" s="74">
        <f>H145-G145</f>
        <v/>
      </c>
      <c r="M145" s="55">
        <f>J145/F145</f>
        <v/>
      </c>
      <c r="N145" s="6" t="n">
        <v>95.98</v>
      </c>
      <c r="O145" s="6" t="n">
        <v>97.03</v>
      </c>
      <c r="P145" s="55">
        <f>(N145-O145)/O145</f>
        <v/>
      </c>
      <c r="Q145" s="74">
        <f>O145*0.9056*0.85</f>
        <v/>
      </c>
      <c r="R145" s="74">
        <f>O145*1.15</f>
        <v/>
      </c>
      <c r="S145" s="74">
        <f>IF(N145&lt;O145*0.9056*0.85,O145*0.9056*0.85,IF(N145&gt;O145*1.15,O145*1.15,N145))</f>
        <v/>
      </c>
      <c r="T145" s="74" t="n">
        <v>786.08</v>
      </c>
      <c r="U145" s="74" t="n">
        <v>1822.11</v>
      </c>
      <c r="V145" s="74">
        <f>T145+S145*K145</f>
        <v/>
      </c>
      <c r="W145" s="74">
        <f>U145-T145</f>
        <v/>
      </c>
      <c r="X145" s="74">
        <f>V145-T145</f>
        <v/>
      </c>
      <c r="Y145" s="74">
        <f>V145-U145</f>
        <v/>
      </c>
      <c r="Z145" s="5" t="n"/>
    </row>
    <row r="146" ht="20" customHeight="1" s="1">
      <c r="A146" s="5" t="n">
        <v>133</v>
      </c>
      <c r="B146" s="5" t="inlineStr">
        <is>
          <t>011207001003</t>
        </is>
      </c>
      <c r="C146" s="5" t="inlineStr">
        <is>
          <t>墙面装饰板</t>
        </is>
      </c>
      <c r="D146" s="5" t="inlineStr">
        <is>
          <t>1.1mm厚304原色磨砂不锈钢
2.9mm阻燃夹板
3.30*30阻燃木龙骨
4.其他详见施工设计图纸</t>
        </is>
      </c>
      <c r="E146" s="5" t="inlineStr">
        <is>
          <t>m2</t>
        </is>
      </c>
      <c r="F146" s="74" t="n">
        <v>18.65</v>
      </c>
      <c r="G146" s="74" t="n">
        <v>18.98</v>
      </c>
      <c r="H146" s="74" t="n">
        <v>18.98</v>
      </c>
      <c r="I146" s="74" t="n"/>
      <c r="J146" s="74">
        <f>G146-F146</f>
        <v/>
      </c>
      <c r="K146" s="74">
        <f>H146-F146</f>
        <v/>
      </c>
      <c r="L146" s="74">
        <f>H146-G146</f>
        <v/>
      </c>
      <c r="M146" s="55">
        <f>J146/F146</f>
        <v/>
      </c>
      <c r="N146" s="6" t="n">
        <v>585.51</v>
      </c>
      <c r="O146" s="6" t="n">
        <v>329.74</v>
      </c>
      <c r="P146" s="55">
        <f>(N146-O146)/O146</f>
        <v/>
      </c>
      <c r="Q146" s="74">
        <f>O146*0.9056*0.85</f>
        <v/>
      </c>
      <c r="R146" s="74">
        <f>O146*1.15</f>
        <v/>
      </c>
      <c r="S146" s="74">
        <f>IF(N146&lt;O146*0.9056*0.85,O146*0.9056*0.85,IF(N146&gt;O146*1.15,O146*1.15,N146))</f>
        <v/>
      </c>
      <c r="T146" s="74" t="n">
        <v>10919.76</v>
      </c>
      <c r="U146" s="74" t="n">
        <v>11046.53</v>
      </c>
      <c r="V146" s="74">
        <f>T146+S146*K146</f>
        <v/>
      </c>
      <c r="W146" s="74">
        <f>U146-T146</f>
        <v/>
      </c>
      <c r="X146" s="74">
        <f>V146-T146</f>
        <v/>
      </c>
      <c r="Y146" s="74">
        <f>V146-U146</f>
        <v/>
      </c>
      <c r="Z146" s="5" t="n"/>
    </row>
    <row r="147" ht="20" customHeight="1" s="1">
      <c r="A147" s="5" t="n">
        <v>134</v>
      </c>
      <c r="B147" s="5" t="inlineStr">
        <is>
          <t>011207001004</t>
        </is>
      </c>
      <c r="C147" s="5" t="inlineStr">
        <is>
          <t>墙面装饰板</t>
        </is>
      </c>
      <c r="D147" s="5" t="inlineStr">
        <is>
          <t>1.18mm厚A级防火吸音板
2.15mm阻燃夹板
3.双层50*50阻燃木龙骨底架
4.整体厚度233mm
5.其他详见施工设计图纸</t>
        </is>
      </c>
      <c r="E147" s="5" t="inlineStr">
        <is>
          <t>m2</t>
        </is>
      </c>
      <c r="F147" s="74" t="n">
        <v>132.14</v>
      </c>
      <c r="G147" s="74" t="n">
        <v>132.14</v>
      </c>
      <c r="H147" s="74">
        <f>104.64</f>
        <v/>
      </c>
      <c r="I147" s="74" t="n"/>
      <c r="J147" s="74">
        <f>G147-F147</f>
        <v/>
      </c>
      <c r="K147" s="74">
        <f>H147-F147</f>
        <v/>
      </c>
      <c r="L147" s="74">
        <f>H147-G147</f>
        <v/>
      </c>
      <c r="M147" s="55">
        <f>J147/F147</f>
        <v/>
      </c>
      <c r="N147" s="6" t="n">
        <v>249.83</v>
      </c>
      <c r="O147" s="6" t="n">
        <v>239.51</v>
      </c>
      <c r="P147" s="55">
        <f>(N147-O147)/O147</f>
        <v/>
      </c>
      <c r="Q147" s="74">
        <f>O147*0.9056*0.85</f>
        <v/>
      </c>
      <c r="R147" s="74">
        <f>O147*1.15</f>
        <v/>
      </c>
      <c r="S147" s="74">
        <f>IF(N147&lt;O147*0.9056*0.85,O147*0.9056*0.85,IF(N147&gt;O147*1.15,O147*1.15,N147))</f>
        <v/>
      </c>
      <c r="T147" s="74" t="n">
        <v>33012.54</v>
      </c>
      <c r="U147" s="74" t="n">
        <v>33012.54</v>
      </c>
      <c r="V147" s="74">
        <f>T147+S147*K147</f>
        <v/>
      </c>
      <c r="W147" s="74">
        <f>U147-T147</f>
        <v/>
      </c>
      <c r="X147" s="74">
        <f>V147-T147</f>
        <v/>
      </c>
      <c r="Y147" s="74">
        <f>V147-U147</f>
        <v/>
      </c>
      <c r="Z147" s="5" t="n"/>
    </row>
    <row r="148" ht="20" customHeight="1" s="1">
      <c r="A148" s="5" t="n">
        <v>135</v>
      </c>
      <c r="B148" s="5" t="inlineStr">
        <is>
          <t>011207001005</t>
        </is>
      </c>
      <c r="C148" s="5" t="inlineStr">
        <is>
          <t>墙面装饰板</t>
        </is>
      </c>
      <c r="D148" s="5" t="inlineStr">
        <is>
          <t>1.18mm厚A级防火吸音板
2.15mm阻燃夹板
3.50*50阻燃木龙骨底架
4.50mm厚超细玻璃棉（容重32kg/m3）
5.外包吸声无纺布
6.30mm黑缝（黑色填缝剂）
7.其他详见施工设计图纸</t>
        </is>
      </c>
      <c r="E148" s="5" t="inlineStr">
        <is>
          <t>m2</t>
        </is>
      </c>
      <c r="F148" s="74" t="n">
        <v>252.81</v>
      </c>
      <c r="G148" s="74" t="n">
        <v>252.81</v>
      </c>
      <c r="H148" s="74">
        <f>45.48</f>
        <v/>
      </c>
      <c r="I148" s="74" t="n"/>
      <c r="J148" s="74">
        <f>G148-F148</f>
        <v/>
      </c>
      <c r="K148" s="74">
        <f>H148-F148</f>
        <v/>
      </c>
      <c r="L148" s="74">
        <f>H148-G148</f>
        <v/>
      </c>
      <c r="M148" s="55">
        <f>J148/F148</f>
        <v/>
      </c>
      <c r="N148" s="6" t="n">
        <v>295.33</v>
      </c>
      <c r="O148" s="6" t="n">
        <v>275.9</v>
      </c>
      <c r="P148" s="55">
        <f>(N148-O148)/O148</f>
        <v/>
      </c>
      <c r="Q148" s="74">
        <f>O148*0.9056*0.85</f>
        <v/>
      </c>
      <c r="R148" s="74">
        <f>O148*1.15</f>
        <v/>
      </c>
      <c r="S148" s="74">
        <f>IF(N148&lt;O148*0.9056*0.85,O148*0.9056*0.85,IF(N148&gt;O148*1.15,O148*1.15,N148))</f>
        <v/>
      </c>
      <c r="T148" s="74" t="n">
        <v>74662.38</v>
      </c>
      <c r="U148" s="74" t="n">
        <v>74662.38</v>
      </c>
      <c r="V148" s="74">
        <f>T148+S148*K148</f>
        <v/>
      </c>
      <c r="W148" s="74">
        <f>U148-T148</f>
        <v/>
      </c>
      <c r="X148" s="74">
        <f>V148-T148</f>
        <v/>
      </c>
      <c r="Y148" s="74">
        <f>V148-U148</f>
        <v/>
      </c>
      <c r="Z148" s="5" t="n"/>
    </row>
    <row r="149" ht="20" customHeight="1" s="1">
      <c r="A149" s="5" t="n">
        <v>136</v>
      </c>
      <c r="B149" s="5" t="inlineStr">
        <is>
          <t>011207001011</t>
        </is>
      </c>
      <c r="C149" s="5" t="inlineStr">
        <is>
          <t>墙面装饰板</t>
        </is>
      </c>
      <c r="D149" s="5" t="inlineStr">
        <is>
          <t>1.18mm厚A级防火吸音板（条形木纹）
2.15mm阻燃夹板
3.50*50阻燃木龙骨底架
4.50mm厚超细玻璃棉（容重32kg/m3）
5.外包吸声无纺布
6.30mm黑缝（黑色填缝剂）
7.其他详见施工设计图纸</t>
        </is>
      </c>
      <c r="E149" s="5" t="inlineStr">
        <is>
          <t>m2</t>
        </is>
      </c>
      <c r="F149" s="74" t="n">
        <v>52</v>
      </c>
      <c r="G149" s="74" t="n">
        <v>52.75</v>
      </c>
      <c r="H149" s="74">
        <f>52.41</f>
        <v/>
      </c>
      <c r="I149" s="74" t="n"/>
      <c r="J149" s="74">
        <f>G149-F149</f>
        <v/>
      </c>
      <c r="K149" s="74">
        <f>H149-F149</f>
        <v/>
      </c>
      <c r="L149" s="74">
        <f>H149-G149</f>
        <v/>
      </c>
      <c r="M149" s="55">
        <f>J149/F149</f>
        <v/>
      </c>
      <c r="N149" s="6" t="n">
        <v>295.33</v>
      </c>
      <c r="O149" s="6" t="n">
        <v>272.31</v>
      </c>
      <c r="P149" s="55">
        <f>(N149-O149)/O149</f>
        <v/>
      </c>
      <c r="Q149" s="74">
        <f>O149*0.9056*0.85</f>
        <v/>
      </c>
      <c r="R149" s="74">
        <f>O149*1.15</f>
        <v/>
      </c>
      <c r="S149" s="74">
        <f>IF(N149&lt;O149*0.9056*0.85,O149*0.9056*0.85,IF(N149&gt;O149*1.15,O149*1.15,N149))</f>
        <v/>
      </c>
      <c r="T149" s="74" t="n">
        <v>15357.16</v>
      </c>
      <c r="U149" s="74" t="n">
        <v>15579.72</v>
      </c>
      <c r="V149" s="74">
        <f>T149+S149*K149</f>
        <v/>
      </c>
      <c r="W149" s="74">
        <f>U149-T149</f>
        <v/>
      </c>
      <c r="X149" s="74">
        <f>V149-T149</f>
        <v/>
      </c>
      <c r="Y149" s="74">
        <f>V149-U149</f>
        <v/>
      </c>
      <c r="Z149" s="5" t="n"/>
    </row>
    <row r="150" ht="20" customHeight="1" s="1">
      <c r="A150" s="5" t="n">
        <v>137</v>
      </c>
      <c r="B150" s="5" t="inlineStr">
        <is>
          <t>011207001006</t>
        </is>
      </c>
      <c r="C150" s="5" t="inlineStr">
        <is>
          <t>墙面装饰板</t>
        </is>
      </c>
      <c r="D150" s="5" t="inlineStr">
        <is>
          <t>1.18mm厚A级防火吸音板
2.15mm阻燃夹板
3.50*50*4mm+60*60*3mm镀锌钢管龙骨
4.35mm厚超细玻璃棉（容重32kg/m3）
5.外包吸声无纺布
6.30mm黑缝（黑色填缝剂）
7.其他详见施工设计图纸</t>
        </is>
      </c>
      <c r="E150" s="5" t="inlineStr">
        <is>
          <t>m2</t>
        </is>
      </c>
      <c r="F150" s="74" t="n">
        <v>216.53</v>
      </c>
      <c r="G150" s="74" t="n">
        <v>462.7</v>
      </c>
      <c r="H150" s="74">
        <f>462.7</f>
        <v/>
      </c>
      <c r="I150" s="74" t="n"/>
      <c r="J150" s="74">
        <f>G150-F150</f>
        <v/>
      </c>
      <c r="K150" s="74">
        <f>H150-F150</f>
        <v/>
      </c>
      <c r="L150" s="74">
        <f>H150-G150</f>
        <v/>
      </c>
      <c r="M150" s="55">
        <f>J150/F150</f>
        <v/>
      </c>
      <c r="N150" s="6" t="n">
        <v>283.46</v>
      </c>
      <c r="O150" s="6" t="n">
        <v>510.23</v>
      </c>
      <c r="P150" s="55">
        <f>(N150-O150)/O150</f>
        <v/>
      </c>
      <c r="Q150" s="74">
        <f>O150*0.9056*0.85</f>
        <v/>
      </c>
      <c r="R150" s="74">
        <f>O150*1.15</f>
        <v/>
      </c>
      <c r="S150" s="74">
        <f>IF(N150&lt;O150*0.9056*0.85,O150*0.9056*0.85,IF(N150&gt;O150*1.15,O150*1.15,N150))</f>
        <v/>
      </c>
      <c r="T150" s="74" t="n">
        <v>61377.59</v>
      </c>
      <c r="U150" s="74" t="n">
        <v>158063.22</v>
      </c>
      <c r="V150" s="74">
        <f>T150+S150*K150</f>
        <v/>
      </c>
      <c r="W150" s="74">
        <f>U150-T150</f>
        <v/>
      </c>
      <c r="X150" s="74">
        <f>V150-T150</f>
        <v/>
      </c>
      <c r="Y150" s="74">
        <f>V150-U150</f>
        <v/>
      </c>
      <c r="Z150" s="5" t="n"/>
    </row>
    <row r="151" ht="20" customHeight="1" s="1">
      <c r="A151" s="5" t="n">
        <v>138</v>
      </c>
      <c r="B151" s="5" t="inlineStr">
        <is>
          <t>011207001007</t>
        </is>
      </c>
      <c r="C151" s="5" t="inlineStr">
        <is>
          <t>墙面装饰板</t>
        </is>
      </c>
      <c r="D151" s="5" t="inlineStr">
        <is>
          <t>1.2.5mm厚氟碳冲孔铝单板
2.40*40*3mm镀锌方钢管+L40*3角钢骨架
3.50mm厚超细玻璃棉（容重32kg/m3）
4.外包吸声无纺布
5.侧边5mm木纹免漆板
6.其他详见施工设计图纸</t>
        </is>
      </c>
      <c r="E151" s="5" t="inlineStr">
        <is>
          <t>m2</t>
        </is>
      </c>
      <c r="F151" s="74" t="n">
        <v>48.48</v>
      </c>
      <c r="G151" s="74" t="n">
        <v>52.41</v>
      </c>
      <c r="H151" s="74" t="n">
        <v>52.41</v>
      </c>
      <c r="I151" s="74" t="n"/>
      <c r="J151" s="74">
        <f>G151-F151</f>
        <v/>
      </c>
      <c r="K151" s="74">
        <f>H151-F151</f>
        <v/>
      </c>
      <c r="L151" s="74">
        <f>H151-G151</f>
        <v/>
      </c>
      <c r="M151" s="55">
        <f>J151/F151</f>
        <v/>
      </c>
      <c r="N151" s="6" t="n">
        <v>696.1900000000001</v>
      </c>
      <c r="O151" s="6" t="n">
        <v>632.95</v>
      </c>
      <c r="P151" s="55">
        <f>(N151-O151)/O151</f>
        <v/>
      </c>
      <c r="Q151" s="74">
        <f>O151*0.9056*0.85</f>
        <v/>
      </c>
      <c r="R151" s="74">
        <f>O151*1.15</f>
        <v/>
      </c>
      <c r="S151" s="74">
        <f>IF(N151&lt;O151*0.9056*0.85,O151*0.9056*0.85,IF(N151&gt;O151*1.15,O151*1.15,N151))</f>
        <v/>
      </c>
      <c r="T151" s="74" t="n">
        <v>33750.25</v>
      </c>
      <c r="U151" s="74" t="n">
        <v>36487.87</v>
      </c>
      <c r="V151" s="74">
        <f>T151+S151*K151</f>
        <v/>
      </c>
      <c r="W151" s="74">
        <f>U151-T151</f>
        <v/>
      </c>
      <c r="X151" s="74">
        <f>V151-T151</f>
        <v/>
      </c>
      <c r="Y151" s="74">
        <f>V151-U151</f>
        <v/>
      </c>
      <c r="Z151" s="5" t="n"/>
    </row>
    <row r="152" ht="20" customHeight="1" s="1">
      <c r="A152" s="5" t="n">
        <v>139</v>
      </c>
      <c r="B152" s="5" t="inlineStr">
        <is>
          <t>011207001008</t>
        </is>
      </c>
      <c r="C152" s="5" t="inlineStr">
        <is>
          <t>墙面装饰板</t>
        </is>
      </c>
      <c r="D152" s="5" t="inlineStr">
        <is>
      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      </is>
      </c>
      <c r="E152" s="5" t="inlineStr">
        <is>
          <t>m2</t>
        </is>
      </c>
      <c r="F152" s="74" t="n">
        <v>83.45</v>
      </c>
      <c r="G152" s="74" t="n">
        <v>103</v>
      </c>
      <c r="H152" s="74" t="n">
        <v>102.89</v>
      </c>
      <c r="I152" s="74" t="n"/>
      <c r="J152" s="74">
        <f>G152-F152</f>
        <v/>
      </c>
      <c r="K152" s="74">
        <f>H152-F152</f>
        <v/>
      </c>
      <c r="L152" s="74">
        <f>H152-G152</f>
        <v/>
      </c>
      <c r="M152" s="55">
        <f>J152/F152</f>
        <v/>
      </c>
      <c r="N152" s="6" t="n">
        <v>823.85</v>
      </c>
      <c r="O152" s="6" t="n">
        <v>632.95</v>
      </c>
      <c r="P152" s="55">
        <f>(N152-O152)/O152</f>
        <v/>
      </c>
      <c r="Q152" s="74">
        <f>O152*0.9056*0.85</f>
        <v/>
      </c>
      <c r="R152" s="74">
        <f>O152*1.15</f>
        <v/>
      </c>
      <c r="S152" s="74">
        <f>IF(N152&lt;O152*0.9056*0.85,O152*0.9056*0.85,IF(N152&gt;O152*1.15,O152*1.15,N152))</f>
        <v/>
      </c>
      <c r="T152" s="74" t="n">
        <v>68750.28</v>
      </c>
      <c r="U152" s="74" t="n">
        <v>82981.16</v>
      </c>
      <c r="V152" s="74">
        <f>T152+S152*K152</f>
        <v/>
      </c>
      <c r="W152" s="74">
        <f>U152-T152</f>
        <v/>
      </c>
      <c r="X152" s="74">
        <f>V152-T152</f>
        <v/>
      </c>
      <c r="Y152" s="74">
        <f>V152-U152</f>
        <v/>
      </c>
      <c r="Z152" s="5" t="n"/>
    </row>
    <row r="153" ht="20" customHeight="1" s="1">
      <c r="A153" s="5" t="n">
        <v>140</v>
      </c>
      <c r="B153" s="5" t="inlineStr">
        <is>
          <t>011207001009</t>
        </is>
      </c>
      <c r="C153" s="5" t="inlineStr">
        <is>
          <t>墙面装饰板</t>
        </is>
      </c>
      <c r="D153" s="5" t="inlineStr">
        <is>
          <t>1.25mm厚灰色吸音软包
2.50*50阻燃木龙骨
3.50mm厚超细玻璃棉（容重32kg/m3）
4.外包吸声无纺布
5.15mm阻燃夹板
6.其他详见施工设计图纸</t>
        </is>
      </c>
      <c r="E153" s="5" t="inlineStr">
        <is>
          <t>m2</t>
        </is>
      </c>
      <c r="F153" s="74" t="n">
        <v>9.19</v>
      </c>
      <c r="G153" s="74" t="n">
        <v>9.31</v>
      </c>
      <c r="H153" s="74">
        <f>9.31</f>
        <v/>
      </c>
      <c r="I153" s="74" t="n"/>
      <c r="J153" s="74">
        <f>G153-F153</f>
        <v/>
      </c>
      <c r="K153" s="74">
        <f>H153-F153</f>
        <v/>
      </c>
      <c r="L153" s="74">
        <f>H153-G153</f>
        <v/>
      </c>
      <c r="M153" s="55">
        <f>J153/F153</f>
        <v/>
      </c>
      <c r="N153" s="6" t="n">
        <v>442.56</v>
      </c>
      <c r="O153" s="6" t="n">
        <v>211.74</v>
      </c>
      <c r="P153" s="55">
        <f>(N153-O153)/O153</f>
        <v/>
      </c>
      <c r="Q153" s="74">
        <f>O153*0.9056*0.85</f>
        <v/>
      </c>
      <c r="R153" s="74">
        <f>O153*1.15</f>
        <v/>
      </c>
      <c r="S153" s="74">
        <f>IF(N153&lt;O153*0.9056*0.85,O153*0.9056*0.85,IF(N153&gt;O153*1.15,O153*1.15,N153))</f>
        <v/>
      </c>
      <c r="T153" s="74" t="n">
        <v>4065.09</v>
      </c>
      <c r="U153" s="74" t="n">
        <v>4095.77</v>
      </c>
      <c r="V153" s="74">
        <f>T153+S153*K153</f>
        <v/>
      </c>
      <c r="W153" s="74">
        <f>U153-T153</f>
        <v/>
      </c>
      <c r="X153" s="74">
        <f>V153-T153</f>
        <v/>
      </c>
      <c r="Y153" s="74">
        <f>V153-U153</f>
        <v/>
      </c>
      <c r="Z153" s="5" t="n"/>
    </row>
    <row r="154" ht="20" customHeight="1" s="1">
      <c r="A154" s="5" t="n">
        <v>141</v>
      </c>
      <c r="B154" s="5" t="inlineStr">
        <is>
          <t>011207001010</t>
        </is>
      </c>
      <c r="C154" s="5" t="inlineStr">
        <is>
          <t>墙面装饰板</t>
        </is>
      </c>
      <c r="D154" s="5" t="inlineStr">
        <is>
          <t>1.采光窗装饰墙面
2.22*22*1.0不锈钢方形管龙骨
3.8mm硅钙板
4.无机装修涂料
5.其他详见施工设计图</t>
        </is>
      </c>
      <c r="E154" s="5" t="inlineStr">
        <is>
          <t>m2</t>
        </is>
      </c>
      <c r="F154" s="74" t="n">
        <v>42.33</v>
      </c>
      <c r="G154" s="74" t="n">
        <v>137.8</v>
      </c>
      <c r="H154" s="74">
        <f>137.8</f>
        <v/>
      </c>
      <c r="I154" s="74" t="n"/>
      <c r="J154" s="74">
        <f>G154-F154</f>
        <v/>
      </c>
      <c r="K154" s="74">
        <f>H154-F154</f>
        <v/>
      </c>
      <c r="L154" s="74">
        <f>H154-G154</f>
        <v/>
      </c>
      <c r="M154" s="55">
        <f>J154/F154</f>
        <v/>
      </c>
      <c r="N154" s="6" t="n">
        <v>423.33</v>
      </c>
      <c r="O154" s="6" t="n">
        <v>160.16</v>
      </c>
      <c r="P154" s="55">
        <f>(N154-O154)/O154</f>
        <v/>
      </c>
      <c r="Q154" s="74">
        <f>O154*0.9056*0.85</f>
        <v/>
      </c>
      <c r="R154" s="74">
        <f>O154*1.15</f>
        <v/>
      </c>
      <c r="S154" s="74">
        <f>IF(N154&lt;O154*0.9056*0.85,O154*0.9056*0.85,IF(N154&gt;O154*1.15,O154*1.15,N154))</f>
        <v/>
      </c>
      <c r="T154" s="74" t="n">
        <v>17920.83</v>
      </c>
      <c r="U154" s="74" t="n">
        <v>35504.91</v>
      </c>
      <c r="V154" s="74">
        <f>T154+S154*K154</f>
        <v/>
      </c>
      <c r="W154" s="74">
        <f>U154-T154</f>
        <v/>
      </c>
      <c r="X154" s="74">
        <f>V154-T154</f>
        <v/>
      </c>
      <c r="Y154" s="74">
        <f>V154-U154</f>
        <v/>
      </c>
      <c r="Z154" s="5" t="n"/>
    </row>
    <row r="155" ht="20" customHeight="1" s="1">
      <c r="A155" s="5" t="n">
        <v>142</v>
      </c>
      <c r="B155" s="5" t="inlineStr">
        <is>
          <t>010809004001</t>
        </is>
      </c>
      <c r="C155" s="5" t="inlineStr">
        <is>
          <t>石材窗台板</t>
        </is>
      </c>
      <c r="D155" s="5" t="inlineStr">
        <is>
          <t>1.15mm深褐色人造石
2.位置：售卖窗窗台
3.其他详见施工设计图</t>
        </is>
      </c>
      <c r="E155" s="5" t="inlineStr">
        <is>
          <t>m2</t>
        </is>
      </c>
      <c r="F155" s="74" t="n">
        <v>25.43</v>
      </c>
      <c r="G155" s="74" t="n">
        <v>29.82</v>
      </c>
      <c r="H155" s="74">
        <f>29.82</f>
        <v/>
      </c>
      <c r="I155" s="74" t="n"/>
      <c r="J155" s="74">
        <f>G155-F155</f>
        <v/>
      </c>
      <c r="K155" s="74">
        <f>H155-F155</f>
        <v/>
      </c>
      <c r="L155" s="74">
        <f>H155-G155</f>
        <v/>
      </c>
      <c r="M155" s="55">
        <f>J155/F155</f>
        <v/>
      </c>
      <c r="N155" s="6" t="n">
        <v>430.56</v>
      </c>
      <c r="O155" s="6" t="n">
        <v>300.56</v>
      </c>
      <c r="P155" s="55">
        <f>(N155-O155)/O155</f>
        <v/>
      </c>
      <c r="Q155" s="74">
        <f>O155*0.9056*0.85</f>
        <v/>
      </c>
      <c r="R155" s="74">
        <f>O155*1.15</f>
        <v/>
      </c>
      <c r="S155" s="74">
        <f>IF(N155&lt;O155*0.9056*0.85,O155*0.9056*0.85,IF(N155&gt;O155*1.15,O155*1.15,N155))</f>
        <v/>
      </c>
      <c r="T155" s="74" t="n">
        <v>10949.14</v>
      </c>
      <c r="U155" s="74" t="n">
        <v>12466.24</v>
      </c>
      <c r="V155" s="74" t="n">
        <v>12466.24</v>
      </c>
      <c r="W155" s="74">
        <f>U155-T155</f>
        <v/>
      </c>
      <c r="X155" s="74">
        <f>V155-T155</f>
        <v/>
      </c>
      <c r="Y155" s="74">
        <f>V155-U155</f>
        <v/>
      </c>
      <c r="Z155" s="5" t="n"/>
    </row>
    <row r="156" ht="20" customHeight="1" s="1">
      <c r="A156" s="5" t="n">
        <v>143</v>
      </c>
      <c r="B156" s="5" t="inlineStr">
        <is>
          <t>011502002001</t>
        </is>
      </c>
      <c r="C156" s="5" t="inlineStr">
        <is>
          <t>墙面装饰线</t>
        </is>
      </c>
      <c r="D156" s="5" t="inlineStr">
        <is>
          <t>1.阶梯教室墙面装饰线
2.20*20阻燃木龙骨底架
3.8mm硅钙板
4.无机装修涂料
5.其他详见施工设计图</t>
        </is>
      </c>
      <c r="E156" s="5" t="inlineStr">
        <is>
          <t>m</t>
        </is>
      </c>
      <c r="F156" s="74" t="n">
        <v>56.07</v>
      </c>
      <c r="G156" s="74" t="n">
        <v>336.58</v>
      </c>
      <c r="H156" s="74">
        <f>55.73+280.84</f>
        <v/>
      </c>
      <c r="I156" s="74" t="n"/>
      <c r="J156" s="74">
        <f>G156-F156</f>
        <v/>
      </c>
      <c r="K156" s="74">
        <f>H156-F156</f>
        <v/>
      </c>
      <c r="L156" s="74">
        <f>H156-G156</f>
        <v/>
      </c>
      <c r="M156" s="55">
        <f>J156/F156</f>
        <v/>
      </c>
      <c r="N156" s="6" t="n">
        <v>103.69</v>
      </c>
      <c r="O156" s="6" t="n">
        <v>30.94</v>
      </c>
      <c r="P156" s="55">
        <f>(N156-O156)/O156</f>
        <v/>
      </c>
      <c r="Q156" s="74">
        <f>O156*0.9056*0.85</f>
        <v/>
      </c>
      <c r="R156" s="74">
        <f>O156*1.15</f>
        <v/>
      </c>
      <c r="S156" s="74">
        <f>IF(N156&lt;O156*0.9056*0.85,O156*0.9056*0.85,IF(N156&gt;O156*1.15,O156*1.15,N156))</f>
        <v/>
      </c>
      <c r="T156" s="74" t="n">
        <v>5813.9</v>
      </c>
      <c r="U156" s="74" t="n">
        <v>15794.6</v>
      </c>
      <c r="V156" s="74">
        <f>T156+S156*K156</f>
        <v/>
      </c>
      <c r="W156" s="74">
        <f>U156-T156</f>
        <v/>
      </c>
      <c r="X156" s="74">
        <f>V156-T156</f>
        <v/>
      </c>
      <c r="Y156" s="74">
        <f>V156-U156</f>
        <v/>
      </c>
      <c r="Z156" s="5" t="n"/>
    </row>
    <row r="157" ht="20" customHeight="1" s="1">
      <c r="A157" s="5" t="n">
        <v>144</v>
      </c>
      <c r="B157" s="5" t="inlineStr">
        <is>
          <t>011210001001</t>
        </is>
      </c>
      <c r="C157" s="5" t="inlineStr">
        <is>
          <t>轻钢龙骨隔墙</t>
        </is>
      </c>
      <c r="D157" s="5" t="inlineStr">
        <is>
      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      </is>
      </c>
      <c r="E157" s="5" t="inlineStr">
        <is>
          <t>m2</t>
        </is>
      </c>
      <c r="F157" s="74" t="n">
        <v>80.95</v>
      </c>
      <c r="G157" s="74" t="n">
        <v>89.22</v>
      </c>
      <c r="H157" s="74">
        <f>89.22</f>
        <v/>
      </c>
      <c r="I157" s="74" t="n"/>
      <c r="J157" s="74">
        <f>G157-F157</f>
        <v/>
      </c>
      <c r="K157" s="74">
        <f>H157-F157</f>
        <v/>
      </c>
      <c r="L157" s="74">
        <f>H157-G157</f>
        <v/>
      </c>
      <c r="M157" s="55">
        <f>J157/F157</f>
        <v/>
      </c>
      <c r="N157" s="6" t="n">
        <v>730.8099999999999</v>
      </c>
      <c r="O157" s="6" t="n">
        <v>456.55</v>
      </c>
      <c r="P157" s="55">
        <f>(N157-O157)/O157</f>
        <v/>
      </c>
      <c r="Q157" s="74">
        <f>O157*0.9056*0.85</f>
        <v/>
      </c>
      <c r="R157" s="74">
        <f>O157*1.15</f>
        <v/>
      </c>
      <c r="S157" s="74">
        <f>IF(N157&lt;O157*0.9056*0.85,O157*0.9056*0.85,IF(N157&gt;O157*1.15,O157*1.15,N157))</f>
        <v/>
      </c>
      <c r="T157" s="74" t="n">
        <v>59155.42</v>
      </c>
      <c r="U157" s="74" t="n">
        <v>63497.8</v>
      </c>
      <c r="V157" s="74">
        <f>T157+S157*K157</f>
        <v/>
      </c>
      <c r="W157" s="74">
        <f>U157-T157</f>
        <v/>
      </c>
      <c r="X157" s="74">
        <f>V157-T157</f>
        <v/>
      </c>
      <c r="Y157" s="74">
        <f>V157-U157</f>
        <v/>
      </c>
      <c r="Z157" s="5" t="n"/>
    </row>
    <row r="158" ht="20" customHeight="1" s="1">
      <c r="A158" s="5" t="n">
        <v>145</v>
      </c>
      <c r="B158" s="5" t="inlineStr">
        <is>
          <t>011507003001</t>
        </is>
      </c>
      <c r="C158" s="5" t="inlineStr">
        <is>
          <t>灯箱</t>
        </is>
      </c>
      <c r="D158" s="5" t="inlineStr">
        <is>
          <t>1.广告牌灯箱
2.位置：售卖窗
3.其他详见施工设计图</t>
        </is>
      </c>
      <c r="E158" s="5" t="inlineStr">
        <is>
          <t>m2</t>
        </is>
      </c>
      <c r="F158" s="74" t="n">
        <v>17.63</v>
      </c>
      <c r="G158" s="74" t="n">
        <v>20.27</v>
      </c>
      <c r="H158" s="74">
        <f>20.27</f>
        <v/>
      </c>
      <c r="I158" s="74" t="n"/>
      <c r="J158" s="74">
        <f>G158-F158</f>
        <v/>
      </c>
      <c r="K158" s="74">
        <f>H158-F158</f>
        <v/>
      </c>
      <c r="L158" s="74">
        <f>H158-G158</f>
        <v/>
      </c>
      <c r="M158" s="55">
        <f>J158/F158</f>
        <v/>
      </c>
      <c r="N158" s="6" t="n">
        <v>699.5700000000001</v>
      </c>
      <c r="O158" s="6" t="n">
        <v>258.08</v>
      </c>
      <c r="P158" s="55">
        <f>(N158-O158)/O158</f>
        <v/>
      </c>
      <c r="Q158" s="74">
        <f>O158*0.9056*0.85</f>
        <v/>
      </c>
      <c r="R158" s="74">
        <f>O158*1.15</f>
        <v/>
      </c>
      <c r="S158" s="74">
        <f>IF(N158&lt;O158*0.9056*0.85,O158*0.9056*0.85,IF(N158&gt;O158*1.15,O158*1.15,N158))</f>
        <v/>
      </c>
      <c r="T158" s="74" t="n">
        <v>12332.02</v>
      </c>
      <c r="U158" s="74" t="n">
        <v>13116.92</v>
      </c>
      <c r="V158" s="74">
        <f>T158+S158*K158</f>
        <v/>
      </c>
      <c r="W158" s="74">
        <f>U158-T158</f>
        <v/>
      </c>
      <c r="X158" s="74">
        <f>V158-T158</f>
        <v/>
      </c>
      <c r="Y158" s="74">
        <f>V158-U158</f>
        <v/>
      </c>
      <c r="Z158" s="5" t="n"/>
    </row>
    <row r="159" ht="20" customHeight="1" s="1">
      <c r="A159" s="5" t="n"/>
      <c r="B159" s="5" t="n"/>
      <c r="C159" s="5" t="inlineStr">
        <is>
          <t>天棚工程</t>
        </is>
      </c>
      <c r="D159" s="5" t="n"/>
      <c r="E159" s="5" t="n"/>
      <c r="F159" s="74" t="n"/>
      <c r="G159" s="74" t="n"/>
      <c r="H159" s="74" t="n"/>
      <c r="I159" s="74" t="n"/>
      <c r="J159" s="74" t="n"/>
      <c r="K159" s="74" t="n"/>
      <c r="L159" s="74" t="n"/>
      <c r="M159" s="55" t="n"/>
      <c r="N159" s="6" t="n"/>
      <c r="O159" s="6" t="n"/>
      <c r="P159" s="55" t="n"/>
      <c r="Q159" s="74" t="n"/>
      <c r="R159" s="74" t="n"/>
      <c r="S159" s="74" t="n"/>
      <c r="T159" s="74" t="n">
        <v>1110460.07</v>
      </c>
      <c r="U159" s="74" t="n">
        <v>1163442.67</v>
      </c>
      <c r="V159" s="74">
        <f>+SUM(V160:V168)</f>
        <v/>
      </c>
      <c r="W159" s="74">
        <f>U159-T159</f>
        <v/>
      </c>
      <c r="X159" s="74">
        <f>V159-T159</f>
        <v/>
      </c>
      <c r="Y159" s="74">
        <f>V159-U159</f>
        <v/>
      </c>
      <c r="Z159" s="5" t="n"/>
      <c r="AA159" s="73" t="n"/>
    </row>
    <row r="160" ht="20" customHeight="1" s="1">
      <c r="A160" s="5" t="n">
        <v>146</v>
      </c>
      <c r="B160" s="5" t="inlineStr">
        <is>
          <t>011407002001</t>
        </is>
      </c>
      <c r="C160" s="5" t="inlineStr">
        <is>
          <t>天棚喷刷涂料（顶1）</t>
        </is>
      </c>
      <c r="D160" s="5" t="inlineStr">
        <is>
          <t>1.加强型腻子找平层5厚
2.无机涂料,三遍成活</t>
        </is>
      </c>
      <c r="E160" s="5" t="inlineStr">
        <is>
          <t>m2</t>
        </is>
      </c>
      <c r="F160" s="74" t="n">
        <v>3212.05</v>
      </c>
      <c r="G160" s="74" t="n">
        <v>3212.05</v>
      </c>
      <c r="H160" s="74">
        <f>82.91+611.77+2145.37+171.38</f>
        <v/>
      </c>
      <c r="I160" s="74" t="n"/>
      <c r="J160" s="74">
        <f>G160-F160</f>
        <v/>
      </c>
      <c r="K160" s="74">
        <f>H160-F160</f>
        <v/>
      </c>
      <c r="L160" s="74">
        <f>H160-G160</f>
        <v/>
      </c>
      <c r="M160" s="55">
        <f>J160/F160</f>
        <v/>
      </c>
      <c r="N160" s="6" t="n">
        <v>39.44</v>
      </c>
      <c r="O160" s="6" t="n">
        <v>48.24</v>
      </c>
      <c r="P160" s="55">
        <f>(N160-O160)/O160</f>
        <v/>
      </c>
      <c r="Q160" s="74">
        <f>O160*0.9056*0.85</f>
        <v/>
      </c>
      <c r="R160" s="74">
        <f>O160*1.15</f>
        <v/>
      </c>
      <c r="S160" s="74">
        <f>IF(N160&lt;O160*0.9056*0.85,O160*0.9056*0.85,IF(N160&gt;O160*1.15,O160*1.15,N160))</f>
        <v/>
      </c>
      <c r="T160" s="74" t="n">
        <v>126683.18</v>
      </c>
      <c r="U160" s="74" t="n">
        <v>126683.18</v>
      </c>
      <c r="V160" s="74">
        <f>T160+S160*K160</f>
        <v/>
      </c>
      <c r="W160" s="74">
        <f>U160-T160</f>
        <v/>
      </c>
      <c r="X160" s="74">
        <f>V160-T160</f>
        <v/>
      </c>
      <c r="Y160" s="74">
        <f>V160-U160</f>
        <v/>
      </c>
      <c r="Z160" s="5" t="inlineStr">
        <is>
          <t>复核车道顶棚是否在地下室计算</t>
        </is>
      </c>
    </row>
    <row r="161" ht="20" customHeight="1" s="1">
      <c r="A161" s="5" t="n">
        <v>147</v>
      </c>
      <c r="B161" s="5" t="inlineStr">
        <is>
          <t>011406001006</t>
        </is>
      </c>
      <c r="C161" s="5" t="inlineStr">
        <is>
          <t>抹灰面油漆（顶2）</t>
        </is>
      </c>
      <c r="D161" s="5" t="inlineStr">
        <is>
          <t>1.扫白色灰水二道</t>
        </is>
      </c>
      <c r="E161" s="5" t="inlineStr">
        <is>
          <t>m2</t>
        </is>
      </c>
      <c r="F161" s="74" t="n">
        <v>16.56</v>
      </c>
      <c r="G161" s="74" t="n">
        <v>17.45</v>
      </c>
      <c r="H161" s="74" t="n">
        <v>16.56</v>
      </c>
      <c r="I161" s="74" t="n">
        <v>17.25</v>
      </c>
      <c r="J161" s="74">
        <f>G161-F161</f>
        <v/>
      </c>
      <c r="K161" s="74">
        <f>H161-F161</f>
        <v/>
      </c>
      <c r="L161" s="74">
        <f>H161-G161</f>
        <v/>
      </c>
      <c r="M161" s="55">
        <f>J161/F161</f>
        <v/>
      </c>
      <c r="N161" s="6" t="n">
        <v>19.62</v>
      </c>
      <c r="O161" s="6" t="n">
        <v>17.11</v>
      </c>
      <c r="P161" s="55">
        <f>(N161-O161)/O161</f>
        <v/>
      </c>
      <c r="Q161" s="74">
        <f>O161*0.9056*0.85</f>
        <v/>
      </c>
      <c r="R161" s="74">
        <f>O161*1.15</f>
        <v/>
      </c>
      <c r="S161" s="74">
        <f>IF(N161&lt;O161*0.9056*0.85,O161*0.9056*0.85,IF(N161&gt;O161*1.15,O161*1.15,N161))</f>
        <v/>
      </c>
      <c r="T161" s="74" t="n">
        <v>324.87</v>
      </c>
      <c r="U161" s="74" t="n">
        <v>342.27</v>
      </c>
      <c r="V161" s="74">
        <f>T161+S161*K161</f>
        <v/>
      </c>
      <c r="W161" s="74">
        <f>U161-T161</f>
        <v/>
      </c>
      <c r="X161" s="74">
        <f>V161-T161</f>
        <v/>
      </c>
      <c r="Y161" s="74">
        <f>V161-U161</f>
        <v/>
      </c>
      <c r="Z161" s="5" t="inlineStr">
        <is>
          <t>变更16修改做法，在变更扣减</t>
        </is>
      </c>
    </row>
    <row r="162" ht="20" customHeight="1" s="1">
      <c r="A162" s="5" t="n">
        <v>148</v>
      </c>
      <c r="B162" s="5" t="inlineStr">
        <is>
          <t>011302001001</t>
        </is>
      </c>
      <c r="C162" s="5" t="inlineStr">
        <is>
          <t>吊顶天棚（室外）</t>
        </is>
      </c>
      <c r="D162" s="5" t="inlineStr">
        <is>
          <t>1.2.5mm铝单板吊顶
2.L50*5角钢@1200
3.做法详见图纸</t>
        </is>
      </c>
      <c r="E162" s="5" t="inlineStr">
        <is>
          <t>m2</t>
        </is>
      </c>
      <c r="F162" s="74" t="n">
        <v>631.61</v>
      </c>
      <c r="G162" s="74" t="n">
        <v>631.61</v>
      </c>
      <c r="H162" s="74">
        <f>545.95</f>
        <v/>
      </c>
      <c r="I162" s="74">
        <f>363.825+153*2</f>
        <v/>
      </c>
      <c r="J162" s="74">
        <f>G162-F162</f>
        <v/>
      </c>
      <c r="K162" s="74">
        <f>H162-F162</f>
        <v/>
      </c>
      <c r="L162" s="74">
        <f>H162-G162</f>
        <v/>
      </c>
      <c r="M162" s="55">
        <f>J162/F162</f>
        <v/>
      </c>
      <c r="N162" s="6" t="n">
        <v>665.34</v>
      </c>
      <c r="O162" s="6" t="n">
        <v>645.25</v>
      </c>
      <c r="P162" s="55">
        <f>(N162-O162)/O162</f>
        <v/>
      </c>
      <c r="Q162" s="74">
        <f>O162*0.9056*0.85</f>
        <v/>
      </c>
      <c r="R162" s="74">
        <f>O162*1.15</f>
        <v/>
      </c>
      <c r="S162" s="74">
        <f>IF(N162&lt;O162*0.9056*0.85,O162*0.9056*0.85,IF(N162&gt;O162*1.15,O162*1.15,N162))</f>
        <v/>
      </c>
      <c r="T162" s="74" t="n">
        <v>420235.4</v>
      </c>
      <c r="U162" s="74" t="n">
        <v>420235.4</v>
      </c>
      <c r="V162" s="74">
        <f>T162+S162*K162</f>
        <v/>
      </c>
      <c r="W162" s="74">
        <f>U162-T162</f>
        <v/>
      </c>
      <c r="X162" s="74">
        <f>V162-T162</f>
        <v/>
      </c>
      <c r="Y162" s="74">
        <f>V162-U162</f>
        <v/>
      </c>
      <c r="Z162" s="5" t="inlineStr">
        <is>
          <t>此处还需再核对</t>
        </is>
      </c>
      <c r="AA162" s="77" t="inlineStr">
        <is>
          <t>此处详怡海小学
铝合金门窗深化图</t>
        </is>
      </c>
      <c r="AE162" t="inlineStr">
        <is>
          <t>补变更手续</t>
        </is>
      </c>
    </row>
    <row r="163" ht="20" customHeight="1" s="1">
      <c r="A163" s="5" t="n">
        <v>149</v>
      </c>
      <c r="B163" s="5" t="inlineStr">
        <is>
          <t>011406001007</t>
        </is>
      </c>
      <c r="C163" s="5" t="inlineStr">
        <is>
          <t>抹灰面油漆（顶5）</t>
        </is>
      </c>
      <c r="D163" s="5" t="inlineStr">
        <is>
          <t>1.耐水防霉白色腻子两遍</t>
        </is>
      </c>
      <c r="E163" s="5" t="inlineStr">
        <is>
          <t>m2</t>
        </is>
      </c>
      <c r="F163" s="74" t="n">
        <v>1449.08</v>
      </c>
      <c r="G163" s="74" t="n">
        <v>1624.99</v>
      </c>
      <c r="H163" s="74">
        <f>1623.18</f>
        <v/>
      </c>
      <c r="I163" s="74" t="n"/>
      <c r="J163" s="74">
        <f>G163-F163</f>
        <v/>
      </c>
      <c r="K163" s="74">
        <f>H163-F163</f>
        <v/>
      </c>
      <c r="L163" s="74">
        <f>H163-G163</f>
        <v/>
      </c>
      <c r="M163" s="55">
        <f>J163/F163</f>
        <v/>
      </c>
      <c r="N163" s="6" t="n">
        <v>19.62</v>
      </c>
      <c r="O163" s="6" t="n">
        <v>21.48</v>
      </c>
      <c r="P163" s="55">
        <f>(N163-O163)/O163</f>
        <v/>
      </c>
      <c r="Q163" s="74">
        <f>O163*0.9056*0.85</f>
        <v/>
      </c>
      <c r="R163" s="74">
        <f>O163*1.15</f>
        <v/>
      </c>
      <c r="S163" s="74">
        <f>IF(N163&lt;O163*0.9056*0.85,O163*0.9056*0.85,IF(N163&gt;O163*1.15,O163*1.15,N163))</f>
        <v/>
      </c>
      <c r="T163" s="74" t="n">
        <v>28430.92</v>
      </c>
      <c r="U163" s="74" t="n">
        <v>31882.38</v>
      </c>
      <c r="V163" s="74">
        <f>T163+S163*K163</f>
        <v/>
      </c>
      <c r="W163" s="74">
        <f>U163-T163</f>
        <v/>
      </c>
      <c r="X163" s="74">
        <f>V163-T163</f>
        <v/>
      </c>
      <c r="Y163" s="74">
        <f>V163-U163</f>
        <v/>
      </c>
      <c r="Z163" s="5" t="n"/>
    </row>
    <row r="164" ht="20" customHeight="1" s="1">
      <c r="A164" s="5" t="n">
        <v>150</v>
      </c>
      <c r="B164" s="5" t="inlineStr">
        <is>
          <t>011302001002</t>
        </is>
      </c>
      <c r="C164" s="5" t="inlineStr">
        <is>
          <t>吊顶天棚</t>
        </is>
      </c>
      <c r="D164" s="5" t="inlineStr">
        <is>
          <t>1.3mm厚穿孔铝板吊顶
2.龙骨：40*40*2mm厚不锈钢方管底架，金属吊杆
3.50厚超细玻璃棉（容重24kg/m3）
4.不燃黑色无妨布包裹800*800
5.其他详见施工设计图</t>
        </is>
      </c>
      <c r="E164" s="5" t="inlineStr">
        <is>
          <t>m2</t>
        </is>
      </c>
      <c r="F164" s="74" t="n">
        <v>485.21</v>
      </c>
      <c r="G164" s="74" t="n">
        <v>485.43</v>
      </c>
      <c r="H164" s="74">
        <f>485.24</f>
        <v/>
      </c>
      <c r="I164" s="74" t="n"/>
      <c r="J164" s="74">
        <f>G164-F164</f>
        <v/>
      </c>
      <c r="K164" s="74">
        <f>H164-F164</f>
        <v/>
      </c>
      <c r="L164" s="74">
        <f>H164-G164</f>
        <v/>
      </c>
      <c r="M164" s="55">
        <f>J164/F164</f>
        <v/>
      </c>
      <c r="N164" s="6" t="n">
        <v>685.63</v>
      </c>
      <c r="O164" s="6" t="n">
        <v>780.55</v>
      </c>
      <c r="P164" s="55">
        <f>(N164-O164)/O164</f>
        <v/>
      </c>
      <c r="Q164" s="74">
        <f>O164*0.9056*0.85</f>
        <v/>
      </c>
      <c r="R164" s="74">
        <f>O164*1.15</f>
        <v/>
      </c>
      <c r="S164" s="74">
        <f>IF(N164&lt;O164*0.9056*0.85,O164*0.9056*0.85,IF(N164&gt;O164*1.15,O164*1.15,N164))</f>
        <v/>
      </c>
      <c r="T164" s="74" t="n">
        <v>332674.53</v>
      </c>
      <c r="U164" s="74" t="n">
        <v>332824.75</v>
      </c>
      <c r="V164" s="74">
        <f>T164+S164*K164</f>
        <v/>
      </c>
      <c r="W164" s="74">
        <f>U164-T164</f>
        <v/>
      </c>
      <c r="X164" s="74">
        <f>V164-T164</f>
        <v/>
      </c>
      <c r="Y164" s="74">
        <f>V164-U164</f>
        <v/>
      </c>
      <c r="Z164" s="5" t="n"/>
    </row>
    <row r="165" ht="20" customHeight="1" s="1">
      <c r="A165" s="5" t="n">
        <v>151</v>
      </c>
      <c r="B165" s="5" t="inlineStr">
        <is>
          <t>011302001003</t>
        </is>
      </c>
      <c r="C165" s="5" t="inlineStr">
        <is>
          <t>吊顶天棚</t>
        </is>
      </c>
      <c r="D165" s="5" t="inlineStr">
        <is>
          <t>1.装配式U型轻钢天棚龙骨(不上人型)面层规格(mm)600×600跌级
2.9mm胶合板基层
3.8MM厚硅钙板天花面层
4.加强型腻子找平层5厚
5.无机涂料,三遍成活</t>
        </is>
      </c>
      <c r="E165" s="5" t="inlineStr">
        <is>
          <t>m2</t>
        </is>
      </c>
      <c r="F165" s="74" t="n">
        <v>116.4</v>
      </c>
      <c r="G165" s="74" t="n">
        <v>231.88</v>
      </c>
      <c r="H165" s="74">
        <f>217.67</f>
        <v/>
      </c>
      <c r="I165" s="74" t="n"/>
      <c r="J165" s="74">
        <f>G165-F165</f>
        <v/>
      </c>
      <c r="K165" s="74">
        <f>H165-F165</f>
        <v/>
      </c>
      <c r="L165" s="74">
        <f>H165-G165</f>
        <v/>
      </c>
      <c r="M165" s="55">
        <f>J165/F165</f>
        <v/>
      </c>
      <c r="N165" s="6" t="n">
        <v>170.61</v>
      </c>
      <c r="O165" s="6" t="n">
        <v>176.34</v>
      </c>
      <c r="P165" s="55">
        <f>(N165-O165)/O165</f>
        <v/>
      </c>
      <c r="Q165" s="74">
        <f>O165*0.9056*0.85</f>
        <v/>
      </c>
      <c r="R165" s="74">
        <f>O165*1.15</f>
        <v/>
      </c>
      <c r="S165" s="74">
        <f>IF(N165&lt;O165*0.9056*0.85,O165*0.9056*0.85,IF(N165&gt;O165*1.15,O165*1.15,N165))</f>
        <v/>
      </c>
      <c r="T165" s="74" t="n">
        <v>19859.46</v>
      </c>
      <c r="U165" s="74" t="n">
        <v>39561.59</v>
      </c>
      <c r="V165" s="74">
        <f>T165+S165*K165</f>
        <v/>
      </c>
      <c r="W165" s="74">
        <f>U165-T165</f>
        <v/>
      </c>
      <c r="X165" s="74">
        <f>V165-T165</f>
        <v/>
      </c>
      <c r="Y165" s="74">
        <f>V165-U165</f>
        <v/>
      </c>
      <c r="Z165" s="5" t="n"/>
    </row>
    <row r="166" ht="20" customHeight="1" s="1">
      <c r="A166" s="5" t="n">
        <v>152</v>
      </c>
      <c r="B166" s="5" t="inlineStr">
        <is>
          <t>011302001004</t>
        </is>
      </c>
      <c r="C166" s="5" t="inlineStr">
        <is>
          <t>吊顶天棚</t>
        </is>
      </c>
      <c r="D166" s="5" t="inlineStr">
        <is>
          <t>1.龙骨材料种类、规格、中距:轻钢龙骨
2.面层材料品种、规格:600*600*0.8mm铝扣板平面方板</t>
        </is>
      </c>
      <c r="E166" s="5" t="inlineStr">
        <is>
          <t>m2</t>
        </is>
      </c>
      <c r="F166" s="74" t="n">
        <v>194.8</v>
      </c>
      <c r="G166" s="74" t="n">
        <v>197.41</v>
      </c>
      <c r="H166" s="74">
        <f>97.33+100.08</f>
        <v/>
      </c>
      <c r="I166" s="74" t="n"/>
      <c r="J166" s="74">
        <f>G166-F166</f>
        <v/>
      </c>
      <c r="K166" s="74">
        <f>H166-F166</f>
        <v/>
      </c>
      <c r="L166" s="74">
        <f>H166-G166</f>
        <v/>
      </c>
      <c r="M166" s="55">
        <f>J166/F166</f>
        <v/>
      </c>
      <c r="N166" s="6" t="n">
        <v>167.7</v>
      </c>
      <c r="O166" s="6" t="n">
        <v>195.42</v>
      </c>
      <c r="P166" s="55">
        <f>(N166-O166)/O166</f>
        <v/>
      </c>
      <c r="Q166" s="74">
        <f>O166*0.9056*0.85</f>
        <v/>
      </c>
      <c r="R166" s="74">
        <f>O166*1.15</f>
        <v/>
      </c>
      <c r="S166" s="74">
        <f>IF(N166&lt;O166*0.9056*0.85,O166*0.9056*0.85,IF(N166&gt;O166*1.15,O166*1.15,N166))</f>
        <v/>
      </c>
      <c r="T166" s="74" t="n">
        <v>32668.71</v>
      </c>
      <c r="U166" s="74" t="n">
        <v>33105.66</v>
      </c>
      <c r="V166" s="74" t="n">
        <v>33105.66</v>
      </c>
      <c r="W166" s="74">
        <f>U166-T166</f>
        <v/>
      </c>
      <c r="X166" s="74">
        <f>V166-T166</f>
        <v/>
      </c>
      <c r="Y166" s="74">
        <f>V166-U166</f>
        <v/>
      </c>
      <c r="Z166" s="5" t="n"/>
    </row>
    <row r="167" ht="20" customHeight="1" s="1">
      <c r="A167" s="5" t="n">
        <v>153</v>
      </c>
      <c r="B167" s="5" t="inlineStr">
        <is>
          <t>011302002001</t>
        </is>
      </c>
      <c r="C167" s="5" t="inlineStr">
        <is>
          <t>格栅吊顶</t>
        </is>
      </c>
      <c r="D167" s="5" t="inlineStr">
        <is>
          <t>1.50*100*1.0铝方管格栅天花(木纹转印)
2.做法详见图纸</t>
        </is>
      </c>
      <c r="E167" s="5" t="inlineStr">
        <is>
          <t>m2</t>
        </is>
      </c>
      <c r="F167" s="74" t="n">
        <v>81.70999999999999</v>
      </c>
      <c r="G167" s="74" t="n">
        <v>130.25</v>
      </c>
      <c r="H167" s="74" t="n">
        <v>130.25</v>
      </c>
      <c r="I167" s="74" t="n"/>
      <c r="J167" s="74">
        <f>G167-F167</f>
        <v/>
      </c>
      <c r="K167" s="74">
        <f>H167-F167</f>
        <v/>
      </c>
      <c r="L167" s="74">
        <f>H167-G167</f>
        <v/>
      </c>
      <c r="M167" s="55">
        <f>J167/F167</f>
        <v/>
      </c>
      <c r="N167" s="6" t="n">
        <v>203.6</v>
      </c>
      <c r="O167" s="6" t="n">
        <v>199.66</v>
      </c>
      <c r="P167" s="55">
        <f>(N167-O167)/O167</f>
        <v/>
      </c>
      <c r="Q167" s="74">
        <f>O167*0.9056*0.85</f>
        <v/>
      </c>
      <c r="R167" s="74">
        <f>O167*1.15</f>
        <v/>
      </c>
      <c r="S167" s="74">
        <f>IF(N167&lt;O167*0.9056*0.85,O167*0.9056*0.85,IF(N167&gt;O167*1.15,O167*1.15,N167))</f>
        <v/>
      </c>
      <c r="T167" s="74" t="n">
        <v>16635.85</v>
      </c>
      <c r="U167" s="74" t="n">
        <v>26519.65</v>
      </c>
      <c r="V167" s="74">
        <f>T167+S167*K167</f>
        <v/>
      </c>
      <c r="W167" s="74">
        <f>U167-T167</f>
        <v/>
      </c>
      <c r="X167" s="74">
        <f>V167-T167</f>
        <v/>
      </c>
      <c r="Y167" s="74">
        <f>V167-U167</f>
        <v/>
      </c>
      <c r="Z167" s="5" t="n"/>
    </row>
    <row r="168" ht="20" customHeight="1" s="1">
      <c r="A168" s="5" t="n">
        <v>154</v>
      </c>
      <c r="B168" s="5" t="inlineStr">
        <is>
          <t>011302001005</t>
        </is>
      </c>
      <c r="C168" s="5" t="inlineStr">
        <is>
          <t>吊顶天棚</t>
        </is>
      </c>
      <c r="D168" s="5" t="inlineStr">
        <is>
          <t>1.2.5mm厚氟碳冲孔铝单板
2.40*40*3镀锌角钢网架+底架
3.50mm厚超细玻璃棉（容重24KG/M3）
4.不燃黑色无纺布
5.其他详细施工设计图</t>
        </is>
      </c>
      <c r="E168" s="5" t="inlineStr">
        <is>
          <t>m2</t>
        </is>
      </c>
      <c r="F168" s="74" t="n">
        <v>219.24</v>
      </c>
      <c r="G168" s="74" t="n">
        <v>251.13</v>
      </c>
      <c r="H168" s="74" t="n">
        <v>251.13</v>
      </c>
      <c r="I168" s="74" t="n"/>
      <c r="J168" s="74">
        <f>G168-F168</f>
        <v/>
      </c>
      <c r="K168" s="74">
        <f>H168-F168</f>
        <v/>
      </c>
      <c r="L168" s="74">
        <f>H168-G168</f>
        <v/>
      </c>
      <c r="M168" s="55">
        <f>J168/F168</f>
        <v/>
      </c>
      <c r="N168" s="6" t="n">
        <v>606.4</v>
      </c>
      <c r="O168" s="6" t="n">
        <v>699.74</v>
      </c>
      <c r="P168" s="55">
        <f>(N168-O168)/O168</f>
        <v/>
      </c>
      <c r="Q168" s="74">
        <f>O168*0.9056*0.85</f>
        <v/>
      </c>
      <c r="R168" s="74">
        <f>O168*1.15</f>
        <v/>
      </c>
      <c r="S168" s="74">
        <f>IF(N168&lt;O168*0.9056*0.85,O168*0.9056*0.85,IF(N168&gt;O168*1.15,O168*1.15,N168))</f>
        <v/>
      </c>
      <c r="T168" s="74" t="n">
        <v>132947.14</v>
      </c>
      <c r="U168" s="74" t="n">
        <v>152287.78</v>
      </c>
      <c r="V168" s="74">
        <f>T168+S168*K168</f>
        <v/>
      </c>
      <c r="W168" s="74">
        <f>U168-T168</f>
        <v/>
      </c>
      <c r="X168" s="74">
        <f>V168-T168</f>
        <v/>
      </c>
      <c r="Y168" s="74">
        <f>V168-U168</f>
        <v/>
      </c>
      <c r="Z168" s="5" t="n"/>
    </row>
    <row r="169" ht="20" customHeight="1" s="1">
      <c r="A169" s="5" t="n"/>
      <c r="B169" s="5" t="n"/>
      <c r="C169" s="5" t="inlineStr">
        <is>
          <t>其他装饰工程</t>
        </is>
      </c>
      <c r="D169" s="5" t="n"/>
      <c r="E169" s="5" t="n"/>
      <c r="F169" s="74" t="n"/>
      <c r="G169" s="74" t="n"/>
      <c r="H169" s="74" t="n"/>
      <c r="I169" s="74" t="n"/>
      <c r="J169" s="74" t="n"/>
      <c r="K169" s="74" t="n"/>
      <c r="L169" s="74" t="n"/>
      <c r="M169" s="55" t="n"/>
      <c r="N169" s="6" t="n"/>
      <c r="O169" s="6" t="n"/>
      <c r="P169" s="55" t="n"/>
      <c r="Q169" s="74" t="n"/>
      <c r="R169" s="74" t="n"/>
      <c r="S169" s="74" t="n"/>
      <c r="T169" s="74" t="n">
        <v>181690.65</v>
      </c>
      <c r="U169" s="74" t="n">
        <v>214493.81</v>
      </c>
      <c r="V169" s="74">
        <f>+SUM(V170:V187)</f>
        <v/>
      </c>
      <c r="W169" s="74">
        <f>U169-T169</f>
        <v/>
      </c>
      <c r="X169" s="74">
        <f>V169-T169</f>
        <v/>
      </c>
      <c r="Y169" s="74">
        <f>V169-U169</f>
        <v/>
      </c>
      <c r="Z169" s="5" t="n"/>
      <c r="AA169" s="73" t="n"/>
    </row>
    <row r="170" ht="20" customHeight="1" s="1">
      <c r="A170" s="5" t="n">
        <v>155</v>
      </c>
      <c r="B170" s="5" t="inlineStr">
        <is>
          <t>010507001001</t>
        </is>
      </c>
      <c r="C170" s="5" t="inlineStr">
        <is>
          <t>室外坡道</t>
        </is>
      </c>
      <c r="D170" s="5" t="inlineStr">
        <is>
          <t>1.室外坡道（13ZJ301-5/19）
2.300mm厚3：7灰土垫层
3.100mm厚C15混凝土
4.25厚1：3干硬性水泥砂浆结合层
5.30mm厚花岗石板</t>
        </is>
      </c>
      <c r="E170" s="5" t="inlineStr">
        <is>
          <t>m2</t>
        </is>
      </c>
      <c r="F170" s="74" t="n">
        <v>62.43</v>
      </c>
      <c r="G170" s="74" t="n">
        <v>52.5</v>
      </c>
      <c r="H170" s="74" t="n">
        <v>52.5</v>
      </c>
      <c r="I170" s="74" t="n"/>
      <c r="J170" s="74">
        <f>G170-F170</f>
        <v/>
      </c>
      <c r="K170" s="74">
        <f>H170-F170</f>
        <v/>
      </c>
      <c r="L170" s="74">
        <f>H170-G170</f>
        <v/>
      </c>
      <c r="M170" s="55">
        <f>J170/F170</f>
        <v/>
      </c>
      <c r="N170" s="6" t="n">
        <v>373.22</v>
      </c>
      <c r="O170" s="6" t="n">
        <v>441.35</v>
      </c>
      <c r="P170" s="55">
        <f>(N170-O170)/O170</f>
        <v/>
      </c>
      <c r="Q170" s="74">
        <f>O170*0.9056*0.85</f>
        <v/>
      </c>
      <c r="R170" s="74">
        <f>O170*1.15</f>
        <v/>
      </c>
      <c r="S170" s="74">
        <f>IF(N170&lt;O170*0.9056*0.85,O170*0.9056*0.85,IF(N170&gt;O170*1.15,O170*1.15,N170))</f>
        <v/>
      </c>
      <c r="T170" s="74" t="n">
        <v>23300.12</v>
      </c>
      <c r="U170" s="74" t="n">
        <v>19592.59</v>
      </c>
      <c r="V170" s="74" t="n">
        <v>19592.59</v>
      </c>
      <c r="W170" s="74">
        <f>U170-T170</f>
        <v/>
      </c>
      <c r="X170" s="74">
        <f>V170-T170</f>
        <v/>
      </c>
      <c r="Y170" s="74">
        <f>V170-U170</f>
        <v/>
      </c>
      <c r="Z170" s="5" t="n"/>
    </row>
    <row r="171" ht="20" customHeight="1" s="1">
      <c r="A171" s="5" t="n">
        <v>156</v>
      </c>
      <c r="B171" s="5" t="inlineStr">
        <is>
          <t>010507003002</t>
        </is>
      </c>
      <c r="C171" s="5" t="inlineStr">
        <is>
          <t>排水沟</t>
        </is>
      </c>
      <c r="D171" s="5" t="inlineStr">
        <is>
          <t>1.排水沟
2.沟深40mm
3.DWM20水泥砂浆
4.其他详见施工图</t>
        </is>
      </c>
      <c r="E171" s="5" t="inlineStr">
        <is>
          <t>m</t>
        </is>
      </c>
      <c r="F171" s="74" t="n">
        <v>179.57</v>
      </c>
      <c r="G171" s="74" t="n">
        <v>276.55</v>
      </c>
      <c r="H171" s="74">
        <f>272.35+4.2</f>
        <v/>
      </c>
      <c r="I171" s="74" t="n"/>
      <c r="J171" s="74">
        <f>G171-F171</f>
        <v/>
      </c>
      <c r="K171" s="74">
        <f>H171-F171</f>
        <v/>
      </c>
      <c r="L171" s="74">
        <f>H171-G171</f>
        <v/>
      </c>
      <c r="M171" s="55">
        <f>J171/F171</f>
        <v/>
      </c>
      <c r="N171" s="6" t="n">
        <v>27.17</v>
      </c>
      <c r="O171" s="6" t="n">
        <v>10.82</v>
      </c>
      <c r="P171" s="55">
        <f>(N171-O171)/O171</f>
        <v/>
      </c>
      <c r="Q171" s="74">
        <f>O171*0.9056*0.85</f>
        <v/>
      </c>
      <c r="R171" s="74">
        <f>O171*1.15</f>
        <v/>
      </c>
      <c r="S171" s="74">
        <f>IF(N171&lt;O171*0.9056*0.85,O171*0.9056*0.85,IF(N171&gt;O171*1.15,O171*1.15,N171))</f>
        <v/>
      </c>
      <c r="T171" s="74" t="n">
        <v>4878.92</v>
      </c>
      <c r="U171" s="74" t="n">
        <v>6085.65</v>
      </c>
      <c r="V171" s="74">
        <f>T171+S171*K171</f>
        <v/>
      </c>
      <c r="W171" s="74">
        <f>U171-T171</f>
        <v/>
      </c>
      <c r="X171" s="74">
        <f>V171-T171</f>
        <v/>
      </c>
      <c r="Y171" s="74">
        <f>V171-U171</f>
        <v/>
      </c>
      <c r="Z171" s="5" t="n"/>
    </row>
    <row r="172" ht="20" customHeight="1" s="1">
      <c r="A172" s="5" t="n">
        <v>157</v>
      </c>
      <c r="B172" s="5" t="inlineStr">
        <is>
          <t>010507003004</t>
        </is>
      </c>
      <c r="C172" s="5" t="inlineStr">
        <is>
          <t>截水沟</t>
        </is>
      </c>
      <c r="D172" s="5" t="inlineStr">
        <is>
          <t>1.截水沟
2.成品雨水格栅
3.底部：细石混凝土找坡层+20厚1：2.5水泥砂浆面层
4.侧边：20厚1：2.5水泥砂浆面层
5.其他详见中南标11ZJ9011/42</t>
        </is>
      </c>
      <c r="E172" s="5" t="inlineStr">
        <is>
          <t>m</t>
        </is>
      </c>
      <c r="F172" s="74" t="n">
        <v>63.9</v>
      </c>
      <c r="G172" s="74" t="n">
        <v>62.83</v>
      </c>
      <c r="H172" s="74">
        <f>55.43+3.9+3.5</f>
        <v/>
      </c>
      <c r="I172" s="74" t="n"/>
      <c r="J172" s="74">
        <f>G172-F172</f>
        <v/>
      </c>
      <c r="K172" s="74">
        <f>H172-F172</f>
        <v/>
      </c>
      <c r="L172" s="74">
        <f>H172-G172</f>
        <v/>
      </c>
      <c r="M172" s="55">
        <f>J172/F172</f>
        <v/>
      </c>
      <c r="N172" s="6" t="n">
        <v>252.01</v>
      </c>
      <c r="O172" s="6" t="n">
        <v>247.5</v>
      </c>
      <c r="P172" s="55">
        <f>(N172-O172)/O172</f>
        <v/>
      </c>
      <c r="Q172" s="74">
        <f>O172*0.9056*0.85</f>
        <v/>
      </c>
      <c r="R172" s="74">
        <f>O172*1.15</f>
        <v/>
      </c>
      <c r="S172" s="74">
        <f>IF(N172&lt;O172*0.9056*0.85,O172*0.9056*0.85,IF(N172&gt;O172*1.15,O172*1.15,N172))</f>
        <v/>
      </c>
      <c r="T172" s="74" t="n">
        <v>16103.44</v>
      </c>
      <c r="U172" s="74" t="n">
        <v>15834.75</v>
      </c>
      <c r="V172" s="74">
        <f>T172+S172*K172</f>
        <v/>
      </c>
      <c r="W172" s="74">
        <f>U172-T172</f>
        <v/>
      </c>
      <c r="X172" s="74">
        <f>V172-T172</f>
        <v/>
      </c>
      <c r="Y172" s="74">
        <f>V172-U172</f>
        <v/>
      </c>
      <c r="Z172" s="5" t="n"/>
    </row>
    <row r="173" ht="20" customHeight="1" s="1">
      <c r="A173" s="5" t="n">
        <v>158</v>
      </c>
      <c r="B173" s="5" t="inlineStr">
        <is>
          <t>011503001008</t>
        </is>
      </c>
      <c r="C173" s="5" t="inlineStr">
        <is>
          <t>金属扶手、栏杆、栏板</t>
        </is>
      </c>
      <c r="D173" s="5" t="inlineStr">
        <is>
          <t>1.名称:浅灰色拉丝不锈钢栏杆(H=1200MM)
2.上扶手:Φ60x3.0不锈钢管
3.栏杆:Φ28x1.2不锈钢管
4.含热镀锌预埋件及螺栓
5.做法参照国标15J403-1</t>
        </is>
      </c>
      <c r="E173" s="5" t="inlineStr">
        <is>
          <t>m</t>
        </is>
      </c>
      <c r="F173" s="74" t="n">
        <v>31.73</v>
      </c>
      <c r="G173" s="74" t="n">
        <v>31.8</v>
      </c>
      <c r="H173" s="74" t="n">
        <v>31.8</v>
      </c>
      <c r="I173" s="74" t="n"/>
      <c r="J173" s="74">
        <f>G173-F173</f>
        <v/>
      </c>
      <c r="K173" s="74">
        <f>H173-F173</f>
        <v/>
      </c>
      <c r="L173" s="74">
        <f>H173-G173</f>
        <v/>
      </c>
      <c r="M173" s="55">
        <f>J173/F173</f>
        <v/>
      </c>
      <c r="N173" s="6" t="n">
        <v>508.12</v>
      </c>
      <c r="O173" s="6" t="n">
        <v>816.95</v>
      </c>
      <c r="P173" s="55">
        <f>(N173-O173)/O173</f>
        <v/>
      </c>
      <c r="Q173" s="74">
        <f>O173*0.9056*0.85</f>
        <v/>
      </c>
      <c r="R173" s="74">
        <f>O173*1.15</f>
        <v/>
      </c>
      <c r="S173" s="74">
        <f>IF(N173&lt;O173*0.9056*0.85,O173*0.9056*0.85,IF(N173&gt;O173*1.15,O173*1.15,N173))</f>
        <v/>
      </c>
      <c r="T173" s="74" t="n">
        <v>16122.65</v>
      </c>
      <c r="U173" s="74" t="n">
        <v>16166.42</v>
      </c>
      <c r="V173" s="74" t="n">
        <v>16166.42</v>
      </c>
      <c r="W173" s="74">
        <f>U173-T173</f>
        <v/>
      </c>
      <c r="X173" s="74">
        <f>V173-T173</f>
        <v/>
      </c>
      <c r="Y173" s="74">
        <f>V173-U173</f>
        <v/>
      </c>
      <c r="Z173" s="5" t="n"/>
    </row>
    <row r="174" ht="20" customHeight="1" s="1">
      <c r="A174" s="5" t="n">
        <v>159</v>
      </c>
      <c r="B174" s="5" t="inlineStr">
        <is>
          <t>011503001009</t>
        </is>
      </c>
      <c r="C174" s="5" t="inlineStr">
        <is>
          <t>金属扶手、栏杆、栏板</t>
        </is>
      </c>
      <c r="D174" s="5" t="inlineStr">
        <is>
          <t>1.名称:浅灰色拉丝不锈钢栏杆(H=850MM)
2.上扶手:Φ60x3.0不锈钢管
3.栏杆:Φ28x1.2不锈钢管
4.含热镀锌预埋件及螺栓
5.做法参照国标15J403-1</t>
        </is>
      </c>
      <c r="E174" s="5" t="inlineStr">
        <is>
          <t>m</t>
        </is>
      </c>
      <c r="F174" s="74" t="n">
        <v>3.8</v>
      </c>
      <c r="G174" s="74" t="n">
        <v>3.8</v>
      </c>
      <c r="H174" s="74" t="n">
        <v>0</v>
      </c>
      <c r="I174" s="74" t="n"/>
      <c r="J174" s="74">
        <f>G174-F174</f>
        <v/>
      </c>
      <c r="K174" s="74">
        <f>H174-F174</f>
        <v/>
      </c>
      <c r="L174" s="74">
        <f>H174-G174</f>
        <v/>
      </c>
      <c r="M174" s="55">
        <f>J174/F174</f>
        <v/>
      </c>
      <c r="N174" s="6" t="n">
        <v>486.8</v>
      </c>
      <c r="O174" s="6" t="n">
        <v>721.6799999999999</v>
      </c>
      <c r="P174" s="55">
        <f>(N174-O174)/O174</f>
        <v/>
      </c>
      <c r="Q174" s="74">
        <f>O174*0.9056*0.85</f>
        <v/>
      </c>
      <c r="R174" s="74">
        <f>O174*1.15</f>
        <v/>
      </c>
      <c r="S174" s="74">
        <f>IF(N174&lt;O174*0.9056*0.85,O174*0.9056*0.85,IF(N174&gt;O174*1.15,O174*1.15,N174))</f>
        <v/>
      </c>
      <c r="T174" s="74" t="n">
        <v>1849.84</v>
      </c>
      <c r="U174" s="74" t="n">
        <v>1849.84</v>
      </c>
      <c r="V174" s="74">
        <f>T174+S174*K174</f>
        <v/>
      </c>
      <c r="W174" s="74">
        <f>U174-T174</f>
        <v/>
      </c>
      <c r="X174" s="74">
        <f>V174-T174</f>
        <v/>
      </c>
      <c r="Y174" s="74">
        <f>V174-U174</f>
        <v/>
      </c>
      <c r="Z174" s="5" t="n"/>
    </row>
    <row r="175" ht="20" customHeight="1" s="1">
      <c r="A175" s="5" t="n">
        <v>160</v>
      </c>
      <c r="B175" s="5" t="inlineStr">
        <is>
          <t>011503001010</t>
        </is>
      </c>
      <c r="C175" s="5" t="inlineStr">
        <is>
          <t>金属扶手、栏杆、栏板</t>
        </is>
      </c>
      <c r="D175" s="5" t="inlineStr">
        <is>
          <t>1.名称:浅灰色拉丝不锈钢栏杆(H=850-550MM)
2.上扶手:Φ60x3.0不锈钢管
3.栏杆:Φ28x1.2不锈钢管
4.含热镀锌预埋件及螺栓
5.做法参照国标15J403-1</t>
        </is>
      </c>
      <c r="E175" s="5" t="inlineStr">
        <is>
          <t>m</t>
        </is>
      </c>
      <c r="F175" s="74" t="n">
        <v>4.2</v>
      </c>
      <c r="G175" s="74" t="n">
        <v>4.2</v>
      </c>
      <c r="H175" s="74" t="n">
        <v>0</v>
      </c>
      <c r="I175" s="74" t="n"/>
      <c r="J175" s="74">
        <f>G175-F175</f>
        <v/>
      </c>
      <c r="K175" s="74">
        <f>H175-F175</f>
        <v/>
      </c>
      <c r="L175" s="74">
        <f>H175-G175</f>
        <v/>
      </c>
      <c r="M175" s="55">
        <f>J175/F175</f>
        <v/>
      </c>
      <c r="N175" s="6" t="n">
        <v>478.8</v>
      </c>
      <c r="O175" s="6" t="n">
        <v>680.89</v>
      </c>
      <c r="P175" s="55">
        <f>(N175-O175)/O175</f>
        <v/>
      </c>
      <c r="Q175" s="74">
        <f>O175*0.9056*0.85</f>
        <v/>
      </c>
      <c r="R175" s="74">
        <f>O175*1.15</f>
        <v/>
      </c>
      <c r="S175" s="74">
        <f>IF(N175&lt;O175*0.9056*0.85,O175*0.9056*0.85,IF(N175&gt;O175*1.15,O175*1.15,N175))</f>
        <v/>
      </c>
      <c r="T175" s="74" t="n">
        <v>2010.96</v>
      </c>
      <c r="U175" s="74" t="n">
        <v>2010.96</v>
      </c>
      <c r="V175" s="74">
        <f>T175+S175*K175</f>
        <v/>
      </c>
      <c r="W175" s="74">
        <f>U175-T175</f>
        <v/>
      </c>
      <c r="X175" s="74">
        <f>V175-T175</f>
        <v/>
      </c>
      <c r="Y175" s="74">
        <f>V175-U175</f>
        <v/>
      </c>
      <c r="Z175" s="5" t="n"/>
    </row>
    <row r="176" ht="20" customHeight="1" s="1">
      <c r="A176" s="5" t="n">
        <v>161</v>
      </c>
      <c r="B176" s="5" t="inlineStr">
        <is>
          <t>011503001011</t>
        </is>
      </c>
      <c r="C176" s="5" t="inlineStr">
        <is>
          <t>金属扶手、栏杆、栏板</t>
        </is>
      </c>
      <c r="D176" s="5" t="inlineStr">
        <is>
          <t>1.名称:浅灰色拉丝不锈钢栏杆(H=550MM)
2.上扶手:Φ60x3.0不锈钢管
3.栏杆:Φ28x1.2不锈钢管
4.含热镀锌预埋件及螺栓
5.做法参照国标15J403-1</t>
        </is>
      </c>
      <c r="E176" s="5" t="inlineStr">
        <is>
          <t>m</t>
        </is>
      </c>
      <c r="F176" s="74" t="n">
        <v>16.8</v>
      </c>
      <c r="G176" s="74" t="n">
        <v>28.1</v>
      </c>
      <c r="H176" s="74" t="n">
        <v>28.1</v>
      </c>
      <c r="I176" s="74" t="n"/>
      <c r="J176" s="74">
        <f>G176-F176</f>
        <v/>
      </c>
      <c r="K176" s="74">
        <f>H176-F176</f>
        <v/>
      </c>
      <c r="L176" s="74">
        <f>H176-G176</f>
        <v/>
      </c>
      <c r="M176" s="55">
        <f>J176/F176</f>
        <v/>
      </c>
      <c r="N176" s="6" t="n">
        <v>462.8</v>
      </c>
      <c r="O176" s="6" t="n">
        <v>640.1</v>
      </c>
      <c r="P176" s="55">
        <f>(N176-O176)/O176</f>
        <v/>
      </c>
      <c r="Q176" s="74">
        <f>O176*0.9056*0.85</f>
        <v/>
      </c>
      <c r="R176" s="74">
        <f>O176*1.15</f>
        <v/>
      </c>
      <c r="S176" s="74">
        <f>IF(N176&lt;O176*0.9056*0.85,O176*0.9056*0.85,IF(N176&gt;O176*1.15,O176*1.15,N176))</f>
        <v/>
      </c>
      <c r="T176" s="74" t="n">
        <v>7775.04</v>
      </c>
      <c r="U176" s="74" t="n">
        <v>13342.91</v>
      </c>
      <c r="V176" s="74">
        <f>T176+S176*K176</f>
        <v/>
      </c>
      <c r="W176" s="74">
        <f>U176-T176</f>
        <v/>
      </c>
      <c r="X176" s="74">
        <f>V176-T176</f>
        <v/>
      </c>
      <c r="Y176" s="74">
        <f>V176-U176</f>
        <v/>
      </c>
      <c r="Z176" s="5" t="n"/>
    </row>
    <row r="177" ht="20" customHeight="1" s="1">
      <c r="A177" s="5" t="n">
        <v>162</v>
      </c>
      <c r="B177" s="5" t="inlineStr">
        <is>
          <t>011503001006</t>
        </is>
      </c>
      <c r="C177" s="5" t="inlineStr">
        <is>
          <t>金属扶手、栏杆、栏板</t>
        </is>
      </c>
      <c r="D177" s="5" t="inlineStr">
        <is>
          <t>1.名称:不锈钢楼梯栏杆H=1200mm
2.上扶手:Φ60x3.0不锈钢管
3.栏杆:Φ28x1.2不锈钢管
4.含热镀锌预埋件及螺栓
5.做法参照国标15J403-1</t>
        </is>
      </c>
      <c r="E177" s="5" t="inlineStr">
        <is>
          <t>m</t>
        </is>
      </c>
      <c r="F177" s="74" t="n">
        <v>43.05</v>
      </c>
      <c r="G177" s="74" t="n">
        <v>43.05</v>
      </c>
      <c r="H177" s="74">
        <f>(21.44+9.19)/2</f>
        <v/>
      </c>
      <c r="I177" s="74">
        <f>23.56+1.86</f>
        <v/>
      </c>
      <c r="J177" s="74">
        <f>G177-F177</f>
        <v/>
      </c>
      <c r="K177" s="74">
        <f>H177-F177</f>
        <v/>
      </c>
      <c r="L177" s="74">
        <f>H177-G177</f>
        <v/>
      </c>
      <c r="M177" s="55">
        <f>J177/F177</f>
        <v/>
      </c>
      <c r="N177" s="6" t="n">
        <v>508.12</v>
      </c>
      <c r="O177" s="6" t="n">
        <v>816.95</v>
      </c>
      <c r="P177" s="55">
        <f>(N177-O177)/O177</f>
        <v/>
      </c>
      <c r="Q177" s="74">
        <f>O177*0.9056*0.85</f>
        <v/>
      </c>
      <c r="R177" s="74">
        <f>O177*1.15</f>
        <v/>
      </c>
      <c r="S177" s="74">
        <f>IF(N177&lt;O177*0.9056*0.85,O177*0.9056*0.85,IF(N177&gt;O177*1.15,O177*1.15,N177))</f>
        <v/>
      </c>
      <c r="T177" s="74" t="n">
        <v>21874.57</v>
      </c>
      <c r="U177" s="74" t="n">
        <v>21874.57</v>
      </c>
      <c r="V177" s="74">
        <f>T177+S177*K177</f>
        <v/>
      </c>
      <c r="W177" s="74">
        <f>U177-T177</f>
        <v/>
      </c>
      <c r="X177" s="74">
        <f>V177-T177</f>
        <v/>
      </c>
      <c r="Y177" s="74">
        <f>V177-U177</f>
        <v/>
      </c>
      <c r="Z177" s="5" t="n"/>
      <c r="AA177" s="77" t="inlineStr">
        <is>
          <t>1、LT1、LT2楼梯
栏杆模型未布置，漏计
2、阶梯教室侧边步级通道栏杆漏计</t>
        </is>
      </c>
      <c r="AI177" s="0" t="inlineStr">
        <is>
          <t>发函确认</t>
        </is>
      </c>
    </row>
    <row r="178" ht="20" customHeight="1" s="1">
      <c r="A178" s="5" t="n">
        <v>163</v>
      </c>
      <c r="B178" s="5" t="inlineStr">
        <is>
          <t>011503001007</t>
        </is>
      </c>
      <c r="C178" s="5" t="inlineStr">
        <is>
          <t>金属扶手、栏杆、栏板</t>
        </is>
      </c>
      <c r="D178" s="5" t="inlineStr">
        <is>
          <t>1.名称:不锈钢护窗栏杆H=1000mm
2.上扶手:Φ60x2.5不锈钢管
3.栏杆:Φ30x2.0不锈钢管
4.含热镀锌预埋件及螺栓</t>
        </is>
      </c>
      <c r="E178" s="5" t="inlineStr">
        <is>
          <t>m</t>
        </is>
      </c>
      <c r="F178" s="74" t="n">
        <v>47.9</v>
      </c>
      <c r="G178" s="74" t="n">
        <v>66.59</v>
      </c>
      <c r="H178" s="74" t="n">
        <v>26.59</v>
      </c>
      <c r="I178" s="74" t="n"/>
      <c r="J178" s="74">
        <f>G178-F178</f>
        <v/>
      </c>
      <c r="K178" s="74">
        <f>H178-F178</f>
        <v/>
      </c>
      <c r="L178" s="74">
        <f>H178-G178</f>
        <v/>
      </c>
      <c r="M178" s="55">
        <f>J178/F178</f>
        <v/>
      </c>
      <c r="N178" s="6" t="n">
        <v>497.52</v>
      </c>
      <c r="O178" s="6" t="n">
        <v>752.1900000000001</v>
      </c>
      <c r="P178" s="55">
        <f>(N178-O178)/O178</f>
        <v/>
      </c>
      <c r="Q178" s="74">
        <f>O178*0.9056*0.85</f>
        <v/>
      </c>
      <c r="R178" s="74">
        <f>O178*1.15</f>
        <v/>
      </c>
      <c r="S178" s="74">
        <f>IF(N178&lt;O178*0.9056*0.85,O178*0.9056*0.85,IF(N178&gt;O178*1.15,O178*1.15,N178))</f>
        <v/>
      </c>
      <c r="T178" s="74" t="n">
        <v>23831.21</v>
      </c>
      <c r="U178" s="74" t="n">
        <v>34650.51</v>
      </c>
      <c r="V178" s="74">
        <f>T178+S178*K178</f>
        <v/>
      </c>
      <c r="W178" s="74">
        <f>U178-T178</f>
        <v/>
      </c>
      <c r="X178" s="74">
        <f>V178-T178</f>
        <v/>
      </c>
      <c r="Y178" s="74">
        <f>V178-U178</f>
        <v/>
      </c>
      <c r="Z178" s="5" t="inlineStr">
        <is>
          <t>送审将此清单与165护窗栏杆工程量互掉了</t>
        </is>
      </c>
    </row>
    <row r="179" ht="20" customHeight="1" s="1">
      <c r="A179" s="5" t="n">
        <v>164</v>
      </c>
      <c r="B179" s="5" t="inlineStr">
        <is>
          <t>011503005001</t>
        </is>
      </c>
      <c r="C179" s="5" t="inlineStr">
        <is>
          <t>金属靠墙扶手</t>
        </is>
      </c>
      <c r="D179" s="5" t="inlineStr">
        <is>
          <t>1.卫生间无障碍扶手
2.Φ40x1.5不锈钢管靠墙扶手</t>
        </is>
      </c>
      <c r="E179" s="5" t="inlineStr">
        <is>
          <t>m</t>
        </is>
      </c>
      <c r="F179" s="74" t="n">
        <v>6.7</v>
      </c>
      <c r="G179" s="74" t="n">
        <v>6.7</v>
      </c>
      <c r="H179" s="74" t="n">
        <v>0</v>
      </c>
      <c r="I179" s="74" t="n"/>
      <c r="J179" s="74">
        <f>G179-F179</f>
        <v/>
      </c>
      <c r="K179" s="74">
        <f>H179-F179</f>
        <v/>
      </c>
      <c r="L179" s="74">
        <f>H179-G179</f>
        <v/>
      </c>
      <c r="M179" s="55">
        <f>J179/F179</f>
        <v/>
      </c>
      <c r="N179" s="6" t="n">
        <v>468.51</v>
      </c>
      <c r="O179" s="6" t="n">
        <v>272</v>
      </c>
      <c r="P179" s="55">
        <f>(N179-O179)/O179</f>
        <v/>
      </c>
      <c r="Q179" s="74">
        <f>O179*0.9056*0.85</f>
        <v/>
      </c>
      <c r="R179" s="74">
        <f>O179*1.15</f>
        <v/>
      </c>
      <c r="S179" s="74">
        <f>IF(N179&lt;O179*0.9056*0.85,O179*0.9056*0.85,IF(N179&gt;O179*1.15,O179*1.15,N179))</f>
        <v/>
      </c>
      <c r="T179" s="74" t="n">
        <v>3139.02</v>
      </c>
      <c r="U179" s="74" t="n">
        <v>3139.02</v>
      </c>
      <c r="V179" s="74">
        <f>T179+S179*K179</f>
        <v/>
      </c>
      <c r="W179" s="74">
        <f>U179-T179</f>
        <v/>
      </c>
      <c r="X179" s="74">
        <f>V179-T179</f>
        <v/>
      </c>
      <c r="Y179" s="74">
        <f>V179-U179</f>
        <v/>
      </c>
      <c r="Z179" s="5" t="n"/>
    </row>
    <row r="180" ht="20" customHeight="1" s="1">
      <c r="A180" s="5" t="n">
        <v>165</v>
      </c>
      <c r="B180" s="5" t="inlineStr">
        <is>
          <t>011503005002</t>
        </is>
      </c>
      <c r="C180" s="5" t="inlineStr">
        <is>
          <t>金属靠墙扶手</t>
        </is>
      </c>
      <c r="D180" s="5" t="inlineStr">
        <is>
          <t>1.楼梯靠墙扶手
2.Φ60x2不锈钢管靠墙扶手
3.做法参照国标15J403-1</t>
        </is>
      </c>
      <c r="E180" s="5" t="inlineStr">
        <is>
          <t>m</t>
        </is>
      </c>
      <c r="F180" s="74" t="n">
        <v>29.84</v>
      </c>
      <c r="G180" s="74" t="n">
        <v>29.84</v>
      </c>
      <c r="H180" s="74">
        <f>29.84+15.32</f>
        <v/>
      </c>
      <c r="I180" s="74" t="n">
        <v>59.61</v>
      </c>
      <c r="J180" s="74">
        <f>G180-F180</f>
        <v/>
      </c>
      <c r="K180" s="74">
        <f>H180-F180</f>
        <v/>
      </c>
      <c r="L180" s="74">
        <f>H180-G180</f>
        <v/>
      </c>
      <c r="M180" s="55">
        <f>J180/F180</f>
        <v/>
      </c>
      <c r="N180" s="6" t="n">
        <v>473.06</v>
      </c>
      <c r="O180" s="6" t="n">
        <v>331.37</v>
      </c>
      <c r="P180" s="55">
        <f>(N180-O180)/O180</f>
        <v/>
      </c>
      <c r="Q180" s="74">
        <f>O180*0.9056*0.85</f>
        <v/>
      </c>
      <c r="R180" s="74">
        <f>O180*1.15</f>
        <v/>
      </c>
      <c r="S180" s="74">
        <f>IF(N180&lt;O180*0.9056*0.85,O180*0.9056*0.85,IF(N180&gt;O180*1.15,O180*1.15,N180))</f>
        <v/>
      </c>
      <c r="T180" s="74" t="n">
        <v>14116.11</v>
      </c>
      <c r="U180" s="74" t="n">
        <v>14116.11</v>
      </c>
      <c r="V180" s="74">
        <f>T180+S180*K180</f>
        <v/>
      </c>
      <c r="W180" s="74">
        <f>U180-T180</f>
        <v/>
      </c>
      <c r="X180" s="74">
        <f>V180-T180</f>
        <v/>
      </c>
      <c r="Y180" s="74">
        <f>V180-U180</f>
        <v/>
      </c>
      <c r="Z180" s="5" t="inlineStr">
        <is>
          <t>清单162楼梯栏杆部分工程量归到此计算</t>
        </is>
      </c>
      <c r="AI180" s="73" t="inlineStr">
        <is>
          <t>出设计变更</t>
        </is>
      </c>
    </row>
    <row r="181" ht="20" customHeight="1" s="1">
      <c r="A181" s="5" t="n">
        <v>166</v>
      </c>
      <c r="B181" s="5" t="inlineStr">
        <is>
          <t>011210005001</t>
        </is>
      </c>
      <c r="C181" s="5" t="inlineStr">
        <is>
          <t>成品隔断</t>
        </is>
      </c>
      <c r="D181" s="5" t="inlineStr">
        <is>
          <t>1.卫生间成品抗培特饰面隔断
2.其他详见图纸</t>
        </is>
      </c>
      <c r="E181" s="5" t="inlineStr">
        <is>
          <t>m2</t>
        </is>
      </c>
      <c r="F181" s="74" t="n">
        <v>95.29000000000001</v>
      </c>
      <c r="G181" s="74" t="n">
        <v>95.29000000000001</v>
      </c>
      <c r="H181" s="74" t="n">
        <v>95.29000000000001</v>
      </c>
      <c r="I181" s="74" t="n"/>
      <c r="J181" s="74">
        <f>G181-F181</f>
        <v/>
      </c>
      <c r="K181" s="74">
        <f>H181-F181</f>
        <v/>
      </c>
      <c r="L181" s="74">
        <f>H181-G181</f>
        <v/>
      </c>
      <c r="M181" s="55">
        <f>J181/F181</f>
        <v/>
      </c>
      <c r="N181" s="6" t="n">
        <v>205.48</v>
      </c>
      <c r="O181" s="6" t="n">
        <v>308.59</v>
      </c>
      <c r="P181" s="55">
        <f>(N181-O181)/O181</f>
        <v/>
      </c>
      <c r="Q181" s="74">
        <f>O181*0.9056*0.85</f>
        <v/>
      </c>
      <c r="R181" s="74">
        <f>O181*1.15</f>
        <v/>
      </c>
      <c r="S181" s="74">
        <f>IF(N181&lt;O181*0.9056*0.85,O181*0.9056*0.85,IF(N181&gt;O181*1.15,O181*1.15,N181))</f>
        <v/>
      </c>
      <c r="T181" s="74" t="n">
        <v>19580.02</v>
      </c>
      <c r="U181" s="74" t="n">
        <v>19580.02</v>
      </c>
      <c r="V181" s="74">
        <f>T181+S181*K181</f>
        <v/>
      </c>
      <c r="W181" s="74">
        <f>U181-T181</f>
        <v/>
      </c>
      <c r="X181" s="74">
        <f>V181-T181</f>
        <v/>
      </c>
      <c r="Y181" s="74">
        <f>V181-U181</f>
        <v/>
      </c>
      <c r="Z181" s="5" t="n"/>
    </row>
    <row r="182" ht="20" customHeight="1" s="1">
      <c r="A182" s="5" t="n">
        <v>167</v>
      </c>
      <c r="B182" s="5" t="inlineStr">
        <is>
          <t>011505001001</t>
        </is>
      </c>
      <c r="C182" s="5" t="inlineStr">
        <is>
          <t>洗漱台</t>
        </is>
      </c>
      <c r="D182" s="5" t="inlineStr">
        <is>
          <t>1.20mm厚国产金沙黑洗漱台（洗手台）L40*4镀锌角钢底架
2.台面开水龙头孔
3.台面开洗手盆孔
4.石材水磨斜边</t>
        </is>
      </c>
      <c r="E182" s="5" t="inlineStr">
        <is>
          <t>m2</t>
        </is>
      </c>
      <c r="F182" s="74" t="n">
        <v>7.3</v>
      </c>
      <c r="G182" s="74" t="n">
        <v>7.3</v>
      </c>
      <c r="H182" s="74" t="n">
        <v>7.3</v>
      </c>
      <c r="I182" s="74" t="n"/>
      <c r="J182" s="74">
        <f>G182-F182</f>
        <v/>
      </c>
      <c r="K182" s="74">
        <f>H182-F182</f>
        <v/>
      </c>
      <c r="L182" s="74">
        <f>H182-G182</f>
        <v/>
      </c>
      <c r="M182" s="55">
        <f>J182/F182</f>
        <v/>
      </c>
      <c r="N182" s="6" t="n">
        <v>801.02</v>
      </c>
      <c r="O182" s="6" t="n">
        <v>638.84</v>
      </c>
      <c r="P182" s="55">
        <f>(N182-O182)/O182</f>
        <v/>
      </c>
      <c r="Q182" s="74">
        <f>O182*0.9056*0.85</f>
        <v/>
      </c>
      <c r="R182" s="74">
        <f>O182*1.15</f>
        <v/>
      </c>
      <c r="S182" s="74">
        <f>IF(N182&lt;O182*0.9056*0.85,O182*0.9056*0.85,IF(N182&gt;O182*1.15,O182*1.15,N182))</f>
        <v/>
      </c>
      <c r="T182" s="74" t="n">
        <v>5847.45</v>
      </c>
      <c r="U182" s="74" t="n">
        <v>5847.45</v>
      </c>
      <c r="V182" s="74">
        <f>T182+S182*K182</f>
        <v/>
      </c>
      <c r="W182" s="74">
        <f>U182-T182</f>
        <v/>
      </c>
      <c r="X182" s="74">
        <f>V182-T182</f>
        <v/>
      </c>
      <c r="Y182" s="74">
        <f>V182-U182</f>
        <v/>
      </c>
      <c r="Z182" s="5" t="n"/>
    </row>
    <row r="183" ht="20" customHeight="1" s="1">
      <c r="A183" s="5" t="n">
        <v>168</v>
      </c>
      <c r="B183" s="5" t="inlineStr">
        <is>
          <t>011505010002</t>
        </is>
      </c>
      <c r="C183" s="5" t="inlineStr">
        <is>
          <t>镜面玻璃</t>
        </is>
      </c>
      <c r="D183" s="5" t="inlineStr">
        <is>
          <t>1.卫生间镜
2.6mm车边银镜
3.具体做法详见图纸</t>
        </is>
      </c>
      <c r="E183" s="5" t="inlineStr">
        <is>
          <t>m2</t>
        </is>
      </c>
      <c r="F183" s="74" t="n">
        <v>7.3</v>
      </c>
      <c r="G183" s="74" t="n">
        <v>7.3</v>
      </c>
      <c r="H183" s="74" t="n">
        <v>7.3</v>
      </c>
      <c r="I183" s="74" t="n"/>
      <c r="J183" s="74">
        <f>G183-F183</f>
        <v/>
      </c>
      <c r="K183" s="74">
        <f>H183-F183</f>
        <v/>
      </c>
      <c r="L183" s="74">
        <f>H183-G183</f>
        <v/>
      </c>
      <c r="M183" s="55">
        <f>J183/F183</f>
        <v/>
      </c>
      <c r="N183" s="6" t="n">
        <v>328.86</v>
      </c>
      <c r="O183" s="6" t="n">
        <v>295.82</v>
      </c>
      <c r="P183" s="55">
        <f>(N183-O183)/O183</f>
        <v/>
      </c>
      <c r="Q183" s="74">
        <f>O183*0.9056*0.85</f>
        <v/>
      </c>
      <c r="R183" s="74">
        <f>O183*1.15</f>
        <v/>
      </c>
      <c r="S183" s="74">
        <f>IF(N183&lt;O183*0.9056*0.85,O183*0.9056*0.85,IF(N183&gt;O183*1.15,O183*1.15,N183))</f>
        <v/>
      </c>
      <c r="T183" s="74" t="n">
        <v>2400.68</v>
      </c>
      <c r="U183" s="74" t="n">
        <v>2400.68</v>
      </c>
      <c r="V183" s="74">
        <f>T183+S183*K183</f>
        <v/>
      </c>
      <c r="W183" s="74">
        <f>U183-T183</f>
        <v/>
      </c>
      <c r="X183" s="74">
        <f>V183-T183</f>
        <v/>
      </c>
      <c r="Y183" s="74">
        <f>V183-U183</f>
        <v/>
      </c>
      <c r="Z183" s="5" t="n"/>
    </row>
    <row r="184" ht="20" customHeight="1" s="1">
      <c r="A184" s="5" t="n">
        <v>169</v>
      </c>
      <c r="B184" s="5" t="inlineStr">
        <is>
          <t>011502001002</t>
        </is>
      </c>
      <c r="C184" s="5" t="inlineStr">
        <is>
          <t>金属装饰线</t>
        </is>
      </c>
      <c r="D184" s="5" t="inlineStr">
        <is>
          <t>1.1mm厚304原色哑光不锈钢收边线</t>
        </is>
      </c>
      <c r="E184" s="5" t="inlineStr">
        <is>
          <t>m</t>
        </is>
      </c>
      <c r="F184" s="74" t="n">
        <v>49.01</v>
      </c>
      <c r="G184" s="74" t="n">
        <v>641.79</v>
      </c>
      <c r="H184" s="74">
        <f>243.55+397.62</f>
        <v/>
      </c>
      <c r="I184" s="74" t="n"/>
      <c r="J184" s="74">
        <f>G184-F184</f>
        <v/>
      </c>
      <c r="K184" s="74">
        <f>H184-F184</f>
        <v/>
      </c>
      <c r="L184" s="74">
        <f>H184-G184</f>
        <v/>
      </c>
      <c r="M184" s="55">
        <f>J184/F184</f>
        <v/>
      </c>
      <c r="N184" s="6" t="n">
        <v>69.83</v>
      </c>
      <c r="O184" s="6" t="n">
        <v>26.86</v>
      </c>
      <c r="P184" s="55">
        <f>(N184-O184)/O184</f>
        <v/>
      </c>
      <c r="Q184" s="74">
        <f>O184*0.9056*0.85</f>
        <v/>
      </c>
      <c r="R184" s="74">
        <f>O184*1.15</f>
        <v/>
      </c>
      <c r="S184" s="74">
        <f>IF(N184&lt;O184*0.9056*0.85,O184*0.9056*0.85,IF(N184&gt;O184*1.15,O184*1.15,N184))</f>
        <v/>
      </c>
      <c r="T184" s="74" t="n">
        <v>3422.37</v>
      </c>
      <c r="U184" s="74" t="n">
        <v>21732.74</v>
      </c>
      <c r="V184" s="74">
        <f>T184+S184*K184</f>
        <v/>
      </c>
      <c r="W184" s="74">
        <f>U184-T184</f>
        <v/>
      </c>
      <c r="X184" s="74">
        <f>V184-T184</f>
        <v/>
      </c>
      <c r="Y184" s="74">
        <f>V184-U184</f>
        <v/>
      </c>
      <c r="Z184" s="5" t="n"/>
    </row>
    <row r="185" ht="20" customHeight="1" s="1">
      <c r="A185" s="5" t="n">
        <v>170</v>
      </c>
      <c r="B185" s="5" t="inlineStr">
        <is>
          <t>011508004001</t>
        </is>
      </c>
      <c r="C185" s="5" t="inlineStr">
        <is>
          <t>金属字</t>
        </is>
      </c>
      <c r="D185" s="5" t="inlineStr">
        <is>
          <t>1.白色拉丝不锈钢喷漆字体
2.字体外框约0.9*0.6m</t>
        </is>
      </c>
      <c r="E185" s="5" t="inlineStr">
        <is>
          <t>个</t>
        </is>
      </c>
      <c r="F185" s="74" t="n">
        <v>3</v>
      </c>
      <c r="G185" s="74" t="n">
        <v>3</v>
      </c>
      <c r="H185" s="75" t="n">
        <v>3</v>
      </c>
      <c r="I185" s="75" t="n"/>
      <c r="J185" s="74">
        <f>G185-F185</f>
        <v/>
      </c>
      <c r="K185" s="74">
        <f>H185-F185</f>
        <v/>
      </c>
      <c r="L185" s="74">
        <f>H185-G185</f>
        <v/>
      </c>
      <c r="M185" s="55">
        <f>J185/F185</f>
        <v/>
      </c>
      <c r="N185" s="6" t="n">
        <v>1112.92</v>
      </c>
      <c r="O185" s="6" t="n">
        <v>900</v>
      </c>
      <c r="P185" s="55">
        <f>(N185-O185)/O185</f>
        <v/>
      </c>
      <c r="Q185" s="74">
        <f>O185*0.9056*0.85</f>
        <v/>
      </c>
      <c r="R185" s="74">
        <f>O185*1.15</f>
        <v/>
      </c>
      <c r="S185" s="74">
        <f>IF(N185&lt;O185*0.9056*0.85,O185*0.9056*0.85,IF(N185&gt;O185*1.15,O185*1.15,N185))</f>
        <v/>
      </c>
      <c r="T185" s="74" t="n">
        <v>3338.76</v>
      </c>
      <c r="U185" s="74" t="n">
        <v>3338.76</v>
      </c>
      <c r="V185" s="74">
        <f>T185+S185*K185</f>
        <v/>
      </c>
      <c r="W185" s="74">
        <f>U185-T185</f>
        <v/>
      </c>
      <c r="X185" s="74">
        <f>V185-T185</f>
        <v/>
      </c>
      <c r="Y185" s="74">
        <f>V185-U185</f>
        <v/>
      </c>
      <c r="Z185" s="5" t="n"/>
    </row>
    <row r="186" ht="20" customHeight="1" s="1">
      <c r="A186" s="5" t="n">
        <v>171</v>
      </c>
      <c r="B186" s="5" t="inlineStr">
        <is>
          <t>011508004002</t>
        </is>
      </c>
      <c r="C186" s="5" t="inlineStr">
        <is>
          <t>金属字</t>
        </is>
      </c>
      <c r="D186" s="5" t="inlineStr">
        <is>
          <t>1.白色拉丝不锈钢喷漆奥运五环
2.外框尺寸约2.3*1.1m</t>
        </is>
      </c>
      <c r="E186" s="5" t="inlineStr">
        <is>
          <t>个</t>
        </is>
      </c>
      <c r="F186" s="74" t="n">
        <v>1</v>
      </c>
      <c r="G186" s="74" t="n">
        <v>1</v>
      </c>
      <c r="H186" s="75" t="n">
        <v>1</v>
      </c>
      <c r="I186" s="75" t="n"/>
      <c r="J186" s="74">
        <f>G186-F186</f>
        <v/>
      </c>
      <c r="K186" s="74">
        <f>H186-F186</f>
        <v/>
      </c>
      <c r="L186" s="74">
        <f>H186-G186</f>
        <v/>
      </c>
      <c r="M186" s="55">
        <f>J186/F186</f>
        <v/>
      </c>
      <c r="N186" s="6" t="n">
        <v>2574.58</v>
      </c>
      <c r="O186" s="6" t="n">
        <v>2035.4</v>
      </c>
      <c r="P186" s="55">
        <f>(N186-O186)/O186</f>
        <v/>
      </c>
      <c r="Q186" s="74">
        <f>O186*0.9056*0.85</f>
        <v/>
      </c>
      <c r="R186" s="74">
        <f>O186*1.15</f>
        <v/>
      </c>
      <c r="S186" s="74">
        <f>IF(N186&lt;O186*0.9056*0.85,O186*0.9056*0.85,IF(N186&gt;O186*1.15,O186*1.15,N186))</f>
        <v/>
      </c>
      <c r="T186" s="74" t="n">
        <v>2574.58</v>
      </c>
      <c r="U186" s="74" t="n">
        <v>2574.58</v>
      </c>
      <c r="V186" s="74">
        <f>T186+S186*K186</f>
        <v/>
      </c>
      <c r="W186" s="74">
        <f>U186-T186</f>
        <v/>
      </c>
      <c r="X186" s="74">
        <f>V186-T186</f>
        <v/>
      </c>
      <c r="Y186" s="74">
        <f>V186-U186</f>
        <v/>
      </c>
      <c r="Z186" s="5" t="n"/>
    </row>
    <row r="187" ht="20" customHeight="1" s="1">
      <c r="A187" s="5" t="n">
        <v>172</v>
      </c>
      <c r="B187" s="5" t="inlineStr">
        <is>
          <t>01B001</t>
        </is>
      </c>
      <c r="C187" s="5" t="inlineStr">
        <is>
          <t>白蚁防治</t>
        </is>
      </c>
      <c r="D187" s="5" t="inlineStr">
        <is>
          <t>1.白蚁防治</t>
        </is>
      </c>
      <c r="E187" s="5" t="inlineStr">
        <is>
          <t>m2</t>
        </is>
      </c>
      <c r="F187" s="74" t="n">
        <v>4762.46</v>
      </c>
      <c r="G187" s="74" t="n">
        <v>5122.46</v>
      </c>
      <c r="H187" s="74">
        <f>4994.97</f>
        <v/>
      </c>
      <c r="I187" s="74" t="n">
        <v>5122.46</v>
      </c>
      <c r="J187" s="74">
        <f>G187-F187</f>
        <v/>
      </c>
      <c r="K187" s="74">
        <f>H187-F187</f>
        <v/>
      </c>
      <c r="L187" s="74">
        <f>H187-G187</f>
        <v/>
      </c>
      <c r="M187" s="55">
        <f>J187/F187</f>
        <v/>
      </c>
      <c r="N187" s="6" t="n">
        <v>2</v>
      </c>
      <c r="O187" s="6" t="n">
        <v>3</v>
      </c>
      <c r="P187" s="55">
        <f>(N187-O187)/O187</f>
        <v/>
      </c>
      <c r="Q187" s="74">
        <f>O187*0.9056*0.85</f>
        <v/>
      </c>
      <c r="R187" s="74">
        <f>O187*1.15</f>
        <v/>
      </c>
      <c r="S187" s="74">
        <f>IF(N187&lt;O187*0.9056*0.85,O187*0.9056*0.85,IF(N187&gt;O187*1.15,O187*1.15,N187))</f>
        <v/>
      </c>
      <c r="T187" s="74" t="n">
        <v>9524.92</v>
      </c>
      <c r="U187" s="74" t="n">
        <v>10356.26</v>
      </c>
      <c r="V187" s="74">
        <f>T187+S187*K187</f>
        <v/>
      </c>
      <c r="W187" s="74">
        <f>U187-T187</f>
        <v/>
      </c>
      <c r="X187" s="74">
        <f>V187-T187</f>
        <v/>
      </c>
      <c r="Y187" s="74">
        <f>V187-U187</f>
        <v/>
      </c>
      <c r="Z187" s="5" t="n"/>
    </row>
    <row r="188" ht="20" customHeight="1" s="1">
      <c r="A188" s="49" t="n"/>
      <c r="B188" s="5" t="n"/>
      <c r="C188" s="5" t="inlineStr">
        <is>
          <t>分部分项合计</t>
        </is>
      </c>
      <c r="D188" s="5" t="n"/>
      <c r="E188" s="5" t="n"/>
      <c r="F188" s="6" t="n"/>
      <c r="G188" s="74" t="n"/>
      <c r="H188" s="74" t="n"/>
      <c r="I188" s="74" t="n"/>
      <c r="J188" s="74" t="n"/>
      <c r="K188" s="74" t="n"/>
      <c r="L188" s="74" t="n"/>
      <c r="M188" s="55" t="n"/>
      <c r="N188" s="78" t="n"/>
      <c r="O188" s="6" t="n"/>
      <c r="P188" s="55" t="n"/>
      <c r="Q188" s="74" t="n"/>
      <c r="R188" s="74" t="n"/>
      <c r="S188" s="74" t="n"/>
      <c r="T188" s="74" t="n">
        <v>14732579.96</v>
      </c>
      <c r="U188" s="74" t="n">
        <v>15615036.81</v>
      </c>
      <c r="V188" s="74">
        <f>+V169+V159+V131+V113+V108+V94+V72+V55+V28+V18+V11+V4</f>
        <v/>
      </c>
      <c r="W188" s="74">
        <f>+U188-T188</f>
        <v/>
      </c>
      <c r="X188" s="74">
        <f>V188-T188</f>
        <v/>
      </c>
      <c r="Y188" s="74">
        <f>V188-U188</f>
        <v/>
      </c>
      <c r="Z188" s="5" t="n"/>
    </row>
    <row r="189" ht="20" customHeight="1" s="1">
      <c r="A189" s="49" t="n"/>
      <c r="B189" s="5" t="n"/>
      <c r="C189" s="5" t="inlineStr">
        <is>
          <t>措施合计</t>
        </is>
      </c>
      <c r="D189" s="5" t="n"/>
      <c r="E189" s="5" t="n"/>
      <c r="F189" s="6" t="n"/>
      <c r="G189" s="74" t="n"/>
      <c r="H189" s="74" t="n"/>
      <c r="I189" s="74" t="n"/>
      <c r="J189" s="74" t="n"/>
      <c r="K189" s="74" t="n"/>
      <c r="L189" s="74" t="n"/>
      <c r="M189" s="55" t="n"/>
      <c r="N189" s="78" t="n"/>
      <c r="O189" s="6" t="n"/>
      <c r="P189" s="55" t="n"/>
      <c r="Q189" s="74" t="n"/>
      <c r="R189" s="74" t="n"/>
      <c r="S189" s="74" t="n"/>
      <c r="T189" s="74" t="n">
        <v>2214992.31</v>
      </c>
      <c r="U189" s="74" t="n">
        <v>2754116.16</v>
      </c>
      <c r="V189" s="74">
        <f>SUM(V191:V258)</f>
        <v/>
      </c>
      <c r="W189" s="74">
        <f>+U189-T189</f>
        <v/>
      </c>
      <c r="X189" s="74">
        <f>V189-T189</f>
        <v/>
      </c>
      <c r="Y189" s="74">
        <f>V189-U189</f>
        <v/>
      </c>
      <c r="Z189" s="5" t="n"/>
    </row>
    <row r="190" ht="20" customHeight="1" s="1">
      <c r="A190" s="49" t="n">
        <v>1</v>
      </c>
      <c r="B190" s="5" t="n"/>
      <c r="C190" s="5" t="inlineStr">
        <is>
          <t>安全文明施工措施费</t>
        </is>
      </c>
      <c r="D190" s="5" t="n"/>
      <c r="E190" s="5" t="n"/>
      <c r="F190" s="6" t="n"/>
      <c r="G190" s="74" t="n"/>
      <c r="H190" s="74" t="n"/>
      <c r="I190" s="74" t="n"/>
      <c r="J190" s="74" t="n"/>
      <c r="K190" s="74" t="n"/>
      <c r="L190" s="74" t="n"/>
      <c r="M190" s="55" t="n"/>
      <c r="N190" s="78" t="n"/>
      <c r="O190" s="6" t="n"/>
      <c r="P190" s="55" t="n"/>
      <c r="Q190" s="74" t="n"/>
      <c r="R190" s="74" t="n"/>
      <c r="S190" s="74" t="n"/>
      <c r="T190" s="74" t="n"/>
      <c r="U190" s="74" t="n"/>
      <c r="V190" s="74">
        <f>T190+S190*K190</f>
        <v/>
      </c>
      <c r="W190" s="74" t="n"/>
      <c r="X190" s="74">
        <f>V190-T190</f>
        <v/>
      </c>
      <c r="Y190" s="74">
        <f>V190-U190</f>
        <v/>
      </c>
      <c r="Z190" s="5" t="n"/>
    </row>
    <row r="191" ht="20" customHeight="1" s="1">
      <c r="A191" s="49" t="inlineStr">
        <is>
          <t>1.1</t>
        </is>
      </c>
      <c r="B191" s="5" t="inlineStr">
        <is>
          <t>01B001</t>
        </is>
      </c>
      <c r="C191" s="5" t="inlineStr">
        <is>
          <t>绿色施工安全防护措施费</t>
        </is>
      </c>
      <c r="D191" s="5" t="n"/>
      <c r="E191" s="5" t="n"/>
      <c r="F191" s="6" t="n"/>
      <c r="G191" s="74" t="n"/>
      <c r="H191" s="74" t="n"/>
      <c r="I191" s="74" t="n"/>
      <c r="J191" s="74" t="n"/>
      <c r="K191" s="74" t="n"/>
      <c r="L191" s="74" t="n"/>
      <c r="M191" s="55" t="n"/>
      <c r="N191" s="78" t="n"/>
      <c r="O191" s="6" t="n"/>
      <c r="P191" s="55" t="n"/>
      <c r="Q191" s="74" t="n"/>
      <c r="R191" s="74" t="n"/>
      <c r="S191" s="74" t="n"/>
      <c r="T191" s="74" t="n">
        <v>529002.35</v>
      </c>
      <c r="U191" s="74" t="n">
        <v>529002.35</v>
      </c>
      <c r="V191" s="74">
        <f>V188/U188*U191</f>
        <v/>
      </c>
      <c r="W191" s="74" t="n"/>
      <c r="X191" s="74">
        <f>V191-T191</f>
        <v/>
      </c>
      <c r="Y191" s="74">
        <f>V191-U191</f>
        <v/>
      </c>
      <c r="Z191" s="5" t="n"/>
    </row>
    <row r="192" ht="20" customHeight="1" s="1">
      <c r="A192" s="5" t="n">
        <v>173</v>
      </c>
      <c r="B192" s="5" t="inlineStr">
        <is>
          <t>粤011701008002</t>
        </is>
      </c>
      <c r="C192" s="5" t="inlineStr">
        <is>
          <t>综合钢脚手架</t>
        </is>
      </c>
      <c r="D192" s="5" t="inlineStr">
        <is>
          <t>1.搭设高度:综合钢脚手架搭拆高度(m以内)30.5
2.建筑用综合脚手架使用费</t>
        </is>
      </c>
      <c r="E192" s="5" t="inlineStr">
        <is>
          <t>m2</t>
        </is>
      </c>
      <c r="F192" s="74" t="n">
        <v>3288.12</v>
      </c>
      <c r="G192" s="74" t="n">
        <v>9179.959999999999</v>
      </c>
      <c r="H192" s="74">
        <f>3345.74</f>
        <v/>
      </c>
      <c r="I192" s="74" t="n"/>
      <c r="J192" s="74">
        <f>G192-F192</f>
        <v/>
      </c>
      <c r="K192" s="74">
        <f>H192-F192</f>
        <v/>
      </c>
      <c r="L192" s="74">
        <f>H192-G192</f>
        <v/>
      </c>
      <c r="M192" s="55">
        <f>J192/F192</f>
        <v/>
      </c>
      <c r="N192" s="6" t="n">
        <v>65.34999999999999</v>
      </c>
      <c r="O192" s="6" t="n">
        <v>69.55</v>
      </c>
      <c r="P192" s="55">
        <f>(N192-O192)/O192</f>
        <v/>
      </c>
      <c r="Q192" s="74">
        <f>O192*0.9056*0.85</f>
        <v/>
      </c>
      <c r="R192" s="74">
        <f>O192*1.15</f>
        <v/>
      </c>
      <c r="S192" s="74">
        <f>IF(N192&lt;O192*0.9056*0.85,O192*0.9056*0.85,IF(N192&gt;O192*1.15,O192*1.15,N192))</f>
        <v/>
      </c>
      <c r="T192" s="74" t="n">
        <v>214878.64</v>
      </c>
      <c r="U192" s="74" t="n">
        <v>599910.39</v>
      </c>
      <c r="V192" s="74">
        <f>T192+S192*K192</f>
        <v/>
      </c>
      <c r="W192" s="74">
        <f>U192-T192</f>
        <v/>
      </c>
      <c r="X192" s="74">
        <f>V192-T192</f>
        <v/>
      </c>
      <c r="Y192" s="74">
        <f>V192-U192</f>
        <v/>
      </c>
      <c r="Z192" s="5" t="n"/>
    </row>
    <row r="193" ht="20" customHeight="1" s="1">
      <c r="A193" s="5" t="n">
        <v>174</v>
      </c>
      <c r="B193" s="5" t="inlineStr">
        <is>
          <t>MBZC001</t>
        </is>
      </c>
      <c r="C193" s="5" t="inlineStr">
        <is>
          <t>模板的支架</t>
        </is>
      </c>
      <c r="D193" s="5" t="inlineStr">
        <is>
          <t>1.模板钢支撑</t>
        </is>
      </c>
      <c r="E193" s="5" t="inlineStr">
        <is>
          <t>t</t>
        </is>
      </c>
      <c r="F193" s="74" t="n">
        <v>14.42</v>
      </c>
      <c r="G193" s="74" t="n">
        <v>14.42</v>
      </c>
      <c r="H193" s="74" t="n">
        <v>14.42</v>
      </c>
      <c r="I193" s="74" t="n"/>
      <c r="J193" s="74">
        <f>G193-F193</f>
        <v/>
      </c>
      <c r="K193" s="74">
        <f>H193-F193</f>
        <v/>
      </c>
      <c r="L193" s="74">
        <f>H193-G193</f>
        <v/>
      </c>
      <c r="M193" s="55">
        <f>J193/F193</f>
        <v/>
      </c>
      <c r="N193" s="6" t="n">
        <v>6313.66</v>
      </c>
      <c r="O193" s="6" t="n">
        <v>6000</v>
      </c>
      <c r="P193" s="55">
        <f>(N193-O193)/O193</f>
        <v/>
      </c>
      <c r="Q193" s="74">
        <f>O193*0.9056*0.85</f>
        <v/>
      </c>
      <c r="R193" s="74">
        <f>O193*1.15</f>
        <v/>
      </c>
      <c r="S193" s="74">
        <f>IF(N193&lt;O193*0.9056*0.85,O193*0.9056*0.85,IF(N193&gt;O193*1.15,O193*1.15,N193))</f>
        <v/>
      </c>
      <c r="T193" s="74" t="n">
        <v>91023.39999999999</v>
      </c>
      <c r="U193" s="74" t="n">
        <v>91023.39999999999</v>
      </c>
      <c r="V193" s="74">
        <f>T193+S193*K193</f>
        <v/>
      </c>
      <c r="W193" s="74">
        <f>U193-T193</f>
        <v/>
      </c>
      <c r="X193" s="74">
        <f>V193-T193</f>
        <v/>
      </c>
      <c r="Y193" s="74">
        <f>V193-U193</f>
        <v/>
      </c>
      <c r="Z193" s="5" t="n"/>
    </row>
    <row r="194" ht="20" customHeight="1" s="1">
      <c r="A194" s="5" t="n"/>
      <c r="B194" s="5" t="n"/>
      <c r="C194" s="5" t="inlineStr">
        <is>
          <t>措施其他项目</t>
        </is>
      </c>
      <c r="D194" s="5" t="n"/>
      <c r="E194" s="5" t="n"/>
      <c r="F194" s="74" t="n"/>
      <c r="G194" s="74" t="n"/>
      <c r="H194" s="74" t="n"/>
      <c r="I194" s="74" t="n"/>
      <c r="J194" s="74" t="n"/>
      <c r="K194" s="74" t="n"/>
      <c r="L194" s="74" t="n"/>
      <c r="M194" s="55" t="n"/>
      <c r="N194" s="6" t="n"/>
      <c r="O194" s="6" t="n"/>
      <c r="P194" s="55" t="n"/>
      <c r="Q194" s="74" t="n"/>
      <c r="R194" s="74" t="n"/>
      <c r="S194" s="74" t="n"/>
      <c r="T194" s="74" t="n"/>
      <c r="U194" s="74" t="n"/>
      <c r="V194" s="74" t="n"/>
      <c r="W194" s="74" t="n"/>
      <c r="X194" s="74" t="n"/>
      <c r="Y194" s="74" t="n"/>
      <c r="Z194" s="5" t="n"/>
      <c r="AA194" s="73" t="n"/>
    </row>
    <row r="195" ht="20" customHeight="1" s="1">
      <c r="A195" s="5" t="n">
        <v>175</v>
      </c>
      <c r="B195" s="5" t="inlineStr">
        <is>
          <t>粤011701011003</t>
        </is>
      </c>
      <c r="C195" s="5" t="inlineStr">
        <is>
          <t>里脚手架</t>
        </is>
      </c>
      <c r="D195" s="5" t="inlineStr">
        <is>
          <t>1.里脚手架(钢管)民用建筑实际高度4.8m以内</t>
        </is>
      </c>
      <c r="E195" s="5" t="inlineStr">
        <is>
          <t>m2</t>
        </is>
      </c>
      <c r="F195" s="74" t="n">
        <v>1596.93</v>
      </c>
      <c r="G195" s="74" t="n">
        <v>1593.65</v>
      </c>
      <c r="H195" s="74" t="n">
        <v>1593.65</v>
      </c>
      <c r="I195" s="74" t="n"/>
      <c r="J195" s="74">
        <f>G195-F195</f>
        <v/>
      </c>
      <c r="K195" s="74">
        <f>H195-F195</f>
        <v/>
      </c>
      <c r="L195" s="74">
        <f>H195-G195</f>
        <v/>
      </c>
      <c r="M195" s="55">
        <f>J195/F195</f>
        <v/>
      </c>
      <c r="N195" s="6" t="n">
        <v>19.66</v>
      </c>
      <c r="O195" s="6" t="n">
        <v>21.74</v>
      </c>
      <c r="P195" s="55">
        <f>(N195-O195)/O195</f>
        <v/>
      </c>
      <c r="Q195" s="74">
        <f>O195*0.9056*0.85</f>
        <v/>
      </c>
      <c r="R195" s="74">
        <f>O195*1.15</f>
        <v/>
      </c>
      <c r="S195" s="74">
        <f>IF(N195&lt;O195*0.9056*0.85,O195*0.9056*0.85,IF(N195&gt;O195*1.15,O195*1.15,N195))</f>
        <v/>
      </c>
      <c r="T195" s="74" t="n">
        <v>31395.64</v>
      </c>
      <c r="U195" s="74" t="n">
        <v>31331.23</v>
      </c>
      <c r="V195" s="74">
        <f>T195+S195*K195</f>
        <v/>
      </c>
      <c r="W195" s="74">
        <f>U195-T195</f>
        <v/>
      </c>
      <c r="X195" s="74">
        <f>V195-T195</f>
        <v/>
      </c>
      <c r="Y195" s="74">
        <f>V195-U195</f>
        <v/>
      </c>
      <c r="Z195" s="5" t="n"/>
    </row>
    <row r="196" ht="20" customHeight="1" s="1">
      <c r="A196" s="5" t="n">
        <v>176</v>
      </c>
      <c r="B196" s="5" t="inlineStr">
        <is>
          <t>粤011701011004</t>
        </is>
      </c>
      <c r="C196" s="5" t="inlineStr">
        <is>
          <t>里脚手架</t>
        </is>
      </c>
      <c r="D196" s="5" t="inlineStr">
        <is>
          <t>1.里脚手架(钢管)民用建筑实际高度5.5m以内</t>
        </is>
      </c>
      <c r="E196" s="5" t="inlineStr">
        <is>
          <t>m2</t>
        </is>
      </c>
      <c r="F196" s="74" t="n">
        <v>54.83</v>
      </c>
      <c r="G196" s="74" t="n">
        <v>54.35</v>
      </c>
      <c r="H196" s="74" t="n">
        <v>54.35</v>
      </c>
      <c r="I196" s="74" t="n"/>
      <c r="J196" s="74">
        <f>G196-F196</f>
        <v/>
      </c>
      <c r="K196" s="74">
        <f>H196-F196</f>
        <v/>
      </c>
      <c r="L196" s="74">
        <f>H196-G196</f>
        <v/>
      </c>
      <c r="M196" s="55">
        <f>J196/F196</f>
        <v/>
      </c>
      <c r="N196" s="6" t="n">
        <v>24.63</v>
      </c>
      <c r="O196" s="6" t="n">
        <v>27.23</v>
      </c>
      <c r="P196" s="55">
        <f>(N196-O196)/O196</f>
        <v/>
      </c>
      <c r="Q196" s="74">
        <f>O196*0.9056*0.85</f>
        <v/>
      </c>
      <c r="R196" s="74">
        <f>O196*1.15</f>
        <v/>
      </c>
      <c r="S196" s="74">
        <f>IF(N196&lt;O196*0.9056*0.85,O196*0.9056*0.85,IF(N196&gt;O196*1.15,O196*1.15,N196))</f>
        <v/>
      </c>
      <c r="T196" s="74" t="n">
        <v>1350.34</v>
      </c>
      <c r="U196" s="74" t="n">
        <v>1338.64</v>
      </c>
      <c r="V196" s="74">
        <f>T196+S196*K196</f>
        <v/>
      </c>
      <c r="W196" s="74">
        <f>U196-T196</f>
        <v/>
      </c>
      <c r="X196" s="74">
        <f>V196-T196</f>
        <v/>
      </c>
      <c r="Y196" s="74">
        <f>V196-U196</f>
        <v/>
      </c>
      <c r="Z196" s="5" t="n"/>
    </row>
    <row r="197" ht="20" customHeight="1" s="1">
      <c r="A197" s="5" t="n">
        <v>177</v>
      </c>
      <c r="B197" s="5" t="inlineStr">
        <is>
          <t>粤011701011005</t>
        </is>
      </c>
      <c r="C197" s="5" t="inlineStr">
        <is>
          <t>里脚手架</t>
        </is>
      </c>
      <c r="D197" s="5" t="inlineStr">
        <is>
          <t>1.里脚手架(钢管)民用建筑实际高度12.15m以内</t>
        </is>
      </c>
      <c r="E197" s="5" t="inlineStr">
        <is>
          <t>m2</t>
        </is>
      </c>
      <c r="F197" s="74" t="n">
        <v>593.08</v>
      </c>
      <c r="G197" s="74" t="n">
        <v>519.33</v>
      </c>
      <c r="H197" s="74" t="n">
        <v>519.33</v>
      </c>
      <c r="I197" s="74" t="n"/>
      <c r="J197" s="74">
        <f>G197-F197</f>
        <v/>
      </c>
      <c r="K197" s="74">
        <f>H197-F197</f>
        <v/>
      </c>
      <c r="L197" s="74">
        <f>H197-G197</f>
        <v/>
      </c>
      <c r="M197" s="55">
        <f>J197/F197</f>
        <v/>
      </c>
      <c r="N197" s="6" t="n">
        <v>49.49</v>
      </c>
      <c r="O197" s="6" t="n">
        <v>54.67</v>
      </c>
      <c r="P197" s="55">
        <f>(N197-O197)/O197</f>
        <v/>
      </c>
      <c r="Q197" s="74">
        <f>O197*0.9056*0.85</f>
        <v/>
      </c>
      <c r="R197" s="74">
        <f>O197*1.15</f>
        <v/>
      </c>
      <c r="S197" s="74">
        <f>IF(N197&lt;O197*0.9056*0.85,O197*0.9056*0.85,IF(N197&gt;O197*1.15,O197*1.15,N197))</f>
        <v/>
      </c>
      <c r="T197" s="74" t="n">
        <v>29351.53</v>
      </c>
      <c r="U197" s="74" t="n">
        <v>25701.39</v>
      </c>
      <c r="V197" s="74" t="n">
        <v>25701.39</v>
      </c>
      <c r="W197" s="74">
        <f>U197-T197</f>
        <v/>
      </c>
      <c r="X197" s="74">
        <f>V197-T197</f>
        <v/>
      </c>
      <c r="Y197" s="74">
        <f>V197-U197</f>
        <v/>
      </c>
      <c r="Z197" s="5" t="n"/>
    </row>
    <row r="198" ht="20" customHeight="1" s="1">
      <c r="A198" s="5" t="n">
        <v>178</v>
      </c>
      <c r="B198" s="5" t="inlineStr">
        <is>
          <t>粤011701010002</t>
        </is>
      </c>
      <c r="C198" s="5" t="inlineStr">
        <is>
          <t>满堂脚手架</t>
        </is>
      </c>
      <c r="D198" s="5" t="inlineStr">
        <is>
          <t>1.满堂脚手架(钢管)5.2m以内</t>
        </is>
      </c>
      <c r="E198" s="5" t="inlineStr">
        <is>
          <t>m2</t>
        </is>
      </c>
      <c r="F198" s="74" t="n">
        <v>3466.65</v>
      </c>
      <c r="G198" s="74" t="n">
        <v>3154.87</v>
      </c>
      <c r="H198" s="74" t="n">
        <v>3018.44</v>
      </c>
      <c r="I198" s="74" t="n"/>
      <c r="J198" s="74">
        <f>G198-F198</f>
        <v/>
      </c>
      <c r="K198" s="74">
        <f>H198-F198</f>
        <v/>
      </c>
      <c r="L198" s="74">
        <f>H198-G198</f>
        <v/>
      </c>
      <c r="M198" s="55">
        <f>J198/F198</f>
        <v/>
      </c>
      <c r="N198" s="6" t="n">
        <v>12.36</v>
      </c>
      <c r="O198" s="6" t="n">
        <v>13.43</v>
      </c>
      <c r="P198" s="55">
        <f>(N198-O198)/O198</f>
        <v/>
      </c>
      <c r="Q198" s="74">
        <f>O198*0.9056*0.85</f>
        <v/>
      </c>
      <c r="R198" s="74">
        <f>O198*1.15</f>
        <v/>
      </c>
      <c r="S198" s="74">
        <f>IF(N198&lt;O198*0.9056*0.85,O198*0.9056*0.85,IF(N198&gt;O198*1.15,O198*1.15,N198))</f>
        <v/>
      </c>
      <c r="T198" s="74" t="n">
        <v>42847.84</v>
      </c>
      <c r="U198" s="74" t="n">
        <v>38994.15</v>
      </c>
      <c r="V198" s="74">
        <f>T198+S198*K198</f>
        <v/>
      </c>
      <c r="W198" s="74">
        <f>U198-T198</f>
        <v/>
      </c>
      <c r="X198" s="74">
        <f>V198-T198</f>
        <v/>
      </c>
      <c r="Y198" s="74">
        <f>V198-U198</f>
        <v/>
      </c>
      <c r="Z198" s="5" t="n"/>
      <c r="AA198" s="73" t="inlineStr">
        <is>
          <t>是否车道是否在地下室计算</t>
        </is>
      </c>
    </row>
    <row r="199" ht="20" customHeight="1" s="1">
      <c r="A199" s="5" t="n">
        <v>179</v>
      </c>
      <c r="B199" s="5" t="inlineStr">
        <is>
          <t>粤011701010003</t>
        </is>
      </c>
      <c r="C199" s="5" t="inlineStr">
        <is>
          <t>满堂脚手架</t>
        </is>
      </c>
      <c r="D199" s="5" t="inlineStr">
        <is>
          <t>1.满堂脚手架(钢管)5.5m以内</t>
        </is>
      </c>
      <c r="E199" s="5" t="inlineStr">
        <is>
          <t>m2</t>
        </is>
      </c>
      <c r="F199" s="74" t="n">
        <v>109.65</v>
      </c>
      <c r="G199" s="74" t="n">
        <v>110.5</v>
      </c>
      <c r="H199" s="74" t="n">
        <v>107.63</v>
      </c>
      <c r="I199" s="74" t="n"/>
      <c r="J199" s="74">
        <f>G199-F199</f>
        <v/>
      </c>
      <c r="K199" s="74">
        <f>H199-F199</f>
        <v/>
      </c>
      <c r="L199" s="74">
        <f>H199-G199</f>
        <v/>
      </c>
      <c r="M199" s="55">
        <f>J199/F199</f>
        <v/>
      </c>
      <c r="N199" s="6" t="n">
        <v>12.36</v>
      </c>
      <c r="O199" s="6" t="n">
        <v>13.43</v>
      </c>
      <c r="P199" s="55">
        <f>(N199-O199)/O199</f>
        <v/>
      </c>
      <c r="Q199" s="74">
        <f>O199*0.9056*0.85</f>
        <v/>
      </c>
      <c r="R199" s="74">
        <f>O199*1.15</f>
        <v/>
      </c>
      <c r="S199" s="74">
        <f>IF(N199&lt;O199*0.9056*0.85,O199*0.9056*0.85,IF(N199&gt;O199*1.15,O199*1.15,N199))</f>
        <v/>
      </c>
      <c r="T199" s="74" t="n">
        <v>1355.27</v>
      </c>
      <c r="U199" s="74" t="n">
        <v>1365.72</v>
      </c>
      <c r="V199" s="74">
        <f>T199+S199*K199</f>
        <v/>
      </c>
      <c r="W199" s="74">
        <f>U199-T199</f>
        <v/>
      </c>
      <c r="X199" s="74">
        <f>V199-T199</f>
        <v/>
      </c>
      <c r="Y199" s="74">
        <f>V199-U199</f>
        <v/>
      </c>
      <c r="Z199" s="5" t="n"/>
    </row>
    <row r="200" ht="20" customHeight="1" s="1">
      <c r="A200" s="5" t="n">
        <v>180</v>
      </c>
      <c r="B200" s="5" t="inlineStr">
        <is>
          <t>粤011701010004</t>
        </is>
      </c>
      <c r="C200" s="5" t="inlineStr">
        <is>
          <t>满堂脚手架</t>
        </is>
      </c>
      <c r="D200" s="5" t="inlineStr">
        <is>
          <t>1.满堂脚手架(钢管)12.15m以内</t>
        </is>
      </c>
      <c r="E200" s="5" t="inlineStr">
        <is>
          <t>m2</t>
        </is>
      </c>
      <c r="F200" s="74" t="n">
        <v>1186.16</v>
      </c>
      <c r="G200" s="74" t="n">
        <v>1142.45</v>
      </c>
      <c r="H200" s="74" t="n">
        <v>1142.45</v>
      </c>
      <c r="I200" s="74" t="n"/>
      <c r="J200" s="74">
        <f>G200-F200</f>
        <v/>
      </c>
      <c r="K200" s="74">
        <f>H200-F200</f>
        <v/>
      </c>
      <c r="L200" s="74">
        <f>H200-G200</f>
        <v/>
      </c>
      <c r="M200" s="55">
        <f>J200/F200</f>
        <v/>
      </c>
      <c r="N200" s="6" t="n">
        <v>36.49</v>
      </c>
      <c r="O200" s="6" t="n">
        <v>39.96</v>
      </c>
      <c r="P200" s="55">
        <f>(N200-O200)/O200</f>
        <v/>
      </c>
      <c r="Q200" s="74">
        <f>O200*0.9056*0.85</f>
        <v/>
      </c>
      <c r="R200" s="74">
        <f>O200*1.15</f>
        <v/>
      </c>
      <c r="S200" s="74">
        <f>IF(N200&lt;O200*0.9056*0.85,O200*0.9056*0.85,IF(N200&gt;O200*1.15,O200*1.15,N200))</f>
        <v/>
      </c>
      <c r="T200" s="74" t="n">
        <v>43282.98</v>
      </c>
      <c r="U200" s="74" t="n">
        <v>41688</v>
      </c>
      <c r="V200" s="74">
        <f>T200+S200*K200</f>
        <v/>
      </c>
      <c r="W200" s="74">
        <f>U200-T200</f>
        <v/>
      </c>
      <c r="X200" s="74">
        <f>V200-T200</f>
        <v/>
      </c>
      <c r="Y200" s="74">
        <f>V200-U200</f>
        <v/>
      </c>
      <c r="Z200" s="5" t="n"/>
    </row>
    <row r="201" ht="20" customHeight="1" s="1">
      <c r="A201" s="5" t="n">
        <v>181</v>
      </c>
      <c r="B201" s="5" t="inlineStr">
        <is>
          <t>粤011701010005</t>
        </is>
      </c>
      <c r="C201" s="5" t="inlineStr">
        <is>
          <t>满堂脚手架</t>
        </is>
      </c>
      <c r="D201" s="5" t="inlineStr">
        <is>
          <t>1.满堂脚手架(钢管)15.45m以内</t>
        </is>
      </c>
      <c r="E201" s="5" t="inlineStr">
        <is>
          <t>m2</t>
        </is>
      </c>
      <c r="F201" s="74" t="n">
        <v>315.5</v>
      </c>
      <c r="G201" s="74" t="n">
        <v>313.22</v>
      </c>
      <c r="H201" s="74" t="n">
        <v>313.22</v>
      </c>
      <c r="I201" s="74" t="n"/>
      <c r="J201" s="74">
        <f>G201-F201</f>
        <v/>
      </c>
      <c r="K201" s="74">
        <f>H201-F201</f>
        <v/>
      </c>
      <c r="L201" s="74">
        <f>H201-G201</f>
        <v/>
      </c>
      <c r="M201" s="55">
        <f>J201/F201</f>
        <v/>
      </c>
      <c r="N201" s="6" t="n">
        <v>48.55</v>
      </c>
      <c r="O201" s="6" t="n">
        <v>39.96</v>
      </c>
      <c r="P201" s="55">
        <f>(N201-O201)/O201</f>
        <v/>
      </c>
      <c r="Q201" s="74">
        <f>O201*0.9056*0.85</f>
        <v/>
      </c>
      <c r="R201" s="74">
        <f>O201*1.15</f>
        <v/>
      </c>
      <c r="S201" s="74">
        <f>IF(N201&lt;O201*0.9056*0.85,O201*0.9056*0.85,IF(N201&gt;O201*1.15,O201*1.15,N201))</f>
        <v/>
      </c>
      <c r="T201" s="74" t="n">
        <v>15317.73</v>
      </c>
      <c r="U201" s="74" t="n">
        <v>15212.72</v>
      </c>
      <c r="V201" s="74" t="n">
        <v>15212.72</v>
      </c>
      <c r="W201" s="74">
        <f>U201-T201</f>
        <v/>
      </c>
      <c r="X201" s="74">
        <f>V201-T201</f>
        <v/>
      </c>
      <c r="Y201" s="74">
        <f>V201-U201</f>
        <v/>
      </c>
      <c r="Z201" s="5" t="n"/>
    </row>
    <row r="202" ht="20" customHeight="1" s="1">
      <c r="A202" s="5" t="n">
        <v>182</v>
      </c>
      <c r="B202" s="5" t="inlineStr">
        <is>
          <t>粤011701010006</t>
        </is>
      </c>
      <c r="C202" s="5" t="inlineStr">
        <is>
          <t>满堂脚手架</t>
        </is>
      </c>
      <c r="D202" s="5" t="inlineStr">
        <is>
          <t>1.满堂脚手架(钢管)16.95m以内</t>
        </is>
      </c>
      <c r="E202" s="5" t="inlineStr">
        <is>
          <t>m2</t>
        </is>
      </c>
      <c r="F202" s="74" t="n">
        <v>222</v>
      </c>
      <c r="G202" s="74" t="n">
        <v>226.2</v>
      </c>
      <c r="H202" s="74" t="n">
        <v>226.2</v>
      </c>
      <c r="I202" s="74" t="n"/>
      <c r="J202" s="74">
        <f>G202-F202</f>
        <v/>
      </c>
      <c r="K202" s="74">
        <f>H202-F202</f>
        <v/>
      </c>
      <c r="L202" s="74">
        <f>H202-G202</f>
        <v/>
      </c>
      <c r="M202" s="55">
        <f>J202/F202</f>
        <v/>
      </c>
      <c r="N202" s="6" t="n">
        <v>52.57</v>
      </c>
      <c r="O202" s="6" t="n">
        <v>39.96</v>
      </c>
      <c r="P202" s="55">
        <f>(N202-O202)/O202</f>
        <v/>
      </c>
      <c r="Q202" s="74">
        <f>O202*0.9056*0.85</f>
        <v/>
      </c>
      <c r="R202" s="74">
        <f>O202*1.15</f>
        <v/>
      </c>
      <c r="S202" s="74">
        <f>IF(N202&lt;O202*0.9056*0.85,O202*0.9056*0.85,IF(N202&gt;O202*1.15,O202*1.15,N202))</f>
        <v/>
      </c>
      <c r="T202" s="74" t="n">
        <v>11670.54</v>
      </c>
      <c r="U202" s="74" t="n">
        <v>11863.55</v>
      </c>
      <c r="V202" s="74">
        <f>T202+S202*K202</f>
        <v/>
      </c>
      <c r="W202" s="74">
        <f>U202-T202</f>
        <v/>
      </c>
      <c r="X202" s="74">
        <f>V202-T202</f>
        <v/>
      </c>
      <c r="Y202" s="74">
        <f>V202-U202</f>
        <v/>
      </c>
      <c r="Z202" s="5" t="n"/>
    </row>
    <row r="203" ht="20" customHeight="1" s="1">
      <c r="A203" s="5" t="n">
        <v>183</v>
      </c>
      <c r="B203" s="5" t="inlineStr">
        <is>
          <t>011702001001</t>
        </is>
      </c>
      <c r="C203" s="5" t="inlineStr">
        <is>
          <t>基础</t>
        </is>
      </c>
      <c r="D203" s="5" t="inlineStr">
        <is>
          <t>1.基础垫层模板</t>
        </is>
      </c>
      <c r="E203" s="5" t="inlineStr">
        <is>
          <t>m2</t>
        </is>
      </c>
      <c r="F203" s="74" t="n">
        <v>199.69</v>
      </c>
      <c r="G203" s="74" t="n">
        <v>297.75</v>
      </c>
      <c r="H203" s="74">
        <f>269.68+1.22+15.39</f>
        <v/>
      </c>
      <c r="I203" s="74" t="n"/>
      <c r="J203" s="74">
        <f>G203-F203</f>
        <v/>
      </c>
      <c r="K203" s="74">
        <f>H203-F203</f>
        <v/>
      </c>
      <c r="L203" s="74">
        <f>H203-G203</f>
        <v/>
      </c>
      <c r="M203" s="55">
        <f>J203/F203</f>
        <v/>
      </c>
      <c r="N203" s="6" t="n">
        <v>31.42</v>
      </c>
      <c r="O203" s="6" t="n">
        <v>34.37</v>
      </c>
      <c r="P203" s="55">
        <f>(N203-O203)/O203</f>
        <v/>
      </c>
      <c r="Q203" s="74">
        <f>O203*0.9056*0.85</f>
        <v/>
      </c>
      <c r="R203" s="74">
        <f>O203*1.15</f>
        <v/>
      </c>
      <c r="S203" s="74">
        <f>IF(N203&lt;O203*0.9056*0.85,O203*0.9056*0.85,IF(N203&gt;O203*1.15,O203*1.15,N203))</f>
        <v/>
      </c>
      <c r="T203" s="74" t="n">
        <v>6274.33</v>
      </c>
      <c r="U203" s="74" t="n">
        <v>9355.290000000001</v>
      </c>
      <c r="V203" s="74">
        <f>T203+S203*K203</f>
        <v/>
      </c>
      <c r="W203" s="74">
        <f>U203-T203</f>
        <v/>
      </c>
      <c r="X203" s="74">
        <f>V203-T203</f>
        <v/>
      </c>
      <c r="Y203" s="74">
        <f>V203-U203</f>
        <v/>
      </c>
      <c r="Z203" s="5" t="n"/>
    </row>
    <row r="204" ht="20" customHeight="1" s="1">
      <c r="A204" s="5" t="n">
        <v>184</v>
      </c>
      <c r="B204" s="5" t="inlineStr">
        <is>
          <t>011702002011</t>
        </is>
      </c>
      <c r="C204" s="5" t="inlineStr">
        <is>
          <t>矩形柱</t>
        </is>
      </c>
      <c r="D204" s="5" t="inlineStr">
        <is>
          <t>1.矩形柱模板(周长m)支模高度3.6m内1.2内</t>
        </is>
      </c>
      <c r="E204" s="5" t="inlineStr">
        <is>
          <t>m2</t>
        </is>
      </c>
      <c r="F204" s="74" t="n">
        <v>101.01</v>
      </c>
      <c r="G204" s="74" t="n">
        <v>4.28</v>
      </c>
      <c r="H204" s="74" t="n">
        <v>4.08</v>
      </c>
      <c r="I204" s="74" t="n"/>
      <c r="J204" s="74">
        <f>G204-F204</f>
        <v/>
      </c>
      <c r="K204" s="74">
        <f>H204-F204</f>
        <v/>
      </c>
      <c r="L204" s="74">
        <f>H204-G204</f>
        <v/>
      </c>
      <c r="M204" s="55">
        <f>J204/F204</f>
        <v/>
      </c>
      <c r="N204" s="6" t="n">
        <v>66.62</v>
      </c>
      <c r="O204" s="6" t="n">
        <v>71.22</v>
      </c>
      <c r="P204" s="55">
        <f>(N204-O204)/O204</f>
        <v/>
      </c>
      <c r="Q204" s="74">
        <f>O204*0.9056*0.85</f>
        <v/>
      </c>
      <c r="R204" s="74">
        <f>O204*1.15</f>
        <v/>
      </c>
      <c r="S204" s="74">
        <f>IF(N204&lt;O204*0.9056*0.85,O204*0.9056*0.85,IF(N204&gt;O204*1.15,O204*1.15,N204))</f>
        <v/>
      </c>
      <c r="T204" s="74" t="n">
        <v>6729.43</v>
      </c>
      <c r="U204" s="74" t="n">
        <v>285.4</v>
      </c>
      <c r="V204" s="74">
        <f>T204+S204*K204</f>
        <v/>
      </c>
      <c r="W204" s="74">
        <f>U204-T204</f>
        <v/>
      </c>
      <c r="X204" s="74">
        <f>V204-T204</f>
        <v/>
      </c>
      <c r="Y204" s="74">
        <f>V204-U204</f>
        <v/>
      </c>
      <c r="Z204" s="5" t="n"/>
    </row>
    <row r="205" ht="20" customHeight="1" s="1">
      <c r="A205" s="5" t="n">
        <v>185</v>
      </c>
      <c r="B205" s="5" t="inlineStr">
        <is>
          <t>011702002012</t>
        </is>
      </c>
      <c r="C205" s="5" t="inlineStr">
        <is>
          <t>矩形柱</t>
        </is>
      </c>
      <c r="D205" s="5" t="inlineStr">
        <is>
          <t>1.矩形柱模板(周长m)支模高度4.6m内1.2内</t>
        </is>
      </c>
      <c r="E205" s="5" t="inlineStr">
        <is>
          <t>m2</t>
        </is>
      </c>
      <c r="F205" s="74" t="n">
        <v>289.41</v>
      </c>
      <c r="G205" s="74" t="n">
        <v>395.28</v>
      </c>
      <c r="H205" s="74">
        <f>376.15</f>
        <v/>
      </c>
      <c r="I205" s="74" t="n"/>
      <c r="J205" s="74">
        <f>G205-F205</f>
        <v/>
      </c>
      <c r="K205" s="74">
        <f>H205-F205</f>
        <v/>
      </c>
      <c r="L205" s="74">
        <f>H205-G205</f>
        <v/>
      </c>
      <c r="M205" s="55">
        <f>J205/F205</f>
        <v/>
      </c>
      <c r="N205" s="6" t="n">
        <v>70.72</v>
      </c>
      <c r="O205" s="6" t="n">
        <v>75.53</v>
      </c>
      <c r="P205" s="55">
        <f>(N205-O205)/O205</f>
        <v/>
      </c>
      <c r="Q205" s="74">
        <f>O205*0.9056*0.85</f>
        <v/>
      </c>
      <c r="R205" s="74">
        <f>O205*1.15</f>
        <v/>
      </c>
      <c r="S205" s="74">
        <f>IF(N205&lt;O205*0.9056*0.85,O205*0.9056*0.85,IF(N205&gt;O205*1.15,O205*1.15,N205))</f>
        <v/>
      </c>
      <c r="T205" s="74" t="n">
        <v>20466.86</v>
      </c>
      <c r="U205" s="74" t="n">
        <v>27954.14</v>
      </c>
      <c r="V205" s="74">
        <f>T205+S205*K205</f>
        <v/>
      </c>
      <c r="W205" s="74">
        <f>U205-T205</f>
        <v/>
      </c>
      <c r="X205" s="74">
        <f>V205-T205</f>
        <v/>
      </c>
      <c r="Y205" s="74">
        <f>V205-U205</f>
        <v/>
      </c>
      <c r="Z205" s="5" t="n"/>
    </row>
    <row r="206" ht="20" customHeight="1" s="1">
      <c r="A206" s="5" t="n">
        <v>186</v>
      </c>
      <c r="B206" s="5" t="inlineStr">
        <is>
          <t>011702002013</t>
        </is>
      </c>
      <c r="C206" s="5" t="inlineStr">
        <is>
          <t>矩形柱</t>
        </is>
      </c>
      <c r="D206" s="5" t="inlineStr">
        <is>
          <t>1.矩形柱模板(周长m)支模高度5.6m内1.2内</t>
        </is>
      </c>
      <c r="E206" s="5" t="inlineStr">
        <is>
          <t>m2</t>
        </is>
      </c>
      <c r="F206" s="74" t="n">
        <v>52.16</v>
      </c>
      <c r="G206" s="74" t="n">
        <v>31.12</v>
      </c>
      <c r="H206" s="74" t="n">
        <v>31.12</v>
      </c>
      <c r="I206" s="74" t="n"/>
      <c r="J206" s="74">
        <f>G206-F206</f>
        <v/>
      </c>
      <c r="K206" s="74">
        <f>H206-F206</f>
        <v/>
      </c>
      <c r="L206" s="74">
        <f>H206-G206</f>
        <v/>
      </c>
      <c r="M206" s="55">
        <f>J206/F206</f>
        <v/>
      </c>
      <c r="N206" s="6" t="n">
        <v>74.81999999999999</v>
      </c>
      <c r="O206" s="6" t="n">
        <v>79.84999999999999</v>
      </c>
      <c r="P206" s="55">
        <f>(N206-O206)/O206</f>
        <v/>
      </c>
      <c r="Q206" s="74">
        <f>O206*0.9056*0.85</f>
        <v/>
      </c>
      <c r="R206" s="74">
        <f>O206*1.15</f>
        <v/>
      </c>
      <c r="S206" s="74">
        <f>IF(N206&lt;O206*0.9056*0.85,O206*0.9056*0.85,IF(N206&gt;O206*1.15,O206*1.15,N206))</f>
        <v/>
      </c>
      <c r="T206" s="74" t="n">
        <v>3902.61</v>
      </c>
      <c r="U206" s="74" t="n">
        <v>2328.56</v>
      </c>
      <c r="V206" s="74">
        <f>T206+S206*K206</f>
        <v/>
      </c>
      <c r="W206" s="74">
        <f>U206-T206</f>
        <v/>
      </c>
      <c r="X206" s="74">
        <f>V206-T206</f>
        <v/>
      </c>
      <c r="Y206" s="74">
        <f>V206-U206</f>
        <v/>
      </c>
      <c r="Z206" s="5" t="n"/>
    </row>
    <row r="207" ht="20" customHeight="1" s="1">
      <c r="A207" s="5" t="n">
        <v>187</v>
      </c>
      <c r="B207" s="5" t="inlineStr">
        <is>
          <t>011702002014</t>
        </is>
      </c>
      <c r="C207" s="5" t="inlineStr">
        <is>
          <t>矩形柱</t>
        </is>
      </c>
      <c r="D207" s="5" t="inlineStr">
        <is>
          <t>1.矩形柱模板(周长m)支模高度9.4m内1.2内</t>
        </is>
      </c>
      <c r="E207" s="5" t="inlineStr">
        <is>
          <t>m2</t>
        </is>
      </c>
      <c r="F207" s="74" t="n">
        <v>64.8</v>
      </c>
      <c r="G207" s="74" t="n">
        <v>80.36</v>
      </c>
      <c r="H207" s="74">
        <f>64.44+12.09</f>
        <v/>
      </c>
      <c r="I207" s="74" t="n"/>
      <c r="J207" s="74">
        <f>G207-F207</f>
        <v/>
      </c>
      <c r="K207" s="74">
        <f>H207-F207</f>
        <v/>
      </c>
      <c r="L207" s="74">
        <f>H207-G207</f>
        <v/>
      </c>
      <c r="M207" s="55">
        <f>J207/F207</f>
        <v/>
      </c>
      <c r="N207" s="6" t="n">
        <v>100.9</v>
      </c>
      <c r="O207" s="6" t="n">
        <v>108.33</v>
      </c>
      <c r="P207" s="55">
        <f>(N207-O207)/O207</f>
        <v/>
      </c>
      <c r="Q207" s="74">
        <f>O207*0.9056*0.85</f>
        <v/>
      </c>
      <c r="R207" s="74">
        <f>O207*1.15</f>
        <v/>
      </c>
      <c r="S207" s="74">
        <f>IF(N207&lt;O207*0.9056*0.85,O207*0.9056*0.85,IF(N207&gt;O207*1.15,O207*1.15,N207))</f>
        <v/>
      </c>
      <c r="T207" s="74" t="n">
        <v>6538.32</v>
      </c>
      <c r="U207" s="74" t="n">
        <v>8108.18</v>
      </c>
      <c r="V207" s="74">
        <f>T207+S207*K207</f>
        <v/>
      </c>
      <c r="W207" s="74">
        <f>U207-T207</f>
        <v/>
      </c>
      <c r="X207" s="74">
        <f>V207-T207</f>
        <v/>
      </c>
      <c r="Y207" s="74">
        <f>V207-U207</f>
        <v/>
      </c>
      <c r="Z207" s="5" t="n"/>
    </row>
    <row r="208" ht="20" customHeight="1" s="1">
      <c r="A208" s="5" t="n">
        <v>188</v>
      </c>
      <c r="B208" s="5" t="inlineStr">
        <is>
          <t>011702002015</t>
        </is>
      </c>
      <c r="C208" s="5" t="inlineStr">
        <is>
          <t>矩形柱</t>
        </is>
      </c>
      <c r="D208" s="5" t="inlineStr">
        <is>
          <t>1.矩形柱模板(周长m)支模高度3.6m内1.8内</t>
        </is>
      </c>
      <c r="E208" s="5" t="inlineStr">
        <is>
          <t>m2</t>
        </is>
      </c>
      <c r="F208" s="74" t="n">
        <v>18.42</v>
      </c>
      <c r="G208" s="74" t="n">
        <v>0</v>
      </c>
      <c r="H208" s="74" t="n">
        <v>0</v>
      </c>
      <c r="I208" s="74" t="n"/>
      <c r="J208" s="74">
        <f>G208-F208</f>
        <v/>
      </c>
      <c r="K208" s="74">
        <f>H208-F208</f>
        <v/>
      </c>
      <c r="L208" s="74">
        <f>H208-G208</f>
        <v/>
      </c>
      <c r="M208" s="55">
        <f>J208/F208</f>
        <v/>
      </c>
      <c r="N208" s="6" t="n">
        <v>53.08</v>
      </c>
      <c r="O208" s="6" t="n">
        <v>57.93</v>
      </c>
      <c r="P208" s="55">
        <f>(N208-O208)/O208</f>
        <v/>
      </c>
      <c r="Q208" s="74">
        <f>O208*0.9056*0.85</f>
        <v/>
      </c>
      <c r="R208" s="74">
        <f>O208*1.15</f>
        <v/>
      </c>
      <c r="S208" s="74">
        <f>IF(N208&lt;O208*0.9056*0.85,O208*0.9056*0.85,IF(N208&gt;O208*1.15,O208*1.15,N208))</f>
        <v/>
      </c>
      <c r="T208" s="74" t="n">
        <v>977.8</v>
      </c>
      <c r="U208" s="74" t="n">
        <v>0</v>
      </c>
      <c r="V208" s="74" t="n">
        <v>0</v>
      </c>
      <c r="W208" s="74">
        <f>U208-T208</f>
        <v/>
      </c>
      <c r="X208" s="74">
        <f>V208-T208</f>
        <v/>
      </c>
      <c r="Y208" s="74">
        <f>V208-U208</f>
        <v/>
      </c>
      <c r="Z208" s="5" t="n"/>
    </row>
    <row r="209" ht="20" customHeight="1" s="1">
      <c r="A209" s="5" t="n">
        <v>189</v>
      </c>
      <c r="B209" s="5" t="inlineStr">
        <is>
          <t>011702002016</t>
        </is>
      </c>
      <c r="C209" s="5" t="inlineStr">
        <is>
          <t>矩形柱</t>
        </is>
      </c>
      <c r="D209" s="5" t="inlineStr">
        <is>
          <t>1.矩形柱模板(周长m)支模高度4.6m内1.8内</t>
        </is>
      </c>
      <c r="E209" s="5" t="inlineStr">
        <is>
          <t>m2</t>
        </is>
      </c>
      <c r="F209" s="74" t="n">
        <v>43.68</v>
      </c>
      <c r="G209" s="74" t="n">
        <v>0</v>
      </c>
      <c r="H209" s="74" t="n">
        <v>0</v>
      </c>
      <c r="I209" s="74" t="n"/>
      <c r="J209" s="74">
        <f>G209-F209</f>
        <v/>
      </c>
      <c r="K209" s="74">
        <f>H209-F209</f>
        <v/>
      </c>
      <c r="L209" s="74">
        <f>H209-G209</f>
        <v/>
      </c>
      <c r="M209" s="55">
        <f>J209/F209</f>
        <v/>
      </c>
      <c r="N209" s="6" t="n">
        <v>57.18</v>
      </c>
      <c r="O209" s="6" t="n">
        <v>62.24</v>
      </c>
      <c r="P209" s="55">
        <f>(N209-O209)/O209</f>
        <v/>
      </c>
      <c r="Q209" s="74">
        <f>O209*0.9056*0.85</f>
        <v/>
      </c>
      <c r="R209" s="74">
        <f>O209*1.15</f>
        <v/>
      </c>
      <c r="S209" s="74">
        <f>IF(N209&lt;O209*0.9056*0.85,O209*0.9056*0.85,IF(N209&gt;O209*1.15,O209*1.15,N209))</f>
        <v/>
      </c>
      <c r="T209" s="74" t="n">
        <v>2497.62</v>
      </c>
      <c r="U209" s="74" t="n">
        <v>0</v>
      </c>
      <c r="V209" s="74">
        <f>T209+S209*K209</f>
        <v/>
      </c>
      <c r="W209" s="74">
        <f>U209-T209</f>
        <v/>
      </c>
      <c r="X209" s="74">
        <f>V209-T209</f>
        <v/>
      </c>
      <c r="Y209" s="74">
        <f>V209-U209</f>
        <v/>
      </c>
      <c r="Z209" s="5" t="n"/>
    </row>
    <row r="210" ht="20" customHeight="1" s="1">
      <c r="A210" s="5" t="n">
        <v>190</v>
      </c>
      <c r="B210" s="5" t="inlineStr">
        <is>
          <t>011702002017</t>
        </is>
      </c>
      <c r="C210" s="5" t="inlineStr">
        <is>
          <t>矩形柱</t>
        </is>
      </c>
      <c r="D210" s="5" t="inlineStr">
        <is>
          <t>1.矩形柱模板(周长m)支模高度5.6m内1.8内</t>
        </is>
      </c>
      <c r="E210" s="5" t="inlineStr">
        <is>
          <t>m2</t>
        </is>
      </c>
      <c r="F210" s="74" t="n">
        <v>72.8</v>
      </c>
      <c r="G210" s="74" t="n">
        <v>0</v>
      </c>
      <c r="H210" s="74">
        <f>404.76+18.83</f>
        <v/>
      </c>
      <c r="I210" s="74" t="n"/>
      <c r="J210" s="74">
        <f>G210-F210</f>
        <v/>
      </c>
      <c r="K210" s="74">
        <f>H210-F210</f>
        <v/>
      </c>
      <c r="L210" s="74">
        <f>H210-G210</f>
        <v/>
      </c>
      <c r="M210" s="55">
        <f>J210/F210</f>
        <v/>
      </c>
      <c r="N210" s="6" t="n">
        <v>61.28</v>
      </c>
      <c r="O210" s="6" t="n">
        <v>66.56</v>
      </c>
      <c r="P210" s="55">
        <f>(N210-O210)/O210</f>
        <v/>
      </c>
      <c r="Q210" s="74">
        <f>O210*0.9056*0.85</f>
        <v/>
      </c>
      <c r="R210" s="74">
        <f>O210*1.15</f>
        <v/>
      </c>
      <c r="S210" s="74">
        <f>IF(N210&lt;O210*0.9056*0.85,O210*0.9056*0.85,IF(N210&gt;O210*1.15,O210*1.15,N210))</f>
        <v/>
      </c>
      <c r="T210" s="74" t="n">
        <v>4461.18</v>
      </c>
      <c r="U210" s="74" t="n">
        <v>0</v>
      </c>
      <c r="V210" s="74">
        <f>T210+S210*K210</f>
        <v/>
      </c>
      <c r="W210" s="74">
        <f>U210-T210</f>
        <v/>
      </c>
      <c r="X210" s="74">
        <f>V210-T210</f>
        <v/>
      </c>
      <c r="Y210" s="74">
        <f>V210-U210</f>
        <v/>
      </c>
      <c r="Z210" s="5" t="inlineStr">
        <is>
          <t>将清单序号193工程量归到此计算</t>
        </is>
      </c>
      <c r="AA210" s="77" t="inlineStr">
        <is>
          <t>5.6、6.6m高1.8外工程量</t>
        </is>
      </c>
    </row>
    <row r="211" ht="20" customHeight="1" s="1">
      <c r="A211" s="5" t="n">
        <v>191</v>
      </c>
      <c r="B211" s="5" t="inlineStr">
        <is>
          <t>011702002018</t>
        </is>
      </c>
      <c r="C211" s="5" t="inlineStr">
        <is>
          <t>矩形柱</t>
        </is>
      </c>
      <c r="D211" s="5" t="inlineStr">
        <is>
          <t>1.矩形柱模板(周长m)支模高度3.6m内1.8外</t>
        </is>
      </c>
      <c r="E211" s="5" t="inlineStr">
        <is>
          <t>m2</t>
        </is>
      </c>
      <c r="F211" s="74" t="n">
        <v>23.36</v>
      </c>
      <c r="G211" s="74" t="n">
        <v>21.63</v>
      </c>
      <c r="H211" s="74" t="n">
        <v>21.63</v>
      </c>
      <c r="I211" s="74" t="n"/>
      <c r="J211" s="74">
        <f>G211-F211</f>
        <v/>
      </c>
      <c r="K211" s="74">
        <f>H211-F211</f>
        <v/>
      </c>
      <c r="L211" s="74">
        <f>H211-G211</f>
        <v/>
      </c>
      <c r="M211" s="55">
        <f>J211/F211</f>
        <v/>
      </c>
      <c r="N211" s="6" t="n">
        <v>58.27</v>
      </c>
      <c r="O211" s="6" t="n">
        <v>63.57</v>
      </c>
      <c r="P211" s="55">
        <f>(N211-O211)/O211</f>
        <v/>
      </c>
      <c r="Q211" s="74">
        <f>O211*0.9056*0.85</f>
        <v/>
      </c>
      <c r="R211" s="74">
        <f>O211*1.15</f>
        <v/>
      </c>
      <c r="S211" s="74">
        <f>IF(N211&lt;O211*0.9056*0.85,O211*0.9056*0.85,IF(N211&gt;O211*1.15,O211*1.15,N211))</f>
        <v/>
      </c>
      <c r="T211" s="74" t="n">
        <v>1360.94</v>
      </c>
      <c r="U211" s="74" t="n">
        <v>1260.31</v>
      </c>
      <c r="V211" s="74">
        <f>T211+S211*K211</f>
        <v/>
      </c>
      <c r="W211" s="74">
        <f>U211-T211</f>
        <v/>
      </c>
      <c r="X211" s="74">
        <f>V211-T211</f>
        <v/>
      </c>
      <c r="Y211" s="74">
        <f>V211-U211</f>
        <v/>
      </c>
      <c r="Z211" s="5" t="n"/>
    </row>
    <row r="212" ht="20" customHeight="1" s="1">
      <c r="A212" s="5" t="n">
        <v>192</v>
      </c>
      <c r="B212" s="5" t="inlineStr">
        <is>
          <t>011702002019</t>
        </is>
      </c>
      <c r="C212" s="5" t="inlineStr">
        <is>
          <t>矩形柱</t>
        </is>
      </c>
      <c r="D212" s="5" t="inlineStr">
        <is>
          <t>1.矩形柱模板(周长m)支模高度4.6m内1.8外</t>
        </is>
      </c>
      <c r="E212" s="5" t="inlineStr">
        <is>
          <t>m2</t>
        </is>
      </c>
      <c r="F212" s="74" t="n">
        <v>722.53</v>
      </c>
      <c r="G212" s="74" t="n">
        <v>224.97</v>
      </c>
      <c r="H212" s="74" t="n">
        <v>219.24</v>
      </c>
      <c r="I212" s="74" t="n"/>
      <c r="J212" s="74">
        <f>G212-F212</f>
        <v/>
      </c>
      <c r="K212" s="74">
        <f>H212-F212</f>
        <v/>
      </c>
      <c r="L212" s="74">
        <f>H212-G212</f>
        <v/>
      </c>
      <c r="M212" s="55">
        <f>J212/F212</f>
        <v/>
      </c>
      <c r="N212" s="6" t="n">
        <v>62.37</v>
      </c>
      <c r="O212" s="6" t="n">
        <v>67.88</v>
      </c>
      <c r="P212" s="55">
        <f>(N212-O212)/O212</f>
        <v/>
      </c>
      <c r="Q212" s="74">
        <f>O212*0.9056*0.85</f>
        <v/>
      </c>
      <c r="R212" s="74">
        <f>O212*1.15</f>
        <v/>
      </c>
      <c r="S212" s="74">
        <f>IF(N212&lt;O212*0.9056*0.85,O212*0.9056*0.85,IF(N212&gt;O212*1.15,O212*1.15,N212))</f>
        <v/>
      </c>
      <c r="T212" s="74" t="n">
        <v>45064.47</v>
      </c>
      <c r="U212" s="74" t="n">
        <v>14031.23</v>
      </c>
      <c r="V212" s="74">
        <f>T212+S212*K212</f>
        <v/>
      </c>
      <c r="W212" s="74">
        <f>U212-T212</f>
        <v/>
      </c>
      <c r="X212" s="74">
        <f>V212-T212</f>
        <v/>
      </c>
      <c r="Y212" s="74">
        <f>V212-U212</f>
        <v/>
      </c>
      <c r="Z212" s="5" t="n"/>
    </row>
    <row r="213" ht="20" customHeight="1" s="1">
      <c r="A213" s="5" t="n">
        <v>193</v>
      </c>
      <c r="B213" s="5" t="inlineStr">
        <is>
          <t>011702002020</t>
        </is>
      </c>
      <c r="C213" s="5" t="inlineStr">
        <is>
          <t>矩形柱</t>
        </is>
      </c>
      <c r="D213" s="5" t="inlineStr">
        <is>
          <t>1.矩形柱模板(周长m)支模高度9.4m内1.8外</t>
        </is>
      </c>
      <c r="E213" s="5" t="inlineStr">
        <is>
          <t>m2</t>
        </is>
      </c>
      <c r="F213" s="74" t="n">
        <v>230.4</v>
      </c>
      <c r="G213" s="74" t="n">
        <v>868.28</v>
      </c>
      <c r="H213" s="74">
        <f>403.09</f>
        <v/>
      </c>
      <c r="I213" s="74" t="n"/>
      <c r="J213" s="74">
        <f>G213-F213</f>
        <v/>
      </c>
      <c r="K213" s="74">
        <f>H213-F213</f>
        <v/>
      </c>
      <c r="L213" s="74">
        <f>H213-G213</f>
        <v/>
      </c>
      <c r="M213" s="55">
        <f>J213/F213</f>
        <v/>
      </c>
      <c r="N213" s="6" t="n">
        <v>102.3</v>
      </c>
      <c r="O213" s="6" t="n">
        <v>100.46</v>
      </c>
      <c r="P213" s="55">
        <f>(N213-O213)/O213</f>
        <v/>
      </c>
      <c r="Q213" s="74">
        <f>O213*0.9056*0.85</f>
        <v/>
      </c>
      <c r="R213" s="74">
        <f>O213*1.15</f>
        <v/>
      </c>
      <c r="S213" s="74">
        <f>IF(N213&lt;O213*0.9056*0.85,O213*0.9056*0.85,IF(N213&gt;O213*1.15,O213*1.15,N213))</f>
        <v/>
      </c>
      <c r="T213" s="74" t="n">
        <v>23569.92</v>
      </c>
      <c r="U213" s="74" t="n">
        <v>88825.3</v>
      </c>
      <c r="V213" s="74">
        <f>T213+S213*K213</f>
        <v/>
      </c>
      <c r="W213" s="74">
        <f>U213-T213</f>
        <v/>
      </c>
      <c r="X213" s="74">
        <f>V213-T213</f>
        <v/>
      </c>
      <c r="Y213" s="74">
        <f>V213-U213</f>
        <v/>
      </c>
      <c r="Z213" s="5" t="n"/>
    </row>
    <row r="214" ht="20" customHeight="1" s="1">
      <c r="A214" s="5" t="n">
        <v>194</v>
      </c>
      <c r="B214" s="5" t="inlineStr">
        <is>
          <t>011702002021</t>
        </is>
      </c>
      <c r="C214" s="5" t="inlineStr">
        <is>
          <t>矩形柱</t>
        </is>
      </c>
      <c r="D214" s="5" t="inlineStr">
        <is>
          <t>1.矩形柱模板(周长m)支模高度11.4m内1.8外</t>
        </is>
      </c>
      <c r="E214" s="5" t="inlineStr">
        <is>
          <t>m2</t>
        </is>
      </c>
      <c r="F214" s="74" t="n">
        <v>105.49</v>
      </c>
      <c r="G214" s="74" t="n">
        <v>0</v>
      </c>
      <c r="H214" s="74" t="n">
        <v>0</v>
      </c>
      <c r="I214" s="74" t="n"/>
      <c r="J214" s="74">
        <f>G214-F214</f>
        <v/>
      </c>
      <c r="K214" s="74">
        <f>H214-F214</f>
        <v/>
      </c>
      <c r="L214" s="74">
        <f>H214-G214</f>
        <v/>
      </c>
      <c r="M214" s="55">
        <f>J214/F214</f>
        <v/>
      </c>
      <c r="N214" s="6" t="n">
        <v>106.73</v>
      </c>
      <c r="O214" s="6" t="n">
        <v>109.38</v>
      </c>
      <c r="P214" s="55">
        <f>(N214-O214)/O214</f>
        <v/>
      </c>
      <c r="Q214" s="74">
        <f>O214*0.9056*0.85</f>
        <v/>
      </c>
      <c r="R214" s="74">
        <f>O214*1.15</f>
        <v/>
      </c>
      <c r="S214" s="74">
        <f>IF(N214&lt;O214*0.9056*0.85,O214*0.9056*0.85,IF(N214&gt;O214*1.15,O214*1.15,N214))</f>
        <v/>
      </c>
      <c r="T214" s="74" t="n">
        <v>11258.74</v>
      </c>
      <c r="U214" s="74" t="n">
        <v>0</v>
      </c>
      <c r="V214" s="74">
        <f>T214+S214*K214</f>
        <v/>
      </c>
      <c r="W214" s="74">
        <f>U214-T214</f>
        <v/>
      </c>
      <c r="X214" s="74">
        <f>V214-T214</f>
        <v/>
      </c>
      <c r="Y214" s="74">
        <f>V214-U214</f>
        <v/>
      </c>
      <c r="Z214" s="5" t="n"/>
    </row>
    <row r="215" ht="20" customHeight="1" s="1">
      <c r="A215" s="5" t="n">
        <v>195</v>
      </c>
      <c r="B215" s="5" t="inlineStr">
        <is>
          <t>011702002022</t>
        </is>
      </c>
      <c r="C215" s="5" t="inlineStr">
        <is>
          <t>矩形柱</t>
        </is>
      </c>
      <c r="D215" s="5" t="inlineStr">
        <is>
          <t>1.矩形柱模板(周长m)支模高度12.4m内1.8外</t>
        </is>
      </c>
      <c r="E215" s="5" t="inlineStr">
        <is>
          <t>m2</t>
        </is>
      </c>
      <c r="F215" s="74" t="n">
        <v>119.71</v>
      </c>
      <c r="G215" s="74" t="n">
        <v>0</v>
      </c>
      <c r="H215" s="74" t="n">
        <v>0</v>
      </c>
      <c r="I215" s="74" t="n"/>
      <c r="J215" s="74">
        <f>G215-F215</f>
        <v/>
      </c>
      <c r="K215" s="74">
        <f>H215-F215</f>
        <v/>
      </c>
      <c r="L215" s="74">
        <f>H215-G215</f>
        <v/>
      </c>
      <c r="M215" s="55">
        <f>J215/F215</f>
        <v/>
      </c>
      <c r="N215" s="6" t="n">
        <v>111.16</v>
      </c>
      <c r="O215" s="6" t="n">
        <v>113.85</v>
      </c>
      <c r="P215" s="55">
        <f>(N215-O215)/O215</f>
        <v/>
      </c>
      <c r="Q215" s="74">
        <f>O215*0.9056*0.85</f>
        <v/>
      </c>
      <c r="R215" s="74">
        <f>O215*1.15</f>
        <v/>
      </c>
      <c r="S215" s="74">
        <f>IF(N215&lt;O215*0.9056*0.85,O215*0.9056*0.85,IF(N215&gt;O215*1.15,O215*1.15,N215))</f>
        <v/>
      </c>
      <c r="T215" s="74" t="n">
        <v>13307.02</v>
      </c>
      <c r="U215" s="74" t="n">
        <v>0</v>
      </c>
      <c r="V215" s="74" t="n">
        <v>0</v>
      </c>
      <c r="W215" s="74">
        <f>U215-T215</f>
        <v/>
      </c>
      <c r="X215" s="74">
        <f>V215-T215</f>
        <v/>
      </c>
      <c r="Y215" s="74">
        <f>V215-U215</f>
        <v/>
      </c>
      <c r="Z215" s="5" t="n"/>
    </row>
    <row r="216" ht="20" customHeight="1" s="1">
      <c r="A216" s="5" t="n">
        <v>196</v>
      </c>
      <c r="B216" s="5" t="inlineStr">
        <is>
          <t>011702003001</t>
        </is>
      </c>
      <c r="C216" s="5" t="inlineStr">
        <is>
          <t>构造柱</t>
        </is>
      </c>
      <c r="D216" s="5" t="inlineStr">
        <is>
          <t>1.构造柱模板(周长m)支模高度3.6m内1.2内</t>
        </is>
      </c>
      <c r="E216" s="5" t="inlineStr">
        <is>
          <t>m2</t>
        </is>
      </c>
      <c r="F216" s="74" t="n">
        <v>106.68</v>
      </c>
      <c r="G216" s="74" t="n">
        <v>323.15</v>
      </c>
      <c r="H216" s="74" t="n">
        <v>323.15</v>
      </c>
      <c r="I216" s="74" t="n"/>
      <c r="J216" s="74">
        <f>G216-F216</f>
        <v/>
      </c>
      <c r="K216" s="74">
        <f>H216-F216</f>
        <v/>
      </c>
      <c r="L216" s="74">
        <f>H216-G216</f>
        <v/>
      </c>
      <c r="M216" s="55">
        <f>J216/F216</f>
        <v/>
      </c>
      <c r="N216" s="6" t="n">
        <v>66.62</v>
      </c>
      <c r="O216" s="6" t="n">
        <v>78.81</v>
      </c>
      <c r="P216" s="55">
        <f>(N216-O216)/O216</f>
        <v/>
      </c>
      <c r="Q216" s="74">
        <f>O216*0.9056*0.85</f>
        <v/>
      </c>
      <c r="R216" s="74">
        <f>O216*1.15</f>
        <v/>
      </c>
      <c r="S216" s="74">
        <f>IF(N216&lt;O216*0.9056*0.85,O216*0.9056*0.85,IF(N216&gt;O216*1.15,O216*1.15,N216))</f>
        <v/>
      </c>
      <c r="T216" s="74" t="n">
        <v>7107.3</v>
      </c>
      <c r="U216" s="74" t="n">
        <v>21528.25</v>
      </c>
      <c r="V216" s="74" t="n">
        <v>21528.25</v>
      </c>
      <c r="W216" s="74">
        <f>U216-T216</f>
        <v/>
      </c>
      <c r="X216" s="74">
        <f>V216-T216</f>
        <v/>
      </c>
      <c r="Y216" s="74">
        <f>V216-U216</f>
        <v/>
      </c>
      <c r="Z216" s="5" t="n"/>
      <c r="AA216" s="73" t="n"/>
    </row>
    <row r="217" ht="20" customHeight="1" s="1">
      <c r="A217" s="5" t="n">
        <v>197</v>
      </c>
      <c r="B217" s="5" t="inlineStr">
        <is>
          <t>011702003003</t>
        </is>
      </c>
      <c r="C217" s="5" t="inlineStr">
        <is>
          <t>构造柱</t>
        </is>
      </c>
      <c r="D217" s="5" t="inlineStr">
        <is>
          <t>1.构造柱模板(周长m)支模高度4.6m内1.2内</t>
        </is>
      </c>
      <c r="E217" s="5" t="inlineStr">
        <is>
          <t>m2</t>
        </is>
      </c>
      <c r="F217" s="74" t="n">
        <v>708.62</v>
      </c>
      <c r="G217" s="74" t="n">
        <v>560.48</v>
      </c>
      <c r="H217" s="74" t="n">
        <v>560.48</v>
      </c>
      <c r="I217" s="74" t="n"/>
      <c r="J217" s="74">
        <f>G217-F217</f>
        <v/>
      </c>
      <c r="K217" s="74">
        <f>H217-F217</f>
        <v/>
      </c>
      <c r="L217" s="74">
        <f>H217-G217</f>
        <v/>
      </c>
      <c r="M217" s="55">
        <f>J217/F217</f>
        <v/>
      </c>
      <c r="N217" s="6" t="n">
        <v>70.72</v>
      </c>
      <c r="O217" s="6" t="n">
        <v>83.12</v>
      </c>
      <c r="P217" s="55">
        <f>(N217-O217)/O217</f>
        <v/>
      </c>
      <c r="Q217" s="74">
        <f>O217*0.9056*0.85</f>
        <v/>
      </c>
      <c r="R217" s="74">
        <f>O217*1.15</f>
        <v/>
      </c>
      <c r="S217" s="74">
        <f>IF(N217&lt;O217*0.9056*0.85,O217*0.9056*0.85,IF(N217&gt;O217*1.15,O217*1.15,N217))</f>
        <v/>
      </c>
      <c r="T217" s="74" t="n">
        <v>50113.95</v>
      </c>
      <c r="U217" s="74" t="n">
        <v>39637.36</v>
      </c>
      <c r="V217" s="74" t="n">
        <v>39637.36</v>
      </c>
      <c r="W217" s="74">
        <f>U217-T217</f>
        <v/>
      </c>
      <c r="X217" s="74">
        <f>V217-T217</f>
        <v/>
      </c>
      <c r="Y217" s="74">
        <f>V217-U217</f>
        <v/>
      </c>
      <c r="Z217" s="5" t="n"/>
      <c r="AA217" s="73" t="n"/>
    </row>
    <row r="218" ht="20" customHeight="1" s="1">
      <c r="A218" s="5" t="n">
        <v>198</v>
      </c>
      <c r="B218" s="5" t="inlineStr">
        <is>
          <t>011702004005</t>
        </is>
      </c>
      <c r="C218" s="5" t="inlineStr">
        <is>
          <t>异形柱</t>
        </is>
      </c>
      <c r="D218" s="5" t="inlineStr">
        <is>
          <t>1.圆形柱模板(周长m)支模高度4.6m内</t>
        </is>
      </c>
      <c r="E218" s="5" t="inlineStr">
        <is>
          <t>m2</t>
        </is>
      </c>
      <c r="F218" s="74" t="n">
        <v>120.09</v>
      </c>
      <c r="G218" s="74" t="n">
        <v>11.16</v>
      </c>
      <c r="H218" s="74" t="n">
        <v>11.16</v>
      </c>
      <c r="I218" s="74" t="n"/>
      <c r="J218" s="74">
        <f>G218-F218</f>
        <v/>
      </c>
      <c r="K218" s="74">
        <f>H218-F218</f>
        <v/>
      </c>
      <c r="L218" s="74">
        <f>H218-G218</f>
        <v/>
      </c>
      <c r="M218" s="55">
        <f>J218/F218</f>
        <v/>
      </c>
      <c r="N218" s="6" t="n">
        <v>78.64</v>
      </c>
      <c r="O218" s="6" t="n">
        <v>128.71</v>
      </c>
      <c r="P218" s="55">
        <f>(N218-O218)/O218</f>
        <v/>
      </c>
      <c r="Q218" s="74">
        <f>O218*0.9056*0.85</f>
        <v/>
      </c>
      <c r="R218" s="74">
        <f>O218*1.15</f>
        <v/>
      </c>
      <c r="S218" s="74">
        <f>IF(N218&lt;O218*0.9056*0.85,O218*0.9056*0.85,IF(N218&gt;O218*1.15,O218*1.15,N218))</f>
        <v/>
      </c>
      <c r="T218" s="74" t="n">
        <v>9443.85</v>
      </c>
      <c r="U218" s="74" t="n">
        <v>-1348.18</v>
      </c>
      <c r="V218" s="74">
        <f>T218+S218*K218</f>
        <v/>
      </c>
      <c r="W218" s="74">
        <f>U218-T218</f>
        <v/>
      </c>
      <c r="X218" s="74">
        <f>V218-T218</f>
        <v/>
      </c>
      <c r="Y218" s="74">
        <f>V218-U218</f>
        <v/>
      </c>
      <c r="Z218" s="5" t="n"/>
    </row>
    <row r="219" ht="20" customHeight="1" s="1">
      <c r="A219" s="5" t="n">
        <v>199</v>
      </c>
      <c r="B219" s="5" t="inlineStr">
        <is>
          <t>011702004006</t>
        </is>
      </c>
      <c r="C219" s="5" t="inlineStr">
        <is>
          <t>异形柱</t>
        </is>
      </c>
      <c r="D219" s="5" t="inlineStr">
        <is>
          <t>1.圆形柱模板(周长m)支模高度5.6m内</t>
        </is>
      </c>
      <c r="E219" s="5" t="inlineStr">
        <is>
          <t>m2</t>
        </is>
      </c>
      <c r="F219" s="74" t="n">
        <v>13.17</v>
      </c>
      <c r="G219" s="74" t="n">
        <v>89.83</v>
      </c>
      <c r="H219" s="74">
        <f>86.48</f>
        <v/>
      </c>
      <c r="I219" s="74" t="n"/>
      <c r="J219" s="74">
        <f>G219-F219</f>
        <v/>
      </c>
      <c r="K219" s="74">
        <f>H219-F219</f>
        <v/>
      </c>
      <c r="L219" s="74">
        <f>H219-G219</f>
        <v/>
      </c>
      <c r="M219" s="55">
        <f>J219/F219</f>
        <v/>
      </c>
      <c r="N219" s="6" t="n">
        <v>82.73999999999999</v>
      </c>
      <c r="O219" s="6" t="n">
        <v>133.03</v>
      </c>
      <c r="P219" s="55">
        <f>(N219-O219)/O219</f>
        <v/>
      </c>
      <c r="Q219" s="74">
        <f>O219*0.9056*0.85</f>
        <v/>
      </c>
      <c r="R219" s="74">
        <f>O219*1.15</f>
        <v/>
      </c>
      <c r="S219" s="74">
        <f>IF(N219&lt;O219*0.9056*0.85,O219*0.9056*0.85,IF(N219&gt;O219*1.15,O219*1.15,N219))</f>
        <v/>
      </c>
      <c r="T219" s="74" t="n">
        <v>1089.55</v>
      </c>
      <c r="U219" s="74" t="n">
        <v>8939.73</v>
      </c>
      <c r="V219" s="74">
        <f>T219+S219*K219</f>
        <v/>
      </c>
      <c r="W219" s="74">
        <f>U219-T219</f>
        <v/>
      </c>
      <c r="X219" s="74">
        <f>V219-T219</f>
        <v/>
      </c>
      <c r="Y219" s="74">
        <f>V219-U219</f>
        <v/>
      </c>
      <c r="Z219" s="5" t="n"/>
    </row>
    <row r="220" ht="20" customHeight="1" s="1">
      <c r="A220" s="5" t="n">
        <v>200</v>
      </c>
      <c r="B220" s="5" t="inlineStr">
        <is>
          <t>011702004007</t>
        </is>
      </c>
      <c r="C220" s="5" t="inlineStr">
        <is>
          <t>异形柱</t>
        </is>
      </c>
      <c r="D220" s="5" t="inlineStr">
        <is>
          <t>1.圆形柱模板(周长m)支模高度13.4m内</t>
        </is>
      </c>
      <c r="E220" s="5" t="inlineStr">
        <is>
          <t>m2</t>
        </is>
      </c>
      <c r="F220" s="74" t="n">
        <v>24.96</v>
      </c>
      <c r="G220" s="74" t="n">
        <v>0</v>
      </c>
      <c r="H220" s="74" t="n">
        <v>0</v>
      </c>
      <c r="I220" s="74" t="n"/>
      <c r="J220" s="74">
        <f>G220-F220</f>
        <v/>
      </c>
      <c r="K220" s="74">
        <f>H220-F220</f>
        <v/>
      </c>
      <c r="L220" s="74">
        <f>H220-G220</f>
        <v/>
      </c>
      <c r="M220" s="55">
        <f>J220/F220</f>
        <v/>
      </c>
      <c r="N220" s="6" t="n">
        <v>131.77</v>
      </c>
      <c r="O220" s="6" t="n">
        <v>172.21</v>
      </c>
      <c r="P220" s="55">
        <f>(N220-O220)/O220</f>
        <v/>
      </c>
      <c r="Q220" s="74">
        <f>O220*0.9056*0.85</f>
        <v/>
      </c>
      <c r="R220" s="74">
        <f>O220*1.15</f>
        <v/>
      </c>
      <c r="S220" s="74">
        <f>IF(N220&lt;O220*0.9056*0.85,O220*0.9056*0.85,IF(N220&gt;O220*1.15,O220*1.15,N220))</f>
        <v/>
      </c>
      <c r="T220" s="74" t="n">
        <v>3288.56</v>
      </c>
      <c r="U220" s="74" t="n">
        <v>-19.73</v>
      </c>
      <c r="V220" s="74">
        <f>T220+S220*K220</f>
        <v/>
      </c>
      <c r="W220" s="74">
        <f>U220-T220</f>
        <v/>
      </c>
      <c r="X220" s="74">
        <f>V220-T220</f>
        <v/>
      </c>
      <c r="Y220" s="74">
        <f>V220-U220</f>
        <v/>
      </c>
      <c r="Z220" s="5" t="n"/>
    </row>
    <row r="221" ht="20" customHeight="1" s="1">
      <c r="A221" s="5" t="n">
        <v>201</v>
      </c>
      <c r="B221" s="5" t="inlineStr">
        <is>
          <t>011702004008</t>
        </is>
      </c>
      <c r="C221" s="5" t="inlineStr">
        <is>
          <t>异形柱</t>
        </is>
      </c>
      <c r="D221" s="5" t="inlineStr">
        <is>
          <t>1.圆形柱模板(周长m)支模高度14.4m内</t>
        </is>
      </c>
      <c r="E221" s="5" t="inlineStr">
        <is>
          <t>m2</t>
        </is>
      </c>
      <c r="F221" s="74" t="n">
        <v>49.91</v>
      </c>
      <c r="G221" s="74" t="n">
        <v>0</v>
      </c>
      <c r="H221" s="74" t="n">
        <v>0</v>
      </c>
      <c r="I221" s="74" t="n"/>
      <c r="J221" s="74">
        <f>G221-F221</f>
        <v/>
      </c>
      <c r="K221" s="74">
        <f>H221-F221</f>
        <v/>
      </c>
      <c r="L221" s="74">
        <f>H221-G221</f>
        <v/>
      </c>
      <c r="M221" s="55">
        <f>J221/F221</f>
        <v/>
      </c>
      <c r="N221" s="6" t="n">
        <v>136.2</v>
      </c>
      <c r="O221" s="6" t="n">
        <v>176.67</v>
      </c>
      <c r="P221" s="55">
        <f>(N221-O221)/O221</f>
        <v/>
      </c>
      <c r="Q221" s="74">
        <f>O221*0.9056*0.85</f>
        <v/>
      </c>
      <c r="R221" s="74">
        <f>O221*1.15</f>
        <v/>
      </c>
      <c r="S221" s="74">
        <f>IF(N221&lt;O221*0.9056*0.85,O221*0.9056*0.85,IF(N221&gt;O221*1.15,O221*1.15,N221))</f>
        <v/>
      </c>
      <c r="T221" s="74" t="n">
        <v>6798.23</v>
      </c>
      <c r="U221" s="74" t="n">
        <v>0</v>
      </c>
      <c r="V221" s="74" t="n">
        <v>0</v>
      </c>
      <c r="W221" s="74">
        <f>U221-T221</f>
        <v/>
      </c>
      <c r="X221" s="74">
        <f>V221-T221</f>
        <v/>
      </c>
      <c r="Y221" s="74">
        <f>V221-U221</f>
        <v/>
      </c>
      <c r="Z221" s="5" t="n"/>
    </row>
    <row r="222" ht="20" customHeight="1" s="1">
      <c r="A222" s="5" t="n">
        <v>202</v>
      </c>
      <c r="B222" s="5" t="inlineStr">
        <is>
          <t>011702004009</t>
        </is>
      </c>
      <c r="C222" s="5" t="inlineStr">
        <is>
          <t>异形柱</t>
        </is>
      </c>
      <c r="D222" s="5" t="inlineStr">
        <is>
          <t>1.圆形柱模板(周长m)支模高度15.4m内</t>
        </is>
      </c>
      <c r="E222" s="5" t="inlineStr">
        <is>
          <t>m2</t>
        </is>
      </c>
      <c r="F222" s="74" t="n">
        <v>49.91</v>
      </c>
      <c r="G222" s="74" t="n">
        <v>11.53</v>
      </c>
      <c r="H222" s="74">
        <f>10.98+39.67</f>
        <v/>
      </c>
      <c r="I222" s="74" t="n"/>
      <c r="J222" s="74">
        <f>G222-F222</f>
        <v/>
      </c>
      <c r="K222" s="74">
        <f>H222-F222</f>
        <v/>
      </c>
      <c r="L222" s="74">
        <f>H222-G222</f>
        <v/>
      </c>
      <c r="M222" s="55">
        <f>J222/F222</f>
        <v/>
      </c>
      <c r="N222" s="6" t="n">
        <v>140.63</v>
      </c>
      <c r="O222" s="6" t="n">
        <v>90.56999999999999</v>
      </c>
      <c r="P222" s="55">
        <f>(N222-O222)/O222</f>
        <v/>
      </c>
      <c r="Q222" s="74">
        <f>O222*0.9056*0.85</f>
        <v/>
      </c>
      <c r="R222" s="74">
        <f>O222*1.15</f>
        <v/>
      </c>
      <c r="S222" s="74">
        <f>IF(N222&lt;O222*0.9056*0.85,O222*0.9056*0.85,IF(N222&gt;O222*1.15,O222*1.15,N222))</f>
        <v/>
      </c>
      <c r="T222" s="74" t="n">
        <v>7019.35</v>
      </c>
      <c r="U222" s="74" t="n">
        <v>3021.68</v>
      </c>
      <c r="V222" s="74">
        <f>T222+S222*K222</f>
        <v/>
      </c>
      <c r="W222" s="74">
        <f>U222-T222</f>
        <v/>
      </c>
      <c r="X222" s="74">
        <f>V222-T222</f>
        <v/>
      </c>
      <c r="Y222" s="74">
        <f>V222-U222</f>
        <v/>
      </c>
      <c r="Z222" s="5" t="inlineStr">
        <is>
          <t>将清单序号203工程量归到此计算</t>
        </is>
      </c>
      <c r="AA222" s="77" t="inlineStr">
        <is>
          <t>16.4m高工程量</t>
        </is>
      </c>
    </row>
    <row r="223" ht="20" customHeight="1" s="1">
      <c r="A223" s="5" t="n">
        <v>203</v>
      </c>
      <c r="B223" s="5" t="inlineStr">
        <is>
          <t>011702004010</t>
        </is>
      </c>
      <c r="C223" s="5" t="inlineStr">
        <is>
          <t>异形柱</t>
        </is>
      </c>
      <c r="D223" s="5" t="inlineStr">
        <is>
          <t>1.圆形柱模板(周长m)支模高度17.4m内</t>
        </is>
      </c>
      <c r="E223" s="5" t="inlineStr">
        <is>
          <t>m2</t>
        </is>
      </c>
      <c r="F223" s="74" t="n">
        <v>325.5</v>
      </c>
      <c r="G223" s="74" t="n">
        <v>490.53</v>
      </c>
      <c r="H223" s="74" t="n">
        <v>429.35</v>
      </c>
      <c r="I223" s="74" t="n"/>
      <c r="J223" s="74">
        <f>G223-F223</f>
        <v/>
      </c>
      <c r="K223" s="74">
        <f>H223-F223</f>
        <v/>
      </c>
      <c r="L223" s="74">
        <f>H223-G223</f>
        <v/>
      </c>
      <c r="M223" s="55">
        <f>J223/F223</f>
        <v/>
      </c>
      <c r="N223" s="6" t="n">
        <v>149.49</v>
      </c>
      <c r="O223" s="6" t="n">
        <v>190.06</v>
      </c>
      <c r="P223" s="55">
        <f>(N223-O223)/O223</f>
        <v/>
      </c>
      <c r="Q223" s="74">
        <f>O223*0.9056*0.85</f>
        <v/>
      </c>
      <c r="R223" s="74">
        <f>O223*1.15</f>
        <v/>
      </c>
      <c r="S223" s="74">
        <f>IF(N223&lt;O223*0.9056*0.85,O223*0.9056*0.85,IF(N223&gt;O223*1.15,O223*1.15,N223))</f>
        <v/>
      </c>
      <c r="T223" s="74" t="n">
        <v>48659.67</v>
      </c>
      <c r="U223" s="74" t="n">
        <v>73329.81</v>
      </c>
      <c r="V223" s="74">
        <f>T223+S223*K223</f>
        <v/>
      </c>
      <c r="W223" s="74">
        <f>U223-T223</f>
        <v/>
      </c>
      <c r="X223" s="74">
        <f>V223-T223</f>
        <v/>
      </c>
      <c r="Y223" s="74">
        <f>V223-U223</f>
        <v/>
      </c>
      <c r="Z223" s="5" t="n"/>
    </row>
    <row r="224" ht="20" customHeight="1" s="1">
      <c r="A224" s="5" t="n">
        <v>204</v>
      </c>
      <c r="B224" s="5" t="inlineStr">
        <is>
          <t>011702011014</t>
        </is>
      </c>
      <c r="C224" s="5" t="inlineStr">
        <is>
          <t>直形墙</t>
        </is>
      </c>
      <c r="D224" s="5" t="inlineStr">
        <is>
          <t>1.直形墙模板墙厚(cm以内)40支模高度3.6m内</t>
        </is>
      </c>
      <c r="E224" s="5" t="inlineStr">
        <is>
          <t>m2</t>
        </is>
      </c>
      <c r="F224" s="74" t="n">
        <v>271.46</v>
      </c>
      <c r="G224" s="74" t="n">
        <v>302.14</v>
      </c>
      <c r="H224" s="74">
        <f>288.35</f>
        <v/>
      </c>
      <c r="I224" s="74" t="n"/>
      <c r="J224" s="74">
        <f>G224-F224</f>
        <v/>
      </c>
      <c r="K224" s="74">
        <f>H224-F224</f>
        <v/>
      </c>
      <c r="L224" s="74">
        <f>H224-G224</f>
        <v/>
      </c>
      <c r="M224" s="55">
        <f>J224/F224</f>
        <v/>
      </c>
      <c r="N224" s="6" t="n">
        <v>43.27</v>
      </c>
      <c r="O224" s="6" t="n">
        <v>45.5</v>
      </c>
      <c r="P224" s="55">
        <f>(N224-O224)/O224</f>
        <v/>
      </c>
      <c r="Q224" s="74">
        <f>O224*0.9056*0.85</f>
        <v/>
      </c>
      <c r="R224" s="74">
        <f>O224*1.15</f>
        <v/>
      </c>
      <c r="S224" s="74">
        <f>IF(N224&lt;O224*0.9056*0.85,O224*0.9056*0.85,IF(N224&gt;O224*1.15,O224*1.15,N224))</f>
        <v/>
      </c>
      <c r="T224" s="74" t="n">
        <v>11746.07</v>
      </c>
      <c r="U224" s="74" t="n">
        <v>13073.56</v>
      </c>
      <c r="V224" s="74">
        <f>T224+S224*K224</f>
        <v/>
      </c>
      <c r="W224" s="74">
        <f>U224-T224</f>
        <v/>
      </c>
      <c r="X224" s="74">
        <f>V224-T224</f>
        <v/>
      </c>
      <c r="Y224" s="74">
        <f>V224-U224</f>
        <v/>
      </c>
      <c r="Z224" s="5" t="n"/>
    </row>
    <row r="225" ht="20" customHeight="1" s="1">
      <c r="A225" s="5" t="n">
        <v>205</v>
      </c>
      <c r="B225" s="5" t="inlineStr">
        <is>
          <t>011702011011</t>
        </is>
      </c>
      <c r="C225" s="5" t="inlineStr">
        <is>
          <t>直形墙</t>
        </is>
      </c>
      <c r="D225" s="5" t="inlineStr">
        <is>
          <t>1.直形墙模板墙厚(cm以内)40支模高度4.6m内</t>
        </is>
      </c>
      <c r="E225" s="5" t="inlineStr">
        <is>
          <t>m2</t>
        </is>
      </c>
      <c r="F225" s="74" t="n">
        <v>36.56</v>
      </c>
      <c r="G225" s="74" t="n">
        <v>192.98</v>
      </c>
      <c r="H225" s="74" t="n">
        <v>183.12</v>
      </c>
      <c r="I225" s="74" t="n"/>
      <c r="J225" s="74">
        <f>G225-F225</f>
        <v/>
      </c>
      <c r="K225" s="74">
        <f>H225-F225</f>
        <v/>
      </c>
      <c r="L225" s="74">
        <f>H225-G225</f>
        <v/>
      </c>
      <c r="M225" s="55">
        <f>J225/F225</f>
        <v/>
      </c>
      <c r="N225" s="6" t="n">
        <v>45.51</v>
      </c>
      <c r="O225" s="6" t="n">
        <v>45.5</v>
      </c>
      <c r="P225" s="55">
        <f>(N225-O225)/O225</f>
        <v/>
      </c>
      <c r="Q225" s="74">
        <f>O225*0.9056*0.85</f>
        <v/>
      </c>
      <c r="R225" s="74">
        <f>O225*1.15</f>
        <v/>
      </c>
      <c r="S225" s="74">
        <f>IF(N225&lt;O225*0.9056*0.85,O225*0.9056*0.85,IF(N225&gt;O225*1.15,O225*1.15,N225))</f>
        <v/>
      </c>
      <c r="T225" s="74" t="n">
        <v>1663.78</v>
      </c>
      <c r="U225" s="74" t="n">
        <v>8782.639999999999</v>
      </c>
      <c r="V225" s="74">
        <f>T225+S225*K225</f>
        <v/>
      </c>
      <c r="W225" s="74">
        <f>U225-T225</f>
        <v/>
      </c>
      <c r="X225" s="74">
        <f>V225-T225</f>
        <v/>
      </c>
      <c r="Y225" s="74">
        <f>V225-U225</f>
        <v/>
      </c>
      <c r="Z225" s="5" t="n"/>
    </row>
    <row r="226" ht="20" customHeight="1" s="1">
      <c r="A226" s="5" t="n">
        <v>206</v>
      </c>
      <c r="B226" s="5" t="inlineStr">
        <is>
          <t>011702011012</t>
        </is>
      </c>
      <c r="C226" s="5" t="inlineStr">
        <is>
          <t>直形墙</t>
        </is>
      </c>
      <c r="D226" s="5" t="inlineStr">
        <is>
          <t>1.直形墙模板墙厚(cm以内)40支模高度7.6m内</t>
        </is>
      </c>
      <c r="E226" s="5" t="inlineStr">
        <is>
          <t>m2</t>
        </is>
      </c>
      <c r="F226" s="74" t="n">
        <v>6.26</v>
      </c>
      <c r="G226" s="74" t="n">
        <v>0</v>
      </c>
      <c r="H226" s="74" t="n">
        <v>0</v>
      </c>
      <c r="I226" s="74" t="n"/>
      <c r="J226" s="74">
        <f>G226-F226</f>
        <v/>
      </c>
      <c r="K226" s="74">
        <f>H226-F226</f>
        <v/>
      </c>
      <c r="L226" s="74">
        <f>H226-G226</f>
        <v/>
      </c>
      <c r="M226" s="55">
        <f>J226/F226</f>
        <v/>
      </c>
      <c r="N226" s="6" t="n">
        <v>52.24</v>
      </c>
      <c r="O226" s="6" t="n">
        <v>45.5</v>
      </c>
      <c r="P226" s="55">
        <f>(N226-O226)/O226</f>
        <v/>
      </c>
      <c r="Q226" s="74">
        <f>O226*0.9056*0.85</f>
        <v/>
      </c>
      <c r="R226" s="74">
        <f>O226*1.15</f>
        <v/>
      </c>
      <c r="S226" s="74">
        <f>IF(N226&lt;O226*0.9056*0.85,O226*0.9056*0.85,IF(N226&gt;O226*1.15,O226*1.15,N226))</f>
        <v/>
      </c>
      <c r="T226" s="74" t="n">
        <v>327.13</v>
      </c>
      <c r="U226" s="74" t="n">
        <v>0</v>
      </c>
      <c r="V226" s="74" t="n">
        <v>0</v>
      </c>
      <c r="W226" s="74">
        <f>U226-T226</f>
        <v/>
      </c>
      <c r="X226" s="74">
        <f>V226-T226</f>
        <v/>
      </c>
      <c r="Y226" s="74">
        <f>V226-U226</f>
        <v/>
      </c>
      <c r="Z226" s="5" t="n"/>
    </row>
    <row r="227" ht="20" customHeight="1" s="1">
      <c r="A227" s="5" t="n">
        <v>207</v>
      </c>
      <c r="B227" s="5" t="inlineStr">
        <is>
          <t>011702011013</t>
        </is>
      </c>
      <c r="C227" s="5" t="inlineStr">
        <is>
          <t>直形墙</t>
        </is>
      </c>
      <c r="D227" s="5" t="inlineStr">
        <is>
          <t>1.直形墙模板墙厚(cm以内)40支模高度17.4m内</t>
        </is>
      </c>
      <c r="E227" s="5" t="inlineStr">
        <is>
          <t>m2</t>
        </is>
      </c>
      <c r="F227" s="74" t="n">
        <v>184.81</v>
      </c>
      <c r="G227" s="74" t="n">
        <v>0</v>
      </c>
      <c r="H227" s="74" t="n">
        <v>0</v>
      </c>
      <c r="I227" s="74" t="n"/>
      <c r="J227" s="74">
        <f>G227-F227</f>
        <v/>
      </c>
      <c r="K227" s="74">
        <f>H227-F227</f>
        <v/>
      </c>
      <c r="L227" s="74">
        <f>H227-G227</f>
        <v/>
      </c>
      <c r="M227" s="55">
        <f>J227/F227</f>
        <v/>
      </c>
      <c r="N227" s="6" t="n">
        <v>84.7</v>
      </c>
      <c r="O227" s="6" t="n">
        <v>84.13</v>
      </c>
      <c r="P227" s="55">
        <f>(N227-O227)/O227</f>
        <v/>
      </c>
      <c r="Q227" s="74">
        <f>O227*0.9056*0.85</f>
        <v/>
      </c>
      <c r="R227" s="74">
        <f>O227*1.15</f>
        <v/>
      </c>
      <c r="S227" s="74">
        <f>IF(N227&lt;O227*0.9056*0.85,O227*0.9056*0.85,IF(N227&gt;O227*1.15,O227*1.15,N227))</f>
        <v/>
      </c>
      <c r="T227" s="74" t="n">
        <v>15653.07</v>
      </c>
      <c r="U227" s="74" t="n">
        <v>0</v>
      </c>
      <c r="V227" s="74">
        <f>T227+S227*K227</f>
        <v/>
      </c>
      <c r="W227" s="74">
        <f>U227-T227</f>
        <v/>
      </c>
      <c r="X227" s="74">
        <f>V227-T227</f>
        <v/>
      </c>
      <c r="Y227" s="74">
        <f>V227-U227</f>
        <v/>
      </c>
      <c r="Z227" s="5" t="n"/>
    </row>
    <row r="228" ht="20" customHeight="1" s="1">
      <c r="A228" s="5" t="n">
        <v>208</v>
      </c>
      <c r="B228" s="5" t="inlineStr">
        <is>
          <t>011702014001</t>
        </is>
      </c>
      <c r="C228" s="5" t="inlineStr">
        <is>
          <t>有梁板</t>
        </is>
      </c>
      <c r="D228" s="5" t="inlineStr">
        <is>
          <t>1.有梁板模板支模高度3.6m内</t>
        </is>
      </c>
      <c r="E228" s="5" t="inlineStr">
        <is>
          <t>m2</t>
        </is>
      </c>
      <c r="F228" s="74" t="n">
        <v>137.31</v>
      </c>
      <c r="G228" s="74" t="n">
        <v>27.34</v>
      </c>
      <c r="H228" s="74">
        <f>27.34+52.06</f>
        <v/>
      </c>
      <c r="I228" s="74" t="n"/>
      <c r="J228" s="74">
        <f>G228-F228</f>
        <v/>
      </c>
      <c r="K228" s="74">
        <f>H228-F228</f>
        <v/>
      </c>
      <c r="L228" s="74">
        <f>H228-G228</f>
        <v/>
      </c>
      <c r="M228" s="55">
        <f>J228/F228</f>
        <v/>
      </c>
      <c r="N228" s="6" t="n">
        <v>59.25</v>
      </c>
      <c r="O228" s="6" t="n">
        <v>63.21</v>
      </c>
      <c r="P228" s="55">
        <f>(N228-O228)/O228</f>
        <v/>
      </c>
      <c r="Q228" s="74">
        <f>O228*0.9056*0.85</f>
        <v/>
      </c>
      <c r="R228" s="74">
        <f>O228*1.15</f>
        <v/>
      </c>
      <c r="S228" s="74">
        <f>IF(N228&lt;O228*0.9056*0.85,O228*0.9056*0.85,IF(N228&gt;O228*1.15,O228*1.15,N228))</f>
        <v/>
      </c>
      <c r="T228" s="74" t="n">
        <v>8135.84</v>
      </c>
      <c r="U228" s="74" t="n">
        <v>1619.79</v>
      </c>
      <c r="V228" s="74">
        <f>T228+S228*K228</f>
        <v/>
      </c>
      <c r="W228" s="74">
        <f>U228-T228</f>
        <v/>
      </c>
      <c r="X228" s="74">
        <f>V228-T228</f>
        <v/>
      </c>
      <c r="Y228" s="74">
        <f>V228-U228</f>
        <v/>
      </c>
      <c r="Z228" s="5" t="inlineStr">
        <is>
          <t>将清单序号213工程量归到此计算</t>
        </is>
      </c>
    </row>
    <row r="229" ht="20" customHeight="1" s="1">
      <c r="A229" s="5" t="n">
        <v>209</v>
      </c>
      <c r="B229" s="5" t="inlineStr">
        <is>
          <t>011702014002</t>
        </is>
      </c>
      <c r="C229" s="5" t="inlineStr">
        <is>
          <t>有梁板</t>
        </is>
      </c>
      <c r="D229" s="5" t="inlineStr">
        <is>
          <t>1.有梁板模板支模高度4.6m内</t>
        </is>
      </c>
      <c r="E229" s="5" t="inlineStr">
        <is>
          <t>m2</t>
        </is>
      </c>
      <c r="F229" s="74" t="n">
        <v>2425.67</v>
      </c>
      <c r="G229" s="74" t="n">
        <v>2800.8</v>
      </c>
      <c r="H229" s="74">
        <f>2768.33+47.89</f>
        <v/>
      </c>
      <c r="I229" s="74" t="n"/>
      <c r="J229" s="74">
        <f>G229-F229</f>
        <v/>
      </c>
      <c r="K229" s="74">
        <f>H229-F229</f>
        <v/>
      </c>
      <c r="L229" s="74">
        <f>H229-G229</f>
        <v/>
      </c>
      <c r="M229" s="55">
        <f>J229/F229</f>
        <v/>
      </c>
      <c r="N229" s="6" t="n">
        <v>67.34</v>
      </c>
      <c r="O229" s="6" t="n">
        <v>71.47</v>
      </c>
      <c r="P229" s="55">
        <f>(N229-O229)/O229</f>
        <v/>
      </c>
      <c r="Q229" s="74">
        <f>O229*0.9056*0.85</f>
        <v/>
      </c>
      <c r="R229" s="74">
        <f>O229*1.15</f>
        <v/>
      </c>
      <c r="S229" s="74">
        <f>IF(N229&lt;O229*0.9056*0.85,O229*0.9056*0.85,IF(N229&gt;O229*1.15,O229*1.15,N229))</f>
        <v/>
      </c>
      <c r="T229" s="74" t="n">
        <v>163344.85</v>
      </c>
      <c r="U229" s="74" t="n">
        <v>188605.61</v>
      </c>
      <c r="V229" s="74">
        <f>T229+S229*K229</f>
        <v/>
      </c>
      <c r="W229" s="74">
        <f>U229-T229</f>
        <v/>
      </c>
      <c r="X229" s="74">
        <f>V229-T229</f>
        <v/>
      </c>
      <c r="Y229" s="74">
        <f>V229-U229</f>
        <v/>
      </c>
      <c r="Z229" s="5" t="inlineStr">
        <is>
          <t>将清单序号213工程量归到此计算</t>
        </is>
      </c>
    </row>
    <row r="230" ht="20" customHeight="1" s="1">
      <c r="A230" s="5" t="n">
        <v>210</v>
      </c>
      <c r="B230" s="5" t="inlineStr">
        <is>
          <t>011702014003</t>
        </is>
      </c>
      <c r="C230" s="5" t="inlineStr">
        <is>
          <t>有梁板</t>
        </is>
      </c>
      <c r="D230" s="5" t="inlineStr">
        <is>
          <t>1.有梁板模板支模高度5.6m内</t>
        </is>
      </c>
      <c r="E230" s="5" t="inlineStr">
        <is>
          <t>m2</t>
        </is>
      </c>
      <c r="F230" s="74" t="n">
        <v>107.85</v>
      </c>
      <c r="G230" s="74" t="n">
        <v>101.46</v>
      </c>
      <c r="H230" s="74" t="n">
        <v>96.63</v>
      </c>
      <c r="I230" s="74" t="n"/>
      <c r="J230" s="74">
        <f>G230-F230</f>
        <v/>
      </c>
      <c r="K230" s="74">
        <f>H230-F230</f>
        <v/>
      </c>
      <c r="L230" s="74">
        <f>H230-G230</f>
        <v/>
      </c>
      <c r="M230" s="55">
        <f>J230/F230</f>
        <v/>
      </c>
      <c r="N230" s="6" t="n">
        <v>75.42</v>
      </c>
      <c r="O230" s="6" t="n">
        <v>79.73</v>
      </c>
      <c r="P230" s="55">
        <f>(N230-O230)/O230</f>
        <v/>
      </c>
      <c r="Q230" s="74">
        <f>O230*0.9056*0.85</f>
        <v/>
      </c>
      <c r="R230" s="74">
        <f>O230*1.15</f>
        <v/>
      </c>
      <c r="S230" s="74">
        <f>IF(N230&lt;O230*0.9056*0.85,O230*0.9056*0.85,IF(N230&gt;O230*1.15,O230*1.15,N230))</f>
        <v/>
      </c>
      <c r="T230" s="74" t="n">
        <v>8134.05</v>
      </c>
      <c r="U230" s="74" t="n">
        <v>7652.23</v>
      </c>
      <c r="V230" s="74">
        <f>T230+S230*K230</f>
        <v/>
      </c>
      <c r="W230" s="74">
        <f>U230-T230</f>
        <v/>
      </c>
      <c r="X230" s="74">
        <f>V230-T230</f>
        <v/>
      </c>
      <c r="Y230" s="74">
        <f>V230-U230</f>
        <v/>
      </c>
      <c r="Z230" s="5" t="n"/>
    </row>
    <row r="231" ht="20" customHeight="1" s="1">
      <c r="A231" s="5" t="n">
        <v>211</v>
      </c>
      <c r="B231" s="5" t="inlineStr">
        <is>
          <t>011702014004</t>
        </is>
      </c>
      <c r="C231" s="5" t="inlineStr">
        <is>
          <t>有梁板</t>
        </is>
      </c>
      <c r="D231" s="5" t="inlineStr">
        <is>
          <t>1.有梁板模板支模高度9.6m内</t>
        </is>
      </c>
      <c r="E231" s="5" t="inlineStr">
        <is>
          <t>m2</t>
        </is>
      </c>
      <c r="F231" s="74" t="n">
        <v>29.53</v>
      </c>
      <c r="G231" s="74" t="n">
        <v>0</v>
      </c>
      <c r="H231" s="74" t="n">
        <v>0</v>
      </c>
      <c r="I231" s="74" t="n"/>
      <c r="J231" s="74">
        <f>G231-F231</f>
        <v/>
      </c>
      <c r="K231" s="74">
        <f>H231-F231</f>
        <v/>
      </c>
      <c r="L231" s="74">
        <f>H231-G231</f>
        <v/>
      </c>
      <c r="M231" s="55">
        <f>J231/F231</f>
        <v/>
      </c>
      <c r="N231" s="6" t="n">
        <v>142.61</v>
      </c>
      <c r="O231" s="6" t="n">
        <v>136.94</v>
      </c>
      <c r="P231" s="55">
        <f>(N231-O231)/O231</f>
        <v/>
      </c>
      <c r="Q231" s="74">
        <f>O231*0.9056*0.85</f>
        <v/>
      </c>
      <c r="R231" s="74">
        <f>O231*1.15</f>
        <v/>
      </c>
      <c r="S231" s="74">
        <f>IF(N231&lt;O231*0.9056*0.85,O231*0.9056*0.85,IF(N231&gt;O231*1.15,O231*1.15,N231))</f>
        <v/>
      </c>
      <c r="T231" s="74" t="n">
        <v>4211.27</v>
      </c>
      <c r="U231" s="74" t="n">
        <v>0</v>
      </c>
      <c r="V231" s="74">
        <f>T231+S231*K231</f>
        <v/>
      </c>
      <c r="W231" s="74">
        <f>U231-T231</f>
        <v/>
      </c>
      <c r="X231" s="74">
        <f>V231-T231</f>
        <v/>
      </c>
      <c r="Y231" s="74">
        <f>V231-U231</f>
        <v/>
      </c>
      <c r="Z231" s="5" t="n"/>
    </row>
    <row r="232" ht="20" customHeight="1" s="1">
      <c r="A232" s="5" t="n">
        <v>212</v>
      </c>
      <c r="B232" s="5" t="inlineStr">
        <is>
          <t>011702014005</t>
        </is>
      </c>
      <c r="C232" s="5" t="inlineStr">
        <is>
          <t>有梁板</t>
        </is>
      </c>
      <c r="D232" s="5" t="inlineStr">
        <is>
          <t>1.有梁板模板支模高度14.6m内</t>
        </is>
      </c>
      <c r="E232" s="5" t="inlineStr">
        <is>
          <t>m2</t>
        </is>
      </c>
      <c r="F232" s="74" t="n">
        <v>95.67</v>
      </c>
      <c r="G232" s="74" t="n">
        <v>0</v>
      </c>
      <c r="H232" s="74" t="n">
        <v>0</v>
      </c>
      <c r="I232" s="74" t="n"/>
      <c r="J232" s="74">
        <f>G232-F232</f>
        <v/>
      </c>
      <c r="K232" s="74">
        <f>H232-F232</f>
        <v/>
      </c>
      <c r="L232" s="74">
        <f>H232-G232</f>
        <v/>
      </c>
      <c r="M232" s="55">
        <f>J232/F232</f>
        <v/>
      </c>
      <c r="N232" s="6" t="n">
        <v>192.07</v>
      </c>
      <c r="O232" s="6" t="n">
        <v>179.5</v>
      </c>
      <c r="P232" s="55">
        <f>(N232-O232)/O232</f>
        <v/>
      </c>
      <c r="Q232" s="74">
        <f>O232*0.9056*0.85</f>
        <v/>
      </c>
      <c r="R232" s="74">
        <f>O232*1.15</f>
        <v/>
      </c>
      <c r="S232" s="74">
        <f>IF(N232&lt;O232*0.9056*0.85,O232*0.9056*0.85,IF(N232&gt;O232*1.15,O232*1.15,N232))</f>
        <v/>
      </c>
      <c r="T232" s="74" t="n">
        <v>18375.34</v>
      </c>
      <c r="U232" s="74" t="n">
        <v>0</v>
      </c>
      <c r="V232" s="74">
        <f>T232+S232*K232</f>
        <v/>
      </c>
      <c r="W232" s="74">
        <f>U232-T232</f>
        <v/>
      </c>
      <c r="X232" s="74">
        <f>V232-T232</f>
        <v/>
      </c>
      <c r="Y232" s="74">
        <f>V232-U232</f>
        <v/>
      </c>
      <c r="Z232" s="5" t="n"/>
    </row>
    <row r="233" ht="20" customHeight="1" s="1">
      <c r="A233" s="5" t="n">
        <v>213</v>
      </c>
      <c r="B233" s="5" t="inlineStr">
        <is>
          <t>011702014010</t>
        </is>
      </c>
      <c r="C233" s="5" t="inlineStr">
        <is>
          <t>有梁板（斜板）</t>
        </is>
      </c>
      <c r="D233" s="5" t="inlineStr">
        <is>
          <t>1.有梁板模板支模高度7.6m内</t>
        </is>
      </c>
      <c r="E233" s="5" t="inlineStr">
        <is>
          <t>m2</t>
        </is>
      </c>
      <c r="F233" s="74" t="n">
        <v>137.73</v>
      </c>
      <c r="G233" s="74" t="n">
        <v>207.7</v>
      </c>
      <c r="H233" s="74" t="n">
        <v>0</v>
      </c>
      <c r="I233" s="74" t="n"/>
      <c r="J233" s="74">
        <f>G233-F233</f>
        <v/>
      </c>
      <c r="K233" s="74">
        <f>H233-F233</f>
        <v/>
      </c>
      <c r="L233" s="74">
        <f>H233-G233</f>
        <v/>
      </c>
      <c r="M233" s="55">
        <f>J233/F233</f>
        <v/>
      </c>
      <c r="N233" s="6" t="n">
        <v>101.92</v>
      </c>
      <c r="O233" s="6" t="n">
        <v>111.72</v>
      </c>
      <c r="P233" s="55">
        <f>(N233-O233)/O233</f>
        <v/>
      </c>
      <c r="Q233" s="74">
        <f>O233*0.9056*0.85</f>
        <v/>
      </c>
      <c r="R233" s="74">
        <f>O233*1.15</f>
        <v/>
      </c>
      <c r="S233" s="74">
        <f>IF(N233&lt;O233*0.9056*0.85,O233*0.9056*0.85,IF(N233&gt;O233*1.15,O233*1.15,N233))</f>
        <v/>
      </c>
      <c r="T233" s="74" t="n">
        <v>14037.38</v>
      </c>
      <c r="U233" s="74" t="n">
        <v>21168.65</v>
      </c>
      <c r="V233" s="74">
        <f>T233+S233*K233</f>
        <v/>
      </c>
      <c r="W233" s="74">
        <f>U233-T233</f>
        <v/>
      </c>
      <c r="X233" s="74">
        <f>V233-T233</f>
        <v/>
      </c>
      <c r="Y233" s="74">
        <f>V233-U233</f>
        <v/>
      </c>
      <c r="Z233" s="5" t="n"/>
    </row>
    <row r="234" ht="20" customHeight="1" s="1">
      <c r="A234" s="5" t="n">
        <v>214</v>
      </c>
      <c r="B234" s="5" t="inlineStr">
        <is>
          <t>011702006009</t>
        </is>
      </c>
      <c r="C234" s="5" t="inlineStr">
        <is>
          <t>矩形梁（斜梁）</t>
        </is>
      </c>
      <c r="D234" s="5" t="inlineStr">
        <is>
          <t>1.单梁、连续梁模板(梁宽cm)25以内支模高度4.6m内</t>
        </is>
      </c>
      <c r="E234" s="5" t="inlineStr">
        <is>
          <t>m2</t>
        </is>
      </c>
      <c r="F234" s="74" t="n">
        <v>136.19</v>
      </c>
      <c r="G234" s="74" t="n">
        <v>82.72</v>
      </c>
      <c r="H234" s="74">
        <f>56.79</f>
        <v/>
      </c>
      <c r="I234" s="74" t="n"/>
      <c r="J234" s="74">
        <f>G234-F234</f>
        <v/>
      </c>
      <c r="K234" s="74">
        <f>H234-F234</f>
        <v/>
      </c>
      <c r="L234" s="74">
        <f>H234-G234</f>
        <v/>
      </c>
      <c r="M234" s="55">
        <f>J234/F234</f>
        <v/>
      </c>
      <c r="N234" s="6" t="n">
        <v>77.06999999999999</v>
      </c>
      <c r="O234" s="6" t="n">
        <v>84.98999999999999</v>
      </c>
      <c r="P234" s="55">
        <f>(N234-O234)/O234</f>
        <v/>
      </c>
      <c r="Q234" s="74">
        <f>O234*0.9056*0.85</f>
        <v/>
      </c>
      <c r="R234" s="74">
        <f>O234*1.15</f>
        <v/>
      </c>
      <c r="S234" s="74">
        <f>IF(N234&lt;O234*0.9056*0.85,O234*0.9056*0.85,IF(N234&gt;O234*1.15,O234*1.15,N234))</f>
        <v/>
      </c>
      <c r="T234" s="74" t="n">
        <v>10495.97</v>
      </c>
      <c r="U234" s="74" t="n">
        <v>6374.91</v>
      </c>
      <c r="V234" s="74">
        <f>T234+S234*K234</f>
        <v/>
      </c>
      <c r="W234" s="74">
        <f>U234-T234</f>
        <v/>
      </c>
      <c r="X234" s="74">
        <f>V234-T234</f>
        <v/>
      </c>
      <c r="Y234" s="74">
        <f>V234-U234</f>
        <v/>
      </c>
      <c r="Z234" s="5" t="n"/>
    </row>
    <row r="235" ht="20" customHeight="1" s="1">
      <c r="A235" s="5" t="n">
        <v>215</v>
      </c>
      <c r="B235" s="5" t="inlineStr">
        <is>
          <t>011702006010</t>
        </is>
      </c>
      <c r="C235" s="5" t="inlineStr">
        <is>
          <t>矩形梁（斜梁）</t>
        </is>
      </c>
      <c r="D235" s="5" t="inlineStr">
        <is>
          <t>1.单梁、连续梁模板(梁宽cm)25以内支模高度5.6m内</t>
        </is>
      </c>
      <c r="E235" s="5" t="inlineStr">
        <is>
          <t>m2</t>
        </is>
      </c>
      <c r="F235" s="74" t="n">
        <v>1.59</v>
      </c>
      <c r="G235" s="74" t="n">
        <v>0</v>
      </c>
      <c r="H235" s="74" t="n">
        <v>0</v>
      </c>
      <c r="I235" s="74" t="n"/>
      <c r="J235" s="74">
        <f>G235-F235</f>
        <v/>
      </c>
      <c r="K235" s="74">
        <f>H235-F235</f>
        <v/>
      </c>
      <c r="L235" s="74">
        <f>H235-G235</f>
        <v/>
      </c>
      <c r="M235" s="55">
        <f>J235/F235</f>
        <v/>
      </c>
      <c r="N235" s="6" t="n">
        <v>85.41</v>
      </c>
      <c r="O235" s="6" t="n">
        <v>93.73999999999999</v>
      </c>
      <c r="P235" s="55">
        <f>(N235-O235)/O235</f>
        <v/>
      </c>
      <c r="Q235" s="74">
        <f>O235*0.9056*0.85</f>
        <v/>
      </c>
      <c r="R235" s="74">
        <f>O235*1.15</f>
        <v/>
      </c>
      <c r="S235" s="74">
        <f>IF(N235&lt;O235*0.9056*0.85,O235*0.9056*0.85,IF(N235&gt;O235*1.15,O235*1.15,N235))</f>
        <v/>
      </c>
      <c r="T235" s="74" t="n">
        <v>135.72</v>
      </c>
      <c r="U235" s="74" t="n">
        <v>0</v>
      </c>
      <c r="V235" s="74">
        <f>T235+S235*K235</f>
        <v/>
      </c>
      <c r="W235" s="74">
        <f>U235-T235</f>
        <v/>
      </c>
      <c r="X235" s="74">
        <f>V235-T235</f>
        <v/>
      </c>
      <c r="Y235" s="74">
        <f>V235-U235</f>
        <v/>
      </c>
      <c r="Z235" s="5" t="n"/>
    </row>
    <row r="236" ht="20" customHeight="1" s="1">
      <c r="A236" s="5" t="n">
        <v>216</v>
      </c>
      <c r="B236" s="5" t="inlineStr">
        <is>
          <t>011702006011</t>
        </is>
      </c>
      <c r="C236" s="5" t="inlineStr">
        <is>
          <t>矩形梁（斜梁）</t>
        </is>
      </c>
      <c r="D236" s="5" t="inlineStr">
        <is>
          <t>1.单梁、连续梁模板(梁宽cm)25以内支模高度6.6m内</t>
        </is>
      </c>
      <c r="E236" s="5" t="inlineStr">
        <is>
          <t>m2</t>
        </is>
      </c>
      <c r="F236" s="74" t="n">
        <v>38.08</v>
      </c>
      <c r="G236" s="74" t="n">
        <v>25.4</v>
      </c>
      <c r="H236" s="74" t="n">
        <v>24.19</v>
      </c>
      <c r="I236" s="74" t="n"/>
      <c r="J236" s="74">
        <f>G236-F236</f>
        <v/>
      </c>
      <c r="K236" s="74">
        <f>H236-F236</f>
        <v/>
      </c>
      <c r="L236" s="74">
        <f>H236-G236</f>
        <v/>
      </c>
      <c r="M236" s="55">
        <f>J236/F236</f>
        <v/>
      </c>
      <c r="N236" s="6" t="n">
        <v>93.75</v>
      </c>
      <c r="O236" s="6" t="n">
        <v>93.73999999999999</v>
      </c>
      <c r="P236" s="55">
        <f>(N236-O236)/O236</f>
        <v/>
      </c>
      <c r="Q236" s="74">
        <f>O236*0.9056*0.85</f>
        <v/>
      </c>
      <c r="R236" s="74">
        <f>O236*1.15</f>
        <v/>
      </c>
      <c r="S236" s="74">
        <f>IF(N236&lt;O236*0.9056*0.85,O236*0.9056*0.85,IF(N236&gt;O236*1.15,O236*1.15,N236))</f>
        <v/>
      </c>
      <c r="T236" s="74" t="n">
        <v>3569.61</v>
      </c>
      <c r="U236" s="74" t="n">
        <v>2381.64</v>
      </c>
      <c r="V236" s="74">
        <f>T236+S236*K236</f>
        <v/>
      </c>
      <c r="W236" s="74">
        <f>U236-T236</f>
        <v/>
      </c>
      <c r="X236" s="74">
        <f>V236-T236</f>
        <v/>
      </c>
      <c r="Y236" s="74">
        <f>V236-U236</f>
        <v/>
      </c>
      <c r="Z236" s="5" t="n"/>
    </row>
    <row r="237" ht="20" customHeight="1" s="1">
      <c r="A237" s="5" t="n">
        <v>217</v>
      </c>
      <c r="B237" s="5" t="inlineStr">
        <is>
          <t>011702006012</t>
        </is>
      </c>
      <c r="C237" s="5" t="inlineStr">
        <is>
          <t>矩形梁（斜梁）</t>
        </is>
      </c>
      <c r="D237" s="5" t="inlineStr">
        <is>
          <t>1.单梁、连续梁模板(梁宽cm)25以内支模高度7.6m内</t>
        </is>
      </c>
      <c r="E237" s="5" t="inlineStr">
        <is>
          <t>m2</t>
        </is>
      </c>
      <c r="F237" s="74" t="n">
        <v>4.76</v>
      </c>
      <c r="G237" s="74" t="n">
        <v>0</v>
      </c>
      <c r="H237" s="74" t="n">
        <v>0</v>
      </c>
      <c r="I237" s="74" t="n"/>
      <c r="J237" s="74">
        <f>G237-F237</f>
        <v/>
      </c>
      <c r="K237" s="74">
        <f>H237-F237</f>
        <v/>
      </c>
      <c r="L237" s="74">
        <f>H237-G237</f>
        <v/>
      </c>
      <c r="M237" s="55">
        <f>J237/F237</f>
        <v/>
      </c>
      <c r="N237" s="6" t="n">
        <v>102.09</v>
      </c>
      <c r="O237" s="6" t="n">
        <v>111.25</v>
      </c>
      <c r="P237" s="55">
        <f>(N237-O237)/O237</f>
        <v/>
      </c>
      <c r="Q237" s="74">
        <f>O237*0.9056*0.85</f>
        <v/>
      </c>
      <c r="R237" s="74">
        <f>O237*1.15</f>
        <v/>
      </c>
      <c r="S237" s="74">
        <f>IF(N237&lt;O237*0.9056*0.85,O237*0.9056*0.85,IF(N237&gt;O237*1.15,O237*1.15,N237))</f>
        <v/>
      </c>
      <c r="T237" s="74" t="n">
        <v>485.66</v>
      </c>
      <c r="U237" s="74" t="n">
        <v>0</v>
      </c>
      <c r="V237" s="74">
        <f>T237+S237*K237</f>
        <v/>
      </c>
      <c r="W237" s="74">
        <f>U237-T237</f>
        <v/>
      </c>
      <c r="X237" s="74">
        <f>V237-T237</f>
        <v/>
      </c>
      <c r="Y237" s="74">
        <f>V237-U237</f>
        <v/>
      </c>
      <c r="Z237" s="5" t="n"/>
    </row>
    <row r="238" ht="20" customHeight="1" s="1">
      <c r="A238" s="5" t="n">
        <v>218</v>
      </c>
      <c r="B238" s="5" t="inlineStr">
        <is>
          <t>011702006013</t>
        </is>
      </c>
      <c r="C238" s="5" t="inlineStr">
        <is>
          <t>矩形梁</t>
        </is>
      </c>
      <c r="D238" s="5" t="inlineStr">
        <is>
          <t>1.单梁、连续梁模板(梁宽cm)25以内支模高度3.6m内</t>
        </is>
      </c>
      <c r="E238" s="5" t="inlineStr">
        <is>
          <t>m2</t>
        </is>
      </c>
      <c r="F238" s="74" t="n">
        <v>3.64</v>
      </c>
      <c r="G238" s="74" t="n">
        <v>274.75</v>
      </c>
      <c r="H238" s="74">
        <f>159.64+17+89.87+21.99</f>
        <v/>
      </c>
      <c r="I238" s="74" t="n"/>
      <c r="J238" s="74">
        <f>G238-F238</f>
        <v/>
      </c>
      <c r="K238" s="74">
        <f>H238-F238</f>
        <v/>
      </c>
      <c r="L238" s="74">
        <f>H238-G238</f>
        <v/>
      </c>
      <c r="M238" s="55">
        <f>J238/F238</f>
        <v/>
      </c>
      <c r="N238" s="6" t="n">
        <v>61.79</v>
      </c>
      <c r="O238" s="6" t="n">
        <v>65.84</v>
      </c>
      <c r="P238" s="55">
        <f>(N238-O238)/O238</f>
        <v/>
      </c>
      <c r="Q238" s="74">
        <f>O238*0.9056*0.85</f>
        <v/>
      </c>
      <c r="R238" s="74">
        <f>O238*1.15</f>
        <v/>
      </c>
      <c r="S238" s="74">
        <f>IF(N238&lt;O238*0.9056*0.85,O238*0.9056*0.85,IF(N238&gt;O238*1.15,O238*1.15,N238))</f>
        <v/>
      </c>
      <c r="T238" s="74" t="n">
        <v>224.92</v>
      </c>
      <c r="U238" s="74" t="n">
        <v>16976.97</v>
      </c>
      <c r="V238" s="74">
        <f>T238+S238*K238</f>
        <v/>
      </c>
      <c r="W238" s="74">
        <f>U238-T238</f>
        <v/>
      </c>
      <c r="X238" s="74">
        <f>V238-T238</f>
        <v/>
      </c>
      <c r="Y238" s="74">
        <f>V238-U238</f>
        <v/>
      </c>
      <c r="Z238" s="5" t="inlineStr">
        <is>
          <t>将清单序号214工程量归到此计算</t>
        </is>
      </c>
    </row>
    <row r="239" ht="20" customHeight="1" s="1">
      <c r="A239" s="5" t="n">
        <v>219</v>
      </c>
      <c r="B239" s="5" t="inlineStr">
        <is>
          <t>011702006014</t>
        </is>
      </c>
      <c r="C239" s="5" t="inlineStr">
        <is>
          <t>矩形梁</t>
        </is>
      </c>
      <c r="D239" s="5" t="inlineStr">
        <is>
          <t>1.单梁、连续梁模板(梁宽cm)25以内支模高度4.6m内</t>
        </is>
      </c>
      <c r="E239" s="5" t="inlineStr">
        <is>
          <t>m2</t>
        </is>
      </c>
      <c r="F239" s="74" t="n">
        <v>1379.94</v>
      </c>
      <c r="G239" s="74" t="n">
        <v>1057.1</v>
      </c>
      <c r="H239" s="74">
        <f>1006.77</f>
        <v/>
      </c>
      <c r="I239" s="74" t="n"/>
      <c r="J239" s="74">
        <f>G239-F239</f>
        <v/>
      </c>
      <c r="K239" s="74">
        <f>H239-F239</f>
        <v/>
      </c>
      <c r="L239" s="74">
        <f>H239-G239</f>
        <v/>
      </c>
      <c r="M239" s="55">
        <f>J239/F239</f>
        <v/>
      </c>
      <c r="N239" s="6" t="n">
        <v>77.06999999999999</v>
      </c>
      <c r="O239" s="6" t="n">
        <v>73.20999999999999</v>
      </c>
      <c r="P239" s="55">
        <f>(N239-O239)/O239</f>
        <v/>
      </c>
      <c r="Q239" s="74">
        <f>O239*0.9056*0.85</f>
        <v/>
      </c>
      <c r="R239" s="74">
        <f>O239*1.15</f>
        <v/>
      </c>
      <c r="S239" s="74">
        <f>IF(N239&lt;O239*0.9056*0.85,O239*0.9056*0.85,IF(N239&gt;O239*1.15,O239*1.15,N239))</f>
        <v/>
      </c>
      <c r="T239" s="74" t="n">
        <v>106351.71</v>
      </c>
      <c r="U239" s="74" t="n">
        <v>81471.08</v>
      </c>
      <c r="V239" s="74">
        <f>T239+S239*K239</f>
        <v/>
      </c>
      <c r="W239" s="74">
        <f>U239-T239</f>
        <v/>
      </c>
      <c r="X239" s="74">
        <f>V239-T239</f>
        <v/>
      </c>
      <c r="Y239" s="74">
        <f>V239-U239</f>
        <v/>
      </c>
      <c r="Z239" s="5" t="n"/>
    </row>
    <row r="240" ht="20" customHeight="1" s="1">
      <c r="A240" s="5" t="n">
        <v>220</v>
      </c>
      <c r="B240" s="5" t="inlineStr">
        <is>
          <t>011702006015</t>
        </is>
      </c>
      <c r="C240" s="5" t="inlineStr">
        <is>
          <t>矩形梁</t>
        </is>
      </c>
      <c r="D240" s="5" t="inlineStr">
        <is>
          <t>1.单梁、连续梁模板(梁宽cm)25以内支模高度5.6m内</t>
        </is>
      </c>
      <c r="E240" s="5" t="inlineStr">
        <is>
          <t>m2</t>
        </is>
      </c>
      <c r="F240" s="74" t="n">
        <v>69.63</v>
      </c>
      <c r="G240" s="74" t="n">
        <v>1113.39</v>
      </c>
      <c r="H240" s="74">
        <f>734.08+326.3</f>
        <v/>
      </c>
      <c r="I240" s="74" t="n"/>
      <c r="J240" s="74">
        <f>G240-F240</f>
        <v/>
      </c>
      <c r="K240" s="74">
        <f>H240-F240</f>
        <v/>
      </c>
      <c r="L240" s="74">
        <f>H240-G240</f>
        <v/>
      </c>
      <c r="M240" s="55">
        <f>J240/F240</f>
        <v/>
      </c>
      <c r="N240" s="6" t="n">
        <v>85.41</v>
      </c>
      <c r="O240" s="6" t="n">
        <v>80.59</v>
      </c>
      <c r="P240" s="55">
        <f>(N240-O240)/O240</f>
        <v/>
      </c>
      <c r="Q240" s="74">
        <f>O240*0.9056*0.85</f>
        <v/>
      </c>
      <c r="R240" s="74">
        <f>O240*1.15</f>
        <v/>
      </c>
      <c r="S240" s="74">
        <f>IF(N240&lt;O240*0.9056*0.85,O240*0.9056*0.85,IF(N240&gt;O240*1.15,O240*1.15,N240))</f>
        <v/>
      </c>
      <c r="T240" s="74" t="n">
        <v>5947.1</v>
      </c>
      <c r="U240" s="74" t="n">
        <v>95094.97</v>
      </c>
      <c r="V240" s="74">
        <f>T240+S240*K240</f>
        <v/>
      </c>
      <c r="W240" s="74">
        <f>U240-T240</f>
        <v/>
      </c>
      <c r="X240" s="74">
        <f>V240-T240</f>
        <v/>
      </c>
      <c r="Y240" s="74">
        <f>V240-U240</f>
        <v/>
      </c>
      <c r="Z240" s="5" t="n"/>
    </row>
    <row r="241" ht="20" customHeight="1" s="1">
      <c r="A241" s="5" t="n">
        <v>221</v>
      </c>
      <c r="B241" s="5" t="inlineStr">
        <is>
          <t>011702006016</t>
        </is>
      </c>
      <c r="C241" s="5" t="inlineStr">
        <is>
          <t>矩形梁</t>
        </is>
      </c>
      <c r="D241" s="5" t="inlineStr">
        <is>
          <t>1.单梁、连续梁模板(梁宽cm)25以内支模高度9.4m内</t>
        </is>
      </c>
      <c r="E241" s="5" t="inlineStr">
        <is>
          <t>m2</t>
        </is>
      </c>
      <c r="F241" s="74" t="n">
        <v>7.49</v>
      </c>
      <c r="G241" s="74" t="n">
        <v>293.37</v>
      </c>
      <c r="H241" s="74" t="n">
        <v>279.4</v>
      </c>
      <c r="I241" s="74" t="n"/>
      <c r="J241" s="74">
        <f>G241-F241</f>
        <v/>
      </c>
      <c r="K241" s="74">
        <f>H241-F241</f>
        <v/>
      </c>
      <c r="L241" s="74">
        <f>H241-G241</f>
        <v/>
      </c>
      <c r="M241" s="55">
        <f>J241/F241</f>
        <v/>
      </c>
      <c r="N241" s="6" t="n">
        <v>142.8</v>
      </c>
      <c r="O241" s="6" t="n">
        <v>126.98</v>
      </c>
      <c r="P241" s="55">
        <f>(N241-O241)/O241</f>
        <v/>
      </c>
      <c r="Q241" s="74">
        <f>O241*0.9056*0.85</f>
        <v/>
      </c>
      <c r="R241" s="74">
        <f>O241*1.15</f>
        <v/>
      </c>
      <c r="S241" s="74">
        <f>IF(N241&lt;O241*0.9056*0.85,O241*0.9056*0.85,IF(N241&gt;O241*1.15,O241*1.15,N241))</f>
        <v/>
      </c>
      <c r="T241" s="74" t="n">
        <v>1069.57</v>
      </c>
      <c r="U241" s="74" t="n">
        <v>41893.24</v>
      </c>
      <c r="V241" s="74">
        <f>T241+S241*K241</f>
        <v/>
      </c>
      <c r="W241" s="74">
        <f>U241-T241</f>
        <v/>
      </c>
      <c r="X241" s="74">
        <f>V241-T241</f>
        <v/>
      </c>
      <c r="Y241" s="74">
        <f>V241-U241</f>
        <v/>
      </c>
      <c r="Z241" s="5" t="n"/>
    </row>
    <row r="242" ht="20" customHeight="1" s="1">
      <c r="A242" s="5" t="n">
        <v>222</v>
      </c>
      <c r="B242" s="5" t="inlineStr">
        <is>
          <t>011702006017</t>
        </is>
      </c>
      <c r="C242" s="5" t="inlineStr">
        <is>
          <t>矩形梁</t>
        </is>
      </c>
      <c r="D242" s="5" t="inlineStr">
        <is>
          <t>1.单梁、连续梁模板(梁宽cm)25以内支模高度12.4m内</t>
        </is>
      </c>
      <c r="E242" s="5" t="inlineStr">
        <is>
          <t>m2</t>
        </is>
      </c>
      <c r="F242" s="74" t="n">
        <v>83.04000000000001</v>
      </c>
      <c r="G242" s="74" t="n">
        <v>100.34</v>
      </c>
      <c r="H242" s="74" t="n">
        <v>95.56</v>
      </c>
      <c r="I242" s="74" t="n"/>
      <c r="J242" s="74">
        <f>G242-F242</f>
        <v/>
      </c>
      <c r="K242" s="74">
        <f>H242-F242</f>
        <v/>
      </c>
      <c r="L242" s="74">
        <f>H242-G242</f>
        <v/>
      </c>
      <c r="M242" s="55">
        <f>J242/F242</f>
        <v/>
      </c>
      <c r="N242" s="6" t="n">
        <v>171.41</v>
      </c>
      <c r="O242" s="6" t="n">
        <v>150.05</v>
      </c>
      <c r="P242" s="55">
        <f>(N242-O242)/O242</f>
        <v/>
      </c>
      <c r="Q242" s="74">
        <f>O242*0.9056*0.85</f>
        <v/>
      </c>
      <c r="R242" s="74">
        <f>O242*1.15</f>
        <v/>
      </c>
      <c r="S242" s="74">
        <f>IF(N242&lt;O242*0.9056*0.85,O242*0.9056*0.85,IF(N242&gt;O242*1.15,O242*1.15,N242))</f>
        <v/>
      </c>
      <c r="T242" s="74" t="n">
        <v>14233.89</v>
      </c>
      <c r="U242" s="74" t="n">
        <v>17198.94</v>
      </c>
      <c r="V242" s="74">
        <f>T242+S242*K242</f>
        <v/>
      </c>
      <c r="W242" s="74">
        <f>U242-T242</f>
        <v/>
      </c>
      <c r="X242" s="74">
        <f>V242-T242</f>
        <v/>
      </c>
      <c r="Y242" s="74">
        <f>V242-U242</f>
        <v/>
      </c>
      <c r="Z242" s="5" t="n"/>
    </row>
    <row r="243" ht="20" customHeight="1" s="1">
      <c r="A243" s="5" t="n">
        <v>223</v>
      </c>
      <c r="B243" s="5" t="inlineStr">
        <is>
          <t>011702006018</t>
        </is>
      </c>
      <c r="C243" s="5" t="inlineStr">
        <is>
          <t>矩形梁</t>
        </is>
      </c>
      <c r="D243" s="5" t="inlineStr">
        <is>
          <t>1.单梁、连续梁模板(梁宽cm)25以外支模高度3.6m内</t>
        </is>
      </c>
      <c r="E243" s="5" t="inlineStr">
        <is>
          <t>m2</t>
        </is>
      </c>
      <c r="F243" s="74" t="n">
        <v>38.11</v>
      </c>
      <c r="G243" s="74" t="n">
        <v>0</v>
      </c>
      <c r="H243" s="74" t="n">
        <v>0</v>
      </c>
      <c r="I243" s="74" t="n"/>
      <c r="J243" s="74">
        <f>G243-F243</f>
        <v/>
      </c>
      <c r="K243" s="74">
        <f>H243-F243</f>
        <v/>
      </c>
      <c r="L243" s="74">
        <f>H243-G243</f>
        <v/>
      </c>
      <c r="M243" s="55">
        <f>J243/F243</f>
        <v/>
      </c>
      <c r="N243" s="6" t="n">
        <v>67.90000000000001</v>
      </c>
      <c r="O243" s="6" t="n">
        <v>72.20999999999999</v>
      </c>
      <c r="P243" s="55">
        <f>(N243-O243)/O243</f>
        <v/>
      </c>
      <c r="Q243" s="74">
        <f>O243*0.9056*0.85</f>
        <v/>
      </c>
      <c r="R243" s="74">
        <f>O243*1.15</f>
        <v/>
      </c>
      <c r="S243" s="74">
        <f>IF(N243&lt;O243*0.9056*0.85,O243*0.9056*0.85,IF(N243&gt;O243*1.15,O243*1.15,N243))</f>
        <v/>
      </c>
      <c r="T243" s="74" t="n">
        <v>2587.72</v>
      </c>
      <c r="U243" s="74" t="n">
        <v>0</v>
      </c>
      <c r="V243" s="74" t="n">
        <v>0</v>
      </c>
      <c r="W243" s="74">
        <f>U243-T243</f>
        <v/>
      </c>
      <c r="X243" s="74">
        <f>V243-T243</f>
        <v/>
      </c>
      <c r="Y243" s="74">
        <f>V243-U243</f>
        <v/>
      </c>
      <c r="Z243" s="5" t="n"/>
    </row>
    <row r="244" ht="20" customHeight="1" s="1">
      <c r="A244" s="5" t="n">
        <v>224</v>
      </c>
      <c r="B244" s="5" t="inlineStr">
        <is>
          <t>011702006019</t>
        </is>
      </c>
      <c r="C244" s="5" t="inlineStr">
        <is>
          <t>矩形梁</t>
        </is>
      </c>
      <c r="D244" s="5" t="inlineStr">
        <is>
          <t>1.单梁、连续梁模板(梁宽cm)25以外支模高度4.6m内</t>
        </is>
      </c>
      <c r="E244" s="5" t="inlineStr">
        <is>
          <t>m2</t>
        </is>
      </c>
      <c r="F244" s="74" t="n">
        <v>1354.79</v>
      </c>
      <c r="G244" s="74" t="n">
        <v>622.0700000000001</v>
      </c>
      <c r="H244" s="74">
        <f>592.45</f>
        <v/>
      </c>
      <c r="I244" s="74" t="n"/>
      <c r="J244" s="74">
        <f>G244-F244</f>
        <v/>
      </c>
      <c r="K244" s="74">
        <f>H244-F244</f>
        <v/>
      </c>
      <c r="L244" s="74">
        <f>H244-G244</f>
        <v/>
      </c>
      <c r="M244" s="55">
        <f>J244/F244</f>
        <v/>
      </c>
      <c r="N244" s="6" t="n">
        <v>75.31999999999999</v>
      </c>
      <c r="O244" s="6" t="n">
        <v>79.58</v>
      </c>
      <c r="P244" s="55">
        <f>(N244-O244)/O244</f>
        <v/>
      </c>
      <c r="Q244" s="74">
        <f>O244*0.9056*0.85</f>
        <v/>
      </c>
      <c r="R244" s="74">
        <f>O244*1.15</f>
        <v/>
      </c>
      <c r="S244" s="74">
        <f>IF(N244&lt;O244*0.9056*0.85,O244*0.9056*0.85,IF(N244&gt;O244*1.15,O244*1.15,N244))</f>
        <v/>
      </c>
      <c r="T244" s="74" t="n">
        <v>102042.97</v>
      </c>
      <c r="U244" s="74" t="n">
        <v>46854.37</v>
      </c>
      <c r="V244" s="74">
        <f>T244+S244*K244</f>
        <v/>
      </c>
      <c r="W244" s="74">
        <f>U244-T244</f>
        <v/>
      </c>
      <c r="X244" s="74">
        <f>V244-T244</f>
        <v/>
      </c>
      <c r="Y244" s="74">
        <f>V244-U244</f>
        <v/>
      </c>
      <c r="Z244" s="5" t="n"/>
    </row>
    <row r="245" ht="20" customHeight="1" s="1">
      <c r="A245" s="5" t="n">
        <v>225</v>
      </c>
      <c r="B245" s="5" t="inlineStr">
        <is>
          <t>011702006020</t>
        </is>
      </c>
      <c r="C245" s="5" t="inlineStr">
        <is>
          <t>矩形梁</t>
        </is>
      </c>
      <c r="D245" s="5" t="inlineStr">
        <is>
          <t>1.单梁、连续梁模板(梁宽cm)25以外支模高度5.6m内</t>
        </is>
      </c>
      <c r="E245" s="5" t="inlineStr">
        <is>
          <t>m2</t>
        </is>
      </c>
      <c r="F245" s="74" t="n">
        <v>218.76</v>
      </c>
      <c r="G245" s="74" t="n">
        <v>788.4</v>
      </c>
      <c r="H245" s="74">
        <f>750.85</f>
        <v/>
      </c>
      <c r="I245" s="74" t="n"/>
      <c r="J245" s="74">
        <f>G245-F245</f>
        <v/>
      </c>
      <c r="K245" s="74">
        <f>H245-F245</f>
        <v/>
      </c>
      <c r="L245" s="74">
        <f>H245-G245</f>
        <v/>
      </c>
      <c r="M245" s="55">
        <f>J245/F245</f>
        <v/>
      </c>
      <c r="N245" s="6" t="n">
        <v>82.73999999999999</v>
      </c>
      <c r="O245" s="6" t="n">
        <v>86.95999999999999</v>
      </c>
      <c r="P245" s="55">
        <f>(N245-O245)/O245</f>
        <v/>
      </c>
      <c r="Q245" s="74">
        <f>O245*0.9056*0.85</f>
        <v/>
      </c>
      <c r="R245" s="74">
        <f>O245*1.15</f>
        <v/>
      </c>
      <c r="S245" s="74">
        <f>IF(N245&lt;O245*0.9056*0.85,O245*0.9056*0.85,IF(N245&gt;O245*1.15,O245*1.15,N245))</f>
        <v/>
      </c>
      <c r="T245" s="74" t="n">
        <v>18099.87</v>
      </c>
      <c r="U245" s="74" t="n">
        <v>65231.93</v>
      </c>
      <c r="V245" s="74">
        <f>T245+S245*K245</f>
        <v/>
      </c>
      <c r="W245" s="74">
        <f>U245-T245</f>
        <v/>
      </c>
      <c r="X245" s="74">
        <f>V245-T245</f>
        <v/>
      </c>
      <c r="Y245" s="74">
        <f>V245-U245</f>
        <v/>
      </c>
      <c r="Z245" s="5" t="n"/>
    </row>
    <row r="246" ht="20" customHeight="1" s="1">
      <c r="A246" s="5" t="n">
        <v>226</v>
      </c>
      <c r="B246" s="5" t="inlineStr">
        <is>
          <t>011702006021</t>
        </is>
      </c>
      <c r="C246" s="5" t="inlineStr">
        <is>
          <t>矩形梁</t>
        </is>
      </c>
      <c r="D246" s="5" t="inlineStr">
        <is>
          <t>1.单梁、连续梁模板(梁宽cm)25以外支模高度9.4m内</t>
        </is>
      </c>
      <c r="E246" s="5" t="inlineStr">
        <is>
          <t>m2</t>
        </is>
      </c>
      <c r="F246" s="74" t="n">
        <v>122.08</v>
      </c>
      <c r="G246" s="74" t="n">
        <v>0</v>
      </c>
      <c r="H246" s="74" t="n">
        <v>0</v>
      </c>
      <c r="I246" s="74" t="n"/>
      <c r="J246" s="74">
        <f>G246-F246</f>
        <v/>
      </c>
      <c r="K246" s="74">
        <f>H246-F246</f>
        <v/>
      </c>
      <c r="L246" s="74">
        <f>H246-G246</f>
        <v/>
      </c>
      <c r="M246" s="55">
        <f>J246/F246</f>
        <v/>
      </c>
      <c r="N246" s="6" t="n">
        <v>155.36</v>
      </c>
      <c r="O246" s="6" t="n">
        <v>141.13</v>
      </c>
      <c r="P246" s="55">
        <f>(N246-O246)/O246</f>
        <v/>
      </c>
      <c r="Q246" s="74">
        <f>O246*0.9056*0.85</f>
        <v/>
      </c>
      <c r="R246" s="74">
        <f>O246*1.15</f>
        <v/>
      </c>
      <c r="S246" s="74">
        <f>IF(N246&lt;O246*0.9056*0.85,O246*0.9056*0.85,IF(N246&gt;O246*1.15,O246*1.15,N246))</f>
        <v/>
      </c>
      <c r="T246" s="74" t="n">
        <v>18966.35</v>
      </c>
      <c r="U246" s="74" t="n">
        <v>0</v>
      </c>
      <c r="V246" s="74">
        <f>T246+S246*K246</f>
        <v/>
      </c>
      <c r="W246" s="74">
        <f>U246-T246</f>
        <v/>
      </c>
      <c r="X246" s="74">
        <f>V246-T246</f>
        <v/>
      </c>
      <c r="Y246" s="74">
        <f>V246-U246</f>
        <v/>
      </c>
      <c r="Z246" s="5" t="n"/>
    </row>
    <row r="247" ht="20" customHeight="1" s="1">
      <c r="A247" s="5" t="n">
        <v>227</v>
      </c>
      <c r="B247" s="5" t="inlineStr">
        <is>
          <t>011702006022</t>
        </is>
      </c>
      <c r="C247" s="5" t="inlineStr">
        <is>
          <t>矩形梁</t>
        </is>
      </c>
      <c r="D247" s="5" t="inlineStr">
        <is>
          <t>1.单梁、连续梁模板(梁宽cm)25以外支模高度10.4m内</t>
        </is>
      </c>
      <c r="E247" s="5" t="inlineStr">
        <is>
          <t>m2</t>
        </is>
      </c>
      <c r="F247" s="74" t="n">
        <v>94.98</v>
      </c>
      <c r="G247" s="74" t="n">
        <v>0</v>
      </c>
      <c r="H247" s="74" t="n">
        <v>0</v>
      </c>
      <c r="I247" s="74" t="n"/>
      <c r="J247" s="74">
        <f>G247-F247</f>
        <v/>
      </c>
      <c r="K247" s="74">
        <f>H247-F247</f>
        <v/>
      </c>
      <c r="L247" s="74">
        <f>H247-G247</f>
        <v/>
      </c>
      <c r="M247" s="55">
        <f>J247/F247</f>
        <v/>
      </c>
      <c r="N247" s="6" t="n">
        <v>164.9</v>
      </c>
      <c r="O247" s="6" t="n">
        <v>148.82</v>
      </c>
      <c r="P247" s="55">
        <f>(N247-O247)/O247</f>
        <v/>
      </c>
      <c r="Q247" s="74">
        <f>O247*0.9056*0.85</f>
        <v/>
      </c>
      <c r="R247" s="74">
        <f>O247*1.15</f>
        <v/>
      </c>
      <c r="S247" s="74">
        <f>IF(N247&lt;O247*0.9056*0.85,O247*0.9056*0.85,IF(N247&gt;O247*1.15,O247*1.15,N247))</f>
        <v/>
      </c>
      <c r="T247" s="74" t="n">
        <v>15662.2</v>
      </c>
      <c r="U247" s="74" t="n">
        <v>0</v>
      </c>
      <c r="V247" s="74">
        <f>T247+S247*K247</f>
        <v/>
      </c>
      <c r="W247" s="74">
        <f>U247-T247</f>
        <v/>
      </c>
      <c r="X247" s="74">
        <f>V247-T247</f>
        <v/>
      </c>
      <c r="Y247" s="74">
        <f>V247-U247</f>
        <v/>
      </c>
      <c r="Z247" s="5" t="n"/>
    </row>
    <row r="248" ht="20" customHeight="1" s="1">
      <c r="A248" s="5" t="n">
        <v>228</v>
      </c>
      <c r="B248" s="5" t="inlineStr">
        <is>
          <t>011702006023</t>
        </is>
      </c>
      <c r="C248" s="5" t="inlineStr">
        <is>
          <t>矩形梁</t>
        </is>
      </c>
      <c r="D248" s="5" t="inlineStr">
        <is>
          <t>1.单梁、连续梁模板(梁宽cm)25以外支模高度11.4m内</t>
        </is>
      </c>
      <c r="E248" s="5" t="inlineStr">
        <is>
          <t>m2</t>
        </is>
      </c>
      <c r="F248" s="74" t="n">
        <v>99.22</v>
      </c>
      <c r="G248" s="74" t="n">
        <v>0</v>
      </c>
      <c r="H248" s="74" t="n">
        <v>0</v>
      </c>
      <c r="I248" s="74" t="n"/>
      <c r="J248" s="74">
        <f>G248-F248</f>
        <v/>
      </c>
      <c r="K248" s="74">
        <f>H248-F248</f>
        <v/>
      </c>
      <c r="L248" s="74">
        <f>H248-G248</f>
        <v/>
      </c>
      <c r="M248" s="55">
        <f>J248/F248</f>
        <v/>
      </c>
      <c r="N248" s="6" t="n">
        <v>174.44</v>
      </c>
      <c r="O248" s="6" t="n">
        <v>156.51</v>
      </c>
      <c r="P248" s="55">
        <f>(N248-O248)/O248</f>
        <v/>
      </c>
      <c r="Q248" s="74">
        <f>O248*0.9056*0.85</f>
        <v/>
      </c>
      <c r="R248" s="74">
        <f>O248*1.15</f>
        <v/>
      </c>
      <c r="S248" s="74">
        <f>IF(N248&lt;O248*0.9056*0.85,O248*0.9056*0.85,IF(N248&gt;O248*1.15,O248*1.15,N248))</f>
        <v/>
      </c>
      <c r="T248" s="74" t="n">
        <v>17307.94</v>
      </c>
      <c r="U248" s="74" t="n">
        <v>0</v>
      </c>
      <c r="V248" s="74">
        <f>T248+S248*K248</f>
        <v/>
      </c>
      <c r="W248" s="74">
        <f>U248-T248</f>
        <v/>
      </c>
      <c r="X248" s="74">
        <f>V248-T248</f>
        <v/>
      </c>
      <c r="Y248" s="74">
        <f>V248-U248</f>
        <v/>
      </c>
      <c r="Z248" s="5" t="n"/>
    </row>
    <row r="249" ht="20" customHeight="1" s="1">
      <c r="A249" s="5" t="n">
        <v>229</v>
      </c>
      <c r="B249" s="5" t="inlineStr">
        <is>
          <t>011702030001</t>
        </is>
      </c>
      <c r="C249" s="5" t="inlineStr">
        <is>
          <t>后浇带（梁）</t>
        </is>
      </c>
      <c r="D249" s="5" t="inlineStr">
        <is>
          <t>1.单梁、连续梁模板支模高度3.6m以内
2.在洞内、地下室内、库内或暗室内进行施工（模板拆除）</t>
        </is>
      </c>
      <c r="E249" s="5" t="inlineStr">
        <is>
          <t>m2</t>
        </is>
      </c>
      <c r="F249" s="74" t="n">
        <v>0.64</v>
      </c>
      <c r="G249" s="74" t="n">
        <v>37.77</v>
      </c>
      <c r="H249" s="74">
        <f>0.29+34.04</f>
        <v/>
      </c>
      <c r="I249" s="74" t="n"/>
      <c r="J249" s="74">
        <f>G249-F249</f>
        <v/>
      </c>
      <c r="K249" s="74">
        <f>H249-F249</f>
        <v/>
      </c>
      <c r="L249" s="74">
        <f>H249-G249</f>
        <v/>
      </c>
      <c r="M249" s="55">
        <f>J249/F249</f>
        <v/>
      </c>
      <c r="N249" s="6" t="n">
        <v>61.79</v>
      </c>
      <c r="O249" s="6" t="n">
        <v>72.20999999999999</v>
      </c>
      <c r="P249" s="55">
        <f>(N249-O249)/O249</f>
        <v/>
      </c>
      <c r="Q249" s="74">
        <f>O249*0.9056*0.85</f>
        <v/>
      </c>
      <c r="R249" s="74">
        <f>O249*1.15</f>
        <v/>
      </c>
      <c r="S249" s="74">
        <f>IF(N249&lt;O249*0.9056*0.85,O249*0.9056*0.85,IF(N249&gt;O249*1.15,O249*1.15,N249))</f>
        <v/>
      </c>
      <c r="T249" s="74" t="n">
        <v>39.55</v>
      </c>
      <c r="U249" s="74" t="n">
        <v>2333.74</v>
      </c>
      <c r="V249" s="74">
        <f>T249+S249*K249</f>
        <v/>
      </c>
      <c r="W249" s="74">
        <f>U249-T249</f>
        <v/>
      </c>
      <c r="X249" s="74">
        <f>V249-T249</f>
        <v/>
      </c>
      <c r="Y249" s="74">
        <f>V249-U249</f>
        <v/>
      </c>
      <c r="Z249" s="5" t="n"/>
    </row>
    <row r="250" ht="20" customHeight="1" s="1">
      <c r="A250" s="5" t="n">
        <v>230</v>
      </c>
      <c r="B250" s="5" t="inlineStr">
        <is>
          <t>011702030002</t>
        </is>
      </c>
      <c r="C250" s="5" t="inlineStr">
        <is>
          <t>后浇带（板）</t>
        </is>
      </c>
      <c r="D250" s="5" t="inlineStr">
        <is>
          <t>1.有梁板模板支模高度3.6m以内
2.在洞内、地下室内、库内或暗室内进行施工（模板拆除）</t>
        </is>
      </c>
      <c r="E250" s="5" t="inlineStr">
        <is>
          <t>m2</t>
        </is>
      </c>
      <c r="F250" s="74" t="n">
        <v>49.6</v>
      </c>
      <c r="G250" s="74" t="n">
        <v>100.4</v>
      </c>
      <c r="H250" s="74">
        <f>46.02</f>
        <v/>
      </c>
      <c r="I250" s="74" t="n"/>
      <c r="J250" s="74">
        <f>G250-F250</f>
        <v/>
      </c>
      <c r="K250" s="74">
        <f>H250-F250</f>
        <v/>
      </c>
      <c r="L250" s="74">
        <f>H250-G250</f>
        <v/>
      </c>
      <c r="M250" s="55">
        <f>J250/F250</f>
        <v/>
      </c>
      <c r="N250" s="6" t="n">
        <v>59.25</v>
      </c>
      <c r="O250" s="6" t="n">
        <v>63.21</v>
      </c>
      <c r="P250" s="55">
        <f>(N250-O250)/O250</f>
        <v/>
      </c>
      <c r="Q250" s="74">
        <f>O250*0.9056*0.85</f>
        <v/>
      </c>
      <c r="R250" s="74">
        <f>O250*1.15</f>
        <v/>
      </c>
      <c r="S250" s="74">
        <f>IF(N250&lt;O250*0.9056*0.85,O250*0.9056*0.85,IF(N250&gt;O250*1.15,O250*1.15,N250))</f>
        <v/>
      </c>
      <c r="T250" s="74" t="n">
        <v>2938.8</v>
      </c>
      <c r="U250" s="74" t="n">
        <v>5948.57</v>
      </c>
      <c r="V250" s="74">
        <f>T250+S250*K250</f>
        <v/>
      </c>
      <c r="W250" s="74">
        <f>U250-T250</f>
        <v/>
      </c>
      <c r="X250" s="74">
        <f>V250-T250</f>
        <v/>
      </c>
      <c r="Y250" s="74">
        <f>V250-U250</f>
        <v/>
      </c>
      <c r="Z250" s="5" t="n"/>
    </row>
    <row r="251" ht="20" customHeight="1" s="1">
      <c r="A251" s="5" t="n">
        <v>231</v>
      </c>
      <c r="B251" s="5" t="inlineStr">
        <is>
          <t>011702030003</t>
        </is>
      </c>
      <c r="C251" s="5" t="inlineStr">
        <is>
          <t>后浇带(墙)</t>
        </is>
      </c>
      <c r="D251" s="5" t="inlineStr">
        <is>
          <t>1.直形墙模板墙厚(cm以内)40支模高度3.6m以内
2.在洞内、地下室内、库内或暗室内进行施工（模板拆除）</t>
        </is>
      </c>
      <c r="E251" s="5" t="inlineStr">
        <is>
          <t>m2</t>
        </is>
      </c>
      <c r="F251" s="74" t="n">
        <v>29.62</v>
      </c>
      <c r="G251" s="74" t="n">
        <v>29.4</v>
      </c>
      <c r="H251" s="74" t="n">
        <v>0</v>
      </c>
      <c r="I251" s="74" t="n"/>
      <c r="J251" s="74">
        <f>G251-F251</f>
        <v/>
      </c>
      <c r="K251" s="74">
        <f>H251-F251</f>
        <v/>
      </c>
      <c r="L251" s="74">
        <f>H251-G251</f>
        <v/>
      </c>
      <c r="M251" s="55">
        <f>J251/F251</f>
        <v/>
      </c>
      <c r="N251" s="6" t="n">
        <v>43.27</v>
      </c>
      <c r="O251" s="6" t="n">
        <v>45.5</v>
      </c>
      <c r="P251" s="55">
        <f>(N251-O251)/O251</f>
        <v/>
      </c>
      <c r="Q251" s="74">
        <f>O251*0.9056*0.85</f>
        <v/>
      </c>
      <c r="R251" s="74">
        <f>O251*1.15</f>
        <v/>
      </c>
      <c r="S251" s="74">
        <f>IF(N251&lt;O251*0.9056*0.85,O251*0.9056*0.85,IF(N251&gt;O251*1.15,O251*1.15,N251))</f>
        <v/>
      </c>
      <c r="T251" s="74" t="n">
        <v>1281.48</v>
      </c>
      <c r="U251" s="74" t="n">
        <v>1272.14</v>
      </c>
      <c r="V251" s="74">
        <f>T251+S251*K251</f>
        <v/>
      </c>
      <c r="W251" s="74">
        <f>U251-T251</f>
        <v/>
      </c>
      <c r="X251" s="74">
        <f>V251-T251</f>
        <v/>
      </c>
      <c r="Y251" s="74">
        <f>V251-U251</f>
        <v/>
      </c>
      <c r="Z251" s="5" t="n"/>
    </row>
    <row r="252" ht="20" customHeight="1" s="1">
      <c r="A252" s="5" t="n">
        <v>232</v>
      </c>
      <c r="B252" s="5" t="inlineStr">
        <is>
          <t>011702023001</t>
        </is>
      </c>
      <c r="C252" s="5" t="inlineStr">
        <is>
          <t>雨篷、悬挑板、阳台板</t>
        </is>
      </c>
      <c r="D252" s="5" t="inlineStr">
        <is>
          <t>1.雨篷、悬挑板、阳台板</t>
        </is>
      </c>
      <c r="E252" s="5" t="inlineStr">
        <is>
          <t>m2</t>
        </is>
      </c>
      <c r="F252" s="74" t="n">
        <v>33.74</v>
      </c>
      <c r="G252" s="74" t="n">
        <v>125.57</v>
      </c>
      <c r="H252" s="74">
        <f>49.57+69.98</f>
        <v/>
      </c>
      <c r="I252" s="74" t="n"/>
      <c r="J252" s="74">
        <f>G252-F252</f>
        <v/>
      </c>
      <c r="K252" s="74">
        <f>H252-F252</f>
        <v/>
      </c>
      <c r="L252" s="74">
        <f>H252-G252</f>
        <v/>
      </c>
      <c r="M252" s="55">
        <f>J252/F252</f>
        <v/>
      </c>
      <c r="N252" s="6" t="n">
        <v>69.34999999999999</v>
      </c>
      <c r="O252" s="6" t="n">
        <v>74.27</v>
      </c>
      <c r="P252" s="55">
        <f>(N252-O252)/O252</f>
        <v/>
      </c>
      <c r="Q252" s="74">
        <f>O252*0.9056*0.85</f>
        <v/>
      </c>
      <c r="R252" s="74">
        <f>O252*1.15</f>
        <v/>
      </c>
      <c r="S252" s="74">
        <f>IF(N252&lt;O252*0.9056*0.85,O252*0.9056*0.85,IF(N252&gt;O252*1.15,O252*1.15,N252))</f>
        <v/>
      </c>
      <c r="T252" s="74" t="n">
        <v>2339.87</v>
      </c>
      <c r="U252" s="74" t="n">
        <v>8708.139999999999</v>
      </c>
      <c r="V252" s="74">
        <f>T252+S252*K252</f>
        <v/>
      </c>
      <c r="W252" s="74">
        <f>U252-T252</f>
        <v/>
      </c>
      <c r="X252" s="74">
        <f>V252-T252</f>
        <v/>
      </c>
      <c r="Y252" s="74">
        <f>V252-U252</f>
        <v/>
      </c>
      <c r="Z252" s="5" t="n"/>
    </row>
    <row r="253" ht="20" customHeight="1" s="1">
      <c r="A253" s="5" t="n">
        <v>233</v>
      </c>
      <c r="B253" s="5" t="inlineStr">
        <is>
          <t>011702021001</t>
        </is>
      </c>
      <c r="C253" s="5" t="inlineStr">
        <is>
          <t>栏板、反檐</t>
        </is>
      </c>
      <c r="D253" s="5" t="inlineStr">
        <is>
          <t>1.栏板、反檐模板</t>
        </is>
      </c>
      <c r="E253" s="5" t="inlineStr">
        <is>
          <t>m2</t>
        </is>
      </c>
      <c r="F253" s="74" t="n">
        <v>15.96</v>
      </c>
      <c r="G253" s="74" t="n">
        <v>933.23</v>
      </c>
      <c r="H253" s="74">
        <f>889.27+7.52</f>
        <v/>
      </c>
      <c r="I253" s="74" t="n"/>
      <c r="J253" s="74">
        <f>G253-F253</f>
        <v/>
      </c>
      <c r="K253" s="74">
        <f>H253-F253</f>
        <v/>
      </c>
      <c r="L253" s="74">
        <f>H253-G253</f>
        <v/>
      </c>
      <c r="M253" s="55">
        <f>J253/F253</f>
        <v/>
      </c>
      <c r="N253" s="6" t="n">
        <v>64.39</v>
      </c>
      <c r="O253" s="6" t="n">
        <v>69.66</v>
      </c>
      <c r="P253" s="55">
        <f>(N253-O253)/O253</f>
        <v/>
      </c>
      <c r="Q253" s="74">
        <f>O253*0.9056*0.85</f>
        <v/>
      </c>
      <c r="R253" s="74">
        <f>O253*1.15</f>
        <v/>
      </c>
      <c r="S253" s="74">
        <f>IF(N253&lt;O253*0.9056*0.85,O253*0.9056*0.85,IF(N253&gt;O253*1.15,O253*1.15,N253))</f>
        <v/>
      </c>
      <c r="T253" s="74" t="n">
        <v>1027.66</v>
      </c>
      <c r="U253" s="74" t="n">
        <v>60090.92</v>
      </c>
      <c r="V253" s="74">
        <f>T253+S253*K253</f>
        <v/>
      </c>
      <c r="W253" s="74">
        <f>U253-T253</f>
        <v/>
      </c>
      <c r="X253" s="74">
        <f>V253-T253</f>
        <v/>
      </c>
      <c r="Y253" s="74">
        <f>V253-U253</f>
        <v/>
      </c>
      <c r="Z253" s="5" t="n"/>
    </row>
    <row r="254" ht="20" customHeight="1" s="1">
      <c r="A254" s="5" t="n">
        <v>234</v>
      </c>
      <c r="B254" s="5" t="inlineStr">
        <is>
          <t>011702022001</t>
        </is>
      </c>
      <c r="C254" s="5" t="inlineStr">
        <is>
          <t>天沟、檐沟</t>
        </is>
      </c>
      <c r="D254" s="5" t="inlineStr">
        <is>
          <t>1.外墙造型、挑檐</t>
        </is>
      </c>
      <c r="E254" s="5" t="inlineStr">
        <is>
          <t>m2</t>
        </is>
      </c>
      <c r="F254" s="74" t="n">
        <v>1274.33</v>
      </c>
      <c r="G254" s="74" t="n">
        <v>736.6</v>
      </c>
      <c r="H254" s="74">
        <f>701.95</f>
        <v/>
      </c>
      <c r="I254" s="74" t="n"/>
      <c r="J254" s="74">
        <f>G254-F254</f>
        <v/>
      </c>
      <c r="K254" s="74">
        <f>H254-F254</f>
        <v/>
      </c>
      <c r="L254" s="74">
        <f>H254-G254</f>
        <v/>
      </c>
      <c r="M254" s="55">
        <f>J254/F254</f>
        <v/>
      </c>
      <c r="N254" s="6" t="n">
        <v>62.33</v>
      </c>
      <c r="O254" s="6" t="n">
        <v>66.94</v>
      </c>
      <c r="P254" s="55">
        <f>(N254-O254)/O254</f>
        <v/>
      </c>
      <c r="Q254" s="74">
        <f>O254*0.9056*0.85</f>
        <v/>
      </c>
      <c r="R254" s="74">
        <f>O254*1.15</f>
        <v/>
      </c>
      <c r="S254" s="74">
        <f>IF(N254&lt;O254*0.9056*0.85,O254*0.9056*0.85,IF(N254&gt;O254*1.15,O254*1.15,N254))</f>
        <v/>
      </c>
      <c r="T254" s="74" t="n">
        <v>79429.11</v>
      </c>
      <c r="U254" s="74" t="n">
        <v>45912.24</v>
      </c>
      <c r="V254" s="74">
        <f>T254+S254*K254</f>
        <v/>
      </c>
      <c r="W254" s="74">
        <f>U254-T254</f>
        <v/>
      </c>
      <c r="X254" s="74">
        <f>V254-T254</f>
        <v/>
      </c>
      <c r="Y254" s="74">
        <f>V254-U254</f>
        <v/>
      </c>
      <c r="Z254" s="5" t="n"/>
    </row>
    <row r="255" ht="20" customHeight="1" s="1">
      <c r="A255" s="5" t="n">
        <v>235</v>
      </c>
      <c r="B255" s="5" t="inlineStr">
        <is>
          <t>011702008001</t>
        </is>
      </c>
      <c r="C255" s="5" t="inlineStr">
        <is>
          <t>圈梁、压顶、过梁</t>
        </is>
      </c>
      <c r="D255" s="5" t="inlineStr">
        <is>
          <t>1.圈梁、压顶、过梁模板支模高度3.6m内</t>
        </is>
      </c>
      <c r="E255" s="5" t="inlineStr">
        <is>
          <t>m2</t>
        </is>
      </c>
      <c r="F255" s="74" t="n">
        <v>208.37</v>
      </c>
      <c r="G255" s="74" t="n">
        <v>448.94</v>
      </c>
      <c r="H255" s="74">
        <f>173.62+36.08+162.51+26.92+13.23+25.53</f>
        <v/>
      </c>
      <c r="I255" s="74" t="n"/>
      <c r="J255" s="74">
        <f>G255-F255</f>
        <v/>
      </c>
      <c r="K255" s="74">
        <f>H255-F255</f>
        <v/>
      </c>
      <c r="L255" s="74">
        <f>H255-G255</f>
        <v/>
      </c>
      <c r="M255" s="55">
        <f>J255/F255</f>
        <v/>
      </c>
      <c r="N255" s="6" t="n">
        <v>48.71</v>
      </c>
      <c r="O255" s="6" t="n">
        <v>69.5</v>
      </c>
      <c r="P255" s="55">
        <f>(N255-O255)/O255</f>
        <v/>
      </c>
      <c r="Q255" s="74">
        <f>O255*0.9056*0.85</f>
        <v/>
      </c>
      <c r="R255" s="74">
        <f>O255*1.15</f>
        <v/>
      </c>
      <c r="S255" s="74">
        <f>IF(N255&lt;O255*0.9056*0.85,O255*0.9056*0.85,IF(N255&gt;O255*1.15,O255*1.15,N255))</f>
        <v/>
      </c>
      <c r="T255" s="74" t="n">
        <v>10149.8</v>
      </c>
      <c r="U255" s="74" t="n">
        <v>23019.9</v>
      </c>
      <c r="V255" s="74">
        <f>T255+S255*K255</f>
        <v/>
      </c>
      <c r="W255" s="74">
        <f>U255-T255</f>
        <v/>
      </c>
      <c r="X255" s="74">
        <f>V255-T255</f>
        <v/>
      </c>
      <c r="Y255" s="74">
        <f>V255-U255</f>
        <v/>
      </c>
      <c r="Z255" s="5" t="n"/>
      <c r="AA255" s="73" t="n"/>
    </row>
    <row r="256" ht="20" customHeight="1" s="1">
      <c r="A256" s="5" t="n">
        <v>236</v>
      </c>
      <c r="B256" s="5" t="inlineStr">
        <is>
          <t>011702024002</t>
        </is>
      </c>
      <c r="C256" s="5" t="inlineStr">
        <is>
          <t>楼梯</t>
        </is>
      </c>
      <c r="D256" s="5" t="inlineStr">
        <is>
          <t>1.楼梯模板直形</t>
        </is>
      </c>
      <c r="E256" s="5" t="inlineStr">
        <is>
          <t>m2</t>
        </is>
      </c>
      <c r="F256" s="74" t="n">
        <v>376.43</v>
      </c>
      <c r="G256" s="74" t="n">
        <v>502.95</v>
      </c>
      <c r="H256" s="74">
        <f>487.65</f>
        <v/>
      </c>
      <c r="I256" s="74" t="n"/>
      <c r="J256" s="74">
        <f>G256-F256</f>
        <v/>
      </c>
      <c r="K256" s="74">
        <f>H256-F256</f>
        <v/>
      </c>
      <c r="L256" s="74">
        <f>H256-G256</f>
        <v/>
      </c>
      <c r="M256" s="55">
        <f>J256/F256</f>
        <v/>
      </c>
      <c r="N256" s="6" t="n">
        <v>174.23</v>
      </c>
      <c r="O256" s="6" t="n">
        <v>190.32</v>
      </c>
      <c r="P256" s="55">
        <f>(N256-O256)/O256</f>
        <v/>
      </c>
      <c r="Q256" s="74">
        <f>O256*0.9056*0.85</f>
        <v/>
      </c>
      <c r="R256" s="74">
        <f>O256*1.15</f>
        <v/>
      </c>
      <c r="S256" s="74">
        <f>IF(N256&lt;O256*0.9056*0.85,O256*0.9056*0.85,IF(N256&gt;O256*1.15,O256*1.15,N256))</f>
        <v/>
      </c>
      <c r="T256" s="74" t="n">
        <v>65585.39999999999</v>
      </c>
      <c r="U256" s="74" t="n">
        <v>87629.66</v>
      </c>
      <c r="V256" s="74">
        <f>T256+S256*K256</f>
        <v/>
      </c>
      <c r="W256" s="74">
        <f>U256-T256</f>
        <v/>
      </c>
      <c r="X256" s="74">
        <f>V256-T256</f>
        <v/>
      </c>
      <c r="Y256" s="74">
        <f>V256-U256</f>
        <v/>
      </c>
      <c r="Z256" s="5" t="n"/>
    </row>
    <row r="257" ht="20" customHeight="1" s="1">
      <c r="A257" s="5" t="n">
        <v>237</v>
      </c>
      <c r="B257" s="5" t="inlineStr">
        <is>
          <t>011703001001</t>
        </is>
      </c>
      <c r="C257" s="5" t="inlineStr">
        <is>
          <t>垂直运输</t>
        </is>
      </c>
      <c r="D257" s="5" t="inlineStr">
        <is>
          <t>1.建筑物30m以内的垂直运输现浇框架结构</t>
        </is>
      </c>
      <c r="E257" s="5" t="inlineStr">
        <is>
          <t>m2</t>
        </is>
      </c>
      <c r="F257" s="74" t="n">
        <v>4489.67</v>
      </c>
      <c r="G257" s="74" t="n">
        <v>5122.46</v>
      </c>
      <c r="H257" s="74">
        <f>4994.97</f>
        <v/>
      </c>
      <c r="I257" s="74" t="n"/>
      <c r="J257" s="74">
        <f>G257-F257</f>
        <v/>
      </c>
      <c r="K257" s="74">
        <f>H257-F257</f>
        <v/>
      </c>
      <c r="L257" s="74">
        <f>H257-G257</f>
        <v/>
      </c>
      <c r="M257" s="55">
        <f>J257/F257</f>
        <v/>
      </c>
      <c r="N257" s="6" t="n">
        <v>35.03</v>
      </c>
      <c r="O257" s="6" t="n">
        <v>37.72</v>
      </c>
      <c r="P257" s="55">
        <f>(N257-O257)/O257</f>
        <v/>
      </c>
      <c r="Q257" s="74">
        <f>O257*0.9056*0.85</f>
        <v/>
      </c>
      <c r="R257" s="74">
        <f>O257*1.15</f>
        <v/>
      </c>
      <c r="S257" s="74">
        <f>IF(N257&lt;O257*0.9056*0.85,O257*0.9056*0.85,IF(N257&gt;O257*1.15,O257*1.15,N257))</f>
        <v/>
      </c>
      <c r="T257" s="74" t="n">
        <v>157273</v>
      </c>
      <c r="U257" s="74" t="n">
        <v>179439.77</v>
      </c>
      <c r="V257" s="74">
        <f>T257+S257*K257</f>
        <v/>
      </c>
      <c r="W257" s="74">
        <f>U257-T257</f>
        <v/>
      </c>
      <c r="X257" s="74">
        <f>V257-T257</f>
        <v/>
      </c>
      <c r="Y257" s="74">
        <f>V257-U257</f>
        <v/>
      </c>
      <c r="Z257" s="5" t="n"/>
      <c r="AA257" s="73" t="inlineStr">
        <is>
          <t>按工规证</t>
        </is>
      </c>
    </row>
    <row r="258" ht="20" customHeight="1" s="1">
      <c r="A258" s="5" t="n">
        <v>238</v>
      </c>
      <c r="B258" s="5" t="inlineStr">
        <is>
          <t>011704001001</t>
        </is>
      </c>
      <c r="C258" s="5" t="inlineStr">
        <is>
          <t>超高施工增加</t>
        </is>
      </c>
      <c r="D258" s="5" t="inlineStr">
        <is>
          <t>1.建筑物超高增加人工、机械降效率高度30m以内</t>
        </is>
      </c>
      <c r="E258" s="5" t="inlineStr">
        <is>
          <t>项</t>
        </is>
      </c>
      <c r="F258" s="74" t="n">
        <v>1</v>
      </c>
      <c r="G258" s="74" t="n">
        <v>1</v>
      </c>
      <c r="H258" s="75" t="n">
        <v>1</v>
      </c>
      <c r="I258" s="75" t="n"/>
      <c r="J258" s="74">
        <f>G258-F258</f>
        <v/>
      </c>
      <c r="K258" s="74">
        <f>H258-F258</f>
        <v/>
      </c>
      <c r="L258" s="74">
        <f>H258-G258</f>
        <v/>
      </c>
      <c r="M258" s="55">
        <f>J258/F258</f>
        <v/>
      </c>
      <c r="N258" s="6" t="n">
        <v>40711.69</v>
      </c>
      <c r="O258" s="6" t="n">
        <v>57645.41</v>
      </c>
      <c r="P258" s="55">
        <f>(N258-O258)/O258</f>
        <v/>
      </c>
      <c r="Q258" s="74">
        <f>O258*0.9056*0.85</f>
        <v/>
      </c>
      <c r="R258" s="74">
        <f>O258*1.15</f>
        <v/>
      </c>
      <c r="S258" s="74">
        <f>IF(N258&lt;O258*0.9056*0.85,O258*0.9056*0.85,IF(N258&gt;O258*1.15,O258*1.15,N258))</f>
        <v/>
      </c>
      <c r="T258" s="74" t="n">
        <v>40711.69</v>
      </c>
      <c r="U258" s="74" t="n">
        <v>40711.69</v>
      </c>
      <c r="V258" s="74">
        <f>T258+S258*K258</f>
        <v/>
      </c>
      <c r="W258" s="74">
        <f>U258-T258</f>
        <v/>
      </c>
      <c r="X258" s="74">
        <f>V258-T258</f>
        <v/>
      </c>
      <c r="Y258" s="74">
        <f>V258-U258</f>
        <v/>
      </c>
      <c r="Z258" s="5" t="n"/>
    </row>
    <row r="259" ht="20" customHeight="1" s="1">
      <c r="A259" s="5" t="inlineStr">
        <is>
          <t>三</t>
        </is>
      </c>
      <c r="B259" s="5" t="n"/>
      <c r="C259" s="5" t="inlineStr">
        <is>
          <t>不含税造价</t>
        </is>
      </c>
      <c r="D259" s="5" t="n"/>
      <c r="E259" s="5" t="n"/>
      <c r="F259" s="6" t="n"/>
      <c r="G259" s="6" t="n"/>
      <c r="H259" s="74" t="n"/>
      <c r="I259" s="74" t="n"/>
      <c r="J259" s="6" t="n"/>
      <c r="K259" s="74" t="n"/>
      <c r="L259" s="74" t="n"/>
      <c r="M259" s="55" t="n"/>
      <c r="N259" s="6" t="n"/>
      <c r="O259" s="6" t="n"/>
      <c r="P259" s="55" t="n"/>
      <c r="Q259" s="74" t="n"/>
      <c r="R259" s="74" t="n"/>
      <c r="S259" s="74" t="n"/>
      <c r="T259" s="74" t="n">
        <v>16947572.28</v>
      </c>
      <c r="U259" s="74" t="n">
        <v>18369152.96</v>
      </c>
      <c r="V259" s="74">
        <f>V188+V189</f>
        <v/>
      </c>
      <c r="W259" s="74">
        <f>+U259-T259</f>
        <v/>
      </c>
      <c r="X259" s="74">
        <f>V259-T259</f>
        <v/>
      </c>
      <c r="Y259" s="74">
        <f>V259-U259</f>
        <v/>
      </c>
      <c r="Z259" s="79" t="n"/>
      <c r="AA259" s="58" t="n"/>
    </row>
    <row r="260" ht="20" customHeight="1" s="1">
      <c r="A260" s="5" t="inlineStr">
        <is>
          <t>四</t>
        </is>
      </c>
      <c r="B260" s="5" t="n"/>
      <c r="C260" s="5" t="inlineStr">
        <is>
          <t>税金（9%）</t>
        </is>
      </c>
      <c r="D260" s="5" t="n"/>
      <c r="E260" s="5" t="n"/>
      <c r="F260" s="6" t="n"/>
      <c r="G260" s="6" t="n"/>
      <c r="H260" s="74" t="n"/>
      <c r="I260" s="74" t="n"/>
      <c r="J260" s="6" t="n"/>
      <c r="K260" s="74" t="n"/>
      <c r="L260" s="74" t="n"/>
      <c r="M260" s="55" t="n"/>
      <c r="N260" s="6" t="n"/>
      <c r="O260" s="6" t="n"/>
      <c r="P260" s="55" t="n"/>
      <c r="Q260" s="74" t="n"/>
      <c r="R260" s="74" t="n"/>
      <c r="S260" s="74" t="n"/>
      <c r="T260" s="74" t="n">
        <v>1525281.51</v>
      </c>
      <c r="U260" s="74" t="n">
        <v>1653223.77</v>
      </c>
      <c r="V260" s="74">
        <f>V259*0.09</f>
        <v/>
      </c>
      <c r="W260" s="74">
        <f>+U260-T260</f>
        <v/>
      </c>
      <c r="X260" s="74">
        <f>V260-T260</f>
        <v/>
      </c>
      <c r="Y260" s="74">
        <f>V260-U260</f>
        <v/>
      </c>
      <c r="Z260" s="79" t="n"/>
      <c r="AA260" s="58" t="n"/>
    </row>
    <row r="261" ht="20" customHeight="1" s="1">
      <c r="A261" s="5" t="inlineStr">
        <is>
          <t>五</t>
        </is>
      </c>
      <c r="B261" s="5" t="n"/>
      <c r="C261" s="5" t="inlineStr">
        <is>
          <t>含税造价</t>
        </is>
      </c>
      <c r="D261" s="5" t="n"/>
      <c r="E261" s="5" t="n"/>
      <c r="F261" s="78" t="n"/>
      <c r="G261" s="78" t="n"/>
      <c r="H261" s="74" t="n"/>
      <c r="I261" s="74" t="n"/>
      <c r="J261" s="78" t="n"/>
      <c r="K261" s="74" t="n"/>
      <c r="L261" s="74" t="n"/>
      <c r="M261" s="55" t="n"/>
      <c r="N261" s="78" t="n"/>
      <c r="O261" s="78" t="n"/>
      <c r="P261" s="55" t="n"/>
      <c r="Q261" s="74" t="n"/>
      <c r="R261" s="74" t="n"/>
      <c r="S261" s="74" t="n"/>
      <c r="T261" s="74" t="n">
        <v>18472853.78</v>
      </c>
      <c r="U261" s="74" t="n">
        <v>20022376.73</v>
      </c>
      <c r="V261" s="74">
        <f>V259+V260</f>
        <v/>
      </c>
      <c r="W261" s="74">
        <f>+U261-T261</f>
        <v/>
      </c>
      <c r="X261" s="74">
        <f>V261-T261</f>
        <v/>
      </c>
      <c r="Y261" s="74">
        <f>V261-U261</f>
        <v/>
      </c>
      <c r="Z261" s="79" t="n"/>
      <c r="AA261" s="60" t="n"/>
    </row>
    <row r="262" ht="20" customHeight="1" s="1">
      <c r="A262" s="5" t="n"/>
      <c r="B262" s="5" t="n"/>
      <c r="C262" s="5" t="n"/>
      <c r="D262" s="5" t="n"/>
      <c r="E262" s="5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5" t="n"/>
    </row>
    <row r="263" ht="20" customHeight="1" s="1">
      <c r="A263" s="5" t="n"/>
      <c r="B263" s="5" t="n"/>
      <c r="C263" s="5" t="n"/>
      <c r="D263" s="5" t="n"/>
      <c r="E263" s="5" t="n"/>
      <c r="F263" s="6" t="n"/>
      <c r="G263" s="6" t="n"/>
      <c r="H263" s="74">
        <f>8676-3554.49</f>
        <v/>
      </c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5" t="n"/>
    </row>
    <row r="264" ht="20" customHeight="1" s="1">
      <c r="A264" s="5" t="n"/>
      <c r="B264" s="5" t="n"/>
      <c r="C264" s="5" t="n"/>
      <c r="D264" s="5" t="n"/>
      <c r="E264" s="5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5" t="n"/>
    </row>
    <row r="265" ht="20" customHeight="1" s="1">
      <c r="A265" s="5" t="n"/>
      <c r="B265" s="5" t="n"/>
      <c r="C265" s="5" t="n"/>
      <c r="D265" s="5" t="n"/>
      <c r="E265" s="5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5" t="n"/>
    </row>
    <row r="266" ht="20" customHeight="1" s="1">
      <c r="A266" s="5" t="n"/>
      <c r="B266" s="5" t="n"/>
      <c r="C266" s="5" t="n"/>
      <c r="D266" s="5" t="n"/>
      <c r="E266" s="5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55">
        <f>Y261/U261</f>
        <v/>
      </c>
      <c r="Z266" s="5" t="n"/>
    </row>
    <row r="267">
      <c r="A267" s="80" t="inlineStr">
        <is>
          <t>教学楼数据</t>
        </is>
      </c>
    </row>
    <row r="268" ht="20" customHeight="1" s="1">
      <c r="A268" s="5" t="n"/>
      <c r="B268" s="5" t="n"/>
      <c r="C268" s="5" t="inlineStr">
        <is>
          <t>土石方工程</t>
        </is>
      </c>
      <c r="D268" s="5" t="n"/>
      <c r="E268" s="5" t="n"/>
      <c r="F268" s="6" t="n"/>
      <c r="G268" s="6" t="n"/>
      <c r="H268" s="81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>
        <v>45309.76</v>
      </c>
      <c r="T268" s="74">
        <f>+SUM(T269:T273)</f>
        <v/>
      </c>
      <c r="U268" s="82">
        <f>+SUM(U269:U273)</f>
        <v/>
      </c>
      <c r="V268" s="74" t="n"/>
      <c r="W268" s="82" t="n"/>
      <c r="X268" s="83">
        <f>U268-T268</f>
        <v/>
      </c>
      <c r="Y268" s="5" t="n"/>
    </row>
    <row r="269" ht="20" customHeight="1" s="1">
      <c r="A269" s="5" t="n">
        <v>1</v>
      </c>
      <c r="B269" s="5" t="inlineStr">
        <is>
          <t>010101001001</t>
        </is>
      </c>
      <c r="C269" s="5" t="inlineStr">
        <is>
          <t>平整场地</t>
        </is>
      </c>
      <c r="D269" s="5" t="inlineStr">
        <is>
          <t>1.平整场地</t>
        </is>
      </c>
      <c r="E269" s="5" t="inlineStr">
        <is>
          <t>m2</t>
        </is>
      </c>
      <c r="F269" s="6" t="n">
        <v>1860.25</v>
      </c>
      <c r="G269" s="74" t="n">
        <v>1860.25</v>
      </c>
      <c r="H269" s="82" t="n">
        <v>1860.25</v>
      </c>
      <c r="I269" s="74">
        <f>G269-F269</f>
        <v/>
      </c>
      <c r="J269" s="74">
        <f>H269-F269</f>
        <v/>
      </c>
      <c r="K269" s="74">
        <f>+H269-G269</f>
        <v/>
      </c>
      <c r="L269" s="55">
        <f>J269/F269</f>
        <v/>
      </c>
      <c r="M269" s="6" t="n">
        <v>2.32</v>
      </c>
      <c r="N269" s="6" t="n">
        <v>2.49</v>
      </c>
      <c r="O269" s="55">
        <f>(M269-N269)/N269</f>
        <v/>
      </c>
      <c r="P269" s="74">
        <f>N269*0.9056*0.85</f>
        <v/>
      </c>
      <c r="Q269" s="74">
        <f>N269*1.15</f>
        <v/>
      </c>
      <c r="R269" s="74">
        <f>IF(M269&lt;N269*0.9056*0.85,N269*0.9056*0.85,IF(M269&gt;N269*1.15,N269*1.15,M269))</f>
        <v/>
      </c>
      <c r="S269" s="6">
        <f>+F269*M269</f>
        <v/>
      </c>
      <c r="T269" s="74">
        <f>S269+R269*I269</f>
        <v/>
      </c>
      <c r="U269" s="82">
        <f>S269+R269*J269</f>
        <v/>
      </c>
      <c r="V269" s="74">
        <f>U269-S269</f>
        <v/>
      </c>
      <c r="W269" s="82">
        <f>+U269-T269</f>
        <v/>
      </c>
      <c r="X269" s="83">
        <f>+U269-T269</f>
        <v/>
      </c>
      <c r="Y269" s="5" t="inlineStr">
        <is>
          <t>包干</t>
        </is>
      </c>
    </row>
    <row r="270" ht="20" customHeight="1" s="1">
      <c r="A270" s="5" t="n">
        <v>2</v>
      </c>
      <c r="B270" s="5" t="inlineStr">
        <is>
          <t>010101003001</t>
        </is>
      </c>
      <c r="C270" s="5" t="inlineStr">
        <is>
          <t>挖沟槽土方</t>
        </is>
      </c>
      <c r="D270" s="5" t="inlineStr">
        <is>
          <t>1.土壤类别:综合考虑
2.挖土深度:综合考虑</t>
        </is>
      </c>
      <c r="E270" s="5" t="inlineStr">
        <is>
          <t>m3</t>
        </is>
      </c>
      <c r="F270" s="6" t="n">
        <v>371.95</v>
      </c>
      <c r="G270" s="74" t="n">
        <v>371.95</v>
      </c>
      <c r="H270" s="82" t="n">
        <v>371.95</v>
      </c>
      <c r="I270" s="74">
        <f>G270-F270</f>
        <v/>
      </c>
      <c r="J270" s="74">
        <f>H270-F270</f>
        <v/>
      </c>
      <c r="K270" s="74">
        <f>+H270-G270</f>
        <v/>
      </c>
      <c r="L270" s="55">
        <f>J270/F270</f>
        <v/>
      </c>
      <c r="M270" s="6" t="n">
        <v>9.859999999999999</v>
      </c>
      <c r="N270" s="6" t="n">
        <v>9.32</v>
      </c>
      <c r="O270" s="55">
        <f>(M270-N270)/N270</f>
        <v/>
      </c>
      <c r="P270" s="74">
        <f>N270*0.9056*0.85</f>
        <v/>
      </c>
      <c r="Q270" s="74">
        <f>N270*1.15</f>
        <v/>
      </c>
      <c r="R270" s="74">
        <f>IF(M270&lt;N270*0.9056*0.85,N270*0.9056*0.85,IF(M270&gt;N270*1.15,N270*1.15,M270))</f>
        <v/>
      </c>
      <c r="S270" s="6" t="n">
        <v>3667.43</v>
      </c>
      <c r="T270" s="74">
        <f>S270+R270*I270</f>
        <v/>
      </c>
      <c r="U270" s="82">
        <f>S270+R270*J270</f>
        <v/>
      </c>
      <c r="V270" s="74">
        <f>U270-S270</f>
        <v/>
      </c>
      <c r="W270" s="82">
        <f>+U270-T270</f>
        <v/>
      </c>
      <c r="X270" s="83">
        <f>+U270-T270</f>
        <v/>
      </c>
      <c r="Y270" s="5" t="inlineStr">
        <is>
          <t>包干</t>
        </is>
      </c>
    </row>
    <row r="271" ht="20" customHeight="1" s="1">
      <c r="A271" s="5" t="n">
        <v>3</v>
      </c>
      <c r="B271" s="5" t="inlineStr">
        <is>
          <t>010101004002</t>
        </is>
      </c>
      <c r="C271" s="5" t="inlineStr">
        <is>
          <t>挖基坑土方</t>
        </is>
      </c>
      <c r="D271" s="5" t="inlineStr">
        <is>
          <t>1.土壤类别:综合考虑
2.挖土深度:综合考虑</t>
        </is>
      </c>
      <c r="E271" s="5" t="inlineStr">
        <is>
          <t>m3</t>
        </is>
      </c>
      <c r="F271" s="6" t="n">
        <v>872.09</v>
      </c>
      <c r="G271" s="74" t="n">
        <v>872.09</v>
      </c>
      <c r="H271" s="82" t="n">
        <v>872.09</v>
      </c>
      <c r="I271" s="74">
        <f>G271-F271</f>
        <v/>
      </c>
      <c r="J271" s="74">
        <f>H271-F271</f>
        <v/>
      </c>
      <c r="K271" s="74">
        <f>+H271-G271</f>
        <v/>
      </c>
      <c r="L271" s="55">
        <f>J271/F271</f>
        <v/>
      </c>
      <c r="M271" s="6" t="n">
        <v>8.25</v>
      </c>
      <c r="N271" s="6" t="n">
        <v>9.449999999999999</v>
      </c>
      <c r="O271" s="55">
        <f>(M271-N271)/N271</f>
        <v/>
      </c>
      <c r="P271" s="74">
        <f>N271*0.9056*0.85</f>
        <v/>
      </c>
      <c r="Q271" s="74">
        <f>N271*1.15</f>
        <v/>
      </c>
      <c r="R271" s="74">
        <f>IF(M271&lt;N271*0.9056*0.85,N271*0.9056*0.85,IF(M271&gt;N271*1.15,N271*1.15,M271))</f>
        <v/>
      </c>
      <c r="S271" s="6" t="n">
        <v>7194.74</v>
      </c>
      <c r="T271" s="74">
        <f>S271+R271*I271</f>
        <v/>
      </c>
      <c r="U271" s="82">
        <f>S271+R271*J271</f>
        <v/>
      </c>
      <c r="V271" s="74">
        <f>U271-S271</f>
        <v/>
      </c>
      <c r="W271" s="82">
        <f>+U271-T271</f>
        <v/>
      </c>
      <c r="X271" s="83">
        <f>+U271-T271</f>
        <v/>
      </c>
      <c r="Y271" s="5" t="inlineStr">
        <is>
          <t>包干</t>
        </is>
      </c>
    </row>
    <row r="272" ht="20" customHeight="1" s="1">
      <c r="A272" s="5" t="n">
        <v>4</v>
      </c>
      <c r="B272" s="5" t="inlineStr">
        <is>
          <t>010103001001</t>
        </is>
      </c>
      <c r="C272" s="5" t="inlineStr">
        <is>
          <t>回填方</t>
        </is>
      </c>
      <c r="D272" s="5" t="inlineStr">
        <is>
          <t>1.填方材料品种:原土
2.密实度要求:按设计及规范要求</t>
        </is>
      </c>
      <c r="E272" s="5" t="inlineStr">
        <is>
          <t>m3</t>
        </is>
      </c>
      <c r="F272" s="6" t="n">
        <v>851.99</v>
      </c>
      <c r="G272" s="74" t="n">
        <v>851.99</v>
      </c>
      <c r="H272" s="82" t="n">
        <v>851.99</v>
      </c>
      <c r="I272" s="74">
        <f>G272-F272</f>
        <v/>
      </c>
      <c r="J272" s="74">
        <f>H272-F272</f>
        <v/>
      </c>
      <c r="K272" s="74">
        <f>+H272-G272</f>
        <v/>
      </c>
      <c r="L272" s="55">
        <f>J272/F272</f>
        <v/>
      </c>
      <c r="M272" s="6" t="n">
        <v>17.92</v>
      </c>
      <c r="N272" s="6" t="n">
        <v>19.89</v>
      </c>
      <c r="O272" s="55">
        <f>(M272-N272)/N272</f>
        <v/>
      </c>
      <c r="P272" s="74">
        <f>N272*0.9056*0.85</f>
        <v/>
      </c>
      <c r="Q272" s="74">
        <f>N272*1.15</f>
        <v/>
      </c>
      <c r="R272" s="74">
        <f>IF(M272&lt;N272*0.9056*0.85,N272*0.9056*0.85,IF(M272&gt;N272*1.15,N272*1.15,M272))</f>
        <v/>
      </c>
      <c r="S272" s="6" t="n">
        <v>15267.66</v>
      </c>
      <c r="T272" s="74">
        <f>S272+R272*I272</f>
        <v/>
      </c>
      <c r="U272" s="82">
        <f>S272+R272*J272</f>
        <v/>
      </c>
      <c r="V272" s="74">
        <f>U272-S272</f>
        <v/>
      </c>
      <c r="W272" s="82">
        <f>+U272-T272</f>
        <v/>
      </c>
      <c r="X272" s="83">
        <f>+U272-T272</f>
        <v/>
      </c>
      <c r="Y272" s="5" t="inlineStr">
        <is>
          <t>包干</t>
        </is>
      </c>
    </row>
    <row r="273" ht="20" customHeight="1" s="1">
      <c r="A273" s="5" t="n">
        <v>5</v>
      </c>
      <c r="B273" s="5" t="inlineStr">
        <is>
          <t>010103002002</t>
        </is>
      </c>
      <c r="C273" s="5" t="inlineStr">
        <is>
          <t>余方弃置</t>
        </is>
      </c>
      <c r="D273" s="5" t="inlineStr">
        <is>
          <t>1.余方弃置
2.运距:智能渣土车运输运距综合考虑</t>
        </is>
      </c>
      <c r="E273" s="5" t="inlineStr">
        <is>
          <t>m3</t>
        </is>
      </c>
      <c r="F273" s="6" t="n">
        <v>264.2515</v>
      </c>
      <c r="G273" s="74" t="n">
        <v>264.25</v>
      </c>
      <c r="H273" s="82" t="n">
        <v>264.25</v>
      </c>
      <c r="I273" s="74">
        <f>G273-F273</f>
        <v/>
      </c>
      <c r="J273" s="74">
        <f>H273-F273</f>
        <v/>
      </c>
      <c r="K273" s="74">
        <f>+H273-G273</f>
        <v/>
      </c>
      <c r="L273" s="55">
        <f>J273/F273</f>
        <v/>
      </c>
      <c r="M273" s="6" t="n">
        <v>56.25</v>
      </c>
      <c r="N273" s="6" t="n">
        <v>59.2</v>
      </c>
      <c r="O273" s="55">
        <f>(M273-N273)/N273</f>
        <v/>
      </c>
      <c r="P273" s="74">
        <f>N273*0.9056*0.85</f>
        <v/>
      </c>
      <c r="Q273" s="74">
        <f>N273*1.15</f>
        <v/>
      </c>
      <c r="R273" s="74">
        <f>IF(M273&lt;N273*0.9056*0.85,N273*0.9056*0.85,IF(M273&gt;N273*1.15,N273*1.15,M273))</f>
        <v/>
      </c>
      <c r="S273" s="6" t="n">
        <v>14864.15</v>
      </c>
      <c r="T273" s="74">
        <f>S273+R273*I273</f>
        <v/>
      </c>
      <c r="U273" s="82">
        <f>S273+R273*J273</f>
        <v/>
      </c>
      <c r="V273" s="74">
        <f>U273-S273</f>
        <v/>
      </c>
      <c r="W273" s="82">
        <f>+U273-T273</f>
        <v/>
      </c>
      <c r="X273" s="83">
        <f>+U273-T273</f>
        <v/>
      </c>
      <c r="Y273" s="5" t="inlineStr">
        <is>
          <t>包干</t>
        </is>
      </c>
    </row>
    <row r="274" ht="20" customHeight="1" s="1">
      <c r="A274" s="5" t="n"/>
      <c r="B274" s="5" t="n"/>
      <c r="C274" s="5" t="inlineStr">
        <is>
          <t>桩基工程</t>
        </is>
      </c>
      <c r="D274" s="5" t="n"/>
      <c r="E274" s="5" t="n"/>
      <c r="F274" s="6" t="n"/>
      <c r="G274" s="74" t="n"/>
      <c r="H274" s="81" t="n"/>
      <c r="I274" s="74" t="n"/>
      <c r="J274" s="74" t="n"/>
      <c r="K274" s="74" t="n"/>
      <c r="L274" s="55" t="n"/>
      <c r="M274" s="6" t="n"/>
      <c r="N274" s="6" t="n"/>
      <c r="O274" s="6" t="n"/>
      <c r="P274" s="6" t="n"/>
      <c r="Q274" s="6" t="n"/>
      <c r="R274" s="74" t="n"/>
      <c r="S274" s="74">
        <f>+SUM(S275:S280)</f>
        <v/>
      </c>
      <c r="T274" s="74">
        <f>+SUM(T275:T280)</f>
        <v/>
      </c>
      <c r="U274" s="82">
        <f>SUM(U275:U280)</f>
        <v/>
      </c>
      <c r="V274" s="74">
        <f>U274-S274</f>
        <v/>
      </c>
      <c r="W274" s="82">
        <f>+U274-T274</f>
        <v/>
      </c>
      <c r="X274" s="83">
        <f>U274-T274</f>
        <v/>
      </c>
      <c r="Y274" s="5" t="n"/>
    </row>
    <row r="275" ht="20" customHeight="1" s="1">
      <c r="A275" s="5" t="n">
        <v>6</v>
      </c>
      <c r="B275" s="5" t="inlineStr">
        <is>
          <t>010301002004</t>
        </is>
      </c>
      <c r="C275" s="5" t="inlineStr">
        <is>
          <t>预制钢筋混凝土管桩</t>
        </is>
      </c>
      <c r="D275" s="5" t="inlineStr">
        <is>
          <t>1.桩外径、壁厚:Φ400PHC80预应力管桩AB型壁厚95mm（综合考虑抗拔桩）
2.沉桩方法:静压
3.混凝土强度等级:C30C40
4.填充材料种类:微膨胀混凝土
5.接桩
6.预埋钢板</t>
        </is>
      </c>
      <c r="E275" s="5" t="inlineStr">
        <is>
          <t>m</t>
        </is>
      </c>
      <c r="F275" s="74" t="n">
        <v>4149.5</v>
      </c>
      <c r="G275" s="74" t="n">
        <v>4342.6</v>
      </c>
      <c r="H275" s="82" t="n">
        <v>4099.4</v>
      </c>
      <c r="I275" s="74">
        <f>G275-F275</f>
        <v/>
      </c>
      <c r="J275" s="74">
        <f>H275-F275</f>
        <v/>
      </c>
      <c r="K275" s="74">
        <f>+H275-G275</f>
        <v/>
      </c>
      <c r="L275" s="55">
        <f>I275/F275</f>
        <v/>
      </c>
      <c r="M275" s="6" t="n">
        <v>270.2</v>
      </c>
      <c r="N275" s="6" t="n">
        <v>319.38</v>
      </c>
      <c r="O275" s="55">
        <f>(M275-N275)/N275</f>
        <v/>
      </c>
      <c r="P275" s="74">
        <f>N275*0.9056*0.85</f>
        <v/>
      </c>
      <c r="Q275" s="74">
        <f>N275*1.15</f>
        <v/>
      </c>
      <c r="R275" s="74">
        <f>IF(M275&lt;N275*0.9056*0.85,N275*0.9056*0.85,IF(M275&gt;N275*1.15,N275*1.15,M275))</f>
        <v/>
      </c>
      <c r="S275" s="6">
        <f>+F275*M275</f>
        <v/>
      </c>
      <c r="T275" s="74">
        <f>S275+R275*I275</f>
        <v/>
      </c>
      <c r="U275" s="82">
        <f>S275+R275*J275</f>
        <v/>
      </c>
      <c r="V275" s="74">
        <f>U275-S275</f>
        <v/>
      </c>
      <c r="W275" s="82">
        <f>+U275-T275</f>
        <v/>
      </c>
      <c r="X275" s="83">
        <f>+U275-T275</f>
        <v/>
      </c>
      <c r="Y275" s="5" t="n"/>
    </row>
    <row r="276" ht="20" customHeight="1" s="1">
      <c r="A276" s="5" t="n">
        <v>7</v>
      </c>
      <c r="B276" s="5" t="inlineStr">
        <is>
          <t>010301002006</t>
        </is>
      </c>
      <c r="C276" s="5" t="inlineStr">
        <is>
          <t>预制钢筋混凝土管桩（试验桩）</t>
        </is>
      </c>
      <c r="D276" s="5" t="inlineStr">
        <is>
          <t>1.桩外径、壁厚:Φ400PHC80预应力管桩AB型壁厚95mm
2.沉桩方法:静压
3.混凝土强度等级:C30C40
4.填充材料种类:微膨胀混凝土
5.接桩
6.预埋钢板</t>
        </is>
      </c>
      <c r="E276" s="5" t="inlineStr">
        <is>
          <t>m</t>
        </is>
      </c>
      <c r="F276" s="74" t="n">
        <v>107.5</v>
      </c>
      <c r="G276" s="74" t="n">
        <v>0</v>
      </c>
      <c r="H276" s="82" t="n">
        <v>0</v>
      </c>
      <c r="I276" s="74">
        <f>G276-F276</f>
        <v/>
      </c>
      <c r="J276" s="74">
        <f>H276-F276</f>
        <v/>
      </c>
      <c r="K276" s="74">
        <f>+H276-G276</f>
        <v/>
      </c>
      <c r="L276" s="55">
        <f>I276/F276</f>
        <v/>
      </c>
      <c r="M276" s="6" t="n">
        <v>314.72</v>
      </c>
      <c r="N276" s="6" t="n">
        <v>356.32</v>
      </c>
      <c r="O276" s="55">
        <f>(M276-N276)/N276</f>
        <v/>
      </c>
      <c r="P276" s="74">
        <f>N276*0.9056*0.85</f>
        <v/>
      </c>
      <c r="Q276" s="74">
        <f>N276*1.15</f>
        <v/>
      </c>
      <c r="R276" s="74">
        <f>IF(M276&lt;N276*0.9056*0.85,N276*0.9056*0.85,IF(M276&gt;N276*1.15,N276*1.15,M276))</f>
        <v/>
      </c>
      <c r="S276" s="6">
        <f>+F276*M276</f>
        <v/>
      </c>
      <c r="T276" s="74">
        <f>S276+R276*I276</f>
        <v/>
      </c>
      <c r="U276" s="82">
        <f>S276+R276*J276</f>
        <v/>
      </c>
      <c r="V276" s="74">
        <f>U276-S276</f>
        <v/>
      </c>
      <c r="W276" s="82">
        <f>+U276-T276</f>
        <v/>
      </c>
      <c r="X276" s="83">
        <f>+U276-T276</f>
        <v/>
      </c>
      <c r="Y276" s="5" t="n"/>
    </row>
    <row r="277" ht="20" customHeight="1" s="1">
      <c r="A277" s="5" t="n">
        <v>8</v>
      </c>
      <c r="B277" s="5" t="inlineStr">
        <is>
          <t>010301002003</t>
        </is>
      </c>
      <c r="C277" s="5" t="inlineStr">
        <is>
          <t>预制钢筋混凝土管桩（送桩）</t>
        </is>
      </c>
      <c r="D277" s="5" t="inlineStr">
        <is>
          <t>1.桩外径、壁厚:Φ400PHC80预应力管桩AB型壁厚95mm</t>
        </is>
      </c>
      <c r="E277" s="5" t="inlineStr">
        <is>
          <t>m</t>
        </is>
      </c>
      <c r="F277" s="74" t="n">
        <v>396</v>
      </c>
      <c r="G277" s="74" t="n">
        <v>113.5</v>
      </c>
      <c r="H277" s="82" t="n">
        <v>113.5</v>
      </c>
      <c r="I277" s="74">
        <f>G277-F277</f>
        <v/>
      </c>
      <c r="J277" s="74">
        <f>H277-F277</f>
        <v/>
      </c>
      <c r="K277" s="74">
        <f>+H277-G277</f>
        <v/>
      </c>
      <c r="L277" s="55">
        <f>I277/F277</f>
        <v/>
      </c>
      <c r="M277" s="6" t="n">
        <v>56.37</v>
      </c>
      <c r="N277" s="6" t="n">
        <v>58.71</v>
      </c>
      <c r="O277" s="55">
        <f>(M277-N277)/N277</f>
        <v/>
      </c>
      <c r="P277" s="74">
        <f>N277*0.9056*0.85</f>
        <v/>
      </c>
      <c r="Q277" s="74">
        <f>N277*1.15</f>
        <v/>
      </c>
      <c r="R277" s="74">
        <f>IF(M277&lt;N277*0.9056*0.85,N277*0.9056*0.85,IF(M277&gt;N277*1.15,N277*1.15,M277))</f>
        <v/>
      </c>
      <c r="S277" s="6">
        <f>+F277*M277</f>
        <v/>
      </c>
      <c r="T277" s="74">
        <f>S277+R277*I277</f>
        <v/>
      </c>
      <c r="U277" s="82">
        <f>S277+R277*J277</f>
        <v/>
      </c>
      <c r="V277" s="74">
        <f>U277-S277</f>
        <v/>
      </c>
      <c r="W277" s="82">
        <f>+U277-T277</f>
        <v/>
      </c>
      <c r="X277" s="83">
        <f>+U277-T277</f>
        <v/>
      </c>
      <c r="Y277" s="5" t="n"/>
    </row>
    <row r="278" ht="20" customHeight="1" s="1">
      <c r="A278" s="5" t="n">
        <v>9</v>
      </c>
      <c r="B278" s="5" t="inlineStr">
        <is>
          <t>010301004001</t>
        </is>
      </c>
      <c r="C278" s="5" t="inlineStr">
        <is>
          <t>截(凿)桩头</t>
        </is>
      </c>
      <c r="D278" s="5" t="inlineStr">
        <is>
          <t>1.桩类型:管桩
2.桩头截面、高度:桩径D为400
3.场外运输:综合考虑</t>
        </is>
      </c>
      <c r="E278" s="5" t="inlineStr">
        <is>
          <t>根</t>
        </is>
      </c>
      <c r="F278" s="75" t="n">
        <v>198</v>
      </c>
      <c r="G278" s="75" t="n">
        <v>191</v>
      </c>
      <c r="H278" s="84" t="n">
        <v>191</v>
      </c>
      <c r="I278" s="75">
        <f>G278-F278</f>
        <v/>
      </c>
      <c r="J278" s="75">
        <f>H278-F278</f>
        <v/>
      </c>
      <c r="K278" s="75">
        <f>+H278-G278</f>
        <v/>
      </c>
      <c r="L278" s="55">
        <f>I278/F278</f>
        <v/>
      </c>
      <c r="M278" s="6" t="n">
        <v>78.16</v>
      </c>
      <c r="N278" s="6" t="n">
        <v>95.36</v>
      </c>
      <c r="O278" s="55">
        <f>(M278-N278)/N278</f>
        <v/>
      </c>
      <c r="P278" s="74">
        <f>N278*0.9056*0.85</f>
        <v/>
      </c>
      <c r="Q278" s="74">
        <f>N278*1.15</f>
        <v/>
      </c>
      <c r="R278" s="74">
        <f>IF(M278&lt;N278*0.9056*0.85,N278*0.9056*0.85,IF(M278&gt;N278*1.15,N278*1.15,M278))</f>
        <v/>
      </c>
      <c r="S278" s="6">
        <f>+F278*M278</f>
        <v/>
      </c>
      <c r="T278" s="74">
        <f>S278+R278*I278</f>
        <v/>
      </c>
      <c r="U278" s="82">
        <f>S278+R278*J278</f>
        <v/>
      </c>
      <c r="V278" s="74">
        <f>U278-S278</f>
        <v/>
      </c>
      <c r="W278" s="82">
        <f>+U278-T278</f>
        <v/>
      </c>
      <c r="X278" s="83">
        <f>+U278-T278</f>
        <v/>
      </c>
      <c r="Y278" s="5" t="n"/>
    </row>
    <row r="279" ht="20" customHeight="1" s="1">
      <c r="A279" s="5" t="n">
        <v>10</v>
      </c>
      <c r="B279" s="5" t="inlineStr">
        <is>
          <t>粤010301005001</t>
        </is>
      </c>
      <c r="C279" s="5" t="inlineStr">
        <is>
          <t>桩尖</t>
        </is>
      </c>
      <c r="D279" s="5" t="inlineStr">
        <is>
          <t>1.钢桩尖制作
2.桩径:400
3.具体做法详见图纸</t>
        </is>
      </c>
      <c r="E279" s="5" t="inlineStr">
        <is>
          <t>个</t>
        </is>
      </c>
      <c r="F279" s="6" t="n">
        <v>198</v>
      </c>
      <c r="G279" s="74" t="n">
        <v>191</v>
      </c>
      <c r="H279" s="81" t="n">
        <v>191</v>
      </c>
      <c r="I279" s="75">
        <f>G279-F279</f>
        <v/>
      </c>
      <c r="J279" s="75">
        <f>H279-F279</f>
        <v/>
      </c>
      <c r="K279" s="75">
        <f>+H279-G279</f>
        <v/>
      </c>
      <c r="L279" s="55">
        <f>I279/F279</f>
        <v/>
      </c>
      <c r="M279" s="6" t="n">
        <v>268.05</v>
      </c>
      <c r="N279" s="6" t="n">
        <v>259.06</v>
      </c>
      <c r="O279" s="55">
        <f>(M279-N279)/N279</f>
        <v/>
      </c>
      <c r="P279" s="74">
        <f>N279*0.9056*0.85</f>
        <v/>
      </c>
      <c r="Q279" s="74">
        <f>N279*1.15</f>
        <v/>
      </c>
      <c r="R279" s="74">
        <f>IF(M279&lt;N279*0.9056*0.85,N279*0.9056*0.85,IF(M279&gt;N279*1.15,N279*1.15,M279))</f>
        <v/>
      </c>
      <c r="S279" s="6">
        <f>+F279*M279</f>
        <v/>
      </c>
      <c r="T279" s="74">
        <f>S279+R279*I279</f>
        <v/>
      </c>
      <c r="U279" s="82">
        <f>S279+R279*J279</f>
        <v/>
      </c>
      <c r="V279" s="74">
        <f>U279-S279</f>
        <v/>
      </c>
      <c r="W279" s="82">
        <f>+U279-T279</f>
        <v/>
      </c>
      <c r="X279" s="83">
        <f>+U279-T279</f>
        <v/>
      </c>
      <c r="Y279" s="5" t="n"/>
    </row>
    <row r="280" ht="20" customHeight="1" s="1">
      <c r="A280" s="5" t="n">
        <v>11</v>
      </c>
      <c r="B280" s="5" t="inlineStr">
        <is>
          <t>010515001013</t>
        </is>
      </c>
      <c r="C280" s="5" t="inlineStr">
        <is>
          <t>现浇构件钢筋</t>
        </is>
      </c>
      <c r="D280" s="5" t="inlineStr">
        <is>
          <t>1.桩头插筋</t>
        </is>
      </c>
      <c r="E280" s="5" t="inlineStr">
        <is>
          <t>t</t>
        </is>
      </c>
      <c r="F280" s="6" t="n">
        <v>4.5728</v>
      </c>
      <c r="G280" s="74" t="n">
        <v>0.95</v>
      </c>
      <c r="H280" s="85" t="n">
        <v>0.945</v>
      </c>
      <c r="I280" s="76">
        <f>G280-F280</f>
        <v/>
      </c>
      <c r="J280" s="76">
        <f>H280-F280</f>
        <v/>
      </c>
      <c r="K280" s="74">
        <f>+H280-G280</f>
        <v/>
      </c>
      <c r="L280" s="55">
        <f>I280/F280</f>
        <v/>
      </c>
      <c r="M280" s="6" t="n">
        <v>5341.14</v>
      </c>
      <c r="N280" s="6" t="n">
        <v>6492.43</v>
      </c>
      <c r="O280" s="55">
        <f>(M280-N280)/N280</f>
        <v/>
      </c>
      <c r="P280" s="74">
        <f>N280*0.9056*0.85</f>
        <v/>
      </c>
      <c r="Q280" s="74">
        <f>N280*1.15</f>
        <v/>
      </c>
      <c r="R280" s="74">
        <f>IF(M280&lt;N280*0.9056*0.85,N280*0.9056*0.85,IF(M280&gt;N280*1.15,N280*1.15,M280))</f>
        <v/>
      </c>
      <c r="S280" s="74">
        <f>+F280*M280</f>
        <v/>
      </c>
      <c r="T280" s="74">
        <f>S280+R280*I280</f>
        <v/>
      </c>
      <c r="U280" s="82">
        <f>S280+R280*J280</f>
        <v/>
      </c>
      <c r="V280" s="74">
        <f>U280-S280</f>
        <v/>
      </c>
      <c r="W280" s="82">
        <f>+U280-T280</f>
        <v/>
      </c>
      <c r="X280" s="83">
        <f>+U280-T280</f>
        <v/>
      </c>
      <c r="Y280" s="5" t="n"/>
    </row>
    <row r="281" ht="20" customHeight="1" s="1">
      <c r="A281" s="5" t="n"/>
      <c r="B281" s="5" t="n"/>
      <c r="C281" s="5" t="inlineStr">
        <is>
          <t>砌筑工程</t>
        </is>
      </c>
      <c r="D281" s="5" t="n"/>
      <c r="E281" s="5" t="n"/>
      <c r="F281" s="6" t="n"/>
      <c r="G281" s="74" t="n"/>
      <c r="H281" s="81" t="n"/>
      <c r="I281" s="74" t="n"/>
      <c r="J281" s="74" t="n"/>
      <c r="K281" s="74" t="n"/>
      <c r="L281" s="55" t="n"/>
      <c r="M281" s="6" t="n"/>
      <c r="N281" s="6" t="n"/>
      <c r="O281" s="6" t="n"/>
      <c r="P281" s="6" t="n"/>
      <c r="Q281" s="6" t="n"/>
      <c r="R281" s="74" t="n"/>
      <c r="S281" s="74">
        <f>+SUM(S282:S290)</f>
        <v/>
      </c>
      <c r="T281" s="74">
        <f>+SUM(T282:T290)</f>
        <v/>
      </c>
      <c r="U281" s="82">
        <f>SUM(U282:U290)</f>
        <v/>
      </c>
      <c r="V281" s="74">
        <f>U281-S281</f>
        <v/>
      </c>
      <c r="W281" s="82">
        <f>+U281-T281</f>
        <v/>
      </c>
      <c r="X281" s="83">
        <f>U281-T281</f>
        <v/>
      </c>
      <c r="Y281" s="5" t="n"/>
    </row>
    <row r="282" ht="20" customHeight="1" s="1">
      <c r="A282" s="86" t="n">
        <v>12</v>
      </c>
      <c r="B282" s="86" t="inlineStr">
        <is>
          <t>010103001002</t>
        </is>
      </c>
      <c r="C282" s="86" t="inlineStr">
        <is>
          <t>回填方</t>
        </is>
      </c>
      <c r="D282" s="86" t="inlineStr">
        <is>
          <t>1.卫生间回填
2.20厚WSM15找平层
3.陶粒混凝土(水泥:陶粒=1:8)回填兼找坡
4.20厚M20水泥砂浆找平层</t>
        </is>
      </c>
      <c r="E282" s="86" t="inlineStr">
        <is>
          <t>m3</t>
        </is>
      </c>
      <c r="F282" s="87" t="n">
        <v>197.372</v>
      </c>
      <c r="G282" s="88" t="n">
        <v>286.11</v>
      </c>
      <c r="H282" s="82" t="n">
        <v>230.85</v>
      </c>
      <c r="I282" s="88">
        <f>G282-F282</f>
        <v/>
      </c>
      <c r="J282" s="88">
        <f>H282-F282</f>
        <v/>
      </c>
      <c r="K282" s="88">
        <f>+H282-G282</f>
        <v/>
      </c>
      <c r="L282" s="89">
        <f>I282/F282</f>
        <v/>
      </c>
      <c r="M282" s="87" t="n">
        <v>793.8099999999999</v>
      </c>
      <c r="N282" s="87" t="n">
        <v>754.16</v>
      </c>
      <c r="O282" s="89">
        <f>(M282-N282)/N282</f>
        <v/>
      </c>
      <c r="P282" s="88">
        <f>N282*0.9056*0.85</f>
        <v/>
      </c>
      <c r="Q282" s="88">
        <f>N282*1.15</f>
        <v/>
      </c>
      <c r="R282" s="88">
        <f>IF(M282&lt;N282*0.9056*0.85,N282*0.9056*0.85,IF(M282&gt;N282*1.15,N282*1.15,M282))</f>
        <v/>
      </c>
      <c r="S282" s="88">
        <f>+F282*M282</f>
        <v/>
      </c>
      <c r="T282" s="88">
        <f>S282+R282*I282</f>
        <v/>
      </c>
      <c r="U282" s="82">
        <f>S282+R282*J282</f>
        <v/>
      </c>
      <c r="V282" s="74">
        <f>U282-S282</f>
        <v/>
      </c>
      <c r="W282" s="82">
        <f>+U282-T282</f>
        <v/>
      </c>
      <c r="X282" s="83">
        <f>+U282-T282</f>
        <v/>
      </c>
      <c r="Y282" s="86" t="n"/>
      <c r="Z282" s="73" t="n"/>
    </row>
    <row r="283" ht="20" customHeight="1" s="1">
      <c r="A283" s="5" t="n">
        <v>13</v>
      </c>
      <c r="B283" s="5" t="inlineStr">
        <is>
          <t>010402001002</t>
        </is>
      </c>
      <c r="C283" s="5" t="inlineStr">
        <is>
          <t>砌块墙</t>
        </is>
      </c>
      <c r="D283" s="5" t="inlineStr">
        <is>
          <t>1.砌块品种、规格、强度等级:A5.0蒸压加气混凝土砌块
2.墙体类型:外墙
3.厚度:200
4.砂浆强度等级、配合比:DMM5专用砌筑砂浆</t>
        </is>
      </c>
      <c r="E283" s="5" t="inlineStr">
        <is>
          <t>m3</t>
        </is>
      </c>
      <c r="F283" s="6" t="n">
        <v>1133.36</v>
      </c>
      <c r="G283" s="74" t="n">
        <v>1141.36</v>
      </c>
      <c r="H283" s="82" t="n">
        <v>1015.03</v>
      </c>
      <c r="I283" s="74">
        <f>G283-F283</f>
        <v/>
      </c>
      <c r="J283" s="74">
        <f>H283-F283</f>
        <v/>
      </c>
      <c r="K283" s="74">
        <f>+H283-G283</f>
        <v/>
      </c>
      <c r="L283" s="55">
        <f>I283/F283</f>
        <v/>
      </c>
      <c r="M283" s="6" t="n">
        <v>589.41</v>
      </c>
      <c r="N283" s="6" t="n">
        <v>676.12</v>
      </c>
      <c r="O283" s="55">
        <f>(M283-N283)/N283</f>
        <v/>
      </c>
      <c r="P283" s="74">
        <f>N283*0.9056*0.85</f>
        <v/>
      </c>
      <c r="Q283" s="74">
        <f>N283*1.15</f>
        <v/>
      </c>
      <c r="R283" s="74">
        <f>IF(M283&lt;N283*0.9056*0.85,N283*0.9056*0.85,IF(M283&gt;N283*1.15,N283*1.15,M283))</f>
        <v/>
      </c>
      <c r="S283" s="74">
        <f>+F283*M283</f>
        <v/>
      </c>
      <c r="T283" s="74">
        <f>S283+R283*I283</f>
        <v/>
      </c>
      <c r="U283" s="82">
        <f>S283+R283*J283</f>
        <v/>
      </c>
      <c r="V283" s="74">
        <f>U283-S283</f>
        <v/>
      </c>
      <c r="W283" s="82">
        <f>+U283-T283</f>
        <v/>
      </c>
      <c r="X283" s="83">
        <f>+U283-T283</f>
        <v/>
      </c>
      <c r="Y283" s="5" t="n"/>
    </row>
    <row r="284" ht="20" customHeight="1" s="1">
      <c r="A284" s="5" t="n">
        <v>14</v>
      </c>
      <c r="B284" s="5" t="inlineStr">
        <is>
          <t>010402001003</t>
        </is>
      </c>
      <c r="C284" s="5" t="inlineStr">
        <is>
          <t>砌块墙</t>
        </is>
      </c>
      <c r="D284" s="5" t="inlineStr">
        <is>
          <t>1.砌块品种、规格、强度等级:A5.0蒸压加气混凝土砌块
2.墙体类型:内墙
3.厚度:200
4.砂浆强度等级、配合比:DMM5专用砌筑砂浆</t>
        </is>
      </c>
      <c r="E284" s="5" t="inlineStr">
        <is>
          <t>m3</t>
        </is>
      </c>
      <c r="F284" s="6" t="n">
        <v>284.54</v>
      </c>
      <c r="G284" s="74" t="n">
        <v>307.27</v>
      </c>
      <c r="H284" s="82" t="n">
        <v>307.27</v>
      </c>
      <c r="I284" s="74">
        <f>G284-F284</f>
        <v/>
      </c>
      <c r="J284" s="74">
        <f>H284-F284</f>
        <v/>
      </c>
      <c r="K284" s="74">
        <f>+H284-G284</f>
        <v/>
      </c>
      <c r="L284" s="55">
        <f>I284/F284</f>
        <v/>
      </c>
      <c r="M284" s="6" t="n">
        <v>576.98</v>
      </c>
      <c r="N284" s="6" t="n">
        <v>661.47</v>
      </c>
      <c r="O284" s="55">
        <f>(M284-N284)/N284</f>
        <v/>
      </c>
      <c r="P284" s="74">
        <f>N284*0.9056*0.85</f>
        <v/>
      </c>
      <c r="Q284" s="74">
        <f>N284*1.15</f>
        <v/>
      </c>
      <c r="R284" s="74">
        <f>IF(M284&lt;N284*0.9056*0.85,N284*0.9056*0.85,IF(M284&gt;N284*1.15,N284*1.15,M284))</f>
        <v/>
      </c>
      <c r="S284" s="74">
        <f>+F284*M284</f>
        <v/>
      </c>
      <c r="T284" s="74">
        <f>S284+R284*I284</f>
        <v/>
      </c>
      <c r="U284" s="82">
        <f>S284+R284*J284</f>
        <v/>
      </c>
      <c r="V284" s="74">
        <f>U284-S284</f>
        <v/>
      </c>
      <c r="W284" s="82">
        <f>+U284-T284</f>
        <v/>
      </c>
      <c r="X284" s="83">
        <f>+U284-T284</f>
        <v/>
      </c>
      <c r="Y284" s="5" t="n"/>
    </row>
    <row r="285" ht="20" customHeight="1" s="1">
      <c r="A285" s="5" t="n">
        <v>15</v>
      </c>
      <c r="B285" s="5" t="inlineStr">
        <is>
          <t>010402001004</t>
        </is>
      </c>
      <c r="C285" s="5" t="inlineStr">
        <is>
          <t>砌块墙</t>
        </is>
      </c>
      <c r="D285" s="5" t="inlineStr">
        <is>
          <t>1.砌块品种、规格、强度等级:A5.0蒸压加气混凝土砌块
2.墙体类型:内墙
3.厚度:100
4.砂浆强度等级、配合比:DMM5专用砌筑砂浆</t>
        </is>
      </c>
      <c r="E285" s="5" t="inlineStr">
        <is>
          <t>m3</t>
        </is>
      </c>
      <c r="F285" s="6" t="n">
        <v>9.087</v>
      </c>
      <c r="G285" s="74" t="n">
        <v>12.09</v>
      </c>
      <c r="H285" s="82" t="n">
        <v>12.09</v>
      </c>
      <c r="I285" s="74">
        <f>G285-F285</f>
        <v/>
      </c>
      <c r="J285" s="74">
        <f>H285-F285</f>
        <v/>
      </c>
      <c r="K285" s="74">
        <f>+H285-G285</f>
        <v/>
      </c>
      <c r="L285" s="55">
        <f>I285/F285</f>
        <v/>
      </c>
      <c r="M285" s="6" t="n">
        <v>599.54</v>
      </c>
      <c r="N285" s="6" t="n">
        <v>686.9</v>
      </c>
      <c r="O285" s="55">
        <f>(M285-N285)/N285</f>
        <v/>
      </c>
      <c r="P285" s="74">
        <f>N285*0.9056*0.85</f>
        <v/>
      </c>
      <c r="Q285" s="74">
        <f>N285*1.15</f>
        <v/>
      </c>
      <c r="R285" s="74">
        <f>IF(M285&lt;N285*0.9056*0.85,N285*0.9056*0.85,IF(M285&gt;N285*1.15,N285*1.15,M285))</f>
        <v/>
      </c>
      <c r="S285" s="74">
        <f>+F285*M285</f>
        <v/>
      </c>
      <c r="T285" s="74">
        <f>S285+R285*I285</f>
        <v/>
      </c>
      <c r="U285" s="82">
        <f>S285+R285*J285</f>
        <v/>
      </c>
      <c r="V285" s="74">
        <f>U285-S285</f>
        <v/>
      </c>
      <c r="W285" s="82">
        <f>+U285-T285</f>
        <v/>
      </c>
      <c r="X285" s="83">
        <f>+U285-T285</f>
        <v/>
      </c>
      <c r="Y285" s="5" t="n"/>
    </row>
    <row r="286" ht="20" customHeight="1" s="1">
      <c r="A286" s="5" t="n">
        <v>16</v>
      </c>
      <c r="B286" s="5" t="inlineStr">
        <is>
          <t>010402001007</t>
        </is>
      </c>
      <c r="C286" s="5" t="inlineStr">
        <is>
          <t>砌块墙</t>
        </is>
      </c>
      <c r="D286" s="5" t="inlineStr">
        <is>
          <t>1.砌块品种、规格、强度等级:A5.0蒸压加气混凝土砌块
2.墙体类型:装饰墙
3.厚度:100
4.砂浆强度等级、配合比:DMM5专用砌筑砂浆</t>
        </is>
      </c>
      <c r="E286" s="5" t="inlineStr">
        <is>
          <t>m3</t>
        </is>
      </c>
      <c r="F286" s="6" t="n">
        <v>45.56</v>
      </c>
      <c r="G286" s="74" t="n">
        <v>83.18000000000001</v>
      </c>
      <c r="H286" s="82" t="n">
        <v>83.18000000000001</v>
      </c>
      <c r="I286" s="74">
        <f>G286-F286</f>
        <v/>
      </c>
      <c r="J286" s="74">
        <f>H286-F286</f>
        <v/>
      </c>
      <c r="K286" s="74">
        <f>+H286-G286</f>
        <v/>
      </c>
      <c r="L286" s="55">
        <f>I286/F286</f>
        <v/>
      </c>
      <c r="M286" s="6" t="n">
        <v>599.53</v>
      </c>
      <c r="N286" s="6" t="n">
        <v>686.9</v>
      </c>
      <c r="O286" s="55">
        <f>(M286-N286)/N286</f>
        <v/>
      </c>
      <c r="P286" s="74">
        <f>N286*0.9056*0.85</f>
        <v/>
      </c>
      <c r="Q286" s="74">
        <f>N286*1.15</f>
        <v/>
      </c>
      <c r="R286" s="74">
        <f>IF(M286&lt;N286*0.9056*0.85,N286*0.9056*0.85,IF(M286&gt;N286*1.15,N286*1.15,M286))</f>
        <v/>
      </c>
      <c r="S286" s="74">
        <f>+F286*M286</f>
        <v/>
      </c>
      <c r="T286" s="74">
        <f>S286+R286*I286</f>
        <v/>
      </c>
      <c r="U286" s="82">
        <f>S286+R286*J286</f>
        <v/>
      </c>
      <c r="V286" s="74">
        <f>U286-S286</f>
        <v/>
      </c>
      <c r="W286" s="82">
        <f>+U286-T286</f>
        <v/>
      </c>
      <c r="X286" s="83">
        <f>+U286-T286</f>
        <v/>
      </c>
      <c r="Y286" s="5" t="n"/>
    </row>
    <row r="287" ht="20" customHeight="1" s="1">
      <c r="A287" s="5" t="n">
        <v>17</v>
      </c>
      <c r="B287" s="5" t="inlineStr">
        <is>
          <t>010402001006</t>
        </is>
      </c>
      <c r="C287" s="5" t="inlineStr">
        <is>
          <t>砌块墙</t>
        </is>
      </c>
      <c r="D287" s="5" t="inlineStr">
        <is>
          <t>1.砌块品种、规格、强度等级:MU15混凝土实心砖
2.墙体类型:女儿墙
3.厚度:200
4.砂浆强度等级、配合比:DMM10专用砌筑砂浆</t>
        </is>
      </c>
      <c r="E287" s="5" t="inlineStr">
        <is>
          <t>m3</t>
        </is>
      </c>
      <c r="F287" s="6" t="n">
        <v>23.9</v>
      </c>
      <c r="G287" s="74" t="n">
        <v>28.9</v>
      </c>
      <c r="H287" s="82" t="n">
        <v>19.78</v>
      </c>
      <c r="I287" s="74">
        <f>G287-F287</f>
        <v/>
      </c>
      <c r="J287" s="74">
        <f>H287-F287</f>
        <v/>
      </c>
      <c r="K287" s="74">
        <f>+H287-G287</f>
        <v/>
      </c>
      <c r="L287" s="55">
        <f>I287/F287</f>
        <v/>
      </c>
      <c r="M287" s="6" t="n">
        <v>591.21</v>
      </c>
      <c r="N287" s="6" t="n">
        <v>677</v>
      </c>
      <c r="O287" s="55">
        <f>(M287-N287)/N287</f>
        <v/>
      </c>
      <c r="P287" s="74">
        <f>N287*0.9056*0.85</f>
        <v/>
      </c>
      <c r="Q287" s="74">
        <f>N287*1.15</f>
        <v/>
      </c>
      <c r="R287" s="74">
        <f>IF(M287&lt;N287*0.9056*0.85,N287*0.9056*0.85,IF(M287&gt;N287*1.15,N287*1.15,M287))</f>
        <v/>
      </c>
      <c r="S287" s="74">
        <f>+F287*M287</f>
        <v/>
      </c>
      <c r="T287" s="74">
        <f>S287+R287*I287</f>
        <v/>
      </c>
      <c r="U287" s="82">
        <f>S287+R287*J287</f>
        <v/>
      </c>
      <c r="V287" s="74">
        <f>U287-S287</f>
        <v/>
      </c>
      <c r="W287" s="82">
        <f>+U287-T287</f>
        <v/>
      </c>
      <c r="X287" s="83">
        <f>+U287-T287</f>
        <v/>
      </c>
      <c r="Y287" s="5" t="n"/>
    </row>
    <row r="288" ht="20" customHeight="1" s="1">
      <c r="A288" s="5" t="n">
        <v>18</v>
      </c>
      <c r="B288" s="5" t="inlineStr">
        <is>
          <t>010401012002</t>
        </is>
      </c>
      <c r="C288" s="5" t="inlineStr">
        <is>
          <t>零星砌砖</t>
        </is>
      </c>
      <c r="D288" s="5" t="inlineStr">
        <is>
          <t>1.砖砌台阶
2.MU10轻质砖
3.砂浆强度等级、配合比:M7.5水泥砂浆</t>
        </is>
      </c>
      <c r="E288" s="5" t="inlineStr">
        <is>
          <t>m2</t>
        </is>
      </c>
      <c r="F288" s="6" t="n">
        <v>22.87</v>
      </c>
      <c r="G288" s="74" t="n">
        <v>22.87</v>
      </c>
      <c r="H288" s="82" t="n">
        <v>13.34</v>
      </c>
      <c r="I288" s="74">
        <f>G288-F288</f>
        <v/>
      </c>
      <c r="J288" s="74">
        <f>H288-F288</f>
        <v/>
      </c>
      <c r="K288" s="74">
        <f>+H288-G288</f>
        <v/>
      </c>
      <c r="L288" s="55">
        <f>I288/F288</f>
        <v/>
      </c>
      <c r="M288" s="6" t="n">
        <v>159.51</v>
      </c>
      <c r="N288" s="6" t="n">
        <v>189.88</v>
      </c>
      <c r="O288" s="55">
        <f>(M288-N288)/N288</f>
        <v/>
      </c>
      <c r="P288" s="74">
        <f>N288*0.9056*0.85</f>
        <v/>
      </c>
      <c r="Q288" s="74">
        <f>N288*1.15</f>
        <v/>
      </c>
      <c r="R288" s="74">
        <f>IF(M288&lt;N288*0.9056*0.85,N288*0.9056*0.85,IF(M288&gt;N288*1.15,N288*1.15,M288))</f>
        <v/>
      </c>
      <c r="S288" s="74">
        <f>+F288*M288</f>
        <v/>
      </c>
      <c r="T288" s="74">
        <f>S288+R288*I288</f>
        <v/>
      </c>
      <c r="U288" s="82">
        <f>S288+R288*J288</f>
        <v/>
      </c>
      <c r="V288" s="74">
        <f>U288-S288</f>
        <v/>
      </c>
      <c r="W288" s="82">
        <f>+U288-T288</f>
        <v/>
      </c>
      <c r="X288" s="83">
        <f>+U288-T288</f>
        <v/>
      </c>
      <c r="Y288" s="5" t="n"/>
    </row>
    <row r="289" ht="20" customHeight="1" s="1">
      <c r="A289" s="86" t="n">
        <v>19</v>
      </c>
      <c r="B289" s="86" t="inlineStr">
        <is>
          <t>010401012004</t>
        </is>
      </c>
      <c r="C289" s="86" t="inlineStr">
        <is>
          <t>零星砌砖</t>
        </is>
      </c>
      <c r="D289" s="86" t="inlineStr">
        <is>
          <t>1.花池
2.MU10轻质砖
3.砂浆强度等级、配合比:M7.5水泥砂浆</t>
        </is>
      </c>
      <c r="E289" s="86" t="inlineStr">
        <is>
          <t>m3</t>
        </is>
      </c>
      <c r="F289" s="87" t="n">
        <v>17.01</v>
      </c>
      <c r="G289" s="88" t="n">
        <v>20.5</v>
      </c>
      <c r="H289" s="82" t="n">
        <v>18.49</v>
      </c>
      <c r="I289" s="88">
        <f>G289-F289</f>
        <v/>
      </c>
      <c r="J289" s="88">
        <f>H289-F289</f>
        <v/>
      </c>
      <c r="K289" s="88">
        <f>+H289-G289</f>
        <v/>
      </c>
      <c r="L289" s="89">
        <f>I289/F289</f>
        <v/>
      </c>
      <c r="M289" s="87" t="n">
        <v>722.98</v>
      </c>
      <c r="N289" s="87" t="n">
        <v>864.65</v>
      </c>
      <c r="O289" s="89">
        <f>(M289-N289)/N289</f>
        <v/>
      </c>
      <c r="P289" s="88">
        <f>N289*0.9056*0.85</f>
        <v/>
      </c>
      <c r="Q289" s="88">
        <f>N289*1.15</f>
        <v/>
      </c>
      <c r="R289" s="88">
        <f>IF(M289&lt;N289*0.9056*0.85,N289*0.9056*0.85,IF(M289&gt;N289*1.15,N289*1.15,M289))</f>
        <v/>
      </c>
      <c r="S289" s="88">
        <f>+F289*M289</f>
        <v/>
      </c>
      <c r="T289" s="88">
        <f>S289+R289*I289</f>
        <v/>
      </c>
      <c r="U289" s="82">
        <f>S289+R289*J289</f>
        <v/>
      </c>
      <c r="V289" s="74">
        <f>U289-S289</f>
        <v/>
      </c>
      <c r="W289" s="82">
        <f>+U289-T289</f>
        <v/>
      </c>
      <c r="X289" s="83">
        <f>+U289-T289</f>
        <v/>
      </c>
      <c r="Y289" s="86" t="n"/>
    </row>
    <row r="290" ht="20" customHeight="1" s="1">
      <c r="A290" s="5" t="n">
        <v>20</v>
      </c>
      <c r="B290" s="5" t="inlineStr">
        <is>
          <t>010401003001</t>
        </is>
      </c>
      <c r="C290" s="5" t="inlineStr">
        <is>
          <t>实心砖墙</t>
        </is>
      </c>
      <c r="D290" s="5" t="inlineStr">
        <is>
          <t>1.轻质砖
2.墙体类型:内墙
3.120
4.砂浆强度等级、配合比:DMM5专用砌筑砂浆</t>
        </is>
      </c>
      <c r="E290" s="5" t="inlineStr">
        <is>
          <t>m3</t>
        </is>
      </c>
      <c r="F290" s="6" t="n">
        <v>5.6117</v>
      </c>
      <c r="G290" s="74" t="n">
        <v>5.61</v>
      </c>
      <c r="H290" s="82" t="n">
        <v>3.93</v>
      </c>
      <c r="I290" s="74">
        <f>G290-F290</f>
        <v/>
      </c>
      <c r="J290" s="74">
        <f>H290-F290</f>
        <v/>
      </c>
      <c r="K290" s="74">
        <f>+H290-G290</f>
        <v/>
      </c>
      <c r="L290" s="55">
        <f>I290/F290</f>
        <v/>
      </c>
      <c r="M290" s="6" t="n">
        <v>586.04</v>
      </c>
      <c r="N290" s="6" t="n">
        <v>735.46</v>
      </c>
      <c r="O290" s="55">
        <f>(M290-N290)/N290</f>
        <v/>
      </c>
      <c r="P290" s="74">
        <f>N290*0.9056*0.85</f>
        <v/>
      </c>
      <c r="Q290" s="74">
        <f>N290*1.15</f>
        <v/>
      </c>
      <c r="R290" s="74">
        <f>IF(M290&lt;N290*0.9056*0.85,N290*0.9056*0.85,IF(M290&gt;N290*1.15,N290*1.15,M290))</f>
        <v/>
      </c>
      <c r="S290" s="74">
        <f>+F290*M290</f>
        <v/>
      </c>
      <c r="T290" s="74">
        <f>S290+R290*I290</f>
        <v/>
      </c>
      <c r="U290" s="82">
        <f>S290+R290*J290</f>
        <v/>
      </c>
      <c r="V290" s="74">
        <f>U290-S290</f>
        <v/>
      </c>
      <c r="W290" s="82">
        <f>+U290-T290</f>
        <v/>
      </c>
      <c r="X290" s="83">
        <f>+U290-T290</f>
        <v/>
      </c>
      <c r="Y290" s="5" t="n"/>
    </row>
    <row r="291" ht="20" customHeight="1" s="1">
      <c r="A291" s="5" t="n"/>
      <c r="B291" s="5" t="n"/>
      <c r="C291" s="5" t="inlineStr">
        <is>
          <t>混凝土及钢筋混凝土工程</t>
        </is>
      </c>
      <c r="D291" s="5" t="n"/>
      <c r="E291" s="5" t="n"/>
      <c r="F291" s="6" t="n"/>
      <c r="G291" s="74" t="n"/>
      <c r="H291" s="81" t="n"/>
      <c r="I291" s="74" t="n"/>
      <c r="J291" s="74" t="n"/>
      <c r="K291" s="74" t="n"/>
      <c r="L291" s="55" t="n"/>
      <c r="M291" s="6" t="n"/>
      <c r="N291" s="6" t="n"/>
      <c r="O291" s="6" t="n"/>
      <c r="P291" s="6" t="n"/>
      <c r="Q291" s="6" t="n"/>
      <c r="R291" s="74" t="n"/>
      <c r="S291" s="74">
        <f>+SUM(S292:S322)</f>
        <v/>
      </c>
      <c r="T291" s="74">
        <f>+SUM(T292:T322)</f>
        <v/>
      </c>
      <c r="U291" s="82">
        <f>SUM(U292:U322)</f>
        <v/>
      </c>
      <c r="V291" s="74">
        <f>U291-S291</f>
        <v/>
      </c>
      <c r="W291" s="82">
        <f>+U291-T291</f>
        <v/>
      </c>
      <c r="X291" s="83">
        <f>U291-T291</f>
        <v/>
      </c>
      <c r="Y291" s="5" t="n"/>
    </row>
    <row r="292" ht="20" customHeight="1" s="1">
      <c r="A292" s="86" t="n">
        <v>21</v>
      </c>
      <c r="B292" s="86" t="inlineStr">
        <is>
          <t>010501001002</t>
        </is>
      </c>
      <c r="C292" s="86" t="inlineStr">
        <is>
          <t>垫层</t>
        </is>
      </c>
      <c r="D292" s="86" t="inlineStr">
        <is>
          <t>1.垫层
2.混凝土种类:预拌混凝土
3.混凝土强度等级:C15
4.含混凝土泵送费用</t>
        </is>
      </c>
      <c r="E292" s="86" t="inlineStr">
        <is>
          <t>m3</t>
        </is>
      </c>
      <c r="F292" s="87" t="n">
        <v>214.32</v>
      </c>
      <c r="G292" s="88" t="n">
        <v>218.67</v>
      </c>
      <c r="H292" s="82" t="n">
        <v>218.67</v>
      </c>
      <c r="I292" s="88">
        <f>G292-F292</f>
        <v/>
      </c>
      <c r="J292" s="88">
        <f>H292-F292</f>
        <v/>
      </c>
      <c r="K292" s="88">
        <f>+H292-G292</f>
        <v/>
      </c>
      <c r="L292" s="89">
        <f>I292/F292</f>
        <v/>
      </c>
      <c r="M292" s="87" t="n">
        <v>626.1799999999999</v>
      </c>
      <c r="N292" s="87" t="n">
        <v>830</v>
      </c>
      <c r="O292" s="89">
        <f>(M292-N292)/N292</f>
        <v/>
      </c>
      <c r="P292" s="88">
        <f>N292*0.9056*0.85</f>
        <v/>
      </c>
      <c r="Q292" s="88">
        <f>N292*1.15</f>
        <v/>
      </c>
      <c r="R292" s="88">
        <f>IF(M292&lt;N292*0.9056*0.85,N292*0.9056*0.85,IF(M292&gt;N292*1.15,N292*1.15,M292))</f>
        <v/>
      </c>
      <c r="S292" s="88">
        <f>+F292*M292</f>
        <v/>
      </c>
      <c r="T292" s="88">
        <f>S292+R292*I292</f>
        <v/>
      </c>
      <c r="U292" s="82">
        <f>S292+R292*J292</f>
        <v/>
      </c>
      <c r="V292" s="74">
        <f>U292-S292</f>
        <v/>
      </c>
      <c r="W292" s="82">
        <f>+U292-T292</f>
        <v/>
      </c>
      <c r="X292" s="83">
        <f>+U292-T292</f>
        <v/>
      </c>
      <c r="Y292" s="86" t="n"/>
    </row>
    <row r="293" ht="20" customHeight="1" s="1">
      <c r="A293" s="86" t="n">
        <v>22</v>
      </c>
      <c r="B293" s="86" t="inlineStr">
        <is>
          <t>010501005001</t>
        </is>
      </c>
      <c r="C293" s="86" t="inlineStr">
        <is>
          <t>桩承台基础</t>
        </is>
      </c>
      <c r="D293" s="86" t="inlineStr">
        <is>
          <t>1.桩承台
2.混凝土种类:预拌混凝土
3.混凝土强度等级:C35
4.含混凝土泵送费用</t>
        </is>
      </c>
      <c r="E293" s="86" t="inlineStr">
        <is>
          <t>m3</t>
        </is>
      </c>
      <c r="F293" s="87" t="n">
        <v>207.67</v>
      </c>
      <c r="G293" s="88" t="n">
        <v>302.65</v>
      </c>
      <c r="H293" s="82">
        <f>202.46+85.77</f>
        <v/>
      </c>
      <c r="I293" s="88">
        <f>G293-F293</f>
        <v/>
      </c>
      <c r="J293" s="88">
        <f>H293-F293</f>
        <v/>
      </c>
      <c r="K293" s="88">
        <f>+H293-G293</f>
        <v/>
      </c>
      <c r="L293" s="89">
        <f>I293/F293</f>
        <v/>
      </c>
      <c r="M293" s="87" t="n">
        <v>687.16</v>
      </c>
      <c r="N293" s="87" t="n">
        <v>861.01</v>
      </c>
      <c r="O293" s="89">
        <f>(M293-N293)/N293</f>
        <v/>
      </c>
      <c r="P293" s="88">
        <f>N293*0.9056*0.85</f>
        <v/>
      </c>
      <c r="Q293" s="88">
        <f>N293*1.15</f>
        <v/>
      </c>
      <c r="R293" s="88">
        <f>IF(M293&lt;N293*0.9056*0.85,N293*0.9056*0.85,IF(M293&gt;N293*1.15,N293*1.15,M293))</f>
        <v/>
      </c>
      <c r="S293" s="88">
        <f>+F293*M293</f>
        <v/>
      </c>
      <c r="T293" s="88">
        <f>S293+R293*I293</f>
        <v/>
      </c>
      <c r="U293" s="82">
        <f>S293+R293*J293</f>
        <v/>
      </c>
      <c r="V293" s="74">
        <f>U293-S293</f>
        <v/>
      </c>
      <c r="W293" s="82">
        <f>+U293-T293</f>
        <v/>
      </c>
      <c r="X293" s="83">
        <f>+U293-T293</f>
        <v/>
      </c>
      <c r="Y293" s="86" t="n"/>
    </row>
    <row r="294" ht="20" customHeight="1" s="1">
      <c r="A294" s="5" t="n">
        <v>23</v>
      </c>
      <c r="B294" s="5" t="inlineStr">
        <is>
          <t>010503001001</t>
        </is>
      </c>
      <c r="C294" s="5" t="inlineStr">
        <is>
          <t>基础梁</t>
        </is>
      </c>
      <c r="D294" s="5" t="inlineStr">
        <is>
          <t>1.基础梁
2.混凝土种类:预拌混凝土
3.混凝土强度等级:C35
4.含混凝土泵送费用</t>
        </is>
      </c>
      <c r="E294" s="5" t="inlineStr">
        <is>
          <t>m3</t>
        </is>
      </c>
      <c r="F294" s="6" t="n">
        <v>147.955</v>
      </c>
      <c r="G294" s="74" t="n">
        <v>129.16</v>
      </c>
      <c r="H294" s="82" t="n">
        <v>129.16</v>
      </c>
      <c r="I294" s="74">
        <f>G294-F294</f>
        <v/>
      </c>
      <c r="J294" s="74">
        <f>H294-F294</f>
        <v/>
      </c>
      <c r="K294" s="74">
        <f>+H294-G294</f>
        <v/>
      </c>
      <c r="L294" s="55">
        <f>I294/F294</f>
        <v/>
      </c>
      <c r="M294" s="6" t="n">
        <v>679.67</v>
      </c>
      <c r="N294" s="6" t="n">
        <v>853.6900000000001</v>
      </c>
      <c r="O294" s="55">
        <f>(M294-N294)/N294</f>
        <v/>
      </c>
      <c r="P294" s="74">
        <f>N294*0.9056*0.85</f>
        <v/>
      </c>
      <c r="Q294" s="74">
        <f>N294*1.15</f>
        <v/>
      </c>
      <c r="R294" s="74">
        <f>IF(M294&lt;N294*0.9056*0.85,N294*0.9056*0.85,IF(M294&gt;N294*1.15,N294*1.15,M294))</f>
        <v/>
      </c>
      <c r="S294" s="74">
        <f>+F294*M294</f>
        <v/>
      </c>
      <c r="T294" s="74">
        <f>S294+R294*I294</f>
        <v/>
      </c>
      <c r="U294" s="82">
        <f>S294+R294*J294</f>
        <v/>
      </c>
      <c r="V294" s="74">
        <f>U294-S294</f>
        <v/>
      </c>
      <c r="W294" s="82">
        <f>+U294-T294</f>
        <v/>
      </c>
      <c r="X294" s="83">
        <f>+U294-T294</f>
        <v/>
      </c>
      <c r="Y294" s="5" t="n"/>
    </row>
    <row r="295" ht="20" customHeight="1" s="1">
      <c r="A295" s="5" t="n">
        <v>24</v>
      </c>
      <c r="B295" s="5" t="inlineStr">
        <is>
          <t>010501004002</t>
        </is>
      </c>
      <c r="C295" s="5" t="inlineStr">
        <is>
          <t>满堂基础</t>
        </is>
      </c>
      <c r="D295" s="5" t="inlineStr">
        <is>
          <t>1.满堂基础
2.预拌混凝土
3.混凝土强度等级:C35
4.含混凝土泵送费用</t>
        </is>
      </c>
      <c r="E295" s="5" t="inlineStr">
        <is>
          <t>m3</t>
        </is>
      </c>
      <c r="F295" s="6" t="n">
        <v>190.44</v>
      </c>
      <c r="G295" s="74" t="n">
        <v>218.73</v>
      </c>
      <c r="H295" s="82" t="n">
        <v>208.31</v>
      </c>
      <c r="I295" s="74">
        <f>G295-F295</f>
        <v/>
      </c>
      <c r="J295" s="74">
        <f>H295-F295</f>
        <v/>
      </c>
      <c r="K295" s="74">
        <f>+H295-G295</f>
        <v/>
      </c>
      <c r="L295" s="55">
        <f>I295/F295</f>
        <v/>
      </c>
      <c r="M295" s="6" t="n">
        <v>686.38</v>
      </c>
      <c r="N295" s="6" t="n">
        <v>909.17</v>
      </c>
      <c r="O295" s="55">
        <f>(M295-N295)/N295</f>
        <v/>
      </c>
      <c r="P295" s="74">
        <f>N295*0.9056*0.85</f>
        <v/>
      </c>
      <c r="Q295" s="74">
        <f>N295*1.15</f>
        <v/>
      </c>
      <c r="R295" s="74">
        <f>IF(M295&lt;N295*0.9056*0.85,N295*0.9056*0.85,IF(M295&gt;N295*1.15,N295*1.15,M295))</f>
        <v/>
      </c>
      <c r="S295" s="74">
        <f>+F295*M295</f>
        <v/>
      </c>
      <c r="T295" s="74">
        <f>S295+R295*I295</f>
        <v/>
      </c>
      <c r="U295" s="82">
        <f>S295+R295*J295</f>
        <v/>
      </c>
      <c r="V295" s="74">
        <f>U295-S295</f>
        <v/>
      </c>
      <c r="W295" s="82">
        <f>+U295-T295</f>
        <v/>
      </c>
      <c r="X295" s="83">
        <f>+U295-T295</f>
        <v/>
      </c>
      <c r="Y295" s="5" t="n"/>
    </row>
    <row r="296" ht="20" customHeight="1" s="1">
      <c r="A296" s="5" t="n">
        <v>25</v>
      </c>
      <c r="B296" s="5" t="inlineStr">
        <is>
          <t>010502001002</t>
        </is>
      </c>
      <c r="C296" s="5" t="inlineStr">
        <is>
          <t>矩形柱</t>
        </is>
      </c>
      <c r="D296" s="5" t="inlineStr">
        <is>
          <t>1.现浇建筑物混凝土矩形柱
2.混凝土种类:预拌混凝土
3.混凝土强度等级:C40
4.含混凝土泵送费用</t>
        </is>
      </c>
      <c r="E296" s="5" t="inlineStr">
        <is>
          <t>m3</t>
        </is>
      </c>
      <c r="F296" s="6" t="n">
        <v>191.488</v>
      </c>
      <c r="G296" s="74" t="n">
        <v>184.33</v>
      </c>
      <c r="H296" s="82" t="n">
        <v>175.55</v>
      </c>
      <c r="I296" s="74">
        <f>G296-F296</f>
        <v/>
      </c>
      <c r="J296" s="74">
        <f>H296-F296</f>
        <v/>
      </c>
      <c r="K296" s="74">
        <f>+H296-G296</f>
        <v/>
      </c>
      <c r="L296" s="55">
        <f>I296/F296</f>
        <v/>
      </c>
      <c r="M296" s="6" t="n">
        <v>787.99</v>
      </c>
      <c r="N296" s="6" t="n">
        <v>990.83</v>
      </c>
      <c r="O296" s="55">
        <f>(M296-N296)/N296</f>
        <v/>
      </c>
      <c r="P296" s="74">
        <f>N296*0.9056*0.85</f>
        <v/>
      </c>
      <c r="Q296" s="74">
        <f>N296*1.15</f>
        <v/>
      </c>
      <c r="R296" s="74">
        <f>IF(M296&lt;N296*0.9056*0.85,N296*0.9056*0.85,IF(M296&gt;N296*1.15,N296*1.15,M296))</f>
        <v/>
      </c>
      <c r="S296" s="74">
        <f>+F296*M296</f>
        <v/>
      </c>
      <c r="T296" s="74">
        <f>S296+R296*I296</f>
        <v/>
      </c>
      <c r="U296" s="82">
        <f>S296+R296*J296</f>
        <v/>
      </c>
      <c r="V296" s="74">
        <f>U296-S296</f>
        <v/>
      </c>
      <c r="W296" s="82">
        <f>+U296-T296</f>
        <v/>
      </c>
      <c r="X296" s="83">
        <f>+U296-T296</f>
        <v/>
      </c>
      <c r="Y296" s="5" t="n"/>
    </row>
    <row r="297" ht="20" customHeight="1" s="1">
      <c r="A297" s="5" t="n">
        <v>26</v>
      </c>
      <c r="B297" s="5" t="inlineStr">
        <is>
          <t>010502001006</t>
        </is>
      </c>
      <c r="C297" s="5" t="inlineStr">
        <is>
          <t>矩形柱</t>
        </is>
      </c>
      <c r="D297" s="5" t="inlineStr">
        <is>
          <t>1.现浇建筑物混凝土矩形柱
2.混凝土种类:预拌混凝土
3.混凝土强度等级:C35
4.含混凝土泵送费用</t>
        </is>
      </c>
      <c r="E297" s="5" t="inlineStr">
        <is>
          <t>m3</t>
        </is>
      </c>
      <c r="F297" s="6" t="n">
        <v>133.32</v>
      </c>
      <c r="G297" s="74" t="n">
        <v>140.88</v>
      </c>
      <c r="H297" s="82" t="n">
        <v>134.17</v>
      </c>
      <c r="I297" s="74">
        <f>G297-F297</f>
        <v/>
      </c>
      <c r="J297" s="74">
        <f>H297-F297</f>
        <v/>
      </c>
      <c r="K297" s="74">
        <f>+H297-G297</f>
        <v/>
      </c>
      <c r="L297" s="55">
        <f>I297/F297</f>
        <v/>
      </c>
      <c r="M297" s="6" t="n">
        <v>777.84</v>
      </c>
      <c r="N297" s="6" t="n">
        <v>975.54</v>
      </c>
      <c r="O297" s="55">
        <f>(M297-N297)/N297</f>
        <v/>
      </c>
      <c r="P297" s="74">
        <f>N297*0.9056*0.85</f>
        <v/>
      </c>
      <c r="Q297" s="74">
        <f>N297*1.15</f>
        <v/>
      </c>
      <c r="R297" s="74">
        <f>IF(M297&lt;N297*0.9056*0.85,N297*0.9056*0.85,IF(M297&gt;N297*1.15,N297*1.15,M297))</f>
        <v/>
      </c>
      <c r="S297" s="74">
        <f>+F297*M297</f>
        <v/>
      </c>
      <c r="T297" s="74">
        <f>S297+R297*I297</f>
        <v/>
      </c>
      <c r="U297" s="82">
        <f>S297+R297*J297</f>
        <v/>
      </c>
      <c r="V297" s="74">
        <f>U297-S297</f>
        <v/>
      </c>
      <c r="W297" s="82">
        <f>+U297-T297</f>
        <v/>
      </c>
      <c r="X297" s="83">
        <f>+U297-T297</f>
        <v/>
      </c>
      <c r="Y297" s="5" t="n"/>
    </row>
    <row r="298" ht="20" customHeight="1" s="1">
      <c r="A298" s="86" t="n">
        <v>27</v>
      </c>
      <c r="B298" s="86" t="inlineStr">
        <is>
          <t>010502001004</t>
        </is>
      </c>
      <c r="C298" s="86" t="inlineStr">
        <is>
          <t>矩形柱</t>
        </is>
      </c>
      <c r="D298" s="86" t="inlineStr">
        <is>
          <t>1.现浇建筑物混凝土矩形柱
2.混凝土种类:预拌混凝土
3.混凝土强度等级:C30
4.含混凝土泵送费用</t>
        </is>
      </c>
      <c r="E298" s="86" t="inlineStr">
        <is>
          <t>m3</t>
        </is>
      </c>
      <c r="F298" s="87" t="n">
        <v>167.06</v>
      </c>
      <c r="G298" s="88" t="n">
        <v>195.11</v>
      </c>
      <c r="H298" s="82" t="n">
        <v>185.82</v>
      </c>
      <c r="I298" s="88">
        <f>G298-F298</f>
        <v/>
      </c>
      <c r="J298" s="88">
        <f>H298-F298</f>
        <v/>
      </c>
      <c r="K298" s="88">
        <f>+H298-G298</f>
        <v/>
      </c>
      <c r="L298" s="89">
        <f>I298/F298</f>
        <v/>
      </c>
      <c r="M298" s="87" t="n">
        <v>767.6900000000001</v>
      </c>
      <c r="N298" s="87" t="n">
        <v>959.74</v>
      </c>
      <c r="O298" s="89">
        <f>(M298-N298)/N298</f>
        <v/>
      </c>
      <c r="P298" s="88">
        <f>N298*0.9056*0.85</f>
        <v/>
      </c>
      <c r="Q298" s="88">
        <f>N298*1.15</f>
        <v/>
      </c>
      <c r="R298" s="88">
        <f>IF(M298&lt;N298*0.9056*0.85,N298*0.9056*0.85,IF(M298&gt;N298*1.15,N298*1.15,M298))</f>
        <v/>
      </c>
      <c r="S298" s="88">
        <f>+F298*M298</f>
        <v/>
      </c>
      <c r="T298" s="88">
        <f>S298+R298*I298</f>
        <v/>
      </c>
      <c r="U298" s="82">
        <f>S298+R298*J298</f>
        <v/>
      </c>
      <c r="V298" s="74">
        <f>U298-S298</f>
        <v/>
      </c>
      <c r="W298" s="82">
        <f>+U298-T298</f>
        <v/>
      </c>
      <c r="X298" s="83">
        <f>+U298-T298</f>
        <v/>
      </c>
      <c r="Y298" s="86" t="n"/>
    </row>
    <row r="299" ht="20" customHeight="1" s="1">
      <c r="A299" s="5" t="n">
        <v>28</v>
      </c>
      <c r="B299" s="5" t="inlineStr">
        <is>
          <t>010502001007</t>
        </is>
      </c>
      <c r="C299" s="5" t="inlineStr">
        <is>
          <t>异形柱</t>
        </is>
      </c>
      <c r="D299" s="5" t="inlineStr">
        <is>
          <t>1.现浇建筑物混凝土异形柱
2.混凝土种类:预拌混凝土
3.混凝土强度等级:C40
4.含混凝土泵送费用</t>
        </is>
      </c>
      <c r="E299" s="5" t="inlineStr">
        <is>
          <t>m3</t>
        </is>
      </c>
      <c r="F299" s="6" t="n">
        <v>43.022</v>
      </c>
      <c r="G299" s="74" t="n">
        <v>57.83</v>
      </c>
      <c r="H299" s="82" t="n">
        <v>57.83</v>
      </c>
      <c r="I299" s="74">
        <f>G299-F299</f>
        <v/>
      </c>
      <c r="J299" s="74">
        <f>H299-F299</f>
        <v/>
      </c>
      <c r="K299" s="74">
        <f>+H299-G299</f>
        <v/>
      </c>
      <c r="L299" s="55">
        <f>I299/F299</f>
        <v/>
      </c>
      <c r="M299" s="6" t="n">
        <v>787.99</v>
      </c>
      <c r="N299" s="6" t="n">
        <v>990.83</v>
      </c>
      <c r="O299" s="55">
        <f>(M299-N299)/N299</f>
        <v/>
      </c>
      <c r="P299" s="74">
        <f>N299*0.9056*0.85</f>
        <v/>
      </c>
      <c r="Q299" s="74">
        <f>N299*1.15</f>
        <v/>
      </c>
      <c r="R299" s="74">
        <f>IF(M299&lt;N299*0.9056*0.85,N299*0.9056*0.85,IF(M299&gt;N299*1.15,N299*1.15,M299))</f>
        <v/>
      </c>
      <c r="S299" s="74">
        <f>+F299*M299</f>
        <v/>
      </c>
      <c r="T299" s="74">
        <f>S299+R299*I299</f>
        <v/>
      </c>
      <c r="U299" s="82">
        <f>S299+R299*J299</f>
        <v/>
      </c>
      <c r="V299" s="74">
        <f>U299-S299</f>
        <v/>
      </c>
      <c r="W299" s="82">
        <f>+U299-T299</f>
        <v/>
      </c>
      <c r="X299" s="83">
        <f>+U299-T299</f>
        <v/>
      </c>
      <c r="Y299" s="5" t="n"/>
    </row>
    <row r="300" ht="20" customHeight="1" s="1">
      <c r="A300" s="5" t="n">
        <v>29</v>
      </c>
      <c r="B300" s="5" t="inlineStr">
        <is>
          <t>010502001008</t>
        </is>
      </c>
      <c r="C300" s="5" t="inlineStr">
        <is>
          <t>异形柱</t>
        </is>
      </c>
      <c r="D300" s="5" t="inlineStr">
        <is>
          <t>1.现浇建筑物混凝土异形柱
2.混凝土种类:预拌混凝土
3.混凝土强度等级:C35
4.含混凝土泵送费用</t>
        </is>
      </c>
      <c r="E300" s="5" t="inlineStr">
        <is>
          <t>m3</t>
        </is>
      </c>
      <c r="F300" s="6" t="n">
        <v>18.55</v>
      </c>
      <c r="G300" s="74" t="n">
        <v>12.89</v>
      </c>
      <c r="H300" s="82" t="n">
        <v>12.89</v>
      </c>
      <c r="I300" s="74">
        <f>G300-F300</f>
        <v/>
      </c>
      <c r="J300" s="74">
        <f>H300-F300</f>
        <v/>
      </c>
      <c r="K300" s="74">
        <f>+H300-G300</f>
        <v/>
      </c>
      <c r="L300" s="55">
        <f>I300/F300</f>
        <v/>
      </c>
      <c r="M300" s="6" t="n">
        <v>777.84</v>
      </c>
      <c r="N300" s="6" t="n">
        <v>975.54</v>
      </c>
      <c r="O300" s="55">
        <f>(M300-N300)/N300</f>
        <v/>
      </c>
      <c r="P300" s="74">
        <f>N300*0.9056*0.85</f>
        <v/>
      </c>
      <c r="Q300" s="74">
        <f>N300*1.15</f>
        <v/>
      </c>
      <c r="R300" s="74">
        <f>IF(M300&lt;N300*0.9056*0.85,N300*0.9056*0.85,IF(M300&gt;N300*1.15,N300*1.15,M300))</f>
        <v/>
      </c>
      <c r="S300" s="74">
        <f>+F300*M300</f>
        <v/>
      </c>
      <c r="T300" s="74">
        <f>S300+R300*I300</f>
        <v/>
      </c>
      <c r="U300" s="82">
        <f>S300+R300*J300</f>
        <v/>
      </c>
      <c r="V300" s="74">
        <f>U300-S300</f>
        <v/>
      </c>
      <c r="W300" s="82">
        <f>+U300-T300</f>
        <v/>
      </c>
      <c r="X300" s="83">
        <f>+U300-T300</f>
        <v/>
      </c>
      <c r="Y300" s="5" t="n"/>
    </row>
    <row r="301" ht="20" customHeight="1" s="1">
      <c r="A301" s="5" t="n">
        <v>30</v>
      </c>
      <c r="B301" s="5" t="inlineStr">
        <is>
          <t>010502002001</t>
        </is>
      </c>
      <c r="C301" s="5" t="inlineStr">
        <is>
          <t>构造柱</t>
        </is>
      </c>
      <c r="D301" s="5" t="inlineStr">
        <is>
          <t>1.构造柱
2.混凝土种类:预拌混凝土
3.混凝土强度等级:C25</t>
        </is>
      </c>
      <c r="E301" s="5" t="inlineStr">
        <is>
          <t>m3</t>
        </is>
      </c>
      <c r="F301" s="6" t="n">
        <v>142.86</v>
      </c>
      <c r="G301" s="74" t="n">
        <v>142.86</v>
      </c>
      <c r="H301" s="82" t="n">
        <v>130.02</v>
      </c>
      <c r="I301" s="74">
        <f>G301-F301</f>
        <v/>
      </c>
      <c r="J301" s="74">
        <f>H301-F301</f>
        <v/>
      </c>
      <c r="K301" s="74">
        <f>+H301-G301</f>
        <v/>
      </c>
      <c r="L301" s="55">
        <f>I301/F301</f>
        <v/>
      </c>
      <c r="M301" s="6" t="n">
        <v>820.9400000000001</v>
      </c>
      <c r="N301" s="6" t="n">
        <v>1006.12</v>
      </c>
      <c r="O301" s="55">
        <f>(M301-N301)/N301</f>
        <v/>
      </c>
      <c r="P301" s="74">
        <f>N301*0.9056*0.85</f>
        <v/>
      </c>
      <c r="Q301" s="74">
        <f>N301*1.15</f>
        <v/>
      </c>
      <c r="R301" s="74">
        <f>IF(M301&lt;N301*0.9056*0.85,N301*0.9056*0.85,IF(M301&gt;N301*1.15,N301*1.15,M301))</f>
        <v/>
      </c>
      <c r="S301" s="74">
        <f>+F301*M301</f>
        <v/>
      </c>
      <c r="T301" s="74">
        <f>S301+R301*I301</f>
        <v/>
      </c>
      <c r="U301" s="82">
        <f>S301+R301*J301</f>
        <v/>
      </c>
      <c r="V301" s="74">
        <f>U301-S301</f>
        <v/>
      </c>
      <c r="W301" s="82">
        <f>+U301-T301</f>
        <v/>
      </c>
      <c r="X301" s="83">
        <f>+U301-T301</f>
        <v/>
      </c>
      <c r="Y301" s="5" t="n"/>
    </row>
    <row r="302" ht="20" customHeight="1" s="1">
      <c r="A302" s="5" t="n">
        <v>31</v>
      </c>
      <c r="B302" s="5" t="inlineStr">
        <is>
          <t>010504001001</t>
        </is>
      </c>
      <c r="C302" s="5" t="inlineStr">
        <is>
          <t>直形墙</t>
        </is>
      </c>
      <c r="D302" s="5" t="inlineStr">
        <is>
          <t>1.装饰墙
2.混凝土种类:预拌混凝土
3.混凝土强度等级:C25
4.含混凝土泵送费用</t>
        </is>
      </c>
      <c r="E302" s="5" t="inlineStr">
        <is>
          <t>m3</t>
        </is>
      </c>
      <c r="F302" s="6" t="n">
        <v>112.42</v>
      </c>
      <c r="G302" s="74" t="n">
        <v>116.14</v>
      </c>
      <c r="H302" s="82" t="n">
        <v>116.14</v>
      </c>
      <c r="I302" s="74">
        <f>G302-F302</f>
        <v/>
      </c>
      <c r="J302" s="74">
        <f>H302-F302</f>
        <v/>
      </c>
      <c r="K302" s="74">
        <f>+H302-G302</f>
        <v/>
      </c>
      <c r="L302" s="55">
        <f>I302/F302</f>
        <v/>
      </c>
      <c r="M302" s="6" t="n">
        <v>688.86</v>
      </c>
      <c r="N302" s="6" t="n">
        <v>830.73</v>
      </c>
      <c r="O302" s="55">
        <f>(M302-N302)/N302</f>
        <v/>
      </c>
      <c r="P302" s="74">
        <f>N302*0.9056*0.85</f>
        <v/>
      </c>
      <c r="Q302" s="74">
        <f>N302*1.15</f>
        <v/>
      </c>
      <c r="R302" s="74">
        <f>IF(M302&lt;N302*0.9056*0.85,N302*0.9056*0.85,IF(M302&gt;N302*1.15,N302*1.15,M302))</f>
        <v/>
      </c>
      <c r="S302" s="74">
        <f>+F302*M302</f>
        <v/>
      </c>
      <c r="T302" s="74">
        <f>S302+R302*I302</f>
        <v/>
      </c>
      <c r="U302" s="82">
        <f>S302+R302*J302</f>
        <v/>
      </c>
      <c r="V302" s="74">
        <f>U302-S302</f>
        <v/>
      </c>
      <c r="W302" s="82">
        <f>+U302-T302</f>
        <v/>
      </c>
      <c r="X302" s="83">
        <f>+U302-T302</f>
        <v/>
      </c>
      <c r="Y302" s="5" t="n"/>
    </row>
    <row r="303" ht="20" customHeight="1" s="1">
      <c r="A303" s="5" t="n">
        <v>32</v>
      </c>
      <c r="B303" s="5" t="inlineStr">
        <is>
          <t>010504001002</t>
        </is>
      </c>
      <c r="C303" s="5" t="inlineStr">
        <is>
          <t>直形墙</t>
        </is>
      </c>
      <c r="D303" s="5" t="inlineStr">
        <is>
          <t>1.电梯井
2.混凝土种类:预拌混凝土
3.混凝土强度等级:C30
4.含混凝土泵送费用</t>
        </is>
      </c>
      <c r="E303" s="5" t="inlineStr">
        <is>
          <t>m3</t>
        </is>
      </c>
      <c r="F303" s="6" t="n">
        <v>1.118</v>
      </c>
      <c r="G303" s="74" t="n">
        <v>2.43</v>
      </c>
      <c r="H303" s="82" t="n">
        <v>2.31</v>
      </c>
      <c r="I303" s="74">
        <f>G303-F303</f>
        <v/>
      </c>
      <c r="J303" s="74">
        <f>H303-F303</f>
        <v/>
      </c>
      <c r="K303" s="74">
        <f>+H303-G303</f>
        <v/>
      </c>
      <c r="L303" s="55">
        <f>I303/F303</f>
        <v/>
      </c>
      <c r="M303" s="6" t="n">
        <v>699.01</v>
      </c>
      <c r="N303" s="6" t="n">
        <v>882.4400000000001</v>
      </c>
      <c r="O303" s="55">
        <f>(M303-N303)/N303</f>
        <v/>
      </c>
      <c r="P303" s="74">
        <f>N303*0.9056*0.85</f>
        <v/>
      </c>
      <c r="Q303" s="74">
        <f>N303*1.15</f>
        <v/>
      </c>
      <c r="R303" s="74">
        <f>IF(M303&lt;N303*0.9056*0.85,N303*0.9056*0.85,IF(M303&gt;N303*1.15,N303*1.15,M303))</f>
        <v/>
      </c>
      <c r="S303" s="74">
        <f>+F303*M303</f>
        <v/>
      </c>
      <c r="T303" s="74">
        <f>S303+R303*I303</f>
        <v/>
      </c>
      <c r="U303" s="82">
        <f>S303+R303*J303</f>
        <v/>
      </c>
      <c r="V303" s="74">
        <f>U303-S303</f>
        <v/>
      </c>
      <c r="W303" s="82">
        <f>+U303-T303</f>
        <v/>
      </c>
      <c r="X303" s="83">
        <f>+U303-T303</f>
        <v/>
      </c>
      <c r="Y303" s="5" t="n"/>
    </row>
    <row r="304" ht="20" customHeight="1" s="1">
      <c r="A304" s="5" t="n">
        <v>33</v>
      </c>
      <c r="B304" s="5" t="inlineStr">
        <is>
          <t>010505001002</t>
        </is>
      </c>
      <c r="C304" s="5" t="inlineStr">
        <is>
          <t>有梁板</t>
        </is>
      </c>
      <c r="D304" s="5" t="inlineStr">
        <is>
          <t>1.有梁板
2.混凝土种类:预拌混凝土
3.混凝土强度等级:C30
4.含混凝土泵送费用</t>
        </is>
      </c>
      <c r="E304" s="5" t="inlineStr">
        <is>
          <t>m3</t>
        </is>
      </c>
      <c r="F304" s="6" t="n">
        <v>1987.3127</v>
      </c>
      <c r="G304" s="74" t="n">
        <v>2199.78</v>
      </c>
      <c r="H304" s="82">
        <f>2342.86-H305</f>
        <v/>
      </c>
      <c r="I304" s="74">
        <f>G304-F304</f>
        <v/>
      </c>
      <c r="J304" s="74">
        <f>H304-F304</f>
        <v/>
      </c>
      <c r="K304" s="74">
        <f>+H304-G304</f>
        <v/>
      </c>
      <c r="L304" s="55">
        <f>I304/F304</f>
        <v/>
      </c>
      <c r="M304" s="6" t="n">
        <v>674.8</v>
      </c>
      <c r="N304" s="6" t="n">
        <v>855.35</v>
      </c>
      <c r="O304" s="55">
        <f>(M304-N304)/N304</f>
        <v/>
      </c>
      <c r="P304" s="74">
        <f>N304*0.9056*0.85</f>
        <v/>
      </c>
      <c r="Q304" s="74">
        <f>N304*1.15</f>
        <v/>
      </c>
      <c r="R304" s="74">
        <f>IF(M304&lt;N304*0.9056*0.85,N304*0.9056*0.85,IF(M304&gt;N304*1.15,N304*1.15,M304))</f>
        <v/>
      </c>
      <c r="S304" s="74">
        <f>+F304*M304</f>
        <v/>
      </c>
      <c r="T304" s="74">
        <f>S304+R304*I304</f>
        <v/>
      </c>
      <c r="U304" s="82">
        <f>S304+R304*J304</f>
        <v/>
      </c>
      <c r="V304" s="74">
        <f>U304-S304</f>
        <v/>
      </c>
      <c r="W304" s="82">
        <f>+U304-T304</f>
        <v/>
      </c>
      <c r="X304" s="83">
        <f>+U304-T304</f>
        <v/>
      </c>
      <c r="Y304" s="5" t="n"/>
    </row>
    <row r="305" ht="20" customHeight="1" s="1">
      <c r="A305" s="5" t="n">
        <v>34</v>
      </c>
      <c r="B305" s="5" t="inlineStr">
        <is>
          <t>010505001004</t>
        </is>
      </c>
      <c r="C305" s="5" t="inlineStr">
        <is>
          <t>有梁板（斜板）</t>
        </is>
      </c>
      <c r="D305" s="5" t="inlineStr">
        <is>
          <t>1.有梁板
2.混凝土种类:预拌混凝土
3.混凝土强度等级:C30
4.含混凝土泵送费用</t>
        </is>
      </c>
      <c r="E305" s="5" t="inlineStr">
        <is>
          <t>m3</t>
        </is>
      </c>
      <c r="F305" s="6" t="n">
        <v>325.8433</v>
      </c>
      <c r="G305" s="74" t="n">
        <v>272.63</v>
      </c>
      <c r="H305" s="82" t="n">
        <v>272.63</v>
      </c>
      <c r="I305" s="74">
        <f>G305-F305</f>
        <v/>
      </c>
      <c r="J305" s="74">
        <f>H305-F305</f>
        <v/>
      </c>
      <c r="K305" s="74">
        <f>+H305-G305</f>
        <v/>
      </c>
      <c r="L305" s="55">
        <f>I305/F305</f>
        <v/>
      </c>
      <c r="M305" s="6" t="n">
        <v>674.8</v>
      </c>
      <c r="N305" s="6" t="n">
        <v>869.35</v>
      </c>
      <c r="O305" s="55">
        <f>(M305-N305)/N305</f>
        <v/>
      </c>
      <c r="P305" s="74">
        <f>N305*0.9056*0.85</f>
        <v/>
      </c>
      <c r="Q305" s="74">
        <f>N305*1.15</f>
        <v/>
      </c>
      <c r="R305" s="74">
        <f>IF(M305&lt;N305*0.9056*0.85,N305*0.9056*0.85,IF(M305&gt;N305*1.15,N305*1.15,M305))</f>
        <v/>
      </c>
      <c r="S305" s="74">
        <f>+F305*M305</f>
        <v/>
      </c>
      <c r="T305" s="74">
        <f>S305+R305*I305</f>
        <v/>
      </c>
      <c r="U305" s="82">
        <f>S305+R305*J305</f>
        <v/>
      </c>
      <c r="V305" s="74">
        <f>U305-S305</f>
        <v/>
      </c>
      <c r="W305" s="82">
        <f>+U305-T305</f>
        <v/>
      </c>
      <c r="X305" s="83">
        <f>+U305-T305</f>
        <v/>
      </c>
      <c r="Y305" s="5" t="n"/>
    </row>
    <row r="306" ht="20" customHeight="1" s="1">
      <c r="A306" s="5" t="n">
        <v>35</v>
      </c>
      <c r="B306" s="5" t="inlineStr">
        <is>
          <t>010505008002</t>
        </is>
      </c>
      <c r="C306" s="5" t="inlineStr">
        <is>
          <t>飘板</t>
        </is>
      </c>
      <c r="D306" s="5" t="inlineStr">
        <is>
          <t>1.部位:空调板、装饰飘板
2.混凝土种类:预拌混凝土
3.混凝土强度等级:C30</t>
        </is>
      </c>
      <c r="E306" s="5" t="inlineStr">
        <is>
          <t>m3</t>
        </is>
      </c>
      <c r="F306" s="6" t="n">
        <v>134.61</v>
      </c>
      <c r="G306" s="74" t="n">
        <v>110.91</v>
      </c>
      <c r="H306" s="82">
        <f>7.58+79.07+18.96</f>
        <v/>
      </c>
      <c r="I306" s="74">
        <f>G306-F306</f>
        <v/>
      </c>
      <c r="J306" s="74">
        <f>H306-F306</f>
        <v/>
      </c>
      <c r="K306" s="74">
        <f>+H306-G306</f>
        <v/>
      </c>
      <c r="L306" s="55">
        <f>I306/F306</f>
        <v/>
      </c>
      <c r="M306" s="6" t="n">
        <v>838.64</v>
      </c>
      <c r="N306" s="6" t="n">
        <v>1007.51</v>
      </c>
      <c r="O306" s="55">
        <f>(M306-N306)/N306</f>
        <v/>
      </c>
      <c r="P306" s="74">
        <f>N306*0.9056*0.85</f>
        <v/>
      </c>
      <c r="Q306" s="74">
        <f>N306*1.15</f>
        <v/>
      </c>
      <c r="R306" s="74">
        <f>IF(M306&lt;N306*0.9056*0.85,N306*0.9056*0.85,IF(M306&gt;N306*1.15,N306*1.15,M306))</f>
        <v/>
      </c>
      <c r="S306" s="74">
        <f>+F306*M306</f>
        <v/>
      </c>
      <c r="T306" s="74">
        <f>S306+R306*I306</f>
        <v/>
      </c>
      <c r="U306" s="82">
        <f>S306+R306*J306</f>
        <v/>
      </c>
      <c r="V306" s="74">
        <f>U306-S306</f>
        <v/>
      </c>
      <c r="W306" s="82">
        <f>+U306-T306</f>
        <v/>
      </c>
      <c r="X306" s="83">
        <f>+U306-T306</f>
        <v/>
      </c>
      <c r="Y306" s="5" t="n"/>
    </row>
    <row r="307" ht="20" customHeight="1" s="1">
      <c r="A307" s="5" t="n">
        <v>36</v>
      </c>
      <c r="B307" s="5" t="inlineStr">
        <is>
          <t>010505006004</t>
        </is>
      </c>
      <c r="C307" s="5" t="inlineStr">
        <is>
          <t>栏板、反檐</t>
        </is>
      </c>
      <c r="D307" s="5" t="inlineStr">
        <is>
          <t>1.部位:栏板、反坎
2.混凝土强度等级:C25商品混凝土</t>
        </is>
      </c>
      <c r="E307" s="5" t="inlineStr">
        <is>
          <t>m3</t>
        </is>
      </c>
      <c r="F307" s="6" t="n">
        <v>28.37</v>
      </c>
      <c r="G307" s="74" t="n">
        <v>2.89</v>
      </c>
      <c r="H307" s="82" t="n">
        <v>2.89</v>
      </c>
      <c r="I307" s="74">
        <f>G307-F307</f>
        <v/>
      </c>
      <c r="J307" s="74">
        <f>H307-F307</f>
        <v/>
      </c>
      <c r="K307" s="74">
        <f>+H307-G307</f>
        <v/>
      </c>
      <c r="L307" s="55">
        <f>I307/F307</f>
        <v/>
      </c>
      <c r="M307" s="6" t="n">
        <v>826.88</v>
      </c>
      <c r="N307" s="6" t="n">
        <v>982.99</v>
      </c>
      <c r="O307" s="55">
        <f>(M307-N307)/N307</f>
        <v/>
      </c>
      <c r="P307" s="74">
        <f>N307*0.9056*0.85</f>
        <v/>
      </c>
      <c r="Q307" s="74">
        <f>N307*1.15</f>
        <v/>
      </c>
      <c r="R307" s="74">
        <f>IF(M307&lt;N307*0.9056*0.85,N307*0.9056*0.85,IF(M307&gt;N307*1.15,N307*1.15,M307))</f>
        <v/>
      </c>
      <c r="S307" s="74">
        <f>+F307*M307</f>
        <v/>
      </c>
      <c r="T307" s="74">
        <f>S307+R307*I307</f>
        <v/>
      </c>
      <c r="U307" s="82">
        <f>S307+R307*J307</f>
        <v/>
      </c>
      <c r="V307" s="74">
        <f>U307-S307</f>
        <v/>
      </c>
      <c r="W307" s="82">
        <f>+U307-T307</f>
        <v/>
      </c>
      <c r="X307" s="83">
        <f>+U307-T307</f>
        <v/>
      </c>
      <c r="Y307" s="5" t="n"/>
    </row>
    <row r="308" ht="20" customHeight="1" s="1">
      <c r="A308" s="5" t="n">
        <v>37</v>
      </c>
      <c r="B308" s="5" t="inlineStr">
        <is>
          <t>010503004001</t>
        </is>
      </c>
      <c r="C308" s="5" t="inlineStr">
        <is>
          <t>圈梁（女儿墙压顶、窗台压顶）</t>
        </is>
      </c>
      <c r="D308" s="5" t="inlineStr">
        <is>
          <t>1.部位:圈梁
2.混凝土种类:预拌混凝土
3.混凝土强度等级:C25</t>
        </is>
      </c>
      <c r="E308" s="5" t="inlineStr">
        <is>
          <t>m3</t>
        </is>
      </c>
      <c r="F308" s="6" t="n">
        <v>44.62</v>
      </c>
      <c r="G308" s="74" t="n">
        <v>44.62</v>
      </c>
      <c r="H308" s="82" t="n">
        <v>44.62</v>
      </c>
      <c r="I308" s="74">
        <f>G308-F308</f>
        <v/>
      </c>
      <c r="J308" s="74">
        <f>H308-F308</f>
        <v/>
      </c>
      <c r="K308" s="74">
        <f>+H308-G308</f>
        <v/>
      </c>
      <c r="L308" s="55">
        <f>I308/F308</f>
        <v/>
      </c>
      <c r="M308" s="6" t="n">
        <v>730.1</v>
      </c>
      <c r="N308" s="6" t="n">
        <v>906.2</v>
      </c>
      <c r="O308" s="55">
        <f>(M308-N308)/N308</f>
        <v/>
      </c>
      <c r="P308" s="74">
        <f>N308*0.9056*0.85</f>
        <v/>
      </c>
      <c r="Q308" s="74">
        <f>N308*1.15</f>
        <v/>
      </c>
      <c r="R308" s="74">
        <f>IF(M308&lt;N308*0.9056*0.85,N308*0.9056*0.85,IF(M308&gt;N308*1.15,N308*1.15,M308))</f>
        <v/>
      </c>
      <c r="S308" s="74">
        <f>+F308*M308</f>
        <v/>
      </c>
      <c r="T308" s="74">
        <f>S308+R308*I308</f>
        <v/>
      </c>
      <c r="U308" s="82">
        <f>S308+R308*J308</f>
        <v/>
      </c>
      <c r="V308" s="74">
        <f>U308-S308</f>
        <v/>
      </c>
      <c r="W308" s="82">
        <f>+U308-T308</f>
        <v/>
      </c>
      <c r="X308" s="83">
        <f>+U308-T308</f>
        <v/>
      </c>
      <c r="Y308" s="5" t="n"/>
    </row>
    <row r="309" ht="20" customHeight="1" s="1">
      <c r="A309" s="5" t="n">
        <v>38</v>
      </c>
      <c r="B309" s="5" t="inlineStr">
        <is>
          <t>010503005002</t>
        </is>
      </c>
      <c r="C309" s="5" t="inlineStr">
        <is>
          <t>过梁</t>
        </is>
      </c>
      <c r="D309" s="5" t="inlineStr">
        <is>
          <t>1.过梁
2.混凝土种类:预拌混凝土
3.混凝土强度等级:C25</t>
        </is>
      </c>
      <c r="E309" s="5" t="inlineStr">
        <is>
          <t>m3</t>
        </is>
      </c>
      <c r="F309" s="6" t="n">
        <v>10.13</v>
      </c>
      <c r="G309" s="74" t="n">
        <v>10.13</v>
      </c>
      <c r="H309" s="82" t="n">
        <v>10.13</v>
      </c>
      <c r="I309" s="74">
        <f>G309-F309</f>
        <v/>
      </c>
      <c r="J309" s="74">
        <f>H309-F309</f>
        <v/>
      </c>
      <c r="K309" s="74">
        <f>+H309-G309</f>
        <v/>
      </c>
      <c r="L309" s="55">
        <f>I309/F309</f>
        <v/>
      </c>
      <c r="M309" s="6" t="n">
        <v>730.1</v>
      </c>
      <c r="N309" s="6" t="n">
        <v>906.2</v>
      </c>
      <c r="O309" s="55">
        <f>(M309-N309)/N309</f>
        <v/>
      </c>
      <c r="P309" s="74">
        <f>N309*0.9056*0.85</f>
        <v/>
      </c>
      <c r="Q309" s="74">
        <f>N309*1.15</f>
        <v/>
      </c>
      <c r="R309" s="74">
        <f>IF(M309&lt;N309*0.9056*0.85,N309*0.9056*0.85,IF(M309&gt;N309*1.15,N309*1.15,M309))</f>
        <v/>
      </c>
      <c r="S309" s="74">
        <f>+F309*M309</f>
        <v/>
      </c>
      <c r="T309" s="74">
        <f>S309+R309*I309</f>
        <v/>
      </c>
      <c r="U309" s="82">
        <f>S309+R309*J309</f>
        <v/>
      </c>
      <c r="V309" s="74">
        <f>U309-S309</f>
        <v/>
      </c>
      <c r="W309" s="82">
        <f>+U309-T309</f>
        <v/>
      </c>
      <c r="X309" s="83">
        <f>+U309-T309</f>
        <v/>
      </c>
      <c r="Y309" s="5" t="n"/>
    </row>
    <row r="310" ht="20" customHeight="1" s="1">
      <c r="A310" s="5" t="n">
        <v>39</v>
      </c>
      <c r="B310" s="5" t="inlineStr">
        <is>
          <t>010507007001</t>
        </is>
      </c>
      <c r="C310" s="5" t="inlineStr">
        <is>
          <t>其他构件</t>
        </is>
      </c>
      <c r="D310" s="5" t="inlineStr">
        <is>
          <t>1.反坎
2.混凝土种类:预拌混凝土
3.混凝土强度等级:C25</t>
        </is>
      </c>
      <c r="E310" s="5" t="inlineStr">
        <is>
          <t>m3</t>
        </is>
      </c>
      <c r="F310" s="6" t="n">
        <v>18.106</v>
      </c>
      <c r="G310" s="74" t="n">
        <v>0</v>
      </c>
      <c r="H310" s="82" t="n">
        <v>0</v>
      </c>
      <c r="I310" s="74">
        <f>G310-F310</f>
        <v/>
      </c>
      <c r="J310" s="74">
        <f>H310-F310</f>
        <v/>
      </c>
      <c r="K310" s="74">
        <f>+H310-G310</f>
        <v/>
      </c>
      <c r="L310" s="55">
        <f>I310/F310</f>
        <v/>
      </c>
      <c r="M310" s="6" t="n">
        <v>957.9</v>
      </c>
      <c r="N310" s="6" t="n">
        <v>1157.57</v>
      </c>
      <c r="O310" s="55">
        <f>(M310-N310)/N310</f>
        <v/>
      </c>
      <c r="P310" s="74">
        <f>N310*0.9056*0.85</f>
        <v/>
      </c>
      <c r="Q310" s="74">
        <f>N310*1.15</f>
        <v/>
      </c>
      <c r="R310" s="74">
        <f>IF(M310&lt;N310*0.9056*0.85,N310*0.9056*0.85,IF(M310&gt;N310*1.15,N310*1.15,M310))</f>
        <v/>
      </c>
      <c r="S310" s="74">
        <f>+F310*M310</f>
        <v/>
      </c>
      <c r="T310" s="74">
        <f>S310+R310*I310</f>
        <v/>
      </c>
      <c r="U310" s="82">
        <f>S310+R310*J310</f>
        <v/>
      </c>
      <c r="V310" s="74">
        <f>U310-S310</f>
        <v/>
      </c>
      <c r="W310" s="82">
        <f>+U310-T310</f>
        <v/>
      </c>
      <c r="X310" s="83">
        <f>+U310-T310</f>
        <v/>
      </c>
      <c r="Y310" s="5" t="n"/>
    </row>
    <row r="311" ht="20" customHeight="1" s="1">
      <c r="A311" s="5" t="n">
        <v>40</v>
      </c>
      <c r="B311" s="5" t="inlineStr">
        <is>
          <t>010506001001</t>
        </is>
      </c>
      <c r="C311" s="5" t="inlineStr">
        <is>
          <t>直形楼梯</t>
        </is>
      </c>
      <c r="D311" s="5" t="inlineStr">
        <is>
          <t>1.混凝土种类:预拌混凝土
2.混凝土强度等级:C30
3.含混凝土泵送费用</t>
        </is>
      </c>
      <c r="E311" s="5" t="inlineStr">
        <is>
          <t>m3</t>
        </is>
      </c>
      <c r="F311" s="6" t="n">
        <v>102.36</v>
      </c>
      <c r="G311" s="74" t="n">
        <v>113.33</v>
      </c>
      <c r="H311" s="82" t="n">
        <v>107.93</v>
      </c>
      <c r="I311" s="74">
        <f>G311-F311</f>
        <v/>
      </c>
      <c r="J311" s="74">
        <f>H311-F311</f>
        <v/>
      </c>
      <c r="K311" s="74">
        <f>+H311-G311</f>
        <v/>
      </c>
      <c r="L311" s="55">
        <f>I311/F311</f>
        <v/>
      </c>
      <c r="M311" s="6" t="n">
        <v>726.66</v>
      </c>
      <c r="N311" s="6" t="n">
        <v>913.95</v>
      </c>
      <c r="O311" s="55">
        <f>(M311-N311)/N311</f>
        <v/>
      </c>
      <c r="P311" s="74">
        <f>N311*0.9056*0.85</f>
        <v/>
      </c>
      <c r="Q311" s="74">
        <f>N311*1.15</f>
        <v/>
      </c>
      <c r="R311" s="74">
        <f>IF(M311&lt;N311*0.9056*0.85,N311*0.9056*0.85,IF(M311&gt;N311*1.15,N311*1.15,M311))</f>
        <v/>
      </c>
      <c r="S311" s="74">
        <f>+F311*M311</f>
        <v/>
      </c>
      <c r="T311" s="74">
        <f>S311+R311*I311</f>
        <v/>
      </c>
      <c r="U311" s="82">
        <f>S311+R311*J311</f>
        <v/>
      </c>
      <c r="V311" s="74">
        <f>U311-S311</f>
        <v/>
      </c>
      <c r="W311" s="82">
        <f>+U311-T311</f>
        <v/>
      </c>
      <c r="X311" s="83">
        <f>+U311-T311</f>
        <v/>
      </c>
      <c r="Y311" s="5" t="n"/>
    </row>
    <row r="312" ht="20" customHeight="1" s="1">
      <c r="A312" s="86" t="n">
        <v>41</v>
      </c>
      <c r="B312" s="86" t="inlineStr">
        <is>
          <t>010401013006</t>
        </is>
      </c>
      <c r="C312" s="86" t="inlineStr">
        <is>
          <t>砖散水、地坪</t>
        </is>
      </c>
      <c r="D312" s="86" t="inlineStr">
        <is>
          <t>1.散水
2.C20素砼垫层60厚
3.150厚3:7灰土</t>
        </is>
      </c>
      <c r="E312" s="86" t="inlineStr">
        <is>
          <t>m2</t>
        </is>
      </c>
      <c r="F312" s="87" t="n">
        <v>141.6688</v>
      </c>
      <c r="G312" s="88" t="n">
        <v>239.87</v>
      </c>
      <c r="H312" s="82" t="n">
        <v>0</v>
      </c>
      <c r="I312" s="88">
        <f>G312-F312</f>
        <v/>
      </c>
      <c r="J312" s="88">
        <f>H312-F312</f>
        <v/>
      </c>
      <c r="K312" s="88">
        <f>+H312-G312</f>
        <v/>
      </c>
      <c r="L312" s="89">
        <f>I312/F312</f>
        <v/>
      </c>
      <c r="M312" s="87" t="n">
        <v>80.23999999999999</v>
      </c>
      <c r="N312" s="87" t="n">
        <v>95.34</v>
      </c>
      <c r="O312" s="89">
        <f>(M312-N312)/N312</f>
        <v/>
      </c>
      <c r="P312" s="88">
        <f>N312*0.9056*0.85</f>
        <v/>
      </c>
      <c r="Q312" s="88">
        <f>N312*1.15</f>
        <v/>
      </c>
      <c r="R312" s="88">
        <f>IF(M312&lt;N312*0.9056*0.85,N312*0.9056*0.85,IF(M312&gt;N312*1.15,N312*1.15,M312))</f>
        <v/>
      </c>
      <c r="S312" s="88">
        <f>+F312*M312</f>
        <v/>
      </c>
      <c r="T312" s="88">
        <f>S312+R312*I312</f>
        <v/>
      </c>
      <c r="U312" s="82">
        <f>S312+R312*J312</f>
        <v/>
      </c>
      <c r="V312" s="74">
        <f>U312-S312</f>
        <v/>
      </c>
      <c r="W312" s="82">
        <f>+U312-T312</f>
        <v/>
      </c>
      <c r="X312" s="83">
        <f>+U312-T312</f>
        <v/>
      </c>
      <c r="Y312" s="86" t="n"/>
      <c r="Z312" s="90" t="n"/>
    </row>
    <row r="313" ht="20" customHeight="1" s="1">
      <c r="A313" s="5" t="n">
        <v>42</v>
      </c>
      <c r="B313" s="5" t="inlineStr">
        <is>
          <t>010515001015</t>
        </is>
      </c>
      <c r="C313" s="5" t="inlineStr">
        <is>
          <t>现浇构件钢筋</t>
        </is>
      </c>
      <c r="D313" s="5" t="inlineStr">
        <is>
          <t>1.钢筋种类、规格:现浇构件带肋钢筋(HRB400)φ10以内</t>
        </is>
      </c>
      <c r="E313" s="5" t="inlineStr">
        <is>
          <t>t</t>
        </is>
      </c>
      <c r="F313" s="6" t="n">
        <v>178.2</v>
      </c>
      <c r="G313" s="74" t="n">
        <v>163.8</v>
      </c>
      <c r="H313" s="85" t="n">
        <v>163.799</v>
      </c>
      <c r="I313" s="74">
        <f>G313-F313</f>
        <v/>
      </c>
      <c r="J313" s="74">
        <f>H313-F313</f>
        <v/>
      </c>
      <c r="K313" s="74">
        <f>+H313-G313</f>
        <v/>
      </c>
      <c r="L313" s="55">
        <f>I313/F313</f>
        <v/>
      </c>
      <c r="M313" s="6" t="n">
        <v>5708.81</v>
      </c>
      <c r="N313" s="6" t="n">
        <v>6995.45</v>
      </c>
      <c r="O313" s="55">
        <f>(M313-N313)/N313</f>
        <v/>
      </c>
      <c r="P313" s="74">
        <f>N313*0.9056*0.85</f>
        <v/>
      </c>
      <c r="Q313" s="74">
        <f>N313*1.15</f>
        <v/>
      </c>
      <c r="R313" s="74">
        <f>IF(M313&lt;N313*0.9056*0.85,N313*0.9056*0.85,IF(M313&gt;N313*1.15,N313*1.15,M313))</f>
        <v/>
      </c>
      <c r="S313" s="74">
        <f>+F313*M313</f>
        <v/>
      </c>
      <c r="T313" s="74">
        <f>S313+R313*I313</f>
        <v/>
      </c>
      <c r="U313" s="82">
        <f>S313+R313*J313</f>
        <v/>
      </c>
      <c r="V313" s="74">
        <f>U313-S313</f>
        <v/>
      </c>
      <c r="W313" s="82">
        <f>+U313-T313</f>
        <v/>
      </c>
      <c r="X313" s="83">
        <f>+U313-T313</f>
        <v/>
      </c>
      <c r="Y313" s="5" t="n"/>
      <c r="Z313" s="73" t="n"/>
    </row>
    <row r="314" ht="20" customHeight="1" s="1">
      <c r="A314" s="5" t="n">
        <v>43</v>
      </c>
      <c r="B314" s="5" t="inlineStr">
        <is>
          <t>010515001016</t>
        </is>
      </c>
      <c r="C314" s="5" t="inlineStr">
        <is>
          <t>现浇构件钢筋</t>
        </is>
      </c>
      <c r="D314" s="5" t="inlineStr">
        <is>
          <t>1.钢筋种类、规格:现浇构件带肋钢筋(HRB400E)φ10以内</t>
        </is>
      </c>
      <c r="E314" s="5" t="inlineStr">
        <is>
          <t>t</t>
        </is>
      </c>
      <c r="F314" s="6" t="n">
        <v>6.982</v>
      </c>
      <c r="G314" s="74" t="n">
        <v>11.74</v>
      </c>
      <c r="H314" s="85" t="n">
        <v>11.744</v>
      </c>
      <c r="I314" s="74">
        <f>G314-F314</f>
        <v/>
      </c>
      <c r="J314" s="74">
        <f>H314-F314</f>
        <v/>
      </c>
      <c r="K314" s="74">
        <f>+H314-G314</f>
        <v/>
      </c>
      <c r="L314" s="55">
        <f>I314/F314</f>
        <v/>
      </c>
      <c r="M314" s="6" t="n">
        <v>5708.81</v>
      </c>
      <c r="N314" s="6" t="n">
        <v>7085.72</v>
      </c>
      <c r="O314" s="55">
        <f>(M314-N314)/N314</f>
        <v/>
      </c>
      <c r="P314" s="74">
        <f>N314*0.9056*0.85</f>
        <v/>
      </c>
      <c r="Q314" s="74">
        <f>N314*1.15</f>
        <v/>
      </c>
      <c r="R314" s="74">
        <f>IF(M314&lt;N314*0.9056*0.85,N314*0.9056*0.85,IF(M314&gt;N314*1.15,N314*1.15,M314))</f>
        <v/>
      </c>
      <c r="S314" s="74">
        <f>+F314*M314</f>
        <v/>
      </c>
      <c r="T314" s="74">
        <f>S314+R314*I314</f>
        <v/>
      </c>
      <c r="U314" s="82">
        <f>S314+R314*J314</f>
        <v/>
      </c>
      <c r="V314" s="74">
        <f>U314-S314</f>
        <v/>
      </c>
      <c r="W314" s="82">
        <f>+U314-T314</f>
        <v/>
      </c>
      <c r="X314" s="83">
        <f>+U314-T314</f>
        <v/>
      </c>
      <c r="Y314" s="5" t="n"/>
      <c r="Z314" s="73" t="n"/>
    </row>
    <row r="315" ht="20" customHeight="1" s="1">
      <c r="A315" s="5" t="n">
        <v>44</v>
      </c>
      <c r="B315" s="5" t="inlineStr">
        <is>
          <t>010515001017</t>
        </is>
      </c>
      <c r="C315" s="5" t="inlineStr">
        <is>
          <t>现浇构件钢筋</t>
        </is>
      </c>
      <c r="D315" s="5" t="inlineStr">
        <is>
          <t>1.钢筋种类、规格:现浇构件带肋钢筋(HRB400)φ25以内</t>
        </is>
      </c>
      <c r="E315" s="5" t="inlineStr">
        <is>
          <t>t</t>
        </is>
      </c>
      <c r="F315" s="6" t="n">
        <v>30.489</v>
      </c>
      <c r="G315" s="74" t="n">
        <v>65.31999999999999</v>
      </c>
      <c r="H315" s="85" t="n">
        <v>65.324</v>
      </c>
      <c r="I315" s="74">
        <f>G315-F315</f>
        <v/>
      </c>
      <c r="J315" s="74">
        <f>H315-F315</f>
        <v/>
      </c>
      <c r="K315" s="74">
        <f>+H315-G315</f>
        <v/>
      </c>
      <c r="L315" s="55">
        <f>I315/F315</f>
        <v/>
      </c>
      <c r="M315" s="6" t="n">
        <v>5570.86</v>
      </c>
      <c r="N315" s="6" t="n">
        <v>6793.55</v>
      </c>
      <c r="O315" s="55">
        <f>(M315-N315)/N315</f>
        <v/>
      </c>
      <c r="P315" s="74">
        <f>N315*0.9056*0.85</f>
        <v/>
      </c>
      <c r="Q315" s="74">
        <f>N315*1.15</f>
        <v/>
      </c>
      <c r="R315" s="74">
        <f>IF(M315&lt;N315*0.9056*0.85,N315*0.9056*0.85,IF(M315&gt;N315*1.15,N315*1.15,M315))</f>
        <v/>
      </c>
      <c r="S315" s="74">
        <f>+F315*M315</f>
        <v/>
      </c>
      <c r="T315" s="74">
        <f>S315+R315*I315</f>
        <v/>
      </c>
      <c r="U315" s="82">
        <f>S315+R315*J315</f>
        <v/>
      </c>
      <c r="V315" s="74">
        <f>U315-S315</f>
        <v/>
      </c>
      <c r="W315" s="82">
        <f>+U315-T315</f>
        <v/>
      </c>
      <c r="X315" s="83">
        <f>+U315-T315</f>
        <v/>
      </c>
      <c r="Y315" s="5" t="n"/>
      <c r="Z315" s="73" t="n"/>
    </row>
    <row r="316" ht="20" customHeight="1" s="1">
      <c r="A316" s="5" t="n">
        <v>45</v>
      </c>
      <c r="B316" s="5" t="inlineStr">
        <is>
          <t>010515001026</t>
        </is>
      </c>
      <c r="C316" s="5" t="inlineStr">
        <is>
          <t>现浇构件钢筋</t>
        </is>
      </c>
      <c r="D316" s="5" t="inlineStr">
        <is>
          <t>1.钢筋种类、规格:现浇构件带肋钢筋(HRB400E)φ25以内</t>
        </is>
      </c>
      <c r="E316" s="5" t="inlineStr">
        <is>
          <t>t</t>
        </is>
      </c>
      <c r="F316" s="6" t="n">
        <v>205.801</v>
      </c>
      <c r="G316" s="74" t="n">
        <v>180.93</v>
      </c>
      <c r="H316" s="85" t="n">
        <v>180.929</v>
      </c>
      <c r="I316" s="74">
        <f>G316-F316</f>
        <v/>
      </c>
      <c r="J316" s="74">
        <f>H316-F316</f>
        <v/>
      </c>
      <c r="K316" s="74">
        <f>+H316-G316</f>
        <v/>
      </c>
      <c r="L316" s="55">
        <f>I316/F316</f>
        <v/>
      </c>
      <c r="M316" s="6" t="n">
        <v>5570.86</v>
      </c>
      <c r="N316" s="6" t="n">
        <v>6884.26</v>
      </c>
      <c r="O316" s="55">
        <f>(M316-N316)/N316</f>
        <v/>
      </c>
      <c r="P316" s="74">
        <f>N316*0.9056*0.85</f>
        <v/>
      </c>
      <c r="Q316" s="74">
        <f>N316*1.15</f>
        <v/>
      </c>
      <c r="R316" s="74">
        <f>IF(M316&lt;N316*0.9056*0.85,N316*0.9056*0.85,IF(M316&gt;N316*1.15,N316*1.15,M316))</f>
        <v/>
      </c>
      <c r="S316" s="74">
        <f>+F316*M316</f>
        <v/>
      </c>
      <c r="T316" s="74">
        <f>S316+R316*I316</f>
        <v/>
      </c>
      <c r="U316" s="82">
        <f>S316+R316*J316</f>
        <v/>
      </c>
      <c r="V316" s="74">
        <f>U316-S316</f>
        <v/>
      </c>
      <c r="W316" s="82">
        <f>+U316-T316</f>
        <v/>
      </c>
      <c r="X316" s="83">
        <f>+U316-T316</f>
        <v/>
      </c>
      <c r="Y316" s="5" t="n"/>
      <c r="Z316" s="73" t="n"/>
    </row>
    <row r="317" ht="20" customHeight="1" s="1">
      <c r="A317" s="5" t="n">
        <v>46</v>
      </c>
      <c r="B317" s="5" t="inlineStr">
        <is>
          <t>010515001025</t>
        </is>
      </c>
      <c r="C317" s="5" t="inlineStr">
        <is>
          <t>现浇构件钢筋</t>
        </is>
      </c>
      <c r="D317" s="5" t="inlineStr">
        <is>
          <t>1.钢筋种类、规格:现浇构件带肋钢筋(HRB400E)φ25以外</t>
        </is>
      </c>
      <c r="E317" s="5" t="inlineStr">
        <is>
          <t>t</t>
        </is>
      </c>
      <c r="F317" s="6" t="n">
        <v>9.881</v>
      </c>
      <c r="G317" s="74" t="n">
        <v>8.130000000000001</v>
      </c>
      <c r="H317" s="85" t="n">
        <v>8.125999999999999</v>
      </c>
      <c r="I317" s="74">
        <f>G317-F317</f>
        <v/>
      </c>
      <c r="J317" s="74">
        <f>H317-F317</f>
        <v/>
      </c>
      <c r="K317" s="74">
        <f>+H317-G317</f>
        <v/>
      </c>
      <c r="L317" s="55">
        <f>I317/F317</f>
        <v/>
      </c>
      <c r="M317" s="6" t="n">
        <v>5507.01</v>
      </c>
      <c r="N317" s="6" t="n">
        <v>6766.86</v>
      </c>
      <c r="O317" s="55">
        <f>(M317-N317)/N317</f>
        <v/>
      </c>
      <c r="P317" s="74">
        <f>N317*0.9056*0.85</f>
        <v/>
      </c>
      <c r="Q317" s="74">
        <f>N317*1.15</f>
        <v/>
      </c>
      <c r="R317" s="74">
        <f>IF(M317&lt;N317*0.9056*0.85,N317*0.9056*0.85,IF(M317&gt;N317*1.15,N317*1.15,M317))</f>
        <v/>
      </c>
      <c r="S317" s="74">
        <f>+F317*M317</f>
        <v/>
      </c>
      <c r="T317" s="74">
        <f>S317+R317*I317</f>
        <v/>
      </c>
      <c r="U317" s="82">
        <f>S317+R317*J317</f>
        <v/>
      </c>
      <c r="V317" s="74">
        <f>U317-S317</f>
        <v/>
      </c>
      <c r="W317" s="82">
        <f>+U317-T317</f>
        <v/>
      </c>
      <c r="X317" s="83">
        <f>+U317-T317</f>
        <v/>
      </c>
      <c r="Y317" s="5" t="n"/>
      <c r="Z317" s="73" t="n"/>
    </row>
    <row r="318" ht="20" customHeight="1" s="1">
      <c r="A318" s="5" t="n">
        <v>47</v>
      </c>
      <c r="B318" s="5" t="inlineStr">
        <is>
          <t>010515001022</t>
        </is>
      </c>
      <c r="C318" s="5" t="inlineStr">
        <is>
          <t>现浇构件钢筋</t>
        </is>
      </c>
      <c r="D318" s="5" t="inlineStr">
        <is>
          <t>1.钢筋种类、规格:现浇构件箍筋带肋钢筋(HRB400)φ10以内</t>
        </is>
      </c>
      <c r="E318" s="5" t="inlineStr">
        <is>
          <t>t</t>
        </is>
      </c>
      <c r="F318" s="6" t="n">
        <v>97.663</v>
      </c>
      <c r="G318" s="74" t="n">
        <v>109.47</v>
      </c>
      <c r="H318" s="85" t="n">
        <v>109.473</v>
      </c>
      <c r="I318" s="74">
        <f>G318-F318</f>
        <v/>
      </c>
      <c r="J318" s="74">
        <f>H318-F318</f>
        <v/>
      </c>
      <c r="K318" s="74">
        <f>+H318-G318</f>
        <v/>
      </c>
      <c r="L318" s="55">
        <f>I318/F318</f>
        <v/>
      </c>
      <c r="M318" s="6" t="n">
        <v>6837.26</v>
      </c>
      <c r="N318" s="6" t="n">
        <v>8255.91</v>
      </c>
      <c r="O318" s="55">
        <f>(M318-N318)/N318</f>
        <v/>
      </c>
      <c r="P318" s="74">
        <f>N318*0.9056*0.85</f>
        <v/>
      </c>
      <c r="Q318" s="74">
        <f>N318*1.15</f>
        <v/>
      </c>
      <c r="R318" s="74">
        <f>IF(M318&lt;N318*0.9056*0.85,N318*0.9056*0.85,IF(M318&gt;N318*1.15,N318*1.15,M318))</f>
        <v/>
      </c>
      <c r="S318" s="74">
        <f>+F318*M318</f>
        <v/>
      </c>
      <c r="T318" s="74">
        <f>S318+R318*I318</f>
        <v/>
      </c>
      <c r="U318" s="82">
        <f>S318+R318*J318</f>
        <v/>
      </c>
      <c r="V318" s="74">
        <f>U318-S318</f>
        <v/>
      </c>
      <c r="W318" s="82">
        <f>+U318-T318</f>
        <v/>
      </c>
      <c r="X318" s="83">
        <f>+U318-T318</f>
        <v/>
      </c>
      <c r="Y318" s="5" t="n"/>
      <c r="Z318" s="73" t="n"/>
    </row>
    <row r="319" ht="20" customHeight="1" s="1">
      <c r="A319" s="5" t="n">
        <v>48</v>
      </c>
      <c r="B319" s="5" t="inlineStr">
        <is>
          <t>010515001023</t>
        </is>
      </c>
      <c r="C319" s="5" t="inlineStr">
        <is>
          <t>现浇构件钢筋</t>
        </is>
      </c>
      <c r="D319" s="5" t="inlineStr">
        <is>
          <t>1.钢筋种类、规格:现浇构件箍筋带肋钢筋(HRB400)φ10以外</t>
        </is>
      </c>
      <c r="E319" s="5" t="inlineStr">
        <is>
          <t>t</t>
        </is>
      </c>
      <c r="F319" s="6" t="n">
        <v>3.526</v>
      </c>
      <c r="G319" s="74" t="n">
        <v>4.1</v>
      </c>
      <c r="H319" s="85" t="n">
        <v>4.104</v>
      </c>
      <c r="I319" s="74">
        <f>G319-F319</f>
        <v/>
      </c>
      <c r="J319" s="74">
        <f>H319-F319</f>
        <v/>
      </c>
      <c r="K319" s="74">
        <f>+H319-G319</f>
        <v/>
      </c>
      <c r="L319" s="55">
        <f>I319/F319</f>
        <v/>
      </c>
      <c r="M319" s="6" t="n">
        <v>5844.44</v>
      </c>
      <c r="N319" s="6" t="n">
        <v>7106.92</v>
      </c>
      <c r="O319" s="55">
        <f>(M319-N319)/N319</f>
        <v/>
      </c>
      <c r="P319" s="74">
        <f>N319*0.9056*0.85</f>
        <v/>
      </c>
      <c r="Q319" s="74">
        <f>N319*1.15</f>
        <v/>
      </c>
      <c r="R319" s="74">
        <f>IF(M319&lt;N319*0.9056*0.85,N319*0.9056*0.85,IF(M319&gt;N319*1.15,N319*1.15,M319))</f>
        <v/>
      </c>
      <c r="S319" s="74">
        <f>+F319*M319</f>
        <v/>
      </c>
      <c r="T319" s="74">
        <f>S319+R319*I319</f>
        <v/>
      </c>
      <c r="U319" s="82">
        <f>S319+R319*J319</f>
        <v/>
      </c>
      <c r="V319" s="74">
        <f>U319-S319</f>
        <v/>
      </c>
      <c r="W319" s="82">
        <f>+U319-T319</f>
        <v/>
      </c>
      <c r="X319" s="83">
        <f>+U319-T319</f>
        <v/>
      </c>
      <c r="Y319" s="5" t="n"/>
      <c r="Z319" s="73" t="n"/>
    </row>
    <row r="320" ht="20" customHeight="1" s="1">
      <c r="A320" s="5" t="n">
        <v>49</v>
      </c>
      <c r="B320" s="5" t="inlineStr">
        <is>
          <t>010516003001</t>
        </is>
      </c>
      <c r="C320" s="5" t="inlineStr">
        <is>
          <t>钢筋连接</t>
        </is>
      </c>
      <c r="D320" s="5" t="inlineStr">
        <is>
          <t>1.连接方式:电渣压力焊接
2.规格:φ18以内</t>
        </is>
      </c>
      <c r="E320" s="5" t="inlineStr">
        <is>
          <t>个</t>
        </is>
      </c>
      <c r="F320" s="6" t="n">
        <v>2456</v>
      </c>
      <c r="G320" s="74" t="n">
        <v>0</v>
      </c>
      <c r="H320" s="84" t="n">
        <v>0</v>
      </c>
      <c r="I320" s="74">
        <f>G320-F320</f>
        <v/>
      </c>
      <c r="J320" s="74">
        <f>H320-F320</f>
        <v/>
      </c>
      <c r="K320" s="74">
        <f>+H320-G320</f>
        <v/>
      </c>
      <c r="L320" s="55">
        <f>I320/F320</f>
        <v/>
      </c>
      <c r="M320" s="6" t="n">
        <v>7.47</v>
      </c>
      <c r="N320" s="6" t="n">
        <v>8.25</v>
      </c>
      <c r="O320" s="55">
        <f>(M320-N320)/N320</f>
        <v/>
      </c>
      <c r="P320" s="74">
        <f>N320*0.9056*0.85</f>
        <v/>
      </c>
      <c r="Q320" s="74">
        <f>N320*1.15</f>
        <v/>
      </c>
      <c r="R320" s="74">
        <f>IF(M320&lt;N320*0.9056*0.85,N320*0.9056*0.85,IF(M320&gt;N320*1.15,N320*1.15,M320))</f>
        <v/>
      </c>
      <c r="S320" s="74">
        <f>+F320*M320</f>
        <v/>
      </c>
      <c r="T320" s="74">
        <f>S320+R320*I320</f>
        <v/>
      </c>
      <c r="U320" s="82">
        <f>S320+R320*J320</f>
        <v/>
      </c>
      <c r="V320" s="74">
        <f>U320-S320</f>
        <v/>
      </c>
      <c r="W320" s="82">
        <f>+U320-T320</f>
        <v/>
      </c>
      <c r="X320" s="83">
        <f>+U320-T320</f>
        <v/>
      </c>
      <c r="Y320" s="5" t="n"/>
    </row>
    <row r="321" ht="20" customHeight="1" s="1">
      <c r="A321" s="5" t="n">
        <v>50</v>
      </c>
      <c r="B321" s="5" t="inlineStr">
        <is>
          <t>010516003002</t>
        </is>
      </c>
      <c r="C321" s="5" t="inlineStr">
        <is>
          <t>钢筋连接</t>
        </is>
      </c>
      <c r="D321" s="5" t="inlineStr">
        <is>
          <t>1.连接方式:电渣压力焊接
2.规格:φ32以内</t>
        </is>
      </c>
      <c r="E321" s="5" t="inlineStr">
        <is>
          <t>个</t>
        </is>
      </c>
      <c r="F321" s="6" t="n">
        <v>2572</v>
      </c>
      <c r="G321" s="74" t="n">
        <v>0</v>
      </c>
      <c r="H321" s="84" t="n">
        <v>0</v>
      </c>
      <c r="I321" s="74">
        <f>G321-F321</f>
        <v/>
      </c>
      <c r="J321" s="74">
        <f>H321-F321</f>
        <v/>
      </c>
      <c r="K321" s="74">
        <f>+H321-G321</f>
        <v/>
      </c>
      <c r="L321" s="55">
        <f>I321/F321</f>
        <v/>
      </c>
      <c r="M321" s="6" t="n">
        <v>9.460000000000001</v>
      </c>
      <c r="N321" s="6" t="n">
        <v>10.44</v>
      </c>
      <c r="O321" s="55">
        <f>(M321-N321)/N321</f>
        <v/>
      </c>
      <c r="P321" s="74">
        <f>N321*0.9056*0.85</f>
        <v/>
      </c>
      <c r="Q321" s="74">
        <f>N321*1.15</f>
        <v/>
      </c>
      <c r="R321" s="74">
        <f>IF(M321&lt;N321*0.9056*0.85,N321*0.9056*0.85,IF(M321&gt;N321*1.15,N321*1.15,M321))</f>
        <v/>
      </c>
      <c r="S321" s="74">
        <f>+F321*M321</f>
        <v/>
      </c>
      <c r="T321" s="74">
        <f>S321+R321*I321</f>
        <v/>
      </c>
      <c r="U321" s="82">
        <f>S321+R321*J321</f>
        <v/>
      </c>
      <c r="V321" s="74">
        <f>U321-S321</f>
        <v/>
      </c>
      <c r="W321" s="82">
        <f>+U321-T321</f>
        <v/>
      </c>
      <c r="X321" s="83">
        <f>+U321-T321</f>
        <v/>
      </c>
      <c r="Y321" s="5" t="n"/>
    </row>
    <row r="322" ht="20" customHeight="1" s="1">
      <c r="A322" s="5" t="n">
        <v>51</v>
      </c>
      <c r="B322" s="5" t="inlineStr">
        <is>
          <t>010516003003</t>
        </is>
      </c>
      <c r="C322" s="5" t="inlineStr">
        <is>
          <t>机械连接</t>
        </is>
      </c>
      <c r="D322" s="5" t="inlineStr">
        <is>
          <t>1.连接方式:套筒直螺纹钢筋接头
2.规格:φ32以内</t>
        </is>
      </c>
      <c r="E322" s="5" t="inlineStr">
        <is>
          <t>个</t>
        </is>
      </c>
      <c r="F322" s="6" t="n">
        <v>3536</v>
      </c>
      <c r="G322" s="74" t="n">
        <v>0</v>
      </c>
      <c r="H322" s="84" t="n">
        <v>0</v>
      </c>
      <c r="I322" s="74">
        <f>G322-F322</f>
        <v/>
      </c>
      <c r="J322" s="74">
        <f>H322-F322</f>
        <v/>
      </c>
      <c r="K322" s="74">
        <f>+H322-G322</f>
        <v/>
      </c>
      <c r="L322" s="55">
        <f>I322/F322</f>
        <v/>
      </c>
      <c r="M322" s="6" t="n">
        <v>16.67</v>
      </c>
      <c r="N322" s="6" t="n">
        <v>21.53</v>
      </c>
      <c r="O322" s="55">
        <f>(M322-N322)/N322</f>
        <v/>
      </c>
      <c r="P322" s="74">
        <f>N322*0.9056*0.85</f>
        <v/>
      </c>
      <c r="Q322" s="74">
        <f>N322*1.15</f>
        <v/>
      </c>
      <c r="R322" s="74">
        <f>IF(M322&lt;N322*0.9056*0.85,N322*0.9056*0.85,IF(M322&gt;N322*1.15,N322*1.15,M322))</f>
        <v/>
      </c>
      <c r="S322" s="74">
        <f>+F322*M322</f>
        <v/>
      </c>
      <c r="T322" s="74">
        <f>S322+R322*I322</f>
        <v/>
      </c>
      <c r="U322" s="82">
        <f>S322+R322*J322</f>
        <v/>
      </c>
      <c r="V322" s="74">
        <f>U322-S322</f>
        <v/>
      </c>
      <c r="W322" s="82">
        <f>+U322-T322</f>
        <v/>
      </c>
      <c r="X322" s="83">
        <f>+U322-T322</f>
        <v/>
      </c>
      <c r="Y322" s="5" t="n"/>
    </row>
    <row r="323" ht="20" customHeight="1" s="1">
      <c r="A323" s="5" t="n"/>
      <c r="B323" s="5" t="n"/>
      <c r="C323" s="5" t="inlineStr">
        <is>
          <t>金属结构工程</t>
        </is>
      </c>
      <c r="D323" s="5" t="n"/>
      <c r="E323" s="5" t="n"/>
      <c r="F323" s="6" t="n"/>
      <c r="G323" s="74" t="n"/>
      <c r="H323" s="81" t="n"/>
      <c r="I323" s="74" t="n"/>
      <c r="J323" s="74" t="n"/>
      <c r="K323" s="74" t="n"/>
      <c r="L323" s="55" t="n"/>
      <c r="M323" s="6" t="n"/>
      <c r="N323" s="6" t="n"/>
      <c r="O323" s="6" t="n"/>
      <c r="P323" s="6" t="n"/>
      <c r="Q323" s="6" t="n"/>
      <c r="R323" s="74" t="n"/>
      <c r="S323" s="74">
        <f>+SUM(S324:S326)</f>
        <v/>
      </c>
      <c r="T323" s="74">
        <f>+SUM(T324:T326)</f>
        <v/>
      </c>
      <c r="U323" s="82">
        <f>SUM(U324:U326)</f>
        <v/>
      </c>
      <c r="V323" s="74">
        <f>U323-S323</f>
        <v/>
      </c>
      <c r="W323" s="82">
        <f>+U323-T323</f>
        <v/>
      </c>
      <c r="X323" s="83">
        <f>U323-T323</f>
        <v/>
      </c>
      <c r="Y323" s="5" t="n"/>
    </row>
    <row r="324" ht="20" customHeight="1" s="1">
      <c r="A324" s="5" t="n">
        <v>52</v>
      </c>
      <c r="B324" s="5" t="inlineStr">
        <is>
          <t>010607005001</t>
        </is>
      </c>
      <c r="C324" s="5" t="inlineStr">
        <is>
          <t>砌块墙钢丝网加固</t>
        </is>
      </c>
      <c r="D324" s="5" t="inlineStr">
        <is>
          <t>1.镀锌钢丝网
2.材料品种、规格:Φ0.9@12.7*12.7</t>
        </is>
      </c>
      <c r="E324" s="5" t="inlineStr">
        <is>
          <t>m2</t>
        </is>
      </c>
      <c r="F324" s="6" t="n">
        <v>13762.06</v>
      </c>
      <c r="G324" s="74" t="n">
        <v>10786.52</v>
      </c>
      <c r="H324" s="82" t="n">
        <v>10786.52</v>
      </c>
      <c r="I324" s="74">
        <f>G324-F324</f>
        <v/>
      </c>
      <c r="J324" s="74">
        <f>H324-F324</f>
        <v/>
      </c>
      <c r="K324" s="74">
        <f>+H324-G324</f>
        <v/>
      </c>
      <c r="L324" s="55">
        <f>I324/F324</f>
        <v/>
      </c>
      <c r="M324" s="6" t="n">
        <v>6.91</v>
      </c>
      <c r="N324" s="6" t="n">
        <v>16.21</v>
      </c>
      <c r="O324" s="55">
        <f>(M324-N324)/N324</f>
        <v/>
      </c>
      <c r="P324" s="74">
        <f>N324*0.9056*0.85</f>
        <v/>
      </c>
      <c r="Q324" s="74">
        <f>N324*1.15</f>
        <v/>
      </c>
      <c r="R324" s="74">
        <f>IF(M324&lt;N324*0.9056*0.85,N324*0.9056*0.85,IF(M324&gt;N324*1.15,N324*1.15,M324))</f>
        <v/>
      </c>
      <c r="S324" s="74">
        <f>+F324*M324</f>
        <v/>
      </c>
      <c r="T324" s="74">
        <f>S324+R324*I324</f>
        <v/>
      </c>
      <c r="U324" s="82">
        <f>S324+R324*J324</f>
        <v/>
      </c>
      <c r="V324" s="74">
        <f>U324-S324</f>
        <v/>
      </c>
      <c r="W324" s="82">
        <f>+U324-T324</f>
        <v/>
      </c>
      <c r="X324" s="83">
        <f>+U324-T324</f>
        <v/>
      </c>
      <c r="Y324" s="5" t="n"/>
    </row>
    <row r="325" ht="20" customHeight="1" s="1">
      <c r="A325" s="5" t="n">
        <v>53</v>
      </c>
      <c r="B325" s="5" t="inlineStr">
        <is>
          <t>010607005002</t>
        </is>
      </c>
      <c r="C325" s="5" t="inlineStr">
        <is>
          <t>砌块墙钢丝网加固</t>
        </is>
      </c>
      <c r="D325" s="5" t="inlineStr">
        <is>
          <t>1.耐碱玻璃纤维网布</t>
        </is>
      </c>
      <c r="E325" s="5" t="inlineStr">
        <is>
          <t>m2</t>
        </is>
      </c>
      <c r="F325" s="6" t="n">
        <v>3398.102</v>
      </c>
      <c r="G325" s="74" t="n">
        <v>1581.43</v>
      </c>
      <c r="H325" s="82" t="n">
        <v>1581.43</v>
      </c>
      <c r="I325" s="74">
        <f>G325-F325</f>
        <v/>
      </c>
      <c r="J325" s="74">
        <f>H325-F325</f>
        <v/>
      </c>
      <c r="K325" s="74">
        <f>+H325-G325</f>
        <v/>
      </c>
      <c r="L325" s="55">
        <f>I325/F325</f>
        <v/>
      </c>
      <c r="M325" s="6" t="n">
        <v>4.58</v>
      </c>
      <c r="N325" s="6" t="n">
        <v>11.97</v>
      </c>
      <c r="O325" s="55">
        <f>(M325-N325)/N325</f>
        <v/>
      </c>
      <c r="P325" s="74">
        <f>N325*0.9056*0.85</f>
        <v/>
      </c>
      <c r="Q325" s="74">
        <f>N325*1.15</f>
        <v/>
      </c>
      <c r="R325" s="74">
        <f>IF(M325&lt;N325*0.9056*0.85,N325*0.9056*0.85,IF(M325&gt;N325*1.15,N325*1.15,M325))</f>
        <v/>
      </c>
      <c r="S325" s="74">
        <f>+F325*M325</f>
        <v/>
      </c>
      <c r="T325" s="74">
        <f>S325+R325*I325</f>
        <v/>
      </c>
      <c r="U325" s="82">
        <f>S325+R325*J325</f>
        <v/>
      </c>
      <c r="V325" s="74">
        <f>U325-S325</f>
        <v/>
      </c>
      <c r="W325" s="82">
        <f>+U325-T325</f>
        <v/>
      </c>
      <c r="X325" s="83">
        <f>+U325-T325</f>
        <v/>
      </c>
      <c r="Y325" s="5" t="n"/>
    </row>
    <row r="326" ht="20" customHeight="1" s="1">
      <c r="A326" s="5" t="n">
        <v>54</v>
      </c>
      <c r="B326" s="5" t="inlineStr">
        <is>
          <t>010606008002</t>
        </is>
      </c>
      <c r="C326" s="5" t="inlineStr">
        <is>
          <t>钢梯</t>
        </is>
      </c>
      <c r="D326" s="5" t="inlineStr">
        <is>
          <t>1.钢爬梯
2.防锈漆一道
3.图集:15J403</t>
        </is>
      </c>
      <c r="E326" s="5" t="inlineStr">
        <is>
          <t>t</t>
        </is>
      </c>
      <c r="F326" s="6" t="n">
        <v>0.25</v>
      </c>
      <c r="G326" s="74" t="n">
        <v>0.25</v>
      </c>
      <c r="H326" s="82" t="n">
        <v>0.25</v>
      </c>
      <c r="I326" s="74">
        <f>G326-F326</f>
        <v/>
      </c>
      <c r="J326" s="74">
        <f>H326-F326</f>
        <v/>
      </c>
      <c r="K326" s="74">
        <f>+H326-G326</f>
        <v/>
      </c>
      <c r="L326" s="55">
        <f>I326/F326</f>
        <v/>
      </c>
      <c r="M326" s="6" t="n">
        <v>11361.56</v>
      </c>
      <c r="N326" s="6" t="n">
        <v>9563.91</v>
      </c>
      <c r="O326" s="55">
        <f>(M326-N326)/N326</f>
        <v/>
      </c>
      <c r="P326" s="74">
        <f>N326*0.9056*0.85</f>
        <v/>
      </c>
      <c r="Q326" s="74">
        <f>N326*1.15</f>
        <v/>
      </c>
      <c r="R326" s="74">
        <f>IF(M326&lt;N326*0.9056*0.85,N326*0.9056*0.85,IF(M326&gt;N326*1.15,N326*1.15,M326))</f>
        <v/>
      </c>
      <c r="S326" s="74">
        <f>+F326*M326</f>
        <v/>
      </c>
      <c r="T326" s="74">
        <f>S326+R326*I326</f>
        <v/>
      </c>
      <c r="U326" s="82">
        <f>S326+R326*J326</f>
        <v/>
      </c>
      <c r="V326" s="74">
        <f>U326-S326</f>
        <v/>
      </c>
      <c r="W326" s="82">
        <f>+U326-T326</f>
        <v/>
      </c>
      <c r="X326" s="83">
        <f>+U326-T326</f>
        <v/>
      </c>
      <c r="Y326" s="5" t="n"/>
    </row>
    <row r="327" ht="20" customHeight="1" s="1">
      <c r="A327" s="5" t="n"/>
      <c r="B327" s="5" t="n"/>
      <c r="C327" s="5" t="inlineStr">
        <is>
          <t>门窗工程</t>
        </is>
      </c>
      <c r="D327" s="5" t="n"/>
      <c r="E327" s="5" t="n"/>
      <c r="F327" s="6" t="n"/>
      <c r="G327" s="74" t="n"/>
      <c r="H327" s="81" t="n"/>
      <c r="I327" s="74" t="n"/>
      <c r="J327" s="74" t="n"/>
      <c r="K327" s="74" t="n"/>
      <c r="L327" s="55" t="n"/>
      <c r="M327" s="6" t="n"/>
      <c r="N327" s="6" t="n"/>
      <c r="O327" s="6" t="n"/>
      <c r="P327" s="6" t="n"/>
      <c r="Q327" s="6" t="n"/>
      <c r="R327" s="74" t="n"/>
      <c r="S327" s="74">
        <f>+SUM(S328:S340)</f>
        <v/>
      </c>
      <c r="T327" s="74">
        <f>+SUM(T328:T340)</f>
        <v/>
      </c>
      <c r="U327" s="82">
        <f>SUM(U328:U340)</f>
        <v/>
      </c>
      <c r="V327" s="74">
        <f>U327-S327</f>
        <v/>
      </c>
      <c r="W327" s="82">
        <f>+U327-T327</f>
        <v/>
      </c>
      <c r="X327" s="83">
        <f>U327-T327</f>
        <v/>
      </c>
      <c r="Y327" s="5" t="n"/>
    </row>
    <row r="328" ht="20" customHeight="1" s="1">
      <c r="A328" s="5" t="n">
        <v>55</v>
      </c>
      <c r="B328" s="5" t="inlineStr">
        <is>
          <t>010802003013</t>
        </is>
      </c>
      <c r="C328" s="5" t="inlineStr">
        <is>
          <t>钢质防火门</t>
        </is>
      </c>
      <c r="D328" s="5" t="inlineStr">
        <is>
          <t>1.门类型:钢质防火门丙扇(级）
2.闭门器安装
3.其他详见施工设计图</t>
        </is>
      </c>
      <c r="E328" s="5" t="inlineStr">
        <is>
          <t>m2</t>
        </is>
      </c>
      <c r="F328" s="6" t="n">
        <v>30.24</v>
      </c>
      <c r="G328" s="74" t="n">
        <v>30.24</v>
      </c>
      <c r="H328" s="82" t="n">
        <v>30.24</v>
      </c>
      <c r="I328" s="74">
        <f>G328-F328</f>
        <v/>
      </c>
      <c r="J328" s="74">
        <f>H328-F328</f>
        <v/>
      </c>
      <c r="K328" s="74">
        <f>+H328-G328</f>
        <v/>
      </c>
      <c r="L328" s="55">
        <f>I328/F328</f>
        <v/>
      </c>
      <c r="M328" s="6" t="n">
        <v>545.42</v>
      </c>
      <c r="N328" s="6" t="n">
        <v>575.79</v>
      </c>
      <c r="O328" s="55">
        <f>(M328-N328)/N328</f>
        <v/>
      </c>
      <c r="P328" s="74">
        <f>N328*0.9056*0.85</f>
        <v/>
      </c>
      <c r="Q328" s="74">
        <f>N328*1.15</f>
        <v/>
      </c>
      <c r="R328" s="74">
        <f>IF(M328&lt;N328*0.9056*0.85,N328*0.9056*0.85,IF(M328&gt;N328*1.15,N328*1.15,M328))</f>
        <v/>
      </c>
      <c r="S328" s="74">
        <f>+F328*M328</f>
        <v/>
      </c>
      <c r="T328" s="74">
        <f>S328+R328*I328</f>
        <v/>
      </c>
      <c r="U328" s="82">
        <f>S328+R328*J328</f>
        <v/>
      </c>
      <c r="V328" s="74">
        <f>U328-S328</f>
        <v/>
      </c>
      <c r="W328" s="82">
        <f>+U328-T328</f>
        <v/>
      </c>
      <c r="X328" s="83">
        <f>+U328-T328</f>
        <v/>
      </c>
      <c r="Y328" s="5" t="n"/>
    </row>
    <row r="329" ht="20" customHeight="1" s="1">
      <c r="A329" s="5" t="n">
        <v>56</v>
      </c>
      <c r="B329" s="5" t="inlineStr">
        <is>
          <t>010802003015</t>
        </is>
      </c>
      <c r="C329" s="5" t="inlineStr">
        <is>
          <t>钢质防火门</t>
        </is>
      </c>
      <c r="D329" s="5" t="inlineStr">
        <is>
          <t>1.门类型:钢质防火门单扇(甲级）
2.闭门器安装
3.其他详见施工设计图</t>
        </is>
      </c>
      <c r="E329" s="5" t="inlineStr">
        <is>
          <t>m2</t>
        </is>
      </c>
      <c r="F329" s="6" t="n">
        <v>15.35</v>
      </c>
      <c r="G329" s="74" t="n">
        <v>16.97</v>
      </c>
      <c r="H329" s="82" t="n">
        <v>16.97</v>
      </c>
      <c r="I329" s="74">
        <f>G329-F329</f>
        <v/>
      </c>
      <c r="J329" s="74">
        <f>H329-F329</f>
        <v/>
      </c>
      <c r="K329" s="74">
        <f>+H329-G329</f>
        <v/>
      </c>
      <c r="L329" s="55">
        <f>I329/F329</f>
        <v/>
      </c>
      <c r="M329" s="6" t="n">
        <v>559.8200000000001</v>
      </c>
      <c r="N329" s="6" t="n">
        <v>644.14</v>
      </c>
      <c r="O329" s="55">
        <f>(M329-N329)/N329</f>
        <v/>
      </c>
      <c r="P329" s="74">
        <f>N329*0.9056*0.85</f>
        <v/>
      </c>
      <c r="Q329" s="74">
        <f>N329*1.15</f>
        <v/>
      </c>
      <c r="R329" s="74">
        <f>IF(M329&lt;N329*0.9056*0.85,N329*0.9056*0.85,IF(M329&gt;N329*1.15,N329*1.15,M329))</f>
        <v/>
      </c>
      <c r="S329" s="74">
        <f>+F329*M329</f>
        <v/>
      </c>
      <c r="T329" s="74">
        <f>S329+R329*I329</f>
        <v/>
      </c>
      <c r="U329" s="82">
        <f>S329+R329*J329</f>
        <v/>
      </c>
      <c r="V329" s="74">
        <f>U329-S329</f>
        <v/>
      </c>
      <c r="W329" s="82">
        <f>+U329-T329</f>
        <v/>
      </c>
      <c r="X329" s="83">
        <f>+U329-T329</f>
        <v/>
      </c>
      <c r="Y329" s="5" t="n"/>
    </row>
    <row r="330" ht="20" customHeight="1" s="1">
      <c r="A330" s="5" t="n">
        <v>57</v>
      </c>
      <c r="B330" s="5" t="inlineStr">
        <is>
          <t>010802003014</t>
        </is>
      </c>
      <c r="C330" s="5" t="inlineStr">
        <is>
          <t>钢质防火门</t>
        </is>
      </c>
      <c r="D330" s="5" t="inlineStr">
        <is>
          <t>1.门类型:钢质防火门双扇(乙级）
2.闭门器安装
3.其他详见施工设计图</t>
        </is>
      </c>
      <c r="E330" s="5" t="inlineStr">
        <is>
          <t>m2</t>
        </is>
      </c>
      <c r="F330" s="6" t="n">
        <v>48.3</v>
      </c>
      <c r="G330" s="74" t="n">
        <v>48.3</v>
      </c>
      <c r="H330" s="82" t="n">
        <v>48.3</v>
      </c>
      <c r="I330" s="74">
        <f>G330-F330</f>
        <v/>
      </c>
      <c r="J330" s="74">
        <f>H330-F330</f>
        <v/>
      </c>
      <c r="K330" s="74">
        <f>+H330-G330</f>
        <v/>
      </c>
      <c r="L330" s="55">
        <f>I330/F330</f>
        <v/>
      </c>
      <c r="M330" s="6" t="n">
        <v>547.91</v>
      </c>
      <c r="N330" s="6" t="n">
        <v>612.9400000000001</v>
      </c>
      <c r="O330" s="55">
        <f>(M330-N330)/N330</f>
        <v/>
      </c>
      <c r="P330" s="74">
        <f>N330*0.9056*0.85</f>
        <v/>
      </c>
      <c r="Q330" s="74">
        <f>N330*1.15</f>
        <v/>
      </c>
      <c r="R330" s="74">
        <f>IF(M330&lt;N330*0.9056*0.85,N330*0.9056*0.85,IF(M330&gt;N330*1.15,N330*1.15,M330))</f>
        <v/>
      </c>
      <c r="S330" s="74">
        <f>+F330*M330</f>
        <v/>
      </c>
      <c r="T330" s="74">
        <f>S330+R330*I330</f>
        <v/>
      </c>
      <c r="U330" s="82">
        <f>S330+R330*J330</f>
        <v/>
      </c>
      <c r="V330" s="74">
        <f>U330-S330</f>
        <v/>
      </c>
      <c r="W330" s="82">
        <f>+U330-T330</f>
        <v/>
      </c>
      <c r="X330" s="83">
        <f>+U330-T330</f>
        <v/>
      </c>
      <c r="Y330" s="5" t="n"/>
    </row>
    <row r="331" ht="20" customHeight="1" s="1">
      <c r="A331" s="5" t="n">
        <v>58</v>
      </c>
      <c r="B331" s="5" t="inlineStr">
        <is>
          <t>010802003016</t>
        </is>
      </c>
      <c r="C331" s="5" t="inlineStr">
        <is>
          <t>钢质防火门</t>
        </is>
      </c>
      <c r="D331" s="5" t="inlineStr">
        <is>
          <t>1.门类型:钢质防火门单扇(乙级）
2.闭门器安装
3.其他详见施工设计图</t>
        </is>
      </c>
      <c r="E331" s="5" t="inlineStr">
        <is>
          <t>m2</t>
        </is>
      </c>
      <c r="F331" s="6" t="n">
        <v>2.415</v>
      </c>
      <c r="G331" s="74" t="n">
        <v>2.42</v>
      </c>
      <c r="H331" s="82" t="n">
        <v>2.42</v>
      </c>
      <c r="I331" s="74">
        <f>G331-F331</f>
        <v/>
      </c>
      <c r="J331" s="74">
        <f>H331-F331</f>
        <v/>
      </c>
      <c r="K331" s="74">
        <f>+H331-G331</f>
        <v/>
      </c>
      <c r="L331" s="55">
        <f>I331/F331</f>
        <v/>
      </c>
      <c r="M331" s="6" t="n">
        <v>547.91</v>
      </c>
      <c r="N331" s="6" t="n">
        <v>616.58</v>
      </c>
      <c r="O331" s="55">
        <f>(M331-N331)/N331</f>
        <v/>
      </c>
      <c r="P331" s="74">
        <f>N331*0.9056*0.85</f>
        <v/>
      </c>
      <c r="Q331" s="74">
        <f>N331*1.15</f>
        <v/>
      </c>
      <c r="R331" s="74">
        <f>IF(M331&lt;N331*0.9056*0.85,N331*0.9056*0.85,IF(M331&gt;N331*1.15,N331*1.15,M331))</f>
        <v/>
      </c>
      <c r="S331" s="74">
        <f>+F331*M331</f>
        <v/>
      </c>
      <c r="T331" s="74">
        <f>S331+R331*I331</f>
        <v/>
      </c>
      <c r="U331" s="82">
        <f>S331+R331*J331</f>
        <v/>
      </c>
      <c r="V331" s="74">
        <f>U331-S331</f>
        <v/>
      </c>
      <c r="W331" s="82">
        <f>+U331-T331</f>
        <v/>
      </c>
      <c r="X331" s="83">
        <f>+U331-T331</f>
        <v/>
      </c>
      <c r="Y331" s="5" t="n"/>
    </row>
    <row r="332" ht="20" customHeight="1" s="1">
      <c r="A332" s="5" t="n">
        <v>59</v>
      </c>
      <c r="B332" s="5" t="inlineStr">
        <is>
          <t>010802001002</t>
        </is>
      </c>
      <c r="C332" s="5" t="inlineStr">
        <is>
          <t>金属(塑钢)门</t>
        </is>
      </c>
      <c r="D332" s="5" t="inlineStr">
        <is>
          <t>1.镀锌钢板门
2.1.5mm厚优质镀锌钢表面氟碳漆静电喷涂
3.304不锈钢五金件及门锁</t>
        </is>
      </c>
      <c r="E332" s="5" t="inlineStr">
        <is>
          <t>m2</t>
        </is>
      </c>
      <c r="F332" s="6" t="n">
        <v>5.865</v>
      </c>
      <c r="G332" s="74" t="n">
        <v>7.49</v>
      </c>
      <c r="H332" s="82" t="n">
        <v>7.49</v>
      </c>
      <c r="I332" s="74">
        <f>G332-F332</f>
        <v/>
      </c>
      <c r="J332" s="74">
        <f>H332-F332</f>
        <v/>
      </c>
      <c r="K332" s="74">
        <f>+H332-G332</f>
        <v/>
      </c>
      <c r="L332" s="55">
        <f>I332/F332</f>
        <v/>
      </c>
      <c r="M332" s="6" t="n">
        <v>777.73</v>
      </c>
      <c r="N332" s="6" t="n">
        <v>700.9</v>
      </c>
      <c r="O332" s="55">
        <f>(M332-N332)/N332</f>
        <v/>
      </c>
      <c r="P332" s="74">
        <f>N332*0.9056*0.85</f>
        <v/>
      </c>
      <c r="Q332" s="74">
        <f>N332*1.15</f>
        <v/>
      </c>
      <c r="R332" s="74">
        <f>IF(M332&lt;N332*0.9056*0.85,N332*0.9056*0.85,IF(M332&gt;N332*1.15,N332*1.15,M332))</f>
        <v/>
      </c>
      <c r="S332" s="74">
        <f>+F332*M332</f>
        <v/>
      </c>
      <c r="T332" s="74">
        <f>S332+R332*I332</f>
        <v/>
      </c>
      <c r="U332" s="82">
        <f>S332+R332*J332</f>
        <v/>
      </c>
      <c r="V332" s="74">
        <f>U332-S332</f>
        <v/>
      </c>
      <c r="W332" s="82">
        <f>+U332-T332</f>
        <v/>
      </c>
      <c r="X332" s="83">
        <f>+U332-T332</f>
        <v/>
      </c>
      <c r="Y332" s="5" t="n"/>
    </row>
    <row r="333" ht="20" customHeight="1" s="1">
      <c r="A333" s="5" t="n">
        <v>60</v>
      </c>
      <c r="B333" s="5" t="inlineStr">
        <is>
          <t>010802001003</t>
        </is>
      </c>
      <c r="C333" s="5" t="inlineStr">
        <is>
          <t>金属(塑钢)门</t>
        </is>
      </c>
      <c r="D333" s="5" t="inlineStr">
        <is>
          <t>1.镀锌钢板门
2.1.5mm厚优质镀锌钢表面氟碳漆静电喷涂
3.304不锈钢五金件及门锁
4.上部开启窗6mm钢化玻璃</t>
        </is>
      </c>
      <c r="E333" s="5" t="inlineStr">
        <is>
          <t>m2</t>
        </is>
      </c>
      <c r="F333" s="6" t="n">
        <v>337.84</v>
      </c>
      <c r="G333" s="74" t="n">
        <v>337.84</v>
      </c>
      <c r="H333" s="82" t="n">
        <v>337.84</v>
      </c>
      <c r="I333" s="74">
        <f>G333-F333</f>
        <v/>
      </c>
      <c r="J333" s="74">
        <f>H333-F333</f>
        <v/>
      </c>
      <c r="K333" s="74">
        <f>+H333-G333</f>
        <v/>
      </c>
      <c r="L333" s="55">
        <f>I333/F333</f>
        <v/>
      </c>
      <c r="M333" s="6" t="n">
        <v>746.49</v>
      </c>
      <c r="N333" s="6" t="n">
        <v>662.8</v>
      </c>
      <c r="O333" s="55">
        <f>(M333-N333)/N333</f>
        <v/>
      </c>
      <c r="P333" s="74">
        <f>N333*0.9056*0.85</f>
        <v/>
      </c>
      <c r="Q333" s="74">
        <f>N333*1.15</f>
        <v/>
      </c>
      <c r="R333" s="74">
        <f>IF(M333&lt;N333*0.9056*0.85,N333*0.9056*0.85,IF(M333&gt;N333*1.15,N333*1.15,M333))</f>
        <v/>
      </c>
      <c r="S333" s="74">
        <f>+F333*M333</f>
        <v/>
      </c>
      <c r="T333" s="74">
        <f>S333+R333*I333</f>
        <v/>
      </c>
      <c r="U333" s="82">
        <f>S333+R333*J333</f>
        <v/>
      </c>
      <c r="V333" s="74">
        <f>U333-S333</f>
        <v/>
      </c>
      <c r="W333" s="82">
        <f>+U333-T333</f>
        <v/>
      </c>
      <c r="X333" s="83">
        <f>+U333-T333</f>
        <v/>
      </c>
      <c r="Y333" s="5" t="n"/>
    </row>
    <row r="334" ht="20" customHeight="1" s="1">
      <c r="A334" s="5" t="n">
        <v>61</v>
      </c>
      <c r="B334" s="5" t="inlineStr">
        <is>
          <t>010807001014</t>
        </is>
      </c>
      <c r="C334" s="5" t="inlineStr">
        <is>
          <t>金属(塑钢、断桥)窗</t>
        </is>
      </c>
      <c r="D334" s="5" t="inlineStr">
        <is>
          <t>1.窗类型:90系列推拉窗
2.铝材厚度:1.8mm
3.玻璃品种、厚度:Low-E中空玻璃(6+12A+6)
4.排烟窗做法详见图纸
5.其他详见施工设计图</t>
        </is>
      </c>
      <c r="E334" s="5" t="inlineStr">
        <is>
          <t>m2</t>
        </is>
      </c>
      <c r="F334" s="6" t="n">
        <v>1315.21</v>
      </c>
      <c r="G334" s="74" t="n">
        <v>1315.21</v>
      </c>
      <c r="H334" s="82" t="n">
        <v>819.47</v>
      </c>
      <c r="I334" s="74">
        <f>G334-F334</f>
        <v/>
      </c>
      <c r="J334" s="74">
        <f>H334-F334</f>
        <v/>
      </c>
      <c r="K334" s="74">
        <f>+H334-G334</f>
        <v/>
      </c>
      <c r="L334" s="55">
        <f>I334/F334</f>
        <v/>
      </c>
      <c r="M334" s="6" t="n">
        <v>565.96</v>
      </c>
      <c r="N334" s="6" t="n">
        <v>605.7</v>
      </c>
      <c r="O334" s="55">
        <f>(M334-N334)/N334</f>
        <v/>
      </c>
      <c r="P334" s="74">
        <f>N334*0.9056*0.85</f>
        <v/>
      </c>
      <c r="Q334" s="74">
        <f>N334*1.15</f>
        <v/>
      </c>
      <c r="R334" s="74">
        <f>IF(M334&lt;N334*0.9056*0.85,N334*0.9056*0.85,IF(M334&gt;N334*1.15,N334*1.15,M334))</f>
        <v/>
      </c>
      <c r="S334" s="74">
        <f>+F334*M334</f>
        <v/>
      </c>
      <c r="T334" s="74">
        <f>S334+R334*I334</f>
        <v/>
      </c>
      <c r="U334" s="82">
        <f>S334+R334*J334</f>
        <v/>
      </c>
      <c r="V334" s="74">
        <f>U334-S334</f>
        <v/>
      </c>
      <c r="W334" s="82">
        <f>+U334-T334</f>
        <v/>
      </c>
      <c r="X334" s="83">
        <f>+U334-T334</f>
        <v/>
      </c>
      <c r="Y334" s="5" t="n"/>
    </row>
    <row r="335" ht="20" customHeight="1" s="1">
      <c r="A335" s="5" t="n">
        <v>62</v>
      </c>
      <c r="B335" s="5" t="inlineStr">
        <is>
          <t>010807001015</t>
        </is>
      </c>
      <c r="C335" s="5" t="inlineStr">
        <is>
          <t>金属(塑钢、断桥)窗</t>
        </is>
      </c>
      <c r="D335" s="5" t="inlineStr">
        <is>
          <t>1.窗类型:70系列铝合金平开窗
2.铝材厚度:1.8mm
3.玻璃品种、厚度:Low-E中空玻璃(6+12A+6)
4.其他详见施工设计图</t>
        </is>
      </c>
      <c r="E335" s="5" t="inlineStr">
        <is>
          <t>m2</t>
        </is>
      </c>
      <c r="F335" s="6" t="n">
        <v>15.075</v>
      </c>
      <c r="G335" s="74" t="n">
        <v>15.08</v>
      </c>
      <c r="H335" s="82" t="n">
        <v>15.08</v>
      </c>
      <c r="I335" s="74">
        <f>G335-F335</f>
        <v/>
      </c>
      <c r="J335" s="74">
        <f>H335-F335</f>
        <v/>
      </c>
      <c r="K335" s="74">
        <f>+H335-G335</f>
        <v/>
      </c>
      <c r="L335" s="55">
        <f>I335/F335</f>
        <v/>
      </c>
      <c r="M335" s="6" t="n">
        <v>657.9299999999999</v>
      </c>
      <c r="N335" s="6" t="n">
        <v>568.34</v>
      </c>
      <c r="O335" s="55">
        <f>(M335-N335)/N335</f>
        <v/>
      </c>
      <c r="P335" s="74">
        <f>N335*0.9056*0.85</f>
        <v/>
      </c>
      <c r="Q335" s="74">
        <f>N335*1.15</f>
        <v/>
      </c>
      <c r="R335" s="74">
        <f>IF(M335&lt;N335*0.9056*0.85,N335*0.9056*0.85,IF(M335&gt;N335*1.15,N335*1.15,M335))</f>
        <v/>
      </c>
      <c r="S335" s="74">
        <f>+F335*M335</f>
        <v/>
      </c>
      <c r="T335" s="74">
        <f>S335+R335*I335</f>
        <v/>
      </c>
      <c r="U335" s="82">
        <f>S335+R335*J335</f>
        <v/>
      </c>
      <c r="V335" s="74">
        <f>U335-S335</f>
        <v/>
      </c>
      <c r="W335" s="82">
        <f>+U335-T335</f>
        <v/>
      </c>
      <c r="X335" s="83">
        <f>+U335-T335</f>
        <v/>
      </c>
      <c r="Y335" s="5" t="n"/>
    </row>
    <row r="336" ht="20" customHeight="1" s="1">
      <c r="A336" s="5" t="n">
        <v>63</v>
      </c>
      <c r="B336" s="5" t="inlineStr">
        <is>
          <t>010807001016</t>
        </is>
      </c>
      <c r="C336" s="5" t="inlineStr">
        <is>
          <t>金属(塑钢、断桥)窗</t>
        </is>
      </c>
      <c r="D336" s="5" t="inlineStr">
        <is>
          <t>1.窗类型:铝合金固定窗
2.铝材厚度:1.8mm
3.玻璃品种、厚度:Low-E中空玻璃(6+12A+6)
4.其他详见施工设计图</t>
        </is>
      </c>
      <c r="E336" s="5" t="inlineStr">
        <is>
          <t>m2</t>
        </is>
      </c>
      <c r="F336" s="6" t="n">
        <v>310.21</v>
      </c>
      <c r="G336" s="74" t="n">
        <v>828.54</v>
      </c>
      <c r="H336" s="82" t="n">
        <v>828.54</v>
      </c>
      <c r="I336" s="74">
        <f>G336-F336</f>
        <v/>
      </c>
      <c r="J336" s="74">
        <f>H336-F336</f>
        <v/>
      </c>
      <c r="K336" s="74">
        <f>+H336-G336</f>
        <v/>
      </c>
      <c r="L336" s="55">
        <f>I336/F336</f>
        <v/>
      </c>
      <c r="M336" s="6" t="n">
        <v>568.25</v>
      </c>
      <c r="N336" s="6" t="n">
        <v>534.64</v>
      </c>
      <c r="O336" s="55">
        <f>(M336-N336)/N336</f>
        <v/>
      </c>
      <c r="P336" s="74">
        <f>N336*0.9056*0.85</f>
        <v/>
      </c>
      <c r="Q336" s="74">
        <f>N336*1.15</f>
        <v/>
      </c>
      <c r="R336" s="74">
        <f>IF(M336&lt;N336*0.9056*0.85,N336*0.9056*0.85,IF(M336&gt;N336*1.15,N336*1.15,M336))</f>
        <v/>
      </c>
      <c r="S336" s="74">
        <f>+F336*M336</f>
        <v/>
      </c>
      <c r="T336" s="74">
        <f>S336+R336*I336</f>
        <v/>
      </c>
      <c r="U336" s="82">
        <f>S336+R336*J336</f>
        <v/>
      </c>
      <c r="V336" s="74">
        <f>U336-S336</f>
        <v/>
      </c>
      <c r="W336" s="82">
        <f>+U336-T336</f>
        <v/>
      </c>
      <c r="X336" s="83">
        <f>+U336-T336</f>
        <v/>
      </c>
      <c r="Y336" s="5" t="n"/>
    </row>
    <row r="337" ht="20" customHeight="1" s="1">
      <c r="A337" s="5" t="n">
        <v>64</v>
      </c>
      <c r="B337" s="5" t="inlineStr">
        <is>
          <t>010807002001</t>
        </is>
      </c>
      <c r="C337" s="5" t="inlineStr">
        <is>
          <t>金属防火窗</t>
        </is>
      </c>
      <c r="D337" s="5" t="inlineStr">
        <is>
          <t>1.铝合金乙级防火玻璃固定窗安装
2.其他详见施工设计图</t>
        </is>
      </c>
      <c r="E337" s="5" t="inlineStr">
        <is>
          <t>m2</t>
        </is>
      </c>
      <c r="F337" s="6" t="n">
        <v>4.88</v>
      </c>
      <c r="G337" s="74" t="n">
        <v>4.88</v>
      </c>
      <c r="H337" s="82" t="n">
        <v>4.88</v>
      </c>
      <c r="I337" s="74">
        <f>G337-F337</f>
        <v/>
      </c>
      <c r="J337" s="74">
        <f>H337-F337</f>
        <v/>
      </c>
      <c r="K337" s="74">
        <f>+H337-G337</f>
        <v/>
      </c>
      <c r="L337" s="55">
        <f>I337/F337</f>
        <v/>
      </c>
      <c r="M337" s="6" t="n">
        <v>537.53</v>
      </c>
      <c r="N337" s="6" t="n">
        <v>665.09</v>
      </c>
      <c r="O337" s="55">
        <f>(M337-N337)/N337</f>
        <v/>
      </c>
      <c r="P337" s="74">
        <f>N337*0.9056*0.85</f>
        <v/>
      </c>
      <c r="Q337" s="74">
        <f>N337*1.15</f>
        <v/>
      </c>
      <c r="R337" s="74">
        <f>IF(M337&lt;N337*0.9056*0.85,N337*0.9056*0.85,IF(M337&gt;N337*1.15,N337*1.15,M337))</f>
        <v/>
      </c>
      <c r="S337" s="74">
        <f>+F337*M337</f>
        <v/>
      </c>
      <c r="T337" s="74">
        <f>S337+R337*I337</f>
        <v/>
      </c>
      <c r="U337" s="82">
        <f>S337+R337*J337</f>
        <v/>
      </c>
      <c r="V337" s="74">
        <f>U337-S337</f>
        <v/>
      </c>
      <c r="W337" s="82">
        <f>+U337-T337</f>
        <v/>
      </c>
      <c r="X337" s="83">
        <f>+U337-T337</f>
        <v/>
      </c>
      <c r="Y337" s="5" t="n"/>
    </row>
    <row r="338" ht="20" customHeight="1" s="1">
      <c r="A338" s="5" t="n">
        <v>65</v>
      </c>
      <c r="B338" s="5" t="inlineStr">
        <is>
          <t>010807003003</t>
        </is>
      </c>
      <c r="C338" s="5" t="inlineStr">
        <is>
          <t>金属百叶窗</t>
        </is>
      </c>
      <c r="D338" s="5" t="inlineStr">
        <is>
          <t>1.铝合金百叶窗
2.其他详见施工设计图</t>
        </is>
      </c>
      <c r="E338" s="5" t="inlineStr">
        <is>
          <t>m2</t>
        </is>
      </c>
      <c r="F338" s="6" t="n">
        <v>10.7</v>
      </c>
      <c r="G338" s="74" t="n">
        <v>10.7</v>
      </c>
      <c r="H338" s="82" t="n">
        <v>10.7</v>
      </c>
      <c r="I338" s="74">
        <f>G338-F338</f>
        <v/>
      </c>
      <c r="J338" s="74">
        <f>H338-F338</f>
        <v/>
      </c>
      <c r="K338" s="74">
        <f>+H338-G338</f>
        <v/>
      </c>
      <c r="L338" s="55">
        <f>I338/F338</f>
        <v/>
      </c>
      <c r="M338" s="6" t="n">
        <v>301.24</v>
      </c>
      <c r="N338" s="6" t="n">
        <v>404.84</v>
      </c>
      <c r="O338" s="55">
        <f>(M338-N338)/N338</f>
        <v/>
      </c>
      <c r="P338" s="74">
        <f>N338*0.9056*0.85</f>
        <v/>
      </c>
      <c r="Q338" s="74">
        <f>N338*1.15</f>
        <v/>
      </c>
      <c r="R338" s="74">
        <f>IF(M338&lt;N338*0.9056*0.85,N338*0.9056*0.85,IF(M338&gt;N338*1.15,N338*1.15,M338))</f>
        <v/>
      </c>
      <c r="S338" s="74">
        <f>+F338*M338</f>
        <v/>
      </c>
      <c r="T338" s="74">
        <f>S338+R338*I338</f>
        <v/>
      </c>
      <c r="U338" s="82">
        <f>S338+R338*J338</f>
        <v/>
      </c>
      <c r="V338" s="74">
        <f>U338-S338</f>
        <v/>
      </c>
      <c r="W338" s="82">
        <f>+U338-T338</f>
        <v/>
      </c>
      <c r="X338" s="83">
        <f>+U338-T338</f>
        <v/>
      </c>
      <c r="Y338" s="5" t="n"/>
    </row>
    <row r="339" ht="20" customHeight="1" s="1">
      <c r="A339" s="5" t="n">
        <v>66</v>
      </c>
      <c r="B339" s="5" t="inlineStr">
        <is>
          <t>010807003004</t>
        </is>
      </c>
      <c r="C339" s="5" t="inlineStr">
        <is>
          <t>金属百叶窗</t>
        </is>
      </c>
      <c r="D339" s="5" t="inlineStr">
        <is>
          <t>1.铝合金空调百叶
2.30*30*2.0灰色铝方通
3.25*50*1.5灰色铝方通
4.其他详见施工设计图</t>
        </is>
      </c>
      <c r="E339" s="5" t="inlineStr">
        <is>
          <t>m2</t>
        </is>
      </c>
      <c r="F339" s="6" t="n">
        <v>321.13</v>
      </c>
      <c r="G339" s="74" t="n">
        <v>321.13</v>
      </c>
      <c r="H339" s="82" t="n">
        <v>321.13</v>
      </c>
      <c r="I339" s="74">
        <f>G339-F339</f>
        <v/>
      </c>
      <c r="J339" s="74">
        <f>H339-F339</f>
        <v/>
      </c>
      <c r="K339" s="74">
        <f>+H339-G339</f>
        <v/>
      </c>
      <c r="L339" s="55">
        <f>I339/F339</f>
        <v/>
      </c>
      <c r="M339" s="6" t="n">
        <v>301.24</v>
      </c>
      <c r="N339" s="6" t="n">
        <v>428.94</v>
      </c>
      <c r="O339" s="55">
        <f>(M339-N339)/N339</f>
        <v/>
      </c>
      <c r="P339" s="74">
        <f>N339*0.9056*0.85</f>
        <v/>
      </c>
      <c r="Q339" s="74">
        <f>N339*1.15</f>
        <v/>
      </c>
      <c r="R339" s="74">
        <f>IF(M339&lt;N339*0.9056*0.85,N339*0.9056*0.85,IF(M339&gt;N339*1.15,N339*1.15,M339))</f>
        <v/>
      </c>
      <c r="S339" s="74">
        <f>+F339*M339</f>
        <v/>
      </c>
      <c r="T339" s="74">
        <f>S339+R339*I339</f>
        <v/>
      </c>
      <c r="U339" s="82">
        <f>S339+R339*J339</f>
        <v/>
      </c>
      <c r="V339" s="74">
        <f>U339-S339</f>
        <v/>
      </c>
      <c r="W339" s="82">
        <f>+U339-T339</f>
        <v/>
      </c>
      <c r="X339" s="83">
        <f>+U339-T339</f>
        <v/>
      </c>
      <c r="Y339" s="5" t="n"/>
    </row>
    <row r="340" ht="20" customHeight="1" s="1">
      <c r="A340" s="5" t="n">
        <v>67</v>
      </c>
      <c r="B340" s="5" t="inlineStr">
        <is>
          <t>010807005001</t>
        </is>
      </c>
      <c r="C340" s="5" t="inlineStr">
        <is>
          <t>金属格栅窗</t>
        </is>
      </c>
      <c r="D340" s="5" t="inlineStr">
        <is>
          <t>1.3.0厚300*100深灰色铝合金方管装饰格栅，中心间距300
2.其他详见施工设计图</t>
        </is>
      </c>
      <c r="E340" s="5" t="inlineStr">
        <is>
          <t>m</t>
        </is>
      </c>
      <c r="F340" s="6" t="n">
        <v>664.5</v>
      </c>
      <c r="G340" s="74" t="n">
        <v>669</v>
      </c>
      <c r="H340" s="82" t="n">
        <v>669</v>
      </c>
      <c r="I340" s="74">
        <f>G340-F340</f>
        <v/>
      </c>
      <c r="J340" s="74">
        <f>H340-F340</f>
        <v/>
      </c>
      <c r="K340" s="74">
        <f>+H340-G340</f>
        <v/>
      </c>
      <c r="L340" s="55">
        <f>I340/F340</f>
        <v/>
      </c>
      <c r="M340" s="6" t="n">
        <v>329</v>
      </c>
      <c r="N340" s="6" t="n">
        <v>380</v>
      </c>
      <c r="O340" s="55">
        <f>(M340-N340)/N340</f>
        <v/>
      </c>
      <c r="P340" s="74">
        <f>N340*0.9056*0.85</f>
        <v/>
      </c>
      <c r="Q340" s="74">
        <f>N340*1.15</f>
        <v/>
      </c>
      <c r="R340" s="74">
        <f>IF(M340&lt;N340*0.9056*0.85,N340*0.9056*0.85,IF(M340&gt;N340*1.15,N340*1.15,M340))</f>
        <v/>
      </c>
      <c r="S340" s="74">
        <f>+F340*M340</f>
        <v/>
      </c>
      <c r="T340" s="74">
        <f>S340+R340*I340</f>
        <v/>
      </c>
      <c r="U340" s="82">
        <f>S340+R340*J340</f>
        <v/>
      </c>
      <c r="V340" s="74">
        <f>U340-S340</f>
        <v/>
      </c>
      <c r="W340" s="82">
        <f>+U340-T340</f>
        <v/>
      </c>
      <c r="X340" s="83">
        <f>+U340-T340</f>
        <v/>
      </c>
      <c r="Y340" s="5" t="n"/>
    </row>
    <row r="341" ht="20" customHeight="1" s="1">
      <c r="A341" s="5" t="n"/>
      <c r="B341" s="5" t="n"/>
      <c r="C341" s="5" t="inlineStr">
        <is>
          <t>屋面及防水工程</t>
        </is>
      </c>
      <c r="D341" s="5" t="n"/>
      <c r="E341" s="5" t="n"/>
      <c r="F341" s="6" t="n"/>
      <c r="G341" s="74" t="n"/>
      <c r="H341" s="81" t="n"/>
      <c r="I341" s="74" t="n"/>
      <c r="J341" s="74" t="n"/>
      <c r="K341" s="74" t="n"/>
      <c r="L341" s="55" t="n"/>
      <c r="M341" s="6" t="n"/>
      <c r="N341" s="6" t="n"/>
      <c r="O341" s="6" t="n"/>
      <c r="P341" s="6" t="n"/>
      <c r="Q341" s="6" t="n"/>
      <c r="R341" s="74" t="n"/>
      <c r="S341" s="74">
        <f>+SUM(S342:S355)</f>
        <v/>
      </c>
      <c r="T341" s="74">
        <f>+SUM(T342:T355)</f>
        <v/>
      </c>
      <c r="U341" s="82">
        <f>SUM(U342:U355)</f>
        <v/>
      </c>
      <c r="V341" s="74">
        <f>U341-S341</f>
        <v/>
      </c>
      <c r="W341" s="82">
        <f>+U341-T341</f>
        <v/>
      </c>
      <c r="X341" s="83">
        <f>U341-T341</f>
        <v/>
      </c>
      <c r="Y341" s="5" t="n"/>
    </row>
    <row r="342" ht="20" customHeight="1" s="1">
      <c r="A342" s="5" t="n">
        <v>68</v>
      </c>
      <c r="B342" s="5" t="inlineStr">
        <is>
          <t>011102003008</t>
        </is>
      </c>
      <c r="C342" s="5" t="inlineStr">
        <is>
          <t>块料楼地面（屋1）</t>
        </is>
      </c>
      <c r="D342" s="5" t="inlineStr">
        <is>
          <t>1.面层:8~10厚防滑地砖,缝宽5~8
2.20厚M15干硬性水泥沙浆</t>
        </is>
      </c>
      <c r="E342" s="5" t="inlineStr">
        <is>
          <t>m2</t>
        </is>
      </c>
      <c r="F342" s="6" t="n">
        <v>127.5</v>
      </c>
      <c r="G342" s="74" t="n">
        <v>127.5</v>
      </c>
      <c r="H342" s="82" t="n">
        <v>127.5</v>
      </c>
      <c r="I342" s="74">
        <f>G342-F342</f>
        <v/>
      </c>
      <c r="J342" s="74">
        <f>H342-F342</f>
        <v/>
      </c>
      <c r="K342" s="74">
        <f>+H342-G342</f>
        <v/>
      </c>
      <c r="L342" s="55">
        <f>I342/F342</f>
        <v/>
      </c>
      <c r="M342" s="6" t="n">
        <v>116.74</v>
      </c>
      <c r="N342" s="6" t="n">
        <v>116.28</v>
      </c>
      <c r="O342" s="55">
        <f>(M342-N342)/N342</f>
        <v/>
      </c>
      <c r="P342" s="74">
        <f>N342*0.9056*0.85</f>
        <v/>
      </c>
      <c r="Q342" s="74">
        <f>N342*1.15</f>
        <v/>
      </c>
      <c r="R342" s="74">
        <f>IF(M342&lt;N342*0.9056*0.85,N342*0.9056*0.85,IF(M342&gt;N342*1.15,N342*1.15,M342))</f>
        <v/>
      </c>
      <c r="S342" s="74">
        <f>+F342*M342</f>
        <v/>
      </c>
      <c r="T342" s="74">
        <f>S342+R342*I342</f>
        <v/>
      </c>
      <c r="U342" s="82">
        <f>S342+R342*J342</f>
        <v/>
      </c>
      <c r="V342" s="74">
        <f>U342-S342</f>
        <v/>
      </c>
      <c r="W342" s="82">
        <f>+U342-T342</f>
        <v/>
      </c>
      <c r="X342" s="83">
        <f>+U342-T342</f>
        <v/>
      </c>
      <c r="Y342" s="5" t="n"/>
    </row>
    <row r="343" ht="20" customHeight="1" s="1">
      <c r="A343" s="5" t="n">
        <v>69</v>
      </c>
      <c r="B343" s="5" t="inlineStr">
        <is>
          <t>010902003012</t>
        </is>
      </c>
      <c r="C343" s="5" t="inlineStr">
        <is>
          <t>屋面刚性层（屋1）</t>
        </is>
      </c>
      <c r="D343" s="5" t="inlineStr">
        <is>
          <t>1.40厚C20细石混凝土找平层,表面压光。(双向配筋ΦC4@150,每6米设缝,密封胶嵌缝。）</t>
        </is>
      </c>
      <c r="E343" s="5" t="inlineStr">
        <is>
          <t>m2</t>
        </is>
      </c>
      <c r="F343" s="6" t="n">
        <v>285.67</v>
      </c>
      <c r="G343" s="74" t="n">
        <v>418.55</v>
      </c>
      <c r="H343" s="82">
        <f>418.545</f>
        <v/>
      </c>
      <c r="I343" s="74">
        <f>G343-F343</f>
        <v/>
      </c>
      <c r="J343" s="74">
        <f>H343-F343</f>
        <v/>
      </c>
      <c r="K343" s="74">
        <f>+H343-G343</f>
        <v/>
      </c>
      <c r="L343" s="55">
        <f>I343/F343</f>
        <v/>
      </c>
      <c r="M343" s="6" t="n">
        <v>59.04</v>
      </c>
      <c r="N343" s="6" t="n">
        <v>56.42</v>
      </c>
      <c r="O343" s="55">
        <f>(M343-N343)/N343</f>
        <v/>
      </c>
      <c r="P343" s="74">
        <f>N343*0.9056*0.85</f>
        <v/>
      </c>
      <c r="Q343" s="74">
        <f>N343*1.15</f>
        <v/>
      </c>
      <c r="R343" s="74">
        <f>IF(M343&lt;N343*0.9056*0.85,N343*0.9056*0.85,IF(M343&gt;N343*1.15,N343*1.15,M343))</f>
        <v/>
      </c>
      <c r="S343" s="74">
        <f>+F343*M343</f>
        <v/>
      </c>
      <c r="T343" s="74">
        <f>S343+R343*I343</f>
        <v/>
      </c>
      <c r="U343" s="82">
        <f>S343+R343*J343</f>
        <v/>
      </c>
      <c r="V343" s="74">
        <f>U343-S343</f>
        <v/>
      </c>
      <c r="W343" s="82">
        <f>+U343-T343</f>
        <v/>
      </c>
      <c r="X343" s="83">
        <f>+U343-T343</f>
        <v/>
      </c>
      <c r="Y343" s="5" t="n"/>
    </row>
    <row r="344" ht="20" customHeight="1" s="1">
      <c r="A344" s="5" t="n">
        <v>70</v>
      </c>
      <c r="B344" s="5" t="inlineStr">
        <is>
          <t>010902001007</t>
        </is>
      </c>
      <c r="C344" s="5" t="inlineStr">
        <is>
          <t>屋面卷材防水（屋1、屋4）</t>
        </is>
      </c>
      <c r="D344" s="5" t="inlineStr">
        <is>
          <t>1.1.5厚自粘聚合物改性沥青防水卷材(无胎)</t>
        </is>
      </c>
      <c r="E344" s="5" t="inlineStr">
        <is>
          <t>m2</t>
        </is>
      </c>
      <c r="F344" s="6" t="n">
        <v>2127.181</v>
      </c>
      <c r="G344" s="74" t="n">
        <v>2760.03</v>
      </c>
      <c r="H344" s="82">
        <f>2760.0325</f>
        <v/>
      </c>
      <c r="I344" s="74">
        <f>G344-F344</f>
        <v/>
      </c>
      <c r="J344" s="74">
        <f>H344-F344</f>
        <v/>
      </c>
      <c r="K344" s="74">
        <f>+H344-G344</f>
        <v/>
      </c>
      <c r="L344" s="55">
        <f>I344/F344</f>
        <v/>
      </c>
      <c r="M344" s="6" t="n">
        <v>38.75</v>
      </c>
      <c r="N344" s="6" t="n">
        <v>31.86</v>
      </c>
      <c r="O344" s="55">
        <f>(M344-N344)/N344</f>
        <v/>
      </c>
      <c r="P344" s="74">
        <f>N344*0.9056*0.85</f>
        <v/>
      </c>
      <c r="Q344" s="74">
        <f>N344*1.15</f>
        <v/>
      </c>
      <c r="R344" s="74">
        <f>IF(M344&lt;N344*0.9056*0.85,N344*0.9056*0.85,IF(M344&gt;N344*1.15,N344*1.15,M344))</f>
        <v/>
      </c>
      <c r="S344" s="74">
        <f>+F344*M344</f>
        <v/>
      </c>
      <c r="T344" s="74">
        <f>S344+R344*I344</f>
        <v/>
      </c>
      <c r="U344" s="82">
        <f>S344+R344*J344</f>
        <v/>
      </c>
      <c r="V344" s="74">
        <f>U344-S344</f>
        <v/>
      </c>
      <c r="W344" s="82">
        <f>+U344-T344</f>
        <v/>
      </c>
      <c r="X344" s="83">
        <f>+U344-T344</f>
        <v/>
      </c>
      <c r="Y344" s="5" t="n"/>
    </row>
    <row r="345" ht="20" customHeight="1" s="1">
      <c r="A345" s="5" t="n">
        <v>71</v>
      </c>
      <c r="B345" s="5" t="inlineStr">
        <is>
          <t>010902003013</t>
        </is>
      </c>
      <c r="C345" s="5" t="inlineStr">
        <is>
          <t>屋面刚性层（屋1）</t>
        </is>
      </c>
      <c r="D345" s="5" t="inlineStr">
        <is>
          <t>1.40厚WSM20水泥浆找平层,纵横设置分格缝间距≤4000,缝宽15~20</t>
        </is>
      </c>
      <c r="E345" s="5" t="inlineStr">
        <is>
          <t>m2</t>
        </is>
      </c>
      <c r="F345" s="6" t="n">
        <v>301.37</v>
      </c>
      <c r="G345" s="74" t="n">
        <v>425.93</v>
      </c>
      <c r="H345" s="82">
        <f>425.925</f>
        <v/>
      </c>
      <c r="I345" s="74">
        <f>G345-F345</f>
        <v/>
      </c>
      <c r="J345" s="74">
        <f>H345-F345</f>
        <v/>
      </c>
      <c r="K345" s="74">
        <f>+H345-G345</f>
        <v/>
      </c>
      <c r="L345" s="55">
        <f>I345/F345</f>
        <v/>
      </c>
      <c r="M345" s="6" t="n">
        <v>37.14</v>
      </c>
      <c r="N345" s="6" t="n">
        <v>55.94</v>
      </c>
      <c r="O345" s="55">
        <f>(M345-N345)/N345</f>
        <v/>
      </c>
      <c r="P345" s="74">
        <f>N345*0.9056*0.85</f>
        <v/>
      </c>
      <c r="Q345" s="74">
        <f>N345*1.15</f>
        <v/>
      </c>
      <c r="R345" s="74">
        <f>IF(M345&lt;N345*0.9056*0.85,N345*0.9056*0.85,IF(M345&gt;N345*1.15,N345*1.15,M345))</f>
        <v/>
      </c>
      <c r="S345" s="74">
        <f>+F345*M345</f>
        <v/>
      </c>
      <c r="T345" s="74">
        <f>S345+R345*I345</f>
        <v/>
      </c>
      <c r="U345" s="82">
        <f>S345+R345*J345</f>
        <v/>
      </c>
      <c r="V345" s="74">
        <f>U345-S345</f>
        <v/>
      </c>
      <c r="W345" s="82">
        <f>+U345-T345</f>
        <v/>
      </c>
      <c r="X345" s="83">
        <f>+U345-T345</f>
        <v/>
      </c>
      <c r="Y345" s="5" t="n"/>
    </row>
    <row r="346" ht="20" customHeight="1" s="1">
      <c r="A346" s="5" t="n">
        <v>72</v>
      </c>
      <c r="B346" s="5" t="inlineStr">
        <is>
          <t>010902002005</t>
        </is>
      </c>
      <c r="C346" s="5" t="inlineStr">
        <is>
          <t>屋面涂膜防水（屋1、屋4）</t>
        </is>
      </c>
      <c r="D346" s="5" t="inlineStr">
        <is>
          <t>1.1.5厚聚氨酯防水涂膜</t>
        </is>
      </c>
      <c r="E346" s="5" t="inlineStr">
        <is>
          <t>m2</t>
        </is>
      </c>
      <c r="F346" s="6" t="n">
        <v>2127.181</v>
      </c>
      <c r="G346" s="74" t="n">
        <v>2760.03</v>
      </c>
      <c r="H346" s="82">
        <f>2760.0325</f>
        <v/>
      </c>
      <c r="I346" s="74">
        <f>G346-F346</f>
        <v/>
      </c>
      <c r="J346" s="74">
        <f>H346-F346</f>
        <v/>
      </c>
      <c r="K346" s="74">
        <f>+H346-G346</f>
        <v/>
      </c>
      <c r="L346" s="55">
        <f>I346/F346</f>
        <v/>
      </c>
      <c r="M346" s="6" t="n">
        <v>33.79</v>
      </c>
      <c r="N346" s="6" t="n">
        <v>31.82</v>
      </c>
      <c r="O346" s="55">
        <f>(M346-N346)/N346</f>
        <v/>
      </c>
      <c r="P346" s="74">
        <f>N346*0.9056*0.85</f>
        <v/>
      </c>
      <c r="Q346" s="74">
        <f>N346*1.15</f>
        <v/>
      </c>
      <c r="R346" s="74">
        <f>IF(M346&lt;N346*0.9056*0.85,N346*0.9056*0.85,IF(M346&gt;N346*1.15,N346*1.15,M346))</f>
        <v/>
      </c>
      <c r="S346" s="74">
        <f>+F346*M346</f>
        <v/>
      </c>
      <c r="T346" s="74">
        <f>S346+R346*I346</f>
        <v/>
      </c>
      <c r="U346" s="82">
        <f>S346+R346*J346</f>
        <v/>
      </c>
      <c r="V346" s="74">
        <f>U346-S346</f>
        <v/>
      </c>
      <c r="W346" s="82">
        <f>+U346-T346</f>
        <v/>
      </c>
      <c r="X346" s="83">
        <f>+U346-T346</f>
        <v/>
      </c>
      <c r="Y346" s="5" t="n"/>
    </row>
    <row r="347" ht="20" customHeight="1" s="1">
      <c r="A347" s="5" t="n">
        <v>73</v>
      </c>
      <c r="B347" s="5" t="inlineStr">
        <is>
          <t>010902001008</t>
        </is>
      </c>
      <c r="C347" s="5" t="inlineStr">
        <is>
          <t>屋面卷材防水（屋2）</t>
        </is>
      </c>
      <c r="D347" s="5" t="inlineStr">
        <is>
          <t>1.4.0厚塑性体改性沥青防水卷材(耐根穿刺防水层)</t>
        </is>
      </c>
      <c r="E347" s="5" t="inlineStr">
        <is>
          <t>m2</t>
        </is>
      </c>
      <c r="F347" s="6" t="n">
        <v>197.7197</v>
      </c>
      <c r="G347" s="74" t="n">
        <v>198.38</v>
      </c>
      <c r="H347" s="82" t="n">
        <v>198.38</v>
      </c>
      <c r="I347" s="74">
        <f>G347-F347</f>
        <v/>
      </c>
      <c r="J347" s="74">
        <f>H347-F347</f>
        <v/>
      </c>
      <c r="K347" s="74">
        <f>+H347-G347</f>
        <v/>
      </c>
      <c r="L347" s="55">
        <f>I347/F347</f>
        <v/>
      </c>
      <c r="M347" s="6" t="n">
        <v>63.61</v>
      </c>
      <c r="N347" s="6" t="n">
        <v>122.57</v>
      </c>
      <c r="O347" s="55">
        <f>(M347-N347)/N347</f>
        <v/>
      </c>
      <c r="P347" s="74">
        <f>N347*0.9056*0.85</f>
        <v/>
      </c>
      <c r="Q347" s="74">
        <f>N347*1.15</f>
        <v/>
      </c>
      <c r="R347" s="74">
        <f>IF(M347&lt;N347*0.9056*0.85,N347*0.9056*0.85,IF(M347&gt;N347*1.15,N347*1.15,M347))</f>
        <v/>
      </c>
      <c r="S347" s="74">
        <f>+F347*M347</f>
        <v/>
      </c>
      <c r="T347" s="74">
        <f>S347+R347*I347</f>
        <v/>
      </c>
      <c r="U347" s="82">
        <f>S347+R347*J347</f>
        <v/>
      </c>
      <c r="V347" s="74">
        <f>U347-S347</f>
        <v/>
      </c>
      <c r="W347" s="82">
        <f>+U347-T347</f>
        <v/>
      </c>
      <c r="X347" s="83">
        <f>+U347-T347</f>
        <v/>
      </c>
      <c r="Y347" s="5" t="n"/>
    </row>
    <row r="348" ht="20" customHeight="1" s="1">
      <c r="A348" s="5" t="n">
        <v>74</v>
      </c>
      <c r="B348" s="5" t="inlineStr">
        <is>
          <t>010902002006</t>
        </is>
      </c>
      <c r="C348" s="5" t="inlineStr">
        <is>
          <t>屋面涂膜防水（屋2）</t>
        </is>
      </c>
      <c r="D348" s="5" t="inlineStr">
        <is>
          <t>1.2厚聚氨酯防水涂膜</t>
        </is>
      </c>
      <c r="E348" s="5" t="inlineStr">
        <is>
          <t>m2</t>
        </is>
      </c>
      <c r="F348" s="6" t="n">
        <v>197.7197</v>
      </c>
      <c r="G348" s="74" t="n">
        <v>198.38</v>
      </c>
      <c r="H348" s="82" t="n">
        <v>198.38</v>
      </c>
      <c r="I348" s="74">
        <f>G348-F348</f>
        <v/>
      </c>
      <c r="J348" s="74">
        <f>H348-F348</f>
        <v/>
      </c>
      <c r="K348" s="74">
        <f>+H348-G348</f>
        <v/>
      </c>
      <c r="L348" s="55">
        <f>I348/F348</f>
        <v/>
      </c>
      <c r="M348" s="6" t="n">
        <v>44.88</v>
      </c>
      <c r="N348" s="6" t="n">
        <v>42.2</v>
      </c>
      <c r="O348" s="55">
        <f>(M348-N348)/N348</f>
        <v/>
      </c>
      <c r="P348" s="74">
        <f>N348*0.9056*0.85</f>
        <v/>
      </c>
      <c r="Q348" s="74">
        <f>N348*1.15</f>
        <v/>
      </c>
      <c r="R348" s="74">
        <f>IF(M348&lt;N348*0.9056*0.85,N348*0.9056*0.85,IF(M348&gt;N348*1.15,N348*1.15,M348))</f>
        <v/>
      </c>
      <c r="S348" s="74">
        <f>+F348*M348</f>
        <v/>
      </c>
      <c r="T348" s="74">
        <f>S348+R348*I348</f>
        <v/>
      </c>
      <c r="U348" s="82">
        <f>S348+R348*J348</f>
        <v/>
      </c>
      <c r="V348" s="74">
        <f>U348-S348</f>
        <v/>
      </c>
      <c r="W348" s="82">
        <f>+U348-T348</f>
        <v/>
      </c>
      <c r="X348" s="83">
        <f>+U348-T348</f>
        <v/>
      </c>
      <c r="Y348" s="5" t="n"/>
    </row>
    <row r="349" ht="20" customHeight="1" s="1">
      <c r="A349" s="5" t="n">
        <v>75</v>
      </c>
      <c r="B349" s="5" t="inlineStr">
        <is>
          <t>010902003014</t>
        </is>
      </c>
      <c r="C349" s="5" t="inlineStr">
        <is>
          <t>屋面刚性层（屋2、屋3）</t>
        </is>
      </c>
      <c r="D349" s="5" t="inlineStr">
        <is>
          <t>1.20厚(最薄处)WSM20水泥浆找2%坡,纵横设置分格缝间距≤6000,缝宽10~20的分格缝</t>
        </is>
      </c>
      <c r="E349" s="5" t="inlineStr">
        <is>
          <t>m2</t>
        </is>
      </c>
      <c r="F349" s="6" t="n">
        <v>174.74</v>
      </c>
      <c r="G349" s="74" t="n">
        <v>155.36</v>
      </c>
      <c r="H349" s="82" t="n">
        <v>155.36</v>
      </c>
      <c r="I349" s="74">
        <f>G349-F349</f>
        <v/>
      </c>
      <c r="J349" s="74">
        <f>H349-F349</f>
        <v/>
      </c>
      <c r="K349" s="74">
        <f>+H349-G349</f>
        <v/>
      </c>
      <c r="L349" s="55">
        <f>I349/F349</f>
        <v/>
      </c>
      <c r="M349" s="6" t="n">
        <v>28.13</v>
      </c>
      <c r="N349" s="6" t="n">
        <v>21.75</v>
      </c>
      <c r="O349" s="55">
        <f>(M349-N349)/N349</f>
        <v/>
      </c>
      <c r="P349" s="74">
        <f>N349*0.9056*0.85</f>
        <v/>
      </c>
      <c r="Q349" s="74">
        <f>N349*1.15</f>
        <v/>
      </c>
      <c r="R349" s="74">
        <f>IF(M349&lt;N349*0.9056*0.85,N349*0.9056*0.85,IF(M349&gt;N349*1.15,N349*1.15,M349))</f>
        <v/>
      </c>
      <c r="S349" s="74">
        <f>+F349*M349</f>
        <v/>
      </c>
      <c r="T349" s="74">
        <f>S349+R349*I349</f>
        <v/>
      </c>
      <c r="U349" s="82">
        <f>S349+R349*J349</f>
        <v/>
      </c>
      <c r="V349" s="74">
        <f>U349-S349</f>
        <v/>
      </c>
      <c r="W349" s="82">
        <f>+U349-T349</f>
        <v/>
      </c>
      <c r="X349" s="83">
        <f>+U349-T349</f>
        <v/>
      </c>
      <c r="Y349" s="5" t="n"/>
    </row>
    <row r="350" ht="20" customHeight="1" s="1">
      <c r="A350" s="5" t="n">
        <v>76</v>
      </c>
      <c r="B350" s="5" t="inlineStr">
        <is>
          <t>010902003015</t>
        </is>
      </c>
      <c r="C350" s="5" t="inlineStr">
        <is>
          <t>屋面刚性层（屋2、屋3）</t>
        </is>
      </c>
      <c r="D350" s="5" t="inlineStr">
        <is>
          <t>1.20厚(最薄处)WSM20水泥浆找平,纵横设置分格缝间距≤4000,缝宽10~20的分格缝</t>
        </is>
      </c>
      <c r="E350" s="5" t="inlineStr">
        <is>
          <t>m2</t>
        </is>
      </c>
      <c r="F350" s="6" t="n">
        <v>174.74</v>
      </c>
      <c r="G350" s="74" t="n">
        <v>354.61</v>
      </c>
      <c r="H350" s="82" t="n">
        <v>354.61</v>
      </c>
      <c r="I350" s="74">
        <f>G350-F350</f>
        <v/>
      </c>
      <c r="J350" s="74">
        <f>H350-F350</f>
        <v/>
      </c>
      <c r="K350" s="74">
        <f>+H350-G350</f>
        <v/>
      </c>
      <c r="L350" s="55">
        <f>I350/F350</f>
        <v/>
      </c>
      <c r="M350" s="6" t="n">
        <v>25.06</v>
      </c>
      <c r="N350" s="6" t="n">
        <v>21.76</v>
      </c>
      <c r="O350" s="55">
        <f>(M350-N350)/N350</f>
        <v/>
      </c>
      <c r="P350" s="74">
        <f>N350*0.9056*0.85</f>
        <v/>
      </c>
      <c r="Q350" s="74">
        <f>N350*1.15</f>
        <v/>
      </c>
      <c r="R350" s="74">
        <f>IF(M350&lt;N350*0.9056*0.85,N350*0.9056*0.85,IF(M350&gt;N350*1.15,N350*1.15,M350))</f>
        <v/>
      </c>
      <c r="S350" s="74">
        <f>+F350*M350</f>
        <v/>
      </c>
      <c r="T350" s="74">
        <f>S350+R350*I350</f>
        <v/>
      </c>
      <c r="U350" s="82">
        <f>S350+R350*J350</f>
        <v/>
      </c>
      <c r="V350" s="74">
        <f>U350-S350</f>
        <v/>
      </c>
      <c r="W350" s="82">
        <f>+U350-T350</f>
        <v/>
      </c>
      <c r="X350" s="83">
        <f>+U350-T350</f>
        <v/>
      </c>
      <c r="Y350" s="5" t="n"/>
    </row>
    <row r="351" ht="20" customHeight="1" s="1">
      <c r="A351" s="5" t="n">
        <v>77</v>
      </c>
      <c r="B351" s="5" t="inlineStr">
        <is>
          <t>010902003016</t>
        </is>
      </c>
      <c r="C351" s="5" t="inlineStr">
        <is>
          <t>屋面刚性层（屋4）</t>
        </is>
      </c>
      <c r="D351" s="5" t="inlineStr">
        <is>
          <t>1.20厚(最薄处)DSM15水泥浆找平</t>
        </is>
      </c>
      <c r="E351" s="5" t="inlineStr">
        <is>
          <t>m2</t>
        </is>
      </c>
      <c r="F351" s="6" t="n">
        <v>1772.31</v>
      </c>
      <c r="G351" s="74" t="n">
        <v>2238.69</v>
      </c>
      <c r="H351" s="82" t="n">
        <v>2238.69</v>
      </c>
      <c r="I351" s="74">
        <f>G351-F351</f>
        <v/>
      </c>
      <c r="J351" s="74">
        <f>H351-F351</f>
        <v/>
      </c>
      <c r="K351" s="74">
        <f>+H351-G351</f>
        <v/>
      </c>
      <c r="L351" s="55">
        <f>I351/F351</f>
        <v/>
      </c>
      <c r="M351" s="6" t="n">
        <v>24.44</v>
      </c>
      <c r="N351" s="6" t="n">
        <v>22.51</v>
      </c>
      <c r="O351" s="55">
        <f>(M351-N351)/N351</f>
        <v/>
      </c>
      <c r="P351" s="74">
        <f>N351*0.9056*0.85</f>
        <v/>
      </c>
      <c r="Q351" s="74">
        <f>N351*1.15</f>
        <v/>
      </c>
      <c r="R351" s="74">
        <f>IF(M351&lt;N351*0.9056*0.85,N351*0.9056*0.85,IF(M351&gt;N351*1.15,N351*1.15,M351))</f>
        <v/>
      </c>
      <c r="S351" s="74">
        <f>+F351*M351</f>
        <v/>
      </c>
      <c r="T351" s="74">
        <f>S351+R351*I351</f>
        <v/>
      </c>
      <c r="U351" s="82">
        <f>S351+R351*J351</f>
        <v/>
      </c>
      <c r="V351" s="74">
        <f>U351-S351</f>
        <v/>
      </c>
      <c r="W351" s="82">
        <f>+U351-T351</f>
        <v/>
      </c>
      <c r="X351" s="83">
        <f>+U351-T351</f>
        <v/>
      </c>
      <c r="Y351" s="5" t="n"/>
    </row>
    <row r="352" ht="20" customHeight="1" s="1">
      <c r="A352" s="5" t="n">
        <v>78</v>
      </c>
      <c r="B352" s="5" t="inlineStr">
        <is>
          <t>010901001001</t>
        </is>
      </c>
      <c r="C352" s="5" t="inlineStr">
        <is>
          <t>瓦屋面（屋4、屋5）</t>
        </is>
      </c>
      <c r="D352" s="5" t="inlineStr">
        <is>
          <t>1.彩石金属瓦
2.冷弯型钢挂瓦条,中距按瓦材规格
3.其他详见施工设计图</t>
        </is>
      </c>
      <c r="E352" s="5" t="inlineStr">
        <is>
          <t>m2</t>
        </is>
      </c>
      <c r="F352" s="6" t="n">
        <v>1772.31</v>
      </c>
      <c r="G352" s="74" t="n">
        <v>1774.67</v>
      </c>
      <c r="H352" s="82" t="n">
        <v>1774.67</v>
      </c>
      <c r="I352" s="74">
        <f>G352-F352</f>
        <v/>
      </c>
      <c r="J352" s="74">
        <f>H352-F352</f>
        <v/>
      </c>
      <c r="K352" s="74">
        <f>+H352-G352</f>
        <v/>
      </c>
      <c r="L352" s="55">
        <f>I352/F352</f>
        <v/>
      </c>
      <c r="M352" s="6" t="n">
        <v>240.86</v>
      </c>
      <c r="N352" s="6" t="n">
        <v>182.42</v>
      </c>
      <c r="O352" s="55">
        <f>(M352-N352)/N352</f>
        <v/>
      </c>
      <c r="P352" s="74">
        <f>N352*0.9056*0.85</f>
        <v/>
      </c>
      <c r="Q352" s="74">
        <f>N352*1.15</f>
        <v/>
      </c>
      <c r="R352" s="74">
        <f>IF(M352&lt;N352*0.9056*0.85,N352*0.9056*0.85,IF(M352&gt;N352*1.15,N352*1.15,M352))</f>
        <v/>
      </c>
      <c r="S352" s="74">
        <f>+F352*M352</f>
        <v/>
      </c>
      <c r="T352" s="74">
        <f>S352+R352*I352</f>
        <v/>
      </c>
      <c r="U352" s="82">
        <f>S352+R352*J352</f>
        <v/>
      </c>
      <c r="V352" s="74">
        <f>U352-S352</f>
        <v/>
      </c>
      <c r="W352" s="82">
        <f>+U352-T352</f>
        <v/>
      </c>
      <c r="X352" s="83">
        <f>+U352-T352</f>
        <v/>
      </c>
      <c r="Y352" s="5" t="n"/>
    </row>
    <row r="353" ht="20" customHeight="1" s="1">
      <c r="A353" s="91" t="n">
        <v>79</v>
      </c>
      <c r="B353" s="91" t="inlineStr">
        <is>
          <t>010904002003</t>
        </is>
      </c>
      <c r="C353" s="91" t="inlineStr">
        <is>
          <t>楼(地)面涂膜防水（沉池）</t>
        </is>
      </c>
      <c r="D353" s="91" t="inlineStr">
        <is>
          <t>1.1.5厚聚合物水泥基防水涂料
2.20厚M20水泥砂浆找平找坡层</t>
        </is>
      </c>
      <c r="E353" s="91" t="inlineStr">
        <is>
          <t>m2</t>
        </is>
      </c>
      <c r="F353" s="92" t="n">
        <v>657.4299999999999</v>
      </c>
      <c r="G353" s="93" t="n">
        <v>657.4299999999999</v>
      </c>
      <c r="H353" s="82" t="n">
        <v>657.4299999999999</v>
      </c>
      <c r="I353" s="93">
        <f>G353-F353</f>
        <v/>
      </c>
      <c r="J353" s="93">
        <f>H353-F353</f>
        <v/>
      </c>
      <c r="K353" s="93">
        <f>+H353-G353</f>
        <v/>
      </c>
      <c r="L353" s="94">
        <f>I353/F353</f>
        <v/>
      </c>
      <c r="M353" s="92" t="n">
        <v>63.95</v>
      </c>
      <c r="N353" s="92" t="n">
        <v>70.44</v>
      </c>
      <c r="O353" s="94">
        <f>(M353-N353)/N353</f>
        <v/>
      </c>
      <c r="P353" s="93">
        <f>N353*0.9056*0.85</f>
        <v/>
      </c>
      <c r="Q353" s="93">
        <f>N353*1.15</f>
        <v/>
      </c>
      <c r="R353" s="93">
        <f>IF(M353&lt;N353*0.9056*0.85,N353*0.9056*0.85,IF(M353&gt;N353*1.15,N353*1.15,M353))</f>
        <v/>
      </c>
      <c r="S353" s="93">
        <f>+F353*M353</f>
        <v/>
      </c>
      <c r="T353" s="93">
        <f>S353+R353*I353</f>
        <v/>
      </c>
      <c r="U353" s="82">
        <f>S353+R353*J353</f>
        <v/>
      </c>
      <c r="V353" s="74">
        <f>U353-S353</f>
        <v/>
      </c>
      <c r="W353" s="82">
        <f>+U353-T353</f>
        <v/>
      </c>
      <c r="X353" s="83">
        <f>+U353-T353</f>
        <v/>
      </c>
      <c r="Y353" s="91" t="n"/>
    </row>
    <row r="354" ht="20" customHeight="1" s="1">
      <c r="A354" s="5" t="n">
        <v>80</v>
      </c>
      <c r="B354" s="5" t="inlineStr">
        <is>
          <t>010904002002</t>
        </is>
      </c>
      <c r="C354" s="5" t="inlineStr">
        <is>
          <t>楼(地)面涂膜防水（卫生间）</t>
        </is>
      </c>
      <c r="D354" s="5" t="inlineStr">
        <is>
          <t>1.1.5厚聚合物水泥基防水涂料</t>
        </is>
      </c>
      <c r="E354" s="5" t="inlineStr">
        <is>
          <t>m2</t>
        </is>
      </c>
      <c r="F354" s="6" t="n">
        <v>493.43</v>
      </c>
      <c r="G354" s="74" t="n">
        <v>0</v>
      </c>
      <c r="H354" s="82" t="n">
        <v>0</v>
      </c>
      <c r="I354" s="74">
        <f>G354-F354</f>
        <v/>
      </c>
      <c r="J354" s="74">
        <f>H354-F354</f>
        <v/>
      </c>
      <c r="K354" s="74">
        <f>+H354-G354</f>
        <v/>
      </c>
      <c r="L354" s="55">
        <f>I354/F354</f>
        <v/>
      </c>
      <c r="M354" s="6" t="n">
        <v>42.91</v>
      </c>
      <c r="N354" s="6" t="n">
        <v>46.07</v>
      </c>
      <c r="O354" s="55">
        <f>(M354-N354)/N354</f>
        <v/>
      </c>
      <c r="P354" s="74">
        <f>N354*0.9056*0.85</f>
        <v/>
      </c>
      <c r="Q354" s="74">
        <f>N354*1.15</f>
        <v/>
      </c>
      <c r="R354" s="74">
        <f>IF(M354&lt;N354*0.9056*0.85,N354*0.9056*0.85,IF(M354&gt;N354*1.15,N354*1.15,M354))</f>
        <v/>
      </c>
      <c r="S354" s="74">
        <f>+F354*M354</f>
        <v/>
      </c>
      <c r="T354" s="74">
        <f>S354+R354*I354</f>
        <v/>
      </c>
      <c r="U354" s="82">
        <f>S354+R354*J354</f>
        <v/>
      </c>
      <c r="V354" s="74">
        <f>U354-S354</f>
        <v/>
      </c>
      <c r="W354" s="82">
        <f>+U354-T354</f>
        <v/>
      </c>
      <c r="X354" s="83">
        <f>+U354-T354</f>
        <v/>
      </c>
      <c r="Y354" s="5" t="n"/>
    </row>
    <row r="355" ht="20" customHeight="1" s="1">
      <c r="A355" s="5" t="n">
        <v>81</v>
      </c>
      <c r="B355" s="5" t="inlineStr">
        <is>
          <t>010903002001</t>
        </is>
      </c>
      <c r="C355" s="5" t="inlineStr">
        <is>
          <t>墙面涂膜防水（卫生间）</t>
        </is>
      </c>
      <c r="D355" s="5" t="inlineStr">
        <is>
          <t>1.卫生间墙身
2.1.5厚聚合物水泥基防水涂料
3.15厚WPM20水泥砂浆找平,分两遍成活,底层抹灰应压实搓毛</t>
        </is>
      </c>
      <c r="E355" s="5" t="inlineStr">
        <is>
          <t>m2</t>
        </is>
      </c>
      <c r="F355" s="6" t="n">
        <v>1721.84</v>
      </c>
      <c r="G355" s="74" t="n">
        <v>0</v>
      </c>
      <c r="H355" s="82" t="n">
        <v>0</v>
      </c>
      <c r="I355" s="74">
        <f>G355-F355</f>
        <v/>
      </c>
      <c r="J355" s="74">
        <f>H355-F355</f>
        <v/>
      </c>
      <c r="K355" s="74">
        <f>+H355-G355</f>
        <v/>
      </c>
      <c r="L355" s="55">
        <f>I355/F355</f>
        <v/>
      </c>
      <c r="M355" s="6" t="n">
        <v>76.48</v>
      </c>
      <c r="N355" s="6" t="n">
        <v>80.23</v>
      </c>
      <c r="O355" s="55">
        <f>(M355-N355)/N355</f>
        <v/>
      </c>
      <c r="P355" s="74">
        <f>N355*0.9056*0.85</f>
        <v/>
      </c>
      <c r="Q355" s="74">
        <f>N355*1.15</f>
        <v/>
      </c>
      <c r="R355" s="74">
        <f>IF(M355&lt;N355*0.9056*0.85,N355*0.9056*0.85,IF(M355&gt;N355*1.15,N355*1.15,M355))</f>
        <v/>
      </c>
      <c r="S355" s="74">
        <f>+F355*M355</f>
        <v/>
      </c>
      <c r="T355" s="74">
        <f>S355+R355*I355</f>
        <v/>
      </c>
      <c r="U355" s="82">
        <f>S355+R355*J355</f>
        <v/>
      </c>
      <c r="V355" s="74">
        <f>U355-S355</f>
        <v/>
      </c>
      <c r="W355" s="82">
        <f>+U355-T355</f>
        <v/>
      </c>
      <c r="X355" s="83">
        <f>+U355-T355</f>
        <v/>
      </c>
      <c r="Y355" s="5" t="n"/>
    </row>
    <row r="356" ht="20" customHeight="1" s="1">
      <c r="A356" s="5" t="n"/>
      <c r="B356" s="5" t="n"/>
      <c r="C356" s="5" t="inlineStr">
        <is>
          <t>保温、隔热、防腐工程</t>
        </is>
      </c>
      <c r="D356" s="5" t="n"/>
      <c r="E356" s="5" t="n"/>
      <c r="F356" s="6" t="n"/>
      <c r="G356" s="74" t="n"/>
      <c r="H356" s="81" t="n"/>
      <c r="I356" s="74" t="n"/>
      <c r="J356" s="74" t="n"/>
      <c r="K356" s="74" t="n"/>
      <c r="L356" s="55" t="n"/>
      <c r="M356" s="6" t="n"/>
      <c r="N356" s="6" t="n"/>
      <c r="O356" s="6" t="n"/>
      <c r="P356" s="6" t="n"/>
      <c r="Q356" s="6" t="n"/>
      <c r="R356" s="74" t="n"/>
      <c r="S356" s="74">
        <f>+SUM(S357:S362)</f>
        <v/>
      </c>
      <c r="T356" s="74">
        <f>+SUM(T357:T362)</f>
        <v/>
      </c>
      <c r="U356" s="82">
        <f>SUM(U357:U362)</f>
        <v/>
      </c>
      <c r="V356" s="74">
        <f>U356-S356</f>
        <v/>
      </c>
      <c r="W356" s="82">
        <f>+U356-T356</f>
        <v/>
      </c>
      <c r="X356" s="83" t="n"/>
      <c r="Y356" s="5" t="n"/>
    </row>
    <row r="357" ht="20" customHeight="1" s="1">
      <c r="A357" s="5" t="n">
        <v>82</v>
      </c>
      <c r="B357" s="5" t="inlineStr">
        <is>
          <t>011001001001</t>
        </is>
      </c>
      <c r="C357" s="5" t="inlineStr">
        <is>
          <t>保温隔热屋面（屋1）</t>
        </is>
      </c>
      <c r="D357" s="5" t="inlineStr">
        <is>
          <t>1.55厚RC型B2级挤塑聚苯乙烯泡沫塑料板</t>
        </is>
      </c>
      <c r="E357" s="5" t="inlineStr">
        <is>
          <t>m2</t>
        </is>
      </c>
      <c r="F357" s="6" t="n">
        <v>285.67</v>
      </c>
      <c r="G357" s="74" t="n">
        <v>285.67</v>
      </c>
      <c r="H357" s="82" t="n">
        <v>124.33</v>
      </c>
      <c r="I357" s="74">
        <f>G357-F357</f>
        <v/>
      </c>
      <c r="J357" s="74">
        <f>H357-F357</f>
        <v/>
      </c>
      <c r="K357" s="74">
        <f>+H357-G357</f>
        <v/>
      </c>
      <c r="L357" s="55">
        <f>I357/F357</f>
        <v/>
      </c>
      <c r="M357" s="6" t="n">
        <v>30.02</v>
      </c>
      <c r="N357" s="6" t="n">
        <v>54.05</v>
      </c>
      <c r="O357" s="55">
        <f>(M357-N357)/N357</f>
        <v/>
      </c>
      <c r="P357" s="74">
        <f>N357*0.9056*0.85</f>
        <v/>
      </c>
      <c r="Q357" s="74">
        <f>N357*1.15</f>
        <v/>
      </c>
      <c r="R357" s="74">
        <f>IF(M357&lt;N357*0.9056*0.85,N357*0.9056*0.85,IF(M357&gt;N357*1.15,N357*1.15,M357))</f>
        <v/>
      </c>
      <c r="S357" s="74">
        <f>+F357*M357</f>
        <v/>
      </c>
      <c r="T357" s="74">
        <f>S357+R357*I357</f>
        <v/>
      </c>
      <c r="U357" s="82">
        <f>S357+R357*J357</f>
        <v/>
      </c>
      <c r="V357" s="74">
        <f>U357-S357</f>
        <v/>
      </c>
      <c r="W357" s="82">
        <f>+U357-T357</f>
        <v/>
      </c>
      <c r="X357" s="83">
        <f>+U357-T357</f>
        <v/>
      </c>
      <c r="Y357" s="5" t="n"/>
    </row>
    <row r="358" ht="20" customHeight="1" s="1">
      <c r="A358" s="5" t="n">
        <v>83</v>
      </c>
      <c r="B358" s="5" t="inlineStr">
        <is>
          <t>011003001001</t>
        </is>
      </c>
      <c r="C358" s="5" t="inlineStr">
        <is>
          <t>隔离层（屋2）</t>
        </is>
      </c>
      <c r="D358" s="5" t="inlineStr">
        <is>
          <t>1.部位:种植屋面
2.聚酯无纺布过滤层
3.凹凸型排(蓄)水板</t>
        </is>
      </c>
      <c r="E358" s="5" t="inlineStr">
        <is>
          <t>m2</t>
        </is>
      </c>
      <c r="F358" s="6" t="n">
        <v>174.74</v>
      </c>
      <c r="G358" s="74" t="n">
        <v>174.74</v>
      </c>
      <c r="H358" s="82" t="n">
        <v>174.74</v>
      </c>
      <c r="I358" s="74">
        <f>G358-F358</f>
        <v/>
      </c>
      <c r="J358" s="74">
        <f>H358-F358</f>
        <v/>
      </c>
      <c r="K358" s="74">
        <f>+H358-G358</f>
        <v/>
      </c>
      <c r="L358" s="55">
        <f>I358/F358</f>
        <v/>
      </c>
      <c r="M358" s="6" t="n">
        <v>14.58</v>
      </c>
      <c r="N358" s="6" t="n">
        <v>23.14</v>
      </c>
      <c r="O358" s="55">
        <f>(M358-N358)/N358</f>
        <v/>
      </c>
      <c r="P358" s="74">
        <f>N358*0.9056*0.85</f>
        <v/>
      </c>
      <c r="Q358" s="74">
        <f>N358*1.15</f>
        <v/>
      </c>
      <c r="R358" s="74">
        <f>IF(M358&lt;N358*0.9056*0.85,N358*0.9056*0.85,IF(M358&gt;N358*1.15,N358*1.15,M358))</f>
        <v/>
      </c>
      <c r="S358" s="74">
        <f>+F358*M358</f>
        <v/>
      </c>
      <c r="T358" s="74">
        <f>S358+R358*I358</f>
        <v/>
      </c>
      <c r="U358" s="82">
        <f>S358+R358*J358</f>
        <v/>
      </c>
      <c r="V358" s="74">
        <f>U358-S358</f>
        <v/>
      </c>
      <c r="W358" s="82">
        <f>+U358-T358</f>
        <v/>
      </c>
      <c r="X358" s="83">
        <f>+U358-T358</f>
        <v/>
      </c>
      <c r="Y358" s="5" t="n"/>
    </row>
    <row r="359" ht="20" customHeight="1" s="1">
      <c r="A359" s="5" t="n">
        <v>84</v>
      </c>
      <c r="B359" s="5" t="inlineStr">
        <is>
          <t>011001001002</t>
        </is>
      </c>
      <c r="C359" s="5" t="inlineStr">
        <is>
          <t>保温隔热屋面（屋2）</t>
        </is>
      </c>
      <c r="D359" s="5" t="inlineStr">
        <is>
          <t>1.20厚RC型B2级挤塑聚苯乙烯泡沫塑料板</t>
        </is>
      </c>
      <c r="E359" s="5" t="inlineStr">
        <is>
          <t>m2</t>
        </is>
      </c>
      <c r="F359" s="6" t="n">
        <v>174.74</v>
      </c>
      <c r="G359" s="74" t="n">
        <v>174.74</v>
      </c>
      <c r="H359" s="82" t="n">
        <v>174.74</v>
      </c>
      <c r="I359" s="74">
        <f>G359-F359</f>
        <v/>
      </c>
      <c r="J359" s="74">
        <f>H359-F359</f>
        <v/>
      </c>
      <c r="K359" s="74">
        <f>+H359-G359</f>
        <v/>
      </c>
      <c r="L359" s="55">
        <f>I359/F359</f>
        <v/>
      </c>
      <c r="M359" s="6" t="n">
        <v>29</v>
      </c>
      <c r="N359" s="6" t="n">
        <v>29.53</v>
      </c>
      <c r="O359" s="55">
        <f>(M359-N359)/N359</f>
        <v/>
      </c>
      <c r="P359" s="74">
        <f>N359*0.9056*0.85</f>
        <v/>
      </c>
      <c r="Q359" s="74">
        <f>N359*1.15</f>
        <v/>
      </c>
      <c r="R359" s="74">
        <f>IF(M359&lt;N359*0.9056*0.85,N359*0.9056*0.85,IF(M359&gt;N359*1.15,N359*1.15,M359))</f>
        <v/>
      </c>
      <c r="S359" s="74">
        <f>+F359*M359</f>
        <v/>
      </c>
      <c r="T359" s="74">
        <f>S359+R359*I359</f>
        <v/>
      </c>
      <c r="U359" s="82">
        <f>S359+R359*J359</f>
        <v/>
      </c>
      <c r="V359" s="74">
        <f>U359-S359</f>
        <v/>
      </c>
      <c r="W359" s="82">
        <f>+U359-T359</f>
        <v/>
      </c>
      <c r="X359" s="83">
        <f>+U359-T359</f>
        <v/>
      </c>
      <c r="Y359" s="5" t="n"/>
    </row>
    <row r="360" ht="20" customHeight="1" s="1">
      <c r="A360" s="86" t="n">
        <v>85</v>
      </c>
      <c r="B360" s="86" t="inlineStr">
        <is>
          <t>011003001002</t>
        </is>
      </c>
      <c r="C360" s="86" t="inlineStr">
        <is>
          <t>隔离层（屋1、屋2、屋3、屋4）</t>
        </is>
      </c>
      <c r="D360" s="86" t="inlineStr">
        <is>
          <t>1.0.4厚聚乙烯薄膜隔离层</t>
        </is>
      </c>
      <c r="E360" s="86" t="inlineStr">
        <is>
          <t>m2</t>
        </is>
      </c>
      <c r="F360" s="87" t="n">
        <v>2232.72</v>
      </c>
      <c r="G360" s="88" t="n">
        <v>2927.74</v>
      </c>
      <c r="H360" s="88">
        <f>2927.7425</f>
        <v/>
      </c>
      <c r="I360" s="88">
        <f>G360-F360</f>
        <v/>
      </c>
      <c r="J360" s="88">
        <f>H360-F360</f>
        <v/>
      </c>
      <c r="K360" s="88">
        <f>+H360-G360</f>
        <v/>
      </c>
      <c r="L360" s="89">
        <f>I360/F360</f>
        <v/>
      </c>
      <c r="M360" s="87" t="n">
        <v>4.06</v>
      </c>
      <c r="N360" s="87" t="n">
        <v>7.24</v>
      </c>
      <c r="O360" s="89">
        <f>(M360-N360)/N360</f>
        <v/>
      </c>
      <c r="P360" s="88">
        <f>N360*0.9056*0.85</f>
        <v/>
      </c>
      <c r="Q360" s="88">
        <f>N360*1.15</f>
        <v/>
      </c>
      <c r="R360" s="88">
        <f>IF(M360&lt;N360*0.9056*0.85,N360*0.9056*0.85,IF(M360&gt;N360*1.15,N360*1.15,M360))</f>
        <v/>
      </c>
      <c r="S360" s="88">
        <f>+F360*M360</f>
        <v/>
      </c>
      <c r="T360" s="88">
        <f>S360+R360*I360</f>
        <v/>
      </c>
      <c r="U360" s="88">
        <f>S360+R360*J360</f>
        <v/>
      </c>
      <c r="V360" s="74">
        <f>U360-S360</f>
        <v/>
      </c>
      <c r="W360" s="82">
        <f>+U360-T360</f>
        <v/>
      </c>
      <c r="X360" s="88">
        <f>+U360-T360</f>
        <v/>
      </c>
      <c r="Y360" s="86" t="n"/>
    </row>
    <row r="361" ht="20" customHeight="1" s="1">
      <c r="A361" s="5" t="n">
        <v>86</v>
      </c>
      <c r="B361" s="5" t="inlineStr">
        <is>
          <t>011001001003</t>
        </is>
      </c>
      <c r="C361" s="5" t="inlineStr">
        <is>
          <t>保温隔热屋面（屋4）</t>
        </is>
      </c>
      <c r="D361" s="5" t="inlineStr">
        <is>
          <t>1.50厚RC型B2级挤塑聚苯乙烯泡沫塑料板</t>
        </is>
      </c>
      <c r="E361" s="5" t="inlineStr">
        <is>
          <t>m2</t>
        </is>
      </c>
      <c r="F361" s="6" t="n">
        <v>1772.31</v>
      </c>
      <c r="G361" s="74" t="n">
        <v>1774.67</v>
      </c>
      <c r="H361" s="82" t="n">
        <v>1774.67</v>
      </c>
      <c r="I361" s="74">
        <f>G361-F361</f>
        <v/>
      </c>
      <c r="J361" s="74">
        <f>H361-F361</f>
        <v/>
      </c>
      <c r="K361" s="74">
        <f>+H361-G361</f>
        <v/>
      </c>
      <c r="L361" s="55">
        <f>I361/F361</f>
        <v/>
      </c>
      <c r="M361" s="6" t="n">
        <v>30.02</v>
      </c>
      <c r="N361" s="6" t="n">
        <v>49.93</v>
      </c>
      <c r="O361" s="55">
        <f>(M361-N361)/N361</f>
        <v/>
      </c>
      <c r="P361" s="74">
        <f>N361*0.9056*0.85</f>
        <v/>
      </c>
      <c r="Q361" s="74">
        <f>N361*1.15</f>
        <v/>
      </c>
      <c r="R361" s="74">
        <f>IF(M361&lt;N361*0.9056*0.85,N361*0.9056*0.85,IF(M361&gt;N361*1.15,N361*1.15,M361))</f>
        <v/>
      </c>
      <c r="S361" s="74">
        <f>+F361*M361</f>
        <v/>
      </c>
      <c r="T361" s="74">
        <f>S361+R361*I361</f>
        <v/>
      </c>
      <c r="U361" s="82">
        <f>S361+R361*J361</f>
        <v/>
      </c>
      <c r="V361" s="74">
        <f>U361-S361</f>
        <v/>
      </c>
      <c r="W361" s="82">
        <f>+U361-T361</f>
        <v/>
      </c>
      <c r="X361" s="83">
        <f>+U361-T361</f>
        <v/>
      </c>
      <c r="Y361" s="5" t="n"/>
    </row>
    <row r="362" ht="20" customHeight="1" s="1">
      <c r="A362" s="5" t="n">
        <v>87</v>
      </c>
      <c r="B362" s="5" t="inlineStr">
        <is>
          <t>011001003001</t>
        </is>
      </c>
      <c r="C362" s="5" t="inlineStr">
        <is>
          <t>保温隔热墙面</t>
        </is>
      </c>
      <c r="D362" s="5" t="inlineStr">
        <is>
          <t>1.西向外墙内保温10mm玻化微珠保温砂浆
2.5厚抗裂砂浆内置保温专用玻纤网(130g/m2)
3.做法详见图纸</t>
        </is>
      </c>
      <c r="E362" s="5" t="inlineStr">
        <is>
          <t>m2</t>
        </is>
      </c>
      <c r="F362" s="6" t="n">
        <v>625.6</v>
      </c>
      <c r="G362" s="74" t="n">
        <v>463.18</v>
      </c>
      <c r="H362" s="82" t="n">
        <v>463.18</v>
      </c>
      <c r="I362" s="74">
        <f>G362-F362</f>
        <v/>
      </c>
      <c r="J362" s="74">
        <f>H362-F362</f>
        <v/>
      </c>
      <c r="K362" s="74">
        <f>+H362-G362</f>
        <v/>
      </c>
      <c r="L362" s="55">
        <f>I362/F362</f>
        <v/>
      </c>
      <c r="M362" s="6" t="n">
        <v>85.13</v>
      </c>
      <c r="N362" s="6" t="n">
        <v>65.26000000000001</v>
      </c>
      <c r="O362" s="55">
        <f>(M362-N362)/N362</f>
        <v/>
      </c>
      <c r="P362" s="74">
        <f>N362*0.9056*0.85</f>
        <v/>
      </c>
      <c r="Q362" s="74">
        <f>N362*1.15</f>
        <v/>
      </c>
      <c r="R362" s="74">
        <f>IF(M362&lt;N362*0.9056*0.85,N362*0.9056*0.85,IF(M362&gt;N362*1.15,N362*1.15,M362))</f>
        <v/>
      </c>
      <c r="S362" s="74">
        <f>+F362*M362</f>
        <v/>
      </c>
      <c r="T362" s="74">
        <f>S362+R362*I362</f>
        <v/>
      </c>
      <c r="U362" s="82">
        <f>S362+R362*J362</f>
        <v/>
      </c>
      <c r="V362" s="74">
        <f>U362-S362</f>
        <v/>
      </c>
      <c r="W362" s="82">
        <f>+U362-T362</f>
        <v/>
      </c>
      <c r="X362" s="83">
        <f>+U362-T362</f>
        <v/>
      </c>
      <c r="Y362" s="5" t="n"/>
    </row>
    <row r="363" ht="20" customHeight="1" s="1">
      <c r="A363" s="5" t="n"/>
      <c r="B363" s="5" t="n"/>
      <c r="C363" s="5" t="inlineStr">
        <is>
          <t>楼地面装饰工程</t>
        </is>
      </c>
      <c r="D363" s="5" t="n"/>
      <c r="E363" s="5" t="n"/>
      <c r="F363" s="6" t="n"/>
      <c r="G363" s="74" t="n"/>
      <c r="H363" s="81" t="n"/>
      <c r="I363" s="74" t="n"/>
      <c r="J363" s="74" t="n"/>
      <c r="K363" s="74" t="n"/>
      <c r="L363" s="55" t="n"/>
      <c r="M363" s="6" t="n"/>
      <c r="N363" s="6" t="n"/>
      <c r="O363" s="6" t="n"/>
      <c r="P363" s="6" t="n"/>
      <c r="Q363" s="6" t="n"/>
      <c r="R363" s="74" t="n"/>
      <c r="S363" s="74">
        <f>+SUM(S364:S378)</f>
        <v/>
      </c>
      <c r="T363" s="74">
        <f>+SUM(T364:T378)</f>
        <v/>
      </c>
      <c r="U363" s="82">
        <f>SUM(U364:U378)</f>
        <v/>
      </c>
      <c r="V363" s="74">
        <f>U363-S363</f>
        <v/>
      </c>
      <c r="W363" s="82">
        <f>+U363-T363</f>
        <v/>
      </c>
      <c r="X363" s="83">
        <f>U363-T363</f>
        <v/>
      </c>
      <c r="Y363" s="5" t="n"/>
    </row>
    <row r="364" ht="20" customHeight="1" s="1">
      <c r="A364" s="5" t="n">
        <v>88</v>
      </c>
      <c r="B364" s="5" t="inlineStr">
        <is>
          <t>011101001004</t>
        </is>
      </c>
      <c r="C364" s="5" t="inlineStr">
        <is>
          <t>水泥砂浆楼地面（地1）（水电井）</t>
        </is>
      </c>
      <c r="D364" s="5" t="inlineStr">
        <is>
          <t>1.20厚M20水泥砂浆打底,加水泥粉随手抹光向地漏找坡</t>
        </is>
      </c>
      <c r="E364" s="5" t="inlineStr">
        <is>
          <t>m2</t>
        </is>
      </c>
      <c r="F364" s="6" t="n">
        <v>70.27</v>
      </c>
      <c r="G364" s="74" t="n">
        <v>124.44</v>
      </c>
      <c r="H364" s="82" t="n">
        <v>124.44</v>
      </c>
      <c r="I364" s="74">
        <f>G364-F364</f>
        <v/>
      </c>
      <c r="J364" s="74">
        <f>H364-F364</f>
        <v/>
      </c>
      <c r="K364" s="74">
        <f>+H364-G364</f>
        <v/>
      </c>
      <c r="L364" s="55">
        <f>I364/F364</f>
        <v/>
      </c>
      <c r="M364" s="6" t="n">
        <v>29.28</v>
      </c>
      <c r="N364" s="6" t="n">
        <v>24.37</v>
      </c>
      <c r="O364" s="55">
        <f>(M364-N364)/N364</f>
        <v/>
      </c>
      <c r="P364" s="74">
        <f>N364*0.9056*0.85</f>
        <v/>
      </c>
      <c r="Q364" s="74">
        <f>N364*1.15</f>
        <v/>
      </c>
      <c r="R364" s="74">
        <f>IF(M364&lt;N364*0.9056*0.85,N364*0.9056*0.85,IF(M364&gt;N364*1.15,N364*1.15,M364))</f>
        <v/>
      </c>
      <c r="S364" s="74">
        <f>+F364*M364</f>
        <v/>
      </c>
      <c r="T364" s="74">
        <f>S364+R364*I364</f>
        <v/>
      </c>
      <c r="U364" s="82">
        <f>S364+R364*J364</f>
        <v/>
      </c>
      <c r="V364" s="74">
        <f>U364-S364</f>
        <v/>
      </c>
      <c r="W364" s="82">
        <f>+U364-T364</f>
        <v/>
      </c>
      <c r="X364" s="83">
        <f>+U364-T364</f>
        <v/>
      </c>
      <c r="Y364" s="5" t="n"/>
    </row>
    <row r="365" ht="20" customHeight="1" s="1">
      <c r="A365" s="5" t="n">
        <v>89</v>
      </c>
      <c r="B365" s="5" t="inlineStr">
        <is>
          <t>011102003016</t>
        </is>
      </c>
      <c r="C365" s="5" t="inlineStr">
        <is>
          <t>块料楼地面（地2）</t>
        </is>
      </c>
      <c r="D365" s="5" t="inlineStr">
        <is>
          <t>1.400*400mm防滑地砖铺平拍实,纯水泥浆擦缝
2.15厚DSM15水泥砂浆结合层</t>
        </is>
      </c>
      <c r="E365" s="5" t="inlineStr">
        <is>
          <t>m2</t>
        </is>
      </c>
      <c r="F365" s="6" t="n">
        <v>522.17</v>
      </c>
      <c r="G365" s="74" t="n">
        <v>520.8200000000001</v>
      </c>
      <c r="H365" s="82" t="n">
        <v>520.8200000000001</v>
      </c>
      <c r="I365" s="74">
        <f>G365-F365</f>
        <v/>
      </c>
      <c r="J365" s="74">
        <f>H365-F365</f>
        <v/>
      </c>
      <c r="K365" s="74">
        <f>+H365-G365</f>
        <v/>
      </c>
      <c r="L365" s="55">
        <f>I365/F365</f>
        <v/>
      </c>
      <c r="M365" s="6" t="n">
        <v>112.13</v>
      </c>
      <c r="N365" s="6" t="n">
        <v>74.23999999999999</v>
      </c>
      <c r="O365" s="55">
        <f>(M365-N365)/N365</f>
        <v/>
      </c>
      <c r="P365" s="74">
        <f>N365*0.9056*0.85</f>
        <v/>
      </c>
      <c r="Q365" s="74">
        <f>N365*1.15</f>
        <v/>
      </c>
      <c r="R365" s="74">
        <f>IF(M365&lt;N365*0.9056*0.85,N365*0.9056*0.85,IF(M365&gt;N365*1.15,N365*1.15,M365))</f>
        <v/>
      </c>
      <c r="S365" s="74">
        <f>+F365*M365</f>
        <v/>
      </c>
      <c r="T365" s="74">
        <f>S365+R365*I365</f>
        <v/>
      </c>
      <c r="U365" s="82">
        <f>S365+R365*J365</f>
        <v/>
      </c>
      <c r="V365" s="74">
        <f>U365-S365</f>
        <v/>
      </c>
      <c r="W365" s="82">
        <f>+U365-T365</f>
        <v/>
      </c>
      <c r="X365" s="83">
        <f>+U365-T365</f>
        <v/>
      </c>
      <c r="Y365" s="5" t="n"/>
    </row>
    <row r="366" ht="20" customHeight="1" s="1">
      <c r="A366" s="5" t="n">
        <v>90</v>
      </c>
      <c r="B366" s="5" t="inlineStr">
        <is>
          <t>011103002001</t>
        </is>
      </c>
      <c r="C366" s="5" t="inlineStr">
        <is>
          <t>橡胶板卷材楼地面</t>
        </is>
      </c>
      <c r="D366" s="5" t="inlineStr">
        <is>
          <t>1.2.0mm厚PVC卷材木纹地板胶专用粘合剂粘贴
2.20~45厚M20水泥砂浆,压实赶光
3.做法详见图纸</t>
        </is>
      </c>
      <c r="E366" s="5" t="inlineStr">
        <is>
          <t>m2</t>
        </is>
      </c>
      <c r="F366" s="6" t="n">
        <v>149.22</v>
      </c>
      <c r="G366" s="74" t="n">
        <v>148.09</v>
      </c>
      <c r="H366" s="82" t="n">
        <v>148.09</v>
      </c>
      <c r="I366" s="74">
        <f>G366-F366</f>
        <v/>
      </c>
      <c r="J366" s="74">
        <f>H366-F366</f>
        <v/>
      </c>
      <c r="K366" s="74">
        <f>+H366-G366</f>
        <v/>
      </c>
      <c r="L366" s="55">
        <f>I366/F366</f>
        <v/>
      </c>
      <c r="M366" s="6" t="n">
        <v>142.46</v>
      </c>
      <c r="N366" s="6" t="n">
        <v>223.87</v>
      </c>
      <c r="O366" s="55">
        <f>(M366-N366)/N366</f>
        <v/>
      </c>
      <c r="P366" s="74">
        <f>N366*0.9056*0.85</f>
        <v/>
      </c>
      <c r="Q366" s="74">
        <f>N366*1.15</f>
        <v/>
      </c>
      <c r="R366" s="74">
        <f>IF(M366&lt;N366*0.9056*0.85,N366*0.9056*0.85,IF(M366&gt;N366*1.15,N366*1.15,M366))</f>
        <v/>
      </c>
      <c r="S366" s="74">
        <f>+F366*M366</f>
        <v/>
      </c>
      <c r="T366" s="74">
        <f>S366+R366*I366</f>
        <v/>
      </c>
      <c r="U366" s="82">
        <f>S366+R366*J366</f>
        <v/>
      </c>
      <c r="V366" s="74">
        <f>U366-S366</f>
        <v/>
      </c>
      <c r="W366" s="82">
        <f>+U366-T366</f>
        <v/>
      </c>
      <c r="X366" s="83">
        <f>+U366-T366</f>
        <v/>
      </c>
      <c r="Y366" s="5" t="n"/>
    </row>
    <row r="367" ht="20" customHeight="1" s="1">
      <c r="A367" s="5" t="n">
        <v>91</v>
      </c>
      <c r="B367" s="5" t="inlineStr">
        <is>
          <t>011104002002</t>
        </is>
      </c>
      <c r="C367" s="5" t="inlineStr">
        <is>
          <t>竹、木(复合)地板</t>
        </is>
      </c>
      <c r="D367" s="5" t="inlineStr">
        <is>
          <t>1.成品2厚UPVC卷材(同质透心)专用粘合剂粘贴
2.18mm阻燃夹板面铺
3.40*40*2方钢底架(横竖间隔≤600)
4.做法详见图纸</t>
        </is>
      </c>
      <c r="E367" s="5" t="inlineStr">
        <is>
          <t>m2</t>
        </is>
      </c>
      <c r="F367" s="6" t="n">
        <v>8.99</v>
      </c>
      <c r="G367" s="74" t="n">
        <v>8.859999999999999</v>
      </c>
      <c r="H367" s="82" t="n">
        <v>8.859999999999999</v>
      </c>
      <c r="I367" s="74">
        <f>G367-F367</f>
        <v/>
      </c>
      <c r="J367" s="74">
        <f>H367-F367</f>
        <v/>
      </c>
      <c r="K367" s="74">
        <f>+H367-G367</f>
        <v/>
      </c>
      <c r="L367" s="55">
        <f>I367/F367</f>
        <v/>
      </c>
      <c r="M367" s="6" t="n">
        <v>275.97</v>
      </c>
      <c r="N367" s="6" t="n">
        <v>451.48</v>
      </c>
      <c r="O367" s="55">
        <f>(M367-N367)/N367</f>
        <v/>
      </c>
      <c r="P367" s="74">
        <f>N367*0.9056*0.85</f>
        <v/>
      </c>
      <c r="Q367" s="74">
        <f>N367*1.15</f>
        <v/>
      </c>
      <c r="R367" s="74">
        <f>IF(M367&lt;N367*0.9056*0.85,N367*0.9056*0.85,IF(M367&gt;N367*1.15,N367*1.15,M367))</f>
        <v/>
      </c>
      <c r="S367" s="74">
        <f>+F367*M367</f>
        <v/>
      </c>
      <c r="T367" s="74">
        <f>S367+R367*I367</f>
        <v/>
      </c>
      <c r="U367" s="82">
        <f>S367+R367*J367</f>
        <v/>
      </c>
      <c r="V367" s="74">
        <f>U367-S367</f>
        <v/>
      </c>
      <c r="W367" s="82">
        <f>+U367-T367</f>
        <v/>
      </c>
      <c r="X367" s="83">
        <f>+U367-T367</f>
        <v/>
      </c>
      <c r="Y367" s="5" t="n"/>
    </row>
    <row r="368" ht="20" customHeight="1" s="1">
      <c r="A368" s="5" t="n">
        <v>92</v>
      </c>
      <c r="B368" s="5" t="inlineStr">
        <is>
          <t>011101003002</t>
        </is>
      </c>
      <c r="C368" s="5" t="inlineStr">
        <is>
          <t>细石混凝土楼地面（地5）</t>
        </is>
      </c>
      <c r="D368" s="5" t="inlineStr">
        <is>
          <t>1.40厚C20细石混凝土,随打随抹光(骨料用石灰石、白云石)</t>
        </is>
      </c>
      <c r="E368" s="5" t="inlineStr">
        <is>
          <t>m2</t>
        </is>
      </c>
      <c r="F368" s="6" t="n">
        <v>111.87</v>
      </c>
      <c r="G368" s="74" t="n">
        <v>96.72</v>
      </c>
      <c r="H368" s="82" t="n">
        <v>96.72</v>
      </c>
      <c r="I368" s="74">
        <f>G368-F368</f>
        <v/>
      </c>
      <c r="J368" s="74">
        <f>H368-F368</f>
        <v/>
      </c>
      <c r="K368" s="74">
        <f>+H368-G368</f>
        <v/>
      </c>
      <c r="L368" s="55">
        <f>I368/F368</f>
        <v/>
      </c>
      <c r="M368" s="6" t="n">
        <v>37.28</v>
      </c>
      <c r="N368" s="6" t="n">
        <v>45.52</v>
      </c>
      <c r="O368" s="55">
        <f>(M368-N368)/N368</f>
        <v/>
      </c>
      <c r="P368" s="74">
        <f>N368*0.9056*0.85</f>
        <v/>
      </c>
      <c r="Q368" s="74">
        <f>N368*1.15</f>
        <v/>
      </c>
      <c r="R368" s="74">
        <f>IF(M368&lt;N368*0.9056*0.85,N368*0.9056*0.85,IF(M368&gt;N368*1.15,N368*1.15,M368))</f>
        <v/>
      </c>
      <c r="S368" s="74">
        <f>+F368*M368</f>
        <v/>
      </c>
      <c r="T368" s="74">
        <f>S368+R368*I368</f>
        <v/>
      </c>
      <c r="U368" s="82">
        <f>S368+R368*J368</f>
        <v/>
      </c>
      <c r="V368" s="74">
        <f>U368-S368</f>
        <v/>
      </c>
      <c r="W368" s="82">
        <f>+U368-T368</f>
        <v/>
      </c>
      <c r="X368" s="83">
        <f>+U368-T368</f>
        <v/>
      </c>
      <c r="Y368" s="5" t="n"/>
    </row>
    <row r="369" ht="20" customHeight="1" s="1">
      <c r="A369" s="5" t="n">
        <v>93</v>
      </c>
      <c r="B369" s="5" t="inlineStr">
        <is>
          <t>011104004002</t>
        </is>
      </c>
      <c r="C369" s="5" t="inlineStr">
        <is>
          <t>防静电活动地板（地6）</t>
        </is>
      </c>
      <c r="D369" s="5" t="inlineStr">
        <is>
          <t>1.150~250高架空防静电活动地板
2.20厚M20水泥砂浆,压实赶光,面层涂刷地板漆
3.做法详见图纸</t>
        </is>
      </c>
      <c r="E369" s="5" t="inlineStr">
        <is>
          <t>m2</t>
        </is>
      </c>
      <c r="F369" s="6" t="n">
        <v>28.42</v>
      </c>
      <c r="G369" s="74" t="n">
        <v>28.35</v>
      </c>
      <c r="H369" s="82" t="n">
        <v>28.35</v>
      </c>
      <c r="I369" s="74">
        <f>G369-F369</f>
        <v/>
      </c>
      <c r="J369" s="74">
        <f>H369-F369</f>
        <v/>
      </c>
      <c r="K369" s="74">
        <f>+H369-G369</f>
        <v/>
      </c>
      <c r="L369" s="55">
        <f>I369/F369</f>
        <v/>
      </c>
      <c r="M369" s="6" t="n">
        <v>371.27</v>
      </c>
      <c r="N369" s="6" t="n">
        <v>486.78</v>
      </c>
      <c r="O369" s="55">
        <f>(M369-N369)/N369</f>
        <v/>
      </c>
      <c r="P369" s="74">
        <f>N369*0.9056*0.85</f>
        <v/>
      </c>
      <c r="Q369" s="74">
        <f>N369*1.15</f>
        <v/>
      </c>
      <c r="R369" s="74">
        <f>IF(M369&lt;N369*0.9056*0.85,N369*0.9056*0.85,IF(M369&gt;N369*1.15,N369*1.15,M369))</f>
        <v/>
      </c>
      <c r="S369" s="74">
        <f>+F369*M369</f>
        <v/>
      </c>
      <c r="T369" s="74">
        <f>S369+R369*I369</f>
        <v/>
      </c>
      <c r="U369" s="82">
        <f>S369+R369*J369</f>
        <v/>
      </c>
      <c r="V369" s="74">
        <f>U369-S369</f>
        <v/>
      </c>
      <c r="W369" s="82">
        <f>+U369-T369</f>
        <v/>
      </c>
      <c r="X369" s="83">
        <f>+U369-T369</f>
        <v/>
      </c>
      <c r="Y369" s="5" t="n"/>
    </row>
    <row r="370" ht="20" customHeight="1" s="1">
      <c r="A370" s="5" t="n">
        <v>94</v>
      </c>
      <c r="B370" s="5" t="inlineStr">
        <is>
          <t>011104002001</t>
        </is>
      </c>
      <c r="C370" s="5" t="inlineStr">
        <is>
          <t>竹、木(复合)地板</t>
        </is>
      </c>
      <c r="D370" s="5" t="inlineStr">
        <is>
          <t>1.12mm厚900*150实木地板
2.18mm阻燃夹板面铺
3.40*40*2方钢底架(横竖间隔≤600)
4.做法详见图纸</t>
        </is>
      </c>
      <c r="E370" s="5" t="inlineStr">
        <is>
          <t>m2</t>
        </is>
      </c>
      <c r="F370" s="6" t="n">
        <v>183.197</v>
      </c>
      <c r="G370" s="74" t="n">
        <v>182.5</v>
      </c>
      <c r="H370" s="82" t="n">
        <v>182.5</v>
      </c>
      <c r="I370" s="74">
        <f>G370-F370</f>
        <v/>
      </c>
      <c r="J370" s="74">
        <f>H370-F370</f>
        <v/>
      </c>
      <c r="K370" s="74">
        <f>+H370-G370</f>
        <v/>
      </c>
      <c r="L370" s="55">
        <f>I370/F370</f>
        <v/>
      </c>
      <c r="M370" s="6" t="n">
        <v>309.33</v>
      </c>
      <c r="N370" s="6" t="n">
        <v>499.73</v>
      </c>
      <c r="O370" s="55">
        <f>(M370-N370)/N370</f>
        <v/>
      </c>
      <c r="P370" s="74">
        <f>N370*0.9056*0.85</f>
        <v/>
      </c>
      <c r="Q370" s="74">
        <f>N370*1.15</f>
        <v/>
      </c>
      <c r="R370" s="74">
        <f>IF(M370&lt;N370*0.9056*0.85,N370*0.9056*0.85,IF(M370&gt;N370*1.15,N370*1.15,M370))</f>
        <v/>
      </c>
      <c r="S370" s="74">
        <f>+F370*M370</f>
        <v/>
      </c>
      <c r="T370" s="74">
        <f>S370+R370*I370</f>
        <v/>
      </c>
      <c r="U370" s="82">
        <f>S370+R370*J370</f>
        <v/>
      </c>
      <c r="V370" s="74">
        <f>U370-S370</f>
        <v/>
      </c>
      <c r="W370" s="82">
        <f>+U370-T370</f>
        <v/>
      </c>
      <c r="X370" s="83">
        <f>+U370-T370</f>
        <v/>
      </c>
      <c r="Y370" s="5" t="n"/>
    </row>
    <row r="371" ht="20" customHeight="1" s="1">
      <c r="A371" s="5" t="n">
        <v>95</v>
      </c>
      <c r="B371" s="5" t="inlineStr">
        <is>
          <t>011102003017</t>
        </is>
      </c>
      <c r="C371" s="5" t="inlineStr">
        <is>
          <t>块料楼地面（地8）</t>
        </is>
      </c>
      <c r="D371" s="5" t="inlineStr">
        <is>
          <t>1.楼地面铺贴800X800mm仿古地砖,面用白水泥擦缝
2.30厚1:3干硬性水泥砂浆结合层
3.3厚ALE隔声涂料
4.做法详见图纸</t>
        </is>
      </c>
      <c r="E371" s="5" t="inlineStr">
        <is>
          <t>m2</t>
        </is>
      </c>
      <c r="F371" s="6" t="n">
        <v>3115.37</v>
      </c>
      <c r="G371" s="74" t="n">
        <v>3127.6</v>
      </c>
      <c r="H371" s="82" t="n">
        <v>3127.6</v>
      </c>
      <c r="I371" s="74">
        <f>G371-F371</f>
        <v/>
      </c>
      <c r="J371" s="74">
        <f>H371-F371</f>
        <v/>
      </c>
      <c r="K371" s="74">
        <f>+H371-G371</f>
        <v/>
      </c>
      <c r="L371" s="55">
        <f>I371/F371</f>
        <v/>
      </c>
      <c r="M371" s="6" t="n">
        <v>162.27</v>
      </c>
      <c r="N371" s="6" t="n">
        <v>181.82</v>
      </c>
      <c r="O371" s="55">
        <f>(M371-N371)/N371</f>
        <v/>
      </c>
      <c r="P371" s="74">
        <f>N371*0.9056*0.85</f>
        <v/>
      </c>
      <c r="Q371" s="74">
        <f>N371*1.15</f>
        <v/>
      </c>
      <c r="R371" s="74">
        <f>IF(M371&lt;N371*0.9056*0.85,N371*0.9056*0.85,IF(M371&gt;N371*1.15,N371*1.15,M371))</f>
        <v/>
      </c>
      <c r="S371" s="74">
        <f>+F371*M371</f>
        <v/>
      </c>
      <c r="T371" s="74">
        <f>S371+R371*I371</f>
        <v/>
      </c>
      <c r="U371" s="82">
        <f>S371+R371*J371</f>
        <v/>
      </c>
      <c r="V371" s="74">
        <f>U371-S371</f>
        <v/>
      </c>
      <c r="W371" s="82">
        <f>+U371-T371</f>
        <v/>
      </c>
      <c r="X371" s="83">
        <f>+U371-T371</f>
        <v/>
      </c>
      <c r="Y371" s="5" t="n"/>
    </row>
    <row r="372" ht="20" customHeight="1" s="1">
      <c r="A372" s="5" t="n">
        <v>96</v>
      </c>
      <c r="B372" s="5" t="inlineStr">
        <is>
          <t>011102003019</t>
        </is>
      </c>
      <c r="C372" s="5" t="inlineStr">
        <is>
          <t>块料楼地面</t>
        </is>
      </c>
      <c r="D372" s="5" t="inlineStr">
        <is>
          <t>1.楼地面铺贴600X600mm仿古地砖,面用白水泥擦缝
2.30厚1:3干硬性水泥砂浆结合层
3.3厚ALE隔声涂料
4.做法详见图纸</t>
        </is>
      </c>
      <c r="E372" s="5" t="inlineStr">
        <is>
          <t>m2</t>
        </is>
      </c>
      <c r="F372" s="6" t="n">
        <v>293.97</v>
      </c>
      <c r="G372" s="74" t="n">
        <v>282.62</v>
      </c>
      <c r="H372" s="82" t="n">
        <v>282.62</v>
      </c>
      <c r="I372" s="74">
        <f>G372-F372</f>
        <v/>
      </c>
      <c r="J372" s="74">
        <f>H372-F372</f>
        <v/>
      </c>
      <c r="K372" s="74">
        <f>+H372-G372</f>
        <v/>
      </c>
      <c r="L372" s="55">
        <f>I372/F372</f>
        <v/>
      </c>
      <c r="M372" s="6" t="n">
        <v>160.56</v>
      </c>
      <c r="N372" s="6" t="n">
        <v>162.88</v>
      </c>
      <c r="O372" s="55">
        <f>(M372-N372)/N372</f>
        <v/>
      </c>
      <c r="P372" s="74">
        <f>N372*0.9056*0.85</f>
        <v/>
      </c>
      <c r="Q372" s="74">
        <f>N372*1.15</f>
        <v/>
      </c>
      <c r="R372" s="74">
        <f>IF(M372&lt;N372*0.9056*0.85,N372*0.9056*0.85,IF(M372&gt;N372*1.15,N372*1.15,M372))</f>
        <v/>
      </c>
      <c r="S372" s="74">
        <f>+F372*M372</f>
        <v/>
      </c>
      <c r="T372" s="74">
        <f>S372+R372*I372</f>
        <v/>
      </c>
      <c r="U372" s="82">
        <f>S372+R372*J372</f>
        <v/>
      </c>
      <c r="V372" s="74">
        <f>U372-S372</f>
        <v/>
      </c>
      <c r="W372" s="82">
        <f>+U372-T372</f>
        <v/>
      </c>
      <c r="X372" s="83">
        <f>+U372-T372</f>
        <v/>
      </c>
      <c r="Y372" s="5" t="n"/>
    </row>
    <row r="373" ht="20" customHeight="1" s="1">
      <c r="A373" s="5" t="n">
        <v>97</v>
      </c>
      <c r="B373" s="5" t="inlineStr">
        <is>
          <t>011102003020</t>
        </is>
      </c>
      <c r="C373" s="5" t="inlineStr">
        <is>
          <t>块料楼地面</t>
        </is>
      </c>
      <c r="D373" s="5" t="inlineStr">
        <is>
          <t>1.楼地面铺贴600*600木纹砖,面用白水泥擦缝
2.30厚1:3干硬性水泥砂浆结合层
3.3厚ALE隔声涂料
4.做法详见图纸</t>
        </is>
      </c>
      <c r="E373" s="5" t="inlineStr">
        <is>
          <t>m2</t>
        </is>
      </c>
      <c r="F373" s="6" t="n">
        <v>86.09999999999999</v>
      </c>
      <c r="G373" s="74" t="n">
        <v>85.15000000000001</v>
      </c>
      <c r="H373" s="82" t="n">
        <v>85.15000000000001</v>
      </c>
      <c r="I373" s="74">
        <f>G373-F373</f>
        <v/>
      </c>
      <c r="J373" s="74">
        <f>H373-F373</f>
        <v/>
      </c>
      <c r="K373" s="74">
        <f>+H373-G373</f>
        <v/>
      </c>
      <c r="L373" s="55">
        <f>I373/F373</f>
        <v/>
      </c>
      <c r="M373" s="6" t="n">
        <v>160.56</v>
      </c>
      <c r="N373" s="6" t="n">
        <v>197.61</v>
      </c>
      <c r="O373" s="55">
        <f>(M373-N373)/N373</f>
        <v/>
      </c>
      <c r="P373" s="74">
        <f>N373*0.9056*0.85</f>
        <v/>
      </c>
      <c r="Q373" s="74">
        <f>N373*1.15</f>
        <v/>
      </c>
      <c r="R373" s="74">
        <f>IF(M373&lt;N373*0.9056*0.85,N373*0.9056*0.85,IF(M373&gt;N373*1.15,N373*1.15,M373))</f>
        <v/>
      </c>
      <c r="S373" s="74">
        <f>+F373*M373</f>
        <v/>
      </c>
      <c r="T373" s="74">
        <f>S373+R373*I373</f>
        <v/>
      </c>
      <c r="U373" s="82">
        <f>S373+R373*J373</f>
        <v/>
      </c>
      <c r="V373" s="74">
        <f>U373-S373</f>
        <v/>
      </c>
      <c r="W373" s="82">
        <f>+U373-T373</f>
        <v/>
      </c>
      <c r="X373" s="83">
        <f>+U373-T373</f>
        <v/>
      </c>
      <c r="Y373" s="5" t="n"/>
    </row>
    <row r="374" ht="20" customHeight="1" s="1">
      <c r="A374" s="5" t="n">
        <v>98</v>
      </c>
      <c r="B374" s="5" t="inlineStr">
        <is>
          <t>011102003018</t>
        </is>
      </c>
      <c r="C374" s="5" t="inlineStr">
        <is>
          <t>块料楼地面（地10）</t>
        </is>
      </c>
      <c r="D374" s="5" t="inlineStr">
        <is>
          <t>1.8~10厚防滑地砖铺实拍平,水泥砂浆填缝
2.30厚1:3干硬性水泥砂浆结合层
3.做法详见图纸</t>
        </is>
      </c>
      <c r="E374" s="5" t="inlineStr">
        <is>
          <t>m2</t>
        </is>
      </c>
      <c r="F374" s="6" t="n">
        <v>3705.78</v>
      </c>
      <c r="G374" s="74" t="n">
        <v>3908.85</v>
      </c>
      <c r="H374" s="82" t="n">
        <v>3908.85</v>
      </c>
      <c r="I374" s="74">
        <f>G374-F374</f>
        <v/>
      </c>
      <c r="J374" s="74">
        <f>H374-F374</f>
        <v/>
      </c>
      <c r="K374" s="74">
        <f>+H374-G374</f>
        <v/>
      </c>
      <c r="L374" s="55">
        <f>I374/F374</f>
        <v/>
      </c>
      <c r="M374" s="6" t="n">
        <v>129.21</v>
      </c>
      <c r="N374" s="6" t="n">
        <v>90.73</v>
      </c>
      <c r="O374" s="55">
        <f>(M374-N374)/N374</f>
        <v/>
      </c>
      <c r="P374" s="74">
        <f>N374*0.9056*0.85</f>
        <v/>
      </c>
      <c r="Q374" s="74">
        <f>N374*1.15</f>
        <v/>
      </c>
      <c r="R374" s="74">
        <f>IF(M374&lt;N374*0.9056*0.85,N374*0.9056*0.85,IF(M374&gt;N374*1.15,N374*1.15,M374))</f>
        <v/>
      </c>
      <c r="S374" s="74">
        <f>+F374*M374</f>
        <v/>
      </c>
      <c r="T374" s="74">
        <f>S374+R374*I374</f>
        <v/>
      </c>
      <c r="U374" s="82">
        <f>S374+R374*J374</f>
        <v/>
      </c>
      <c r="V374" s="74">
        <f>U374-S374</f>
        <v/>
      </c>
      <c r="W374" s="82">
        <f>+U374-T374</f>
        <v/>
      </c>
      <c r="X374" s="83">
        <f>+U374-T374</f>
        <v/>
      </c>
      <c r="Y374" s="5" t="n"/>
    </row>
    <row r="375" ht="20" customHeight="1" s="1">
      <c r="A375" s="5" t="n">
        <v>99</v>
      </c>
      <c r="B375" s="5" t="inlineStr">
        <is>
          <t>011106002001</t>
        </is>
      </c>
      <c r="C375" s="5" t="inlineStr">
        <is>
          <t>块料楼梯面层（地10）</t>
        </is>
      </c>
      <c r="D375" s="5" t="inlineStr">
        <is>
          <t>1.楼梯面层
2.8~10厚防滑地砖铺实拍平,水泥砂浆填缝
3.30厚1:3干硬性水泥砂浆结合层
4.做法详见图纸</t>
        </is>
      </c>
      <c r="E375" s="5" t="inlineStr">
        <is>
          <t>m2</t>
        </is>
      </c>
      <c r="F375" s="6" t="n">
        <v>721.1799999999999</v>
      </c>
      <c r="G375" s="74" t="n">
        <v>437.63</v>
      </c>
      <c r="H375" s="82" t="n">
        <v>437.63</v>
      </c>
      <c r="I375" s="74">
        <f>G375-F375</f>
        <v/>
      </c>
      <c r="J375" s="74">
        <f>H375-F375</f>
        <v/>
      </c>
      <c r="K375" s="74">
        <f>+H375-G375</f>
        <v/>
      </c>
      <c r="L375" s="55">
        <f>I375/F375</f>
        <v/>
      </c>
      <c r="M375" s="6" t="n">
        <v>256.98</v>
      </c>
      <c r="N375" s="6" t="n">
        <v>212.4</v>
      </c>
      <c r="O375" s="55">
        <f>(M375-N375)/N375</f>
        <v/>
      </c>
      <c r="P375" s="74">
        <f>N375*0.9056*0.85</f>
        <v/>
      </c>
      <c r="Q375" s="74">
        <f>N375*1.15</f>
        <v/>
      </c>
      <c r="R375" s="74">
        <f>IF(M375&lt;N375*0.9056*0.85,N375*0.9056*0.85,IF(M375&gt;N375*1.15,N375*1.15,M375))</f>
        <v/>
      </c>
      <c r="S375" s="74">
        <f>+F375*M375</f>
        <v/>
      </c>
      <c r="T375" s="74">
        <f>S375+R375*I375</f>
        <v/>
      </c>
      <c r="U375" s="82">
        <f>S375+R375*J375</f>
        <v/>
      </c>
      <c r="V375" s="74">
        <f>U375-S375</f>
        <v/>
      </c>
      <c r="W375" s="82">
        <f>+U375-T375</f>
        <v/>
      </c>
      <c r="X375" s="83">
        <f>+U375-T375</f>
        <v/>
      </c>
      <c r="Y375" s="5" t="n"/>
    </row>
    <row r="376" ht="20" customHeight="1" s="1">
      <c r="A376" s="5" t="n">
        <v>100</v>
      </c>
      <c r="B376" s="5" t="inlineStr">
        <is>
          <t>011105001001</t>
        </is>
      </c>
      <c r="C376" s="5" t="inlineStr">
        <is>
          <t>水泥砂浆踢脚线</t>
        </is>
      </c>
      <c r="D376" s="5" t="inlineStr">
        <is>
          <t>1.水泥砂浆踢脚线
2.15厚M15水泥砂浆底+10厚M20水泥砂浆面
3.高度:120mm</t>
        </is>
      </c>
      <c r="E376" s="5" t="inlineStr">
        <is>
          <t>m2</t>
        </is>
      </c>
      <c r="F376" s="6" t="n">
        <v>11.6</v>
      </c>
      <c r="G376" s="74" t="n">
        <v>14.37</v>
      </c>
      <c r="H376" s="82" t="n">
        <v>14.37</v>
      </c>
      <c r="I376" s="74">
        <f>G376-F376</f>
        <v/>
      </c>
      <c r="J376" s="74">
        <f>H376-F376</f>
        <v/>
      </c>
      <c r="K376" s="74">
        <f>+H376-G376</f>
        <v/>
      </c>
      <c r="L376" s="55">
        <f>I376/F376</f>
        <v/>
      </c>
      <c r="M376" s="6" t="n">
        <v>61.3</v>
      </c>
      <c r="N376" s="6" t="n">
        <v>41.42</v>
      </c>
      <c r="O376" s="55">
        <f>(M376-N376)/N376</f>
        <v/>
      </c>
      <c r="P376" s="74">
        <f>N376*0.9056*0.85</f>
        <v/>
      </c>
      <c r="Q376" s="74">
        <f>N376*1.15</f>
        <v/>
      </c>
      <c r="R376" s="74">
        <f>IF(M376&lt;N376*0.9056*0.85,N376*0.9056*0.85,IF(M376&gt;N376*1.15,N376*1.15,M376))</f>
        <v/>
      </c>
      <c r="S376" s="74">
        <f>+F376*M376</f>
        <v/>
      </c>
      <c r="T376" s="74">
        <f>S376+R376*I376</f>
        <v/>
      </c>
      <c r="U376" s="82">
        <f>S376+R376*J376</f>
        <v/>
      </c>
      <c r="V376" s="74">
        <f>U376-S376</f>
        <v/>
      </c>
      <c r="W376" s="82">
        <f>+U376-T376</f>
        <v/>
      </c>
      <c r="X376" s="83">
        <f>+U376-T376</f>
        <v/>
      </c>
      <c r="Y376" s="5" t="n"/>
    </row>
    <row r="377" ht="20" customHeight="1" s="1">
      <c r="A377" s="5" t="n">
        <v>101</v>
      </c>
      <c r="B377" s="5" t="inlineStr">
        <is>
          <t>011105003001</t>
        </is>
      </c>
      <c r="C377" s="5" t="inlineStr">
        <is>
          <t>块料踢脚线</t>
        </is>
      </c>
      <c r="D377" s="5" t="inlineStr">
        <is>
          <t>1.5~10厚砖块踢脚线,稀水泥浆(或彩色水泥浆)擦缝
2.高度:120mm
3.9厚M20水泥砂浆粘接层(内掺建筑胶)</t>
        </is>
      </c>
      <c r="E377" s="5" t="inlineStr">
        <is>
          <t>m2</t>
        </is>
      </c>
      <c r="F377" s="6" t="n">
        <v>299.7787</v>
      </c>
      <c r="G377" s="74" t="n">
        <v>99.41</v>
      </c>
      <c r="H377" s="82" t="n">
        <v>99.41</v>
      </c>
      <c r="I377" s="74">
        <f>G377-F377</f>
        <v/>
      </c>
      <c r="J377" s="74">
        <f>H377-F377</f>
        <v/>
      </c>
      <c r="K377" s="74">
        <f>+H377-G377</f>
        <v/>
      </c>
      <c r="L377" s="55">
        <f>I377/F377</f>
        <v/>
      </c>
      <c r="M377" s="6" t="n">
        <v>192.09</v>
      </c>
      <c r="N377" s="6" t="n">
        <v>190.61</v>
      </c>
      <c r="O377" s="55">
        <f>(M377-N377)/N377</f>
        <v/>
      </c>
      <c r="P377" s="74">
        <f>N377*0.9056*0.85</f>
        <v/>
      </c>
      <c r="Q377" s="74">
        <f>N377*1.15</f>
        <v/>
      </c>
      <c r="R377" s="74">
        <f>IF(M377&lt;N377*0.9056*0.85,N377*0.9056*0.85,IF(M377&gt;N377*1.15,N377*1.15,M377))</f>
        <v/>
      </c>
      <c r="S377" s="74">
        <f>+F377*M377</f>
        <v/>
      </c>
      <c r="T377" s="74">
        <f>S377+R377*I377</f>
        <v/>
      </c>
      <c r="U377" s="82">
        <f>S377+R377*J377</f>
        <v/>
      </c>
      <c r="V377" s="74">
        <f>U377-S377</f>
        <v/>
      </c>
      <c r="W377" s="82">
        <f>+U377-T377</f>
        <v/>
      </c>
      <c r="X377" s="83">
        <f>+U377-T377</f>
        <v/>
      </c>
      <c r="Y377" s="5" t="n"/>
    </row>
    <row r="378" ht="20" customHeight="1" s="1">
      <c r="A378" s="5" t="n">
        <v>102</v>
      </c>
      <c r="B378" s="5" t="inlineStr">
        <is>
          <t>040201022001</t>
        </is>
      </c>
      <c r="C378" s="5" t="inlineStr">
        <is>
          <t>排水沟、截水沟</t>
        </is>
      </c>
      <c r="D378" s="5" t="inlineStr">
        <is>
          <t>1.排水沟
2.最薄15厚DSM20水泥砂找坡0.5%(沟底)阴角位置做R=50的圆弧处理
3.20厚DWM20防水砂浆
4.380mm成品不锈钢格栅</t>
        </is>
      </c>
      <c r="E378" s="5" t="inlineStr">
        <is>
          <t>m</t>
        </is>
      </c>
      <c r="F378" s="6" t="n">
        <v>37.3</v>
      </c>
      <c r="G378" s="74" t="n">
        <v>59.05</v>
      </c>
      <c r="H378" s="82" t="n">
        <v>59.05</v>
      </c>
      <c r="I378" s="74">
        <f>G378-F378</f>
        <v/>
      </c>
      <c r="J378" s="74">
        <f>H378-F378</f>
        <v/>
      </c>
      <c r="K378" s="74">
        <f>+H378-G378</f>
        <v/>
      </c>
      <c r="L378" s="55">
        <f>I378/F378</f>
        <v/>
      </c>
      <c r="M378" s="6" t="n">
        <v>240.47</v>
      </c>
      <c r="N378" s="6" t="n">
        <v>365.14</v>
      </c>
      <c r="O378" s="55">
        <f>(M378-N378)/N378</f>
        <v/>
      </c>
      <c r="P378" s="74">
        <f>N378*0.9056*0.85</f>
        <v/>
      </c>
      <c r="Q378" s="74">
        <f>N378*1.15</f>
        <v/>
      </c>
      <c r="R378" s="74">
        <f>IF(M378&lt;N378*0.9056*0.85,N378*0.9056*0.85,IF(M378&gt;N378*1.15,N378*1.15,M378))</f>
        <v/>
      </c>
      <c r="S378" s="74">
        <f>+F378*M378</f>
        <v/>
      </c>
      <c r="T378" s="74">
        <f>S378+R378*I378</f>
        <v/>
      </c>
      <c r="U378" s="82">
        <f>S378+R378*J378</f>
        <v/>
      </c>
      <c r="V378" s="74">
        <f>U378-S378</f>
        <v/>
      </c>
      <c r="W378" s="82">
        <f>+U378-T378</f>
        <v/>
      </c>
      <c r="X378" s="83">
        <f>+U378-T378</f>
        <v/>
      </c>
      <c r="Y378" s="5" t="n"/>
    </row>
    <row r="379" ht="20" customHeight="1" s="1">
      <c r="A379" s="5" t="n"/>
      <c r="B379" s="5" t="n"/>
      <c r="C379" s="5" t="inlineStr">
        <is>
          <t>墙、柱面装饰与隔断、幕墙工程</t>
        </is>
      </c>
      <c r="D379" s="5" t="n"/>
      <c r="E379" s="5" t="n"/>
      <c r="F379" s="6" t="n"/>
      <c r="G379" s="74" t="n"/>
      <c r="H379" s="81" t="n"/>
      <c r="I379" s="74" t="n"/>
      <c r="J379" s="74" t="n"/>
      <c r="K379" s="74" t="n"/>
      <c r="L379" s="55" t="n"/>
      <c r="M379" s="6" t="n"/>
      <c r="N379" s="6" t="n"/>
      <c r="O379" s="6" t="n"/>
      <c r="P379" s="6" t="n"/>
      <c r="Q379" s="6" t="n"/>
      <c r="R379" s="74" t="n"/>
      <c r="S379" s="74">
        <f>+SUM(S380:S402)</f>
        <v/>
      </c>
      <c r="T379" s="74">
        <f>+SUM(T380:T402)</f>
        <v/>
      </c>
      <c r="U379" s="82">
        <f>SUM(U380:U402)</f>
        <v/>
      </c>
      <c r="V379" s="74">
        <f>U379-S379</f>
        <v/>
      </c>
      <c r="W379" s="82">
        <f>+U379-T379</f>
        <v/>
      </c>
      <c r="X379" s="83">
        <f>U379-T379</f>
        <v/>
      </c>
      <c r="Y379" s="5" t="n"/>
    </row>
    <row r="380" ht="20" customHeight="1" s="1">
      <c r="A380" s="5" t="n">
        <v>103</v>
      </c>
      <c r="B380" s="5" t="inlineStr">
        <is>
          <t>011204003001</t>
        </is>
      </c>
      <c r="C380" s="5" t="inlineStr">
        <is>
          <t>块料墙面(外墙2)</t>
        </is>
      </c>
      <c r="D380" s="5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380" s="5" t="inlineStr">
        <is>
          <t>m2</t>
        </is>
      </c>
      <c r="F380" s="6" t="n">
        <v>4800.62</v>
      </c>
      <c r="G380" s="74" t="n">
        <v>5727.72</v>
      </c>
      <c r="H380" s="82" t="n">
        <v>5727.72</v>
      </c>
      <c r="I380" s="74">
        <f>G380-F380</f>
        <v/>
      </c>
      <c r="J380" s="74">
        <f>H380-F380</f>
        <v/>
      </c>
      <c r="K380" s="74">
        <f>+H380-G380</f>
        <v/>
      </c>
      <c r="L380" s="55">
        <f>I380/F380</f>
        <v/>
      </c>
      <c r="M380" s="6" t="n">
        <v>188.2</v>
      </c>
      <c r="N380" s="6" t="n">
        <v>140.67</v>
      </c>
      <c r="O380" s="55">
        <f>(M380-N380)/N380</f>
        <v/>
      </c>
      <c r="P380" s="74">
        <f>N380*0.9056*0.85</f>
        <v/>
      </c>
      <c r="Q380" s="74">
        <f>N380*1.15</f>
        <v/>
      </c>
      <c r="R380" s="74">
        <f>IF(M380&lt;N380*0.9056*0.85,N380*0.9056*0.85,IF(M380&gt;N380*1.15,N380*1.15,M380))</f>
        <v/>
      </c>
      <c r="S380" s="74">
        <f>+F380*M380</f>
        <v/>
      </c>
      <c r="T380" s="74">
        <f>S380+R380*I380</f>
        <v/>
      </c>
      <c r="U380" s="82">
        <f>S380+R380*J380</f>
        <v/>
      </c>
      <c r="V380" s="74">
        <f>U380-S380</f>
        <v/>
      </c>
      <c r="W380" s="82">
        <f>+U380-T380</f>
        <v/>
      </c>
      <c r="X380" s="83">
        <f>+U380-T380</f>
        <v/>
      </c>
      <c r="Y380" s="5" t="n"/>
    </row>
    <row r="381" ht="20" customHeight="1" s="1">
      <c r="A381" s="5" t="n">
        <v>104</v>
      </c>
      <c r="B381" s="5" t="inlineStr">
        <is>
          <t>011407001002</t>
        </is>
      </c>
      <c r="C381" s="5" t="inlineStr">
        <is>
          <t>墙面喷刷涂料(外墙1)</t>
        </is>
      </c>
      <c r="D381" s="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381" s="5" t="inlineStr">
        <is>
          <t>m2</t>
        </is>
      </c>
      <c r="F381" s="6" t="n">
        <v>4141.885</v>
      </c>
      <c r="G381" s="74" t="n">
        <v>4617.49</v>
      </c>
      <c r="H381" s="82" t="n">
        <v>4617.49</v>
      </c>
      <c r="I381" s="74">
        <f>G381-F381</f>
        <v/>
      </c>
      <c r="J381" s="74">
        <f>H381-F381</f>
        <v/>
      </c>
      <c r="K381" s="74">
        <f>+H381-G381</f>
        <v/>
      </c>
      <c r="L381" s="55">
        <f>I381/F381</f>
        <v/>
      </c>
      <c r="M381" s="6" t="n">
        <v>133.2</v>
      </c>
      <c r="N381" s="6" t="n">
        <v>98.47</v>
      </c>
      <c r="O381" s="55">
        <f>(M381-N381)/N381</f>
        <v/>
      </c>
      <c r="P381" s="74">
        <f>N381*0.9056*0.85</f>
        <v/>
      </c>
      <c r="Q381" s="74">
        <f>N381*1.15</f>
        <v/>
      </c>
      <c r="R381" s="74">
        <f>IF(M381&lt;N381*0.9056*0.85,N381*0.9056*0.85,IF(M381&gt;N381*1.15,N381*1.15,M381))</f>
        <v/>
      </c>
      <c r="S381" s="74">
        <f>+F381*M381</f>
        <v/>
      </c>
      <c r="T381" s="74">
        <f>S381+R381*I381</f>
        <v/>
      </c>
      <c r="U381" s="82">
        <f>S381+R381*J381</f>
        <v/>
      </c>
      <c r="V381" s="74">
        <f>U381-S381</f>
        <v/>
      </c>
      <c r="W381" s="82">
        <f>+U381-T381</f>
        <v/>
      </c>
      <c r="X381" s="83">
        <f>+U381-T381</f>
        <v/>
      </c>
      <c r="Y381" s="5" t="n"/>
    </row>
    <row r="382" ht="20" customHeight="1" s="1">
      <c r="A382" s="5" t="n">
        <v>105</v>
      </c>
      <c r="B382" s="5" t="inlineStr">
        <is>
          <t>011201001007</t>
        </is>
      </c>
      <c r="C382" s="5" t="inlineStr">
        <is>
          <t>墙面一般抹灰（墙1、墙5）</t>
        </is>
      </c>
      <c r="D382" s="5" t="inlineStr">
        <is>
          <t>1.20厚M10水泥砂浆抹面压光
2.甩浆拉毛刷108胶素水泥浆一道(内掺水重8%的胶料)</t>
        </is>
      </c>
      <c r="E382" s="5" t="inlineStr">
        <is>
          <t>m2</t>
        </is>
      </c>
      <c r="F382" s="6" t="n">
        <v>860.21</v>
      </c>
      <c r="G382" s="74" t="n">
        <v>1062.87</v>
      </c>
      <c r="H382" s="82" t="n">
        <v>1062.87</v>
      </c>
      <c r="I382" s="74">
        <f>G382-F382</f>
        <v/>
      </c>
      <c r="J382" s="74">
        <f>H382-F382</f>
        <v/>
      </c>
      <c r="K382" s="74">
        <f>+H382-G382</f>
        <v/>
      </c>
      <c r="L382" s="55">
        <f>I382/F382</f>
        <v/>
      </c>
      <c r="M382" s="6" t="n">
        <v>30.33</v>
      </c>
      <c r="N382" s="6" t="n">
        <v>31.52</v>
      </c>
      <c r="O382" s="55">
        <f>(M382-N382)/N382</f>
        <v/>
      </c>
      <c r="P382" s="74">
        <f>N382*0.9056*0.85</f>
        <v/>
      </c>
      <c r="Q382" s="74">
        <f>N382*1.15</f>
        <v/>
      </c>
      <c r="R382" s="74">
        <f>IF(M382&lt;N382*0.9056*0.85,N382*0.9056*0.85,IF(M382&gt;N382*1.15,N382*1.15,M382))</f>
        <v/>
      </c>
      <c r="S382" s="74">
        <f>+F382*M382</f>
        <v/>
      </c>
      <c r="T382" s="74">
        <f>S382+R382*I382</f>
        <v/>
      </c>
      <c r="U382" s="82">
        <f>S382+R382*J382</f>
        <v/>
      </c>
      <c r="V382" s="74">
        <f>U382-S382</f>
        <v/>
      </c>
      <c r="W382" s="82">
        <f>+U382-T382</f>
        <v/>
      </c>
      <c r="X382" s="83">
        <f>+U382-T382</f>
        <v/>
      </c>
      <c r="Y382" s="5" t="n"/>
    </row>
    <row r="383" ht="20" customHeight="1" s="1">
      <c r="A383" s="5" t="n">
        <v>106</v>
      </c>
      <c r="B383" s="5" t="inlineStr">
        <is>
          <t>011207001002</t>
        </is>
      </c>
      <c r="C383" s="5" t="inlineStr">
        <is>
          <t>墙面装饰板（墙2）</t>
        </is>
      </c>
      <c r="D383" s="5" t="inlineStr">
        <is>
          <t>1.护墙板墙面
2.面层材料品种、规格、颜色:顶部:10*60mm浅金檀护墙板收口线
中部:9mm浅金檀护墙板
底部:17mm浅金檀护墙板地脚线
3.做法详见图纸</t>
        </is>
      </c>
      <c r="E383" s="5" t="inlineStr">
        <is>
          <t>m2</t>
        </is>
      </c>
      <c r="F383" s="6" t="n">
        <v>1005.89</v>
      </c>
      <c r="G383" s="74" t="n">
        <v>942.12</v>
      </c>
      <c r="H383" s="82" t="n">
        <v>942.12</v>
      </c>
      <c r="I383" s="74">
        <f>G383-F383</f>
        <v/>
      </c>
      <c r="J383" s="74">
        <f>H383-F383</f>
        <v/>
      </c>
      <c r="K383" s="74">
        <f>+H383-G383</f>
        <v/>
      </c>
      <c r="L383" s="55">
        <f>I383/F383</f>
        <v/>
      </c>
      <c r="M383" s="6" t="n">
        <v>334.46</v>
      </c>
      <c r="N383" s="6" t="n">
        <v>371.67</v>
      </c>
      <c r="O383" s="55">
        <f>(M383-N383)/N383</f>
        <v/>
      </c>
      <c r="P383" s="74">
        <f>N383*0.9056*0.85</f>
        <v/>
      </c>
      <c r="Q383" s="74">
        <f>N383*1.15</f>
        <v/>
      </c>
      <c r="R383" s="74">
        <f>IF(M383&lt;N383*0.9056*0.85,N383*0.9056*0.85,IF(M383&gt;N383*1.15,N383*1.15,M383))</f>
        <v/>
      </c>
      <c r="S383" s="74">
        <f>+F383*M383</f>
        <v/>
      </c>
      <c r="T383" s="74">
        <f>S383+R383*I383</f>
        <v/>
      </c>
      <c r="U383" s="82">
        <f>S383+R383*J383</f>
        <v/>
      </c>
      <c r="V383" s="74">
        <f>U383-S383</f>
        <v/>
      </c>
      <c r="W383" s="82">
        <f>+U383-T383</f>
        <v/>
      </c>
      <c r="X383" s="83">
        <f>+U383-T383</f>
        <v/>
      </c>
      <c r="Y383" s="5" t="n"/>
    </row>
    <row r="384" ht="20" customHeight="1" s="1">
      <c r="A384" s="5" t="n">
        <v>107</v>
      </c>
      <c r="B384" s="5" t="inlineStr">
        <is>
          <t>011406001004</t>
        </is>
      </c>
      <c r="C384" s="5" t="inlineStr">
        <is>
          <t>墙面喷刷涂料(墙3）</t>
        </is>
      </c>
      <c r="D384" s="5" t="inlineStr">
        <is>
          <t>1.满刮腻子二道
2.刷内墙无机涂料,底漆一道,面漆两道</t>
        </is>
      </c>
      <c r="E384" s="5" t="inlineStr">
        <is>
          <t>m2</t>
        </is>
      </c>
      <c r="F384" s="6" t="n">
        <v>7636.76</v>
      </c>
      <c r="G384" s="74" t="n">
        <v>7636.76</v>
      </c>
      <c r="H384" s="82">
        <f>7215.09+29.99</f>
        <v/>
      </c>
      <c r="I384" s="74">
        <f>G384-F384</f>
        <v/>
      </c>
      <c r="J384" s="74">
        <f>H384-F384</f>
        <v/>
      </c>
      <c r="K384" s="74">
        <f>+H384-G384</f>
        <v/>
      </c>
      <c r="L384" s="55">
        <f>I384/F384</f>
        <v/>
      </c>
      <c r="M384" s="6" t="n">
        <v>36.95</v>
      </c>
      <c r="N384" s="6" t="n">
        <v>50.6</v>
      </c>
      <c r="O384" s="55">
        <f>(M384-N384)/N384</f>
        <v/>
      </c>
      <c r="P384" s="74">
        <f>N384*0.9056*0.85</f>
        <v/>
      </c>
      <c r="Q384" s="74">
        <f>N384*1.15</f>
        <v/>
      </c>
      <c r="R384" s="74">
        <f>IF(M384&lt;N384*0.9056*0.85,N384*0.9056*0.85,IF(M384&gt;N384*1.15,N384*1.15,M384))</f>
        <v/>
      </c>
      <c r="S384" s="74">
        <f>+F384*M384</f>
        <v/>
      </c>
      <c r="T384" s="74">
        <f>S384+R384*I384</f>
        <v/>
      </c>
      <c r="U384" s="82">
        <f>S384+R384*J384</f>
        <v/>
      </c>
      <c r="V384" s="74">
        <f>U384-S384</f>
        <v/>
      </c>
      <c r="W384" s="82">
        <f>+U384-T384</f>
        <v/>
      </c>
      <c r="X384" s="83">
        <f>+U384-T384</f>
        <v/>
      </c>
      <c r="Y384" s="5" t="n"/>
    </row>
    <row r="385" ht="20" customHeight="1" s="1">
      <c r="A385" s="5" t="n">
        <v>108</v>
      </c>
      <c r="B385" s="5" t="inlineStr">
        <is>
          <t>011204003012</t>
        </is>
      </c>
      <c r="C385" s="5" t="inlineStr">
        <is>
          <t>块料墙面（墙4）</t>
        </is>
      </c>
      <c r="D385" s="5" t="inlineStr">
        <is>
          <t>1.镶贴400*400陶瓷面砖墙面建筑胶粘剂粘贴</t>
        </is>
      </c>
      <c r="E385" s="5" t="inlineStr">
        <is>
          <t>m2</t>
        </is>
      </c>
      <c r="F385" s="6" t="n">
        <v>1721.84</v>
      </c>
      <c r="G385" s="74" t="n">
        <v>1721.84</v>
      </c>
      <c r="H385" s="82" t="n">
        <v>1516.95</v>
      </c>
      <c r="I385" s="74">
        <f>G385-F385</f>
        <v/>
      </c>
      <c r="J385" s="74">
        <f>H385-F385</f>
        <v/>
      </c>
      <c r="K385" s="74">
        <f>+H385-G385</f>
        <v/>
      </c>
      <c r="L385" s="55">
        <f>I385/F385</f>
        <v/>
      </c>
      <c r="M385" s="6" t="n">
        <v>148.21</v>
      </c>
      <c r="N385" s="6" t="n">
        <v>117.46</v>
      </c>
      <c r="O385" s="55">
        <f>(M385-N385)/N385</f>
        <v/>
      </c>
      <c r="P385" s="74">
        <f>N385*0.9056*0.85</f>
        <v/>
      </c>
      <c r="Q385" s="74">
        <f>N385*1.15</f>
        <v/>
      </c>
      <c r="R385" s="74">
        <f>IF(M385&lt;N385*0.9056*0.85,N385*0.9056*0.85,IF(M385&gt;N385*1.15,N385*1.15,M385))</f>
        <v/>
      </c>
      <c r="S385" s="74">
        <f>+F385*M385</f>
        <v/>
      </c>
      <c r="T385" s="74">
        <f>S385+R385*I385</f>
        <v/>
      </c>
      <c r="U385" s="82">
        <f>S385+R385*J385</f>
        <v/>
      </c>
      <c r="V385" s="74">
        <f>U385-S385</f>
        <v/>
      </c>
      <c r="W385" s="82">
        <f>+U385-T385</f>
        <v/>
      </c>
      <c r="X385" s="83">
        <f>+U385-T385</f>
        <v/>
      </c>
      <c r="Y385" s="5" t="n"/>
    </row>
    <row r="386" ht="20" customHeight="1" s="1">
      <c r="A386" s="5" t="n">
        <v>109</v>
      </c>
      <c r="B386" s="5" t="inlineStr">
        <is>
          <t>011201001008</t>
        </is>
      </c>
      <c r="C386" s="5" t="inlineStr">
        <is>
          <t>墙面一般抹灰（墙3、4）</t>
        </is>
      </c>
      <c r="D386" s="5" t="inlineStr">
        <is>
          <t>1.15厚WPM20水泥砂浆找平,分两遍成活,底层抹灰应压实搓毛</t>
        </is>
      </c>
      <c r="E386" s="5" t="inlineStr">
        <is>
          <t>m2</t>
        </is>
      </c>
      <c r="F386" s="6" t="n">
        <v>9577.91</v>
      </c>
      <c r="G386" s="74" t="n">
        <v>9577.91</v>
      </c>
      <c r="H386" s="82" t="n">
        <v>8407.99</v>
      </c>
      <c r="I386" s="74">
        <f>G386-F386</f>
        <v/>
      </c>
      <c r="J386" s="74">
        <f>H386-F386</f>
        <v/>
      </c>
      <c r="K386" s="74">
        <f>+H386-G386</f>
        <v/>
      </c>
      <c r="L386" s="55">
        <f>I386/F386</f>
        <v/>
      </c>
      <c r="M386" s="6" t="n">
        <v>22.12</v>
      </c>
      <c r="N386" s="6" t="n">
        <v>24.38</v>
      </c>
      <c r="O386" s="55">
        <f>(M386-N386)/N386</f>
        <v/>
      </c>
      <c r="P386" s="74">
        <f>N386*0.9056*0.85</f>
        <v/>
      </c>
      <c r="Q386" s="74">
        <f>N386*1.15</f>
        <v/>
      </c>
      <c r="R386" s="74">
        <f>IF(M386&lt;N386*0.9056*0.85,N386*0.9056*0.85,IF(M386&gt;N386*1.15,N386*1.15,M386))</f>
        <v/>
      </c>
      <c r="S386" s="74">
        <f>+F386*M386</f>
        <v/>
      </c>
      <c r="T386" s="74">
        <f>S386+R386*I386</f>
        <v/>
      </c>
      <c r="U386" s="82">
        <f>S386+R386*J386</f>
        <v/>
      </c>
      <c r="V386" s="74">
        <f>U386-S386</f>
        <v/>
      </c>
      <c r="W386" s="82">
        <f>+U386-T386</f>
        <v/>
      </c>
      <c r="X386" s="83">
        <f>+U386-T386</f>
        <v/>
      </c>
      <c r="Y386" s="5" t="n"/>
    </row>
    <row r="387" ht="20" customHeight="1" s="1">
      <c r="A387" s="5" t="n">
        <v>110</v>
      </c>
      <c r="B387" s="5" t="inlineStr">
        <is>
          <t>011406001009</t>
        </is>
      </c>
      <c r="C387" s="5" t="inlineStr">
        <is>
          <t>墙面喷刷涂料(墙5）</t>
        </is>
      </c>
      <c r="D387" s="5" t="inlineStr">
        <is>
          <t>1.满刮耐水防霉白色腻子</t>
        </is>
      </c>
      <c r="E387" s="5" t="inlineStr">
        <is>
          <t>m2</t>
        </is>
      </c>
      <c r="F387" s="6" t="n">
        <v>439.79</v>
      </c>
      <c r="G387" s="74" t="n">
        <v>670.37</v>
      </c>
      <c r="H387" s="82" t="n">
        <v>670.37</v>
      </c>
      <c r="I387" s="74">
        <f>G387-F387</f>
        <v/>
      </c>
      <c r="J387" s="74">
        <f>H387-F387</f>
        <v/>
      </c>
      <c r="K387" s="74">
        <f>+H387-G387</f>
        <v/>
      </c>
      <c r="L387" s="55">
        <f>I387/F387</f>
        <v/>
      </c>
      <c r="M387" s="6" t="n">
        <v>17.13</v>
      </c>
      <c r="N387" s="6" t="n">
        <v>18.67</v>
      </c>
      <c r="O387" s="55">
        <f>(M387-N387)/N387</f>
        <v/>
      </c>
      <c r="P387" s="74">
        <f>N387*0.9056*0.85</f>
        <v/>
      </c>
      <c r="Q387" s="74">
        <f>N387*1.15</f>
        <v/>
      </c>
      <c r="R387" s="74">
        <f>IF(M387&lt;N387*0.9056*0.85,N387*0.9056*0.85,IF(M387&gt;N387*1.15,N387*1.15,M387))</f>
        <v/>
      </c>
      <c r="S387" s="74">
        <f>+F387*M387</f>
        <v/>
      </c>
      <c r="T387" s="74">
        <f>S387+R387*I387</f>
        <v/>
      </c>
      <c r="U387" s="82">
        <f>S387+R387*J387</f>
        <v/>
      </c>
      <c r="V387" s="74">
        <f>U387-S387</f>
        <v/>
      </c>
      <c r="W387" s="82">
        <f>+U387-T387</f>
        <v/>
      </c>
      <c r="X387" s="83">
        <f>+U387-T387</f>
        <v/>
      </c>
      <c r="Y387" s="5" t="n"/>
    </row>
    <row r="388" ht="20" customHeight="1" s="1">
      <c r="A388" s="5" t="n">
        <v>111</v>
      </c>
      <c r="B388" s="5" t="inlineStr">
        <is>
          <t>011204003014</t>
        </is>
      </c>
      <c r="C388" s="5" t="inlineStr">
        <is>
          <t>块料墙面（墙8）</t>
        </is>
      </c>
      <c r="D388" s="5" t="inlineStr">
        <is>
          <t>1.镶贴300*600陶瓷面砖墙面建筑胶粘剂粘贴
2.15厚WPM20水泥砂浆找平</t>
        </is>
      </c>
      <c r="E388" s="5" t="inlineStr">
        <is>
          <t>m2</t>
        </is>
      </c>
      <c r="F388" s="6" t="n">
        <v>1696.13</v>
      </c>
      <c r="G388" s="74" t="n">
        <v>1696.13</v>
      </c>
      <c r="H388" s="82" t="n">
        <v>1350.87</v>
      </c>
      <c r="I388" s="74">
        <f>G388-F388</f>
        <v/>
      </c>
      <c r="J388" s="74">
        <f>H388-F388</f>
        <v/>
      </c>
      <c r="K388" s="74">
        <f>+H388-G388</f>
        <v/>
      </c>
      <c r="L388" s="55">
        <f>I388/F388</f>
        <v/>
      </c>
      <c r="M388" s="6" t="n">
        <v>162.51</v>
      </c>
      <c r="N388" s="6" t="n">
        <v>147.48</v>
      </c>
      <c r="O388" s="55">
        <f>(M388-N388)/N388</f>
        <v/>
      </c>
      <c r="P388" s="74">
        <f>N388*0.9056*0.85</f>
        <v/>
      </c>
      <c r="Q388" s="74">
        <f>N388*1.15</f>
        <v/>
      </c>
      <c r="R388" s="74">
        <f>IF(M388&lt;N388*0.9056*0.85,N388*0.9056*0.85,IF(M388&gt;N388*1.15,N388*1.15,M388))</f>
        <v/>
      </c>
      <c r="S388" s="74">
        <f>+F388*M388</f>
        <v/>
      </c>
      <c r="T388" s="74">
        <f>S388+R388*I388</f>
        <v/>
      </c>
      <c r="U388" s="82">
        <f>S388+R388*J388</f>
        <v/>
      </c>
      <c r="V388" s="74">
        <f>U388-S388</f>
        <v/>
      </c>
      <c r="W388" s="82">
        <f>+U388-T388</f>
        <v/>
      </c>
      <c r="X388" s="83">
        <f>+U388-T388</f>
        <v/>
      </c>
      <c r="Y388" s="5" t="n"/>
    </row>
    <row r="389" ht="20" customHeight="1" s="1">
      <c r="A389" s="5" t="n">
        <v>112</v>
      </c>
      <c r="B389" s="5" t="inlineStr">
        <is>
          <t>011204003015</t>
        </is>
      </c>
      <c r="C389" s="5" t="inlineStr">
        <is>
          <t>块料墙面</t>
        </is>
      </c>
      <c r="D389" s="5" t="inlineStr">
        <is>
          <t>1.镶贴300*300仿古砖墙面建筑胶粘剂粘贴
2.15厚WPM20水泥砂浆找平</t>
        </is>
      </c>
      <c r="E389" s="5" t="inlineStr">
        <is>
          <t>m2</t>
        </is>
      </c>
      <c r="F389" s="6" t="n">
        <v>24.54</v>
      </c>
      <c r="G389" s="74" t="n">
        <v>24.54</v>
      </c>
      <c r="H389" s="82" t="n">
        <v>12.26</v>
      </c>
      <c r="I389" s="74">
        <f>G389-F389</f>
        <v/>
      </c>
      <c r="J389" s="74">
        <f>H389-F389</f>
        <v/>
      </c>
      <c r="K389" s="74">
        <f>+H389-G389</f>
        <v/>
      </c>
      <c r="L389" s="55">
        <f>I389/F389</f>
        <v/>
      </c>
      <c r="M389" s="6" t="n">
        <v>139.68</v>
      </c>
      <c r="N389" s="6" t="n">
        <v>141.12</v>
      </c>
      <c r="O389" s="55">
        <f>(M389-N389)/N389</f>
        <v/>
      </c>
      <c r="P389" s="74">
        <f>N389*0.9056*0.85</f>
        <v/>
      </c>
      <c r="Q389" s="74">
        <f>N389*1.15</f>
        <v/>
      </c>
      <c r="R389" s="74">
        <f>IF(M389&lt;N389*0.9056*0.85,N389*0.9056*0.85,IF(M389&gt;N389*1.15,N389*1.15,M389))</f>
        <v/>
      </c>
      <c r="S389" s="74">
        <f>+F389*M389</f>
        <v/>
      </c>
      <c r="T389" s="74">
        <f>S389+R389*I389</f>
        <v/>
      </c>
      <c r="U389" s="82">
        <f>S389+R389*J389</f>
        <v/>
      </c>
      <c r="V389" s="74">
        <f>U389-S389</f>
        <v/>
      </c>
      <c r="W389" s="82">
        <f>+U389-T389</f>
        <v/>
      </c>
      <c r="X389" s="83">
        <f>+U389-T389</f>
        <v/>
      </c>
      <c r="Y389" s="5" t="n"/>
    </row>
    <row r="390" ht="20" customHeight="1" s="1">
      <c r="A390" s="86" t="n">
        <v>113</v>
      </c>
      <c r="B390" s="86" t="inlineStr">
        <is>
          <t>011205001001</t>
        </is>
      </c>
      <c r="C390" s="86" t="inlineStr">
        <is>
          <t>石材柱面</t>
        </is>
      </c>
      <c r="D390" s="86" t="inlineStr">
        <is>
          <t>1.首层柱脚
2.安装方式:挂贴米色大理石
3.其他详见施工设计图</t>
        </is>
      </c>
      <c r="E390" s="86" t="inlineStr">
        <is>
          <t>m2</t>
        </is>
      </c>
      <c r="F390" s="87" t="n">
        <v>259.648</v>
      </c>
      <c r="G390" s="88" t="n">
        <v>281.42</v>
      </c>
      <c r="H390" s="88" t="n">
        <v>281.42</v>
      </c>
      <c r="I390" s="88">
        <f>G390-F390</f>
        <v/>
      </c>
      <c r="J390" s="88">
        <f>H390-F390</f>
        <v/>
      </c>
      <c r="K390" s="88">
        <f>+H390-G390</f>
        <v/>
      </c>
      <c r="L390" s="89">
        <f>I390/F390</f>
        <v/>
      </c>
      <c r="M390" s="87" t="n">
        <v>666.3099999999999</v>
      </c>
      <c r="N390" s="87" t="n">
        <v>453.37</v>
      </c>
      <c r="O390" s="89">
        <f>(M390-N390)/N390</f>
        <v/>
      </c>
      <c r="P390" s="88">
        <f>N390*0.9056*0.85</f>
        <v/>
      </c>
      <c r="Q390" s="88">
        <f>N390*1.15</f>
        <v/>
      </c>
      <c r="R390" s="88">
        <f>IF(M390&lt;N390*0.9056*0.85,N390*0.9056*0.85,IF(M390&gt;N390*1.15,N390*1.15,M390))</f>
        <v/>
      </c>
      <c r="S390" s="88">
        <f>+F390*M390</f>
        <v/>
      </c>
      <c r="T390" s="88">
        <f>S390+R390*I390</f>
        <v/>
      </c>
      <c r="U390" s="88">
        <f>S390+R390*J390</f>
        <v/>
      </c>
      <c r="V390" s="74">
        <f>U390-S390</f>
        <v/>
      </c>
      <c r="W390" s="82">
        <f>+U390-T390</f>
        <v/>
      </c>
      <c r="X390" s="88">
        <f>+U390-T390</f>
        <v/>
      </c>
      <c r="Y390" s="86" t="n"/>
      <c r="Z390" s="77" t="n"/>
    </row>
    <row r="391" ht="20" customHeight="1" s="1">
      <c r="A391" s="5" t="n">
        <v>114</v>
      </c>
      <c r="B391" s="5" t="inlineStr">
        <is>
          <t>010809004001</t>
        </is>
      </c>
      <c r="C391" s="5" t="inlineStr">
        <is>
          <t>石材窗台板</t>
        </is>
      </c>
      <c r="D391" s="5" t="inlineStr">
        <is>
          <t>1.米黄花岗石窗台石</t>
        </is>
      </c>
      <c r="E391" s="5" t="inlineStr">
        <is>
          <t>m2</t>
        </is>
      </c>
      <c r="F391" s="6" t="n">
        <v>16.8156</v>
      </c>
      <c r="G391" s="74" t="n">
        <v>16.82</v>
      </c>
      <c r="H391" s="82" t="n">
        <v>6.73</v>
      </c>
      <c r="I391" s="74">
        <f>G391-F391</f>
        <v/>
      </c>
      <c r="J391" s="74">
        <f>H391-F391</f>
        <v/>
      </c>
      <c r="K391" s="74">
        <f>+H391-G391</f>
        <v/>
      </c>
      <c r="L391" s="55">
        <f>I391/F391</f>
        <v/>
      </c>
      <c r="M391" s="6" t="n">
        <v>532.5599999999999</v>
      </c>
      <c r="N391" s="6" t="n">
        <v>490.86</v>
      </c>
      <c r="O391" s="55">
        <f>(M391-N391)/N391</f>
        <v/>
      </c>
      <c r="P391" s="74">
        <f>N391*0.9056*0.85</f>
        <v/>
      </c>
      <c r="Q391" s="74">
        <f>N391*1.15</f>
        <v/>
      </c>
      <c r="R391" s="74">
        <f>IF(M391&lt;N391*0.9056*0.85,N391*0.9056*0.85,IF(M391&gt;N391*1.15,N391*1.15,M391))</f>
        <v/>
      </c>
      <c r="S391" s="74">
        <f>+F391*M391</f>
        <v/>
      </c>
      <c r="T391" s="74">
        <f>S391+R391*I391</f>
        <v/>
      </c>
      <c r="U391" s="82">
        <f>S391+R391*J391</f>
        <v/>
      </c>
      <c r="V391" s="74">
        <f>U391-S391</f>
        <v/>
      </c>
      <c r="W391" s="82">
        <f>+U391-T391</f>
        <v/>
      </c>
      <c r="X391" s="83">
        <f>+U391-T391</f>
        <v/>
      </c>
      <c r="Y391" s="5" t="n"/>
    </row>
    <row r="392" ht="20" customHeight="1" s="1">
      <c r="A392" s="5" t="n">
        <v>115</v>
      </c>
      <c r="B392" s="5" t="inlineStr">
        <is>
          <t>011207001003</t>
        </is>
      </c>
      <c r="C392" s="5" t="inlineStr">
        <is>
          <t>墙面装饰板</t>
        </is>
      </c>
      <c r="D392" s="5" t="inlineStr">
        <is>
          <t>1.18MM厚A级防火吸音板
2.50厚超细玻璃棉容重:32KG/m3外包吸声无纺布
3.15mm阻燃夹板
4.50*50阻燃木龙骨底架
5.1.2厚黑色不锈钢压槽</t>
        </is>
      </c>
      <c r="E392" s="5" t="inlineStr">
        <is>
          <t>m2</t>
        </is>
      </c>
      <c r="F392" s="6" t="n">
        <v>129.335</v>
      </c>
      <c r="G392" s="74" t="n">
        <v>136.49</v>
      </c>
      <c r="H392" s="82" t="n">
        <v>136.49</v>
      </c>
      <c r="I392" s="74">
        <f>G392-F392</f>
        <v/>
      </c>
      <c r="J392" s="74">
        <f>H392-F392</f>
        <v/>
      </c>
      <c r="K392" s="74">
        <f>+H392-G392</f>
        <v/>
      </c>
      <c r="L392" s="55">
        <f>I392/F392</f>
        <v/>
      </c>
      <c r="M392" s="6" t="n">
        <v>314.41</v>
      </c>
      <c r="N392" s="6" t="n">
        <v>271.64</v>
      </c>
      <c r="O392" s="55">
        <f>(M392-N392)/N392</f>
        <v/>
      </c>
      <c r="P392" s="74">
        <f>N392*0.9056*0.85</f>
        <v/>
      </c>
      <c r="Q392" s="74">
        <f>N392*1.15</f>
        <v/>
      </c>
      <c r="R392" s="74">
        <f>IF(M392&lt;N392*0.9056*0.85,N392*0.9056*0.85,IF(M392&gt;N392*1.15,N392*1.15,M392))</f>
        <v/>
      </c>
      <c r="S392" s="74">
        <f>+F392*M392</f>
        <v/>
      </c>
      <c r="T392" s="74">
        <f>S392+R392*I392</f>
        <v/>
      </c>
      <c r="U392" s="82">
        <f>S392+R392*J392</f>
        <v/>
      </c>
      <c r="V392" s="74">
        <f>U392-S392</f>
        <v/>
      </c>
      <c r="W392" s="82">
        <f>+U392-T392</f>
        <v/>
      </c>
      <c r="X392" s="83">
        <f>+U392-T392</f>
        <v/>
      </c>
      <c r="Y392" s="5" t="n"/>
    </row>
    <row r="393" ht="20" customHeight="1" s="1">
      <c r="A393" s="5" t="n">
        <v>116</v>
      </c>
      <c r="B393" s="5" t="inlineStr">
        <is>
          <t>011207001004</t>
        </is>
      </c>
      <c r="C393" s="5" t="inlineStr">
        <is>
          <t>墙面装饰板</t>
        </is>
      </c>
      <c r="D393" s="5" t="inlineStr">
        <is>
          <t>1.4MM蓝色免漆板
2.15mm阻燃夹板
3.30*30阻燃木龙骨底架</t>
        </is>
      </c>
      <c r="E393" s="5" t="inlineStr">
        <is>
          <t>m2</t>
        </is>
      </c>
      <c r="F393" s="6" t="n">
        <v>56.123</v>
      </c>
      <c r="G393" s="74" t="n">
        <v>70.04000000000001</v>
      </c>
      <c r="H393" s="82" t="n">
        <v>14.82</v>
      </c>
      <c r="I393" s="74">
        <f>G393-F393</f>
        <v/>
      </c>
      <c r="J393" s="74">
        <f>H393-F393</f>
        <v/>
      </c>
      <c r="K393" s="74">
        <f>+H393-G393</f>
        <v/>
      </c>
      <c r="L393" s="55">
        <f>I393/F393</f>
        <v/>
      </c>
      <c r="M393" s="6" t="n">
        <v>341.48</v>
      </c>
      <c r="N393" s="6" t="n">
        <v>151.55</v>
      </c>
      <c r="O393" s="55">
        <f>(M393-N393)/N393</f>
        <v/>
      </c>
      <c r="P393" s="74">
        <f>N393*0.9056*0.85</f>
        <v/>
      </c>
      <c r="Q393" s="74">
        <f>N393*1.15</f>
        <v/>
      </c>
      <c r="R393" s="74">
        <f>IF(M393&lt;N393*0.9056*0.85,N393*0.9056*0.85,IF(M393&gt;N393*1.15,N393*1.15,M393))</f>
        <v/>
      </c>
      <c r="S393" s="74">
        <f>+F393*M393</f>
        <v/>
      </c>
      <c r="T393" s="74">
        <f>S393+R393*I393</f>
        <v/>
      </c>
      <c r="U393" s="82">
        <f>S393+R393*J393</f>
        <v/>
      </c>
      <c r="V393" s="74">
        <f>U393-S393</f>
        <v/>
      </c>
      <c r="W393" s="82">
        <f>+U393-T393</f>
        <v/>
      </c>
      <c r="X393" s="83">
        <f>+U393-T393</f>
        <v/>
      </c>
      <c r="Y393" s="5" t="n"/>
    </row>
    <row r="394" ht="20" customHeight="1" s="1">
      <c r="A394" s="5" t="n">
        <v>117</v>
      </c>
      <c r="B394" s="5" t="inlineStr">
        <is>
          <t>011207001007</t>
        </is>
      </c>
      <c r="C394" s="5" t="inlineStr">
        <is>
          <t>墙面装饰板</t>
        </is>
      </c>
      <c r="D394" s="5" t="inlineStr">
        <is>
          <t>1.5MM厚清镜
2.15mm阻燃夹板
3.50*50阻燃木龙骨底架</t>
        </is>
      </c>
      <c r="E394" s="5" t="inlineStr">
        <is>
          <t>m2</t>
        </is>
      </c>
      <c r="F394" s="6" t="n">
        <v>31.04</v>
      </c>
      <c r="G394" s="74" t="n">
        <v>32.05</v>
      </c>
      <c r="H394" s="82" t="n">
        <v>32.05</v>
      </c>
      <c r="I394" s="74">
        <f>G394-F394</f>
        <v/>
      </c>
      <c r="J394" s="74">
        <f>H394-F394</f>
        <v/>
      </c>
      <c r="K394" s="74">
        <f>+H394-G394</f>
        <v/>
      </c>
      <c r="L394" s="55">
        <f>I394/F394</f>
        <v/>
      </c>
      <c r="M394" s="6" t="n">
        <v>437.33</v>
      </c>
      <c r="N394" s="6" t="n">
        <v>228.53</v>
      </c>
      <c r="O394" s="55">
        <f>(M394-N394)/N394</f>
        <v/>
      </c>
      <c r="P394" s="74">
        <f>N394*0.9056*0.85</f>
        <v/>
      </c>
      <c r="Q394" s="74">
        <f>N394*1.15</f>
        <v/>
      </c>
      <c r="R394" s="74">
        <f>IF(M394&lt;N394*0.9056*0.85,N394*0.9056*0.85,IF(M394&gt;N394*1.15,N394*1.15,M394))</f>
        <v/>
      </c>
      <c r="S394" s="74">
        <f>+F394*M394</f>
        <v/>
      </c>
      <c r="T394" s="74">
        <f>S394+R394*I394</f>
        <v/>
      </c>
      <c r="U394" s="82">
        <f>S394+R394*J394</f>
        <v/>
      </c>
      <c r="V394" s="74">
        <f>U394-S394</f>
        <v/>
      </c>
      <c r="W394" s="82">
        <f>+U394-T394</f>
        <v/>
      </c>
      <c r="X394" s="83">
        <f>+U394-T394</f>
        <v/>
      </c>
      <c r="Y394" s="5" t="n"/>
    </row>
    <row r="395" ht="20" customHeight="1" s="1">
      <c r="A395" s="5" t="n">
        <v>118</v>
      </c>
      <c r="B395" s="5" t="inlineStr">
        <is>
          <t>011207001006</t>
        </is>
      </c>
      <c r="C395" s="5" t="inlineStr">
        <is>
          <t>墙面装饰板（logo）</t>
        </is>
      </c>
      <c r="D395" s="5" t="inlineStr">
        <is>
          <t>1.15MM蓝色免漆板
2.15mm阻燃夹板
3.30*30阻燃木龙骨底架</t>
        </is>
      </c>
      <c r="E395" s="5" t="inlineStr">
        <is>
          <t>m2</t>
        </is>
      </c>
      <c r="F395" s="6" t="n">
        <v>4.77</v>
      </c>
      <c r="G395" s="74" t="n">
        <v>4.77</v>
      </c>
      <c r="H395" s="82" t="n">
        <v>1.76</v>
      </c>
      <c r="I395" s="74">
        <f>G395-F395</f>
        <v/>
      </c>
      <c r="J395" s="74">
        <f>H395-F395</f>
        <v/>
      </c>
      <c r="K395" s="74">
        <f>+H395-G395</f>
        <v/>
      </c>
      <c r="L395" s="55">
        <f>I395/F395</f>
        <v/>
      </c>
      <c r="M395" s="6" t="n">
        <v>429.48</v>
      </c>
      <c r="N395" s="6" t="n">
        <v>300.05</v>
      </c>
      <c r="O395" s="55">
        <f>(M395-N395)/N395</f>
        <v/>
      </c>
      <c r="P395" s="74">
        <f>N395*0.9056*0.85</f>
        <v/>
      </c>
      <c r="Q395" s="74">
        <f>N395*1.15</f>
        <v/>
      </c>
      <c r="R395" s="74">
        <f>IF(M395&lt;N395*0.9056*0.85,N395*0.9056*0.85,IF(M395&gt;N395*1.15,N395*1.15,M395))</f>
        <v/>
      </c>
      <c r="S395" s="74">
        <f>+F395*M395</f>
        <v/>
      </c>
      <c r="T395" s="74">
        <f>S395+R395*I395</f>
        <v/>
      </c>
      <c r="U395" s="82">
        <f>S395+R395*J395</f>
        <v/>
      </c>
      <c r="V395" s="74">
        <f>U395-S395</f>
        <v/>
      </c>
      <c r="W395" s="82">
        <f>+U395-T395</f>
        <v/>
      </c>
      <c r="X395" s="83">
        <f>+U395-T395</f>
        <v/>
      </c>
      <c r="Y395" s="5" t="n"/>
    </row>
    <row r="396" ht="20" customHeight="1" s="1">
      <c r="A396" s="5" t="n">
        <v>119</v>
      </c>
      <c r="B396" s="5" t="inlineStr">
        <is>
          <t>011207001009</t>
        </is>
      </c>
      <c r="C396" s="5" t="inlineStr">
        <is>
          <t>墙面装饰板</t>
        </is>
      </c>
      <c r="D396" s="5" t="inlineStr">
        <is>
          <t>1.9mm欧松板
2.15mm阻燃夹板
3.30*30阻燃木龙骨底架
4.30mm透明亚克力板</t>
        </is>
      </c>
      <c r="E396" s="5" t="inlineStr">
        <is>
          <t>m2</t>
        </is>
      </c>
      <c r="F396" s="6" t="n">
        <v>9.449999999999999</v>
      </c>
      <c r="G396" s="74" t="n">
        <v>9.449999999999999</v>
      </c>
      <c r="H396" s="82" t="n">
        <v>9.449999999999999</v>
      </c>
      <c r="I396" s="74">
        <f>G396-F396</f>
        <v/>
      </c>
      <c r="J396" s="74">
        <f>H396-F396</f>
        <v/>
      </c>
      <c r="K396" s="74">
        <f>+H396-G396</f>
        <v/>
      </c>
      <c r="L396" s="55">
        <f>I396/F396</f>
        <v/>
      </c>
      <c r="M396" s="6" t="n">
        <v>419.95</v>
      </c>
      <c r="N396" s="6" t="n">
        <v>250.86</v>
      </c>
      <c r="O396" s="55">
        <f>(M396-N396)/N396</f>
        <v/>
      </c>
      <c r="P396" s="74">
        <f>N396*0.9056*0.85</f>
        <v/>
      </c>
      <c r="Q396" s="74">
        <f>N396*1.15</f>
        <v/>
      </c>
      <c r="R396" s="74">
        <f>IF(M396&lt;N396*0.9056*0.85,N396*0.9056*0.85,IF(M396&gt;N396*1.15,N396*1.15,M396))</f>
        <v/>
      </c>
      <c r="S396" s="74">
        <f>+F396*M396</f>
        <v/>
      </c>
      <c r="T396" s="74">
        <f>S396+R396*I396</f>
        <v/>
      </c>
      <c r="U396" s="82">
        <f>S396+R396*J396</f>
        <v/>
      </c>
      <c r="V396" s="74">
        <f>U396-S396</f>
        <v/>
      </c>
      <c r="W396" s="82">
        <f>+U396-T396</f>
        <v/>
      </c>
      <c r="X396" s="83">
        <f>+U396-T396</f>
        <v/>
      </c>
      <c r="Y396" s="5" t="n"/>
    </row>
    <row r="397" ht="20" customHeight="1" s="1">
      <c r="A397" s="5" t="n">
        <v>120</v>
      </c>
      <c r="B397" s="5" t="inlineStr">
        <is>
          <t>011207001005</t>
        </is>
      </c>
      <c r="C397" s="5" t="inlineStr">
        <is>
          <t>墙面装饰板</t>
        </is>
      </c>
      <c r="D397" s="5" t="inlineStr">
        <is>
          <t>1.贴黄色墙布
2.9mm阻燃夹板
3.30*30阻燃木龙骨底架
4.1.2厚黑色不锈钢压槽</t>
        </is>
      </c>
      <c r="E397" s="5" t="inlineStr">
        <is>
          <t>m2</t>
        </is>
      </c>
      <c r="F397" s="6" t="n">
        <v>20.52</v>
      </c>
      <c r="G397" s="74" t="n">
        <v>20.58</v>
      </c>
      <c r="H397" s="82" t="n">
        <v>20.58</v>
      </c>
      <c r="I397" s="74">
        <f>G397-F397</f>
        <v/>
      </c>
      <c r="J397" s="74">
        <f>H397-F397</f>
        <v/>
      </c>
      <c r="K397" s="74">
        <f>+H397-G397</f>
        <v/>
      </c>
      <c r="L397" s="55">
        <f>I397/F397</f>
        <v/>
      </c>
      <c r="M397" s="6" t="n">
        <v>217.33</v>
      </c>
      <c r="N397" s="6" t="n">
        <v>149.29</v>
      </c>
      <c r="O397" s="55">
        <f>(M397-N397)/N397</f>
        <v/>
      </c>
      <c r="P397" s="74">
        <f>N397*0.9056*0.85</f>
        <v/>
      </c>
      <c r="Q397" s="74">
        <f>N397*1.15</f>
        <v/>
      </c>
      <c r="R397" s="74">
        <f>IF(M397&lt;N397*0.9056*0.85,N397*0.9056*0.85,IF(M397&gt;N397*1.15,N397*1.15,M397))</f>
        <v/>
      </c>
      <c r="S397" s="74">
        <f>+F397*M397</f>
        <v/>
      </c>
      <c r="T397" s="74">
        <f>S397+R397*I397</f>
        <v/>
      </c>
      <c r="U397" s="82">
        <f>S397+R397*J397</f>
        <v/>
      </c>
      <c r="V397" s="74">
        <f>U397-S397</f>
        <v/>
      </c>
      <c r="W397" s="82">
        <f>+U397-T397</f>
        <v/>
      </c>
      <c r="X397" s="83">
        <f>+U397-T397</f>
        <v/>
      </c>
      <c r="Y397" s="5" t="n"/>
    </row>
    <row r="398" ht="20" customHeight="1" s="1">
      <c r="A398" s="5" t="n">
        <v>121</v>
      </c>
      <c r="B398" s="5" t="inlineStr">
        <is>
          <t>011207001008</t>
        </is>
      </c>
      <c r="C398" s="5" t="inlineStr">
        <is>
          <t>墙面装饰板</t>
        </is>
      </c>
      <c r="D398" s="5" t="inlineStr">
        <is>
          <t>1.刮塑油浅橙色无机装修涂料
2.5mm阻燃夹板
3.30*30阻燃木龙骨底架</t>
        </is>
      </c>
      <c r="E398" s="5" t="inlineStr">
        <is>
          <t>m2</t>
        </is>
      </c>
      <c r="F398" s="6" t="n">
        <v>36.5</v>
      </c>
      <c r="G398" s="74" t="n">
        <v>36.5</v>
      </c>
      <c r="H398" s="82" t="n">
        <v>36.5</v>
      </c>
      <c r="I398" s="74">
        <f>G398-F398</f>
        <v/>
      </c>
      <c r="J398" s="74">
        <f>H398-F398</f>
        <v/>
      </c>
      <c r="K398" s="74">
        <f>+H398-G398</f>
        <v/>
      </c>
      <c r="L398" s="55">
        <f>I398/F398</f>
        <v/>
      </c>
      <c r="M398" s="6" t="n">
        <v>111.44</v>
      </c>
      <c r="N398" s="6" t="n">
        <v>113.84</v>
      </c>
      <c r="O398" s="55">
        <f>(M398-N398)/N398</f>
        <v/>
      </c>
      <c r="P398" s="74">
        <f>N398*0.9056*0.85</f>
        <v/>
      </c>
      <c r="Q398" s="74">
        <f>N398*1.15</f>
        <v/>
      </c>
      <c r="R398" s="74">
        <f>IF(M398&lt;N398*0.9056*0.85,N398*0.9056*0.85,IF(M398&gt;N398*1.15,N398*1.15,M398))</f>
        <v/>
      </c>
      <c r="S398" s="74">
        <f>+F398*M398</f>
        <v/>
      </c>
      <c r="T398" s="74">
        <f>S398+R398*I398</f>
        <v/>
      </c>
      <c r="U398" s="82">
        <f>S398+R398*J398</f>
        <v/>
      </c>
      <c r="V398" s="74">
        <f>U398-S398</f>
        <v/>
      </c>
      <c r="W398" s="82">
        <f>+U398-T398</f>
        <v/>
      </c>
      <c r="X398" s="83">
        <f>+U398-T398</f>
        <v/>
      </c>
      <c r="Y398" s="5" t="n"/>
    </row>
    <row r="399" ht="20" customHeight="1" s="1">
      <c r="A399" s="5" t="n">
        <v>122</v>
      </c>
      <c r="B399" s="5" t="inlineStr">
        <is>
          <t>011105005001</t>
        </is>
      </c>
      <c r="C399" s="5" t="inlineStr">
        <is>
          <t>木质踢脚线</t>
        </is>
      </c>
      <c r="D399" s="5" t="inlineStr">
        <is>
          <t>1.实木地板原木色地脚线
2.踢脚线高度:100mm</t>
        </is>
      </c>
      <c r="E399" s="5" t="inlineStr">
        <is>
          <t>m2</t>
        </is>
      </c>
      <c r="F399" s="6" t="n">
        <v>7.217</v>
      </c>
      <c r="G399" s="74" t="n">
        <v>20.92</v>
      </c>
      <c r="H399" s="82" t="n">
        <v>20.92</v>
      </c>
      <c r="I399" s="74">
        <f>G399-F399</f>
        <v/>
      </c>
      <c r="J399" s="74">
        <f>H399-F399</f>
        <v/>
      </c>
      <c r="K399" s="74">
        <f>+H399-G399</f>
        <v/>
      </c>
      <c r="L399" s="55">
        <f>I399/F399</f>
        <v/>
      </c>
      <c r="M399" s="6" t="n">
        <v>151.13</v>
      </c>
      <c r="N399" s="6" t="n">
        <v>392.16</v>
      </c>
      <c r="O399" s="55">
        <f>(M399-N399)/N399</f>
        <v/>
      </c>
      <c r="P399" s="74">
        <f>N399*0.9056*0.85</f>
        <v/>
      </c>
      <c r="Q399" s="74">
        <f>N399*1.15</f>
        <v/>
      </c>
      <c r="R399" s="74">
        <f>IF(M399&lt;N399*0.9056*0.85,N399*0.9056*0.85,IF(M399&gt;N399*1.15,N399*1.15,M399))</f>
        <v/>
      </c>
      <c r="S399" s="74">
        <f>+F399*M399</f>
        <v/>
      </c>
      <c r="T399" s="74">
        <f>S399+R399*I399</f>
        <v/>
      </c>
      <c r="U399" s="82">
        <f>S399+R399*J399</f>
        <v/>
      </c>
      <c r="V399" s="74">
        <f>U399-S399</f>
        <v/>
      </c>
      <c r="W399" s="82">
        <f>+U399-T399</f>
        <v/>
      </c>
      <c r="X399" s="83">
        <f>+U399-T399</f>
        <v/>
      </c>
      <c r="Y399" s="5" t="n"/>
    </row>
    <row r="400" ht="20" customHeight="1" s="1">
      <c r="A400" s="5" t="n">
        <v>123</v>
      </c>
      <c r="B400" s="5" t="inlineStr">
        <is>
          <t>011210003001</t>
        </is>
      </c>
      <c r="C400" s="5" t="inlineStr">
        <is>
          <t>玻璃隔断</t>
        </is>
      </c>
      <c r="D400" s="5" t="inlineStr">
        <is>
          <t>1.8mm厚钢化清玻璃隔断</t>
        </is>
      </c>
      <c r="E400" s="5" t="inlineStr">
        <is>
          <t>m2</t>
        </is>
      </c>
      <c r="F400" s="6" t="n">
        <v>3.9</v>
      </c>
      <c r="G400" s="74" t="n">
        <v>6.27</v>
      </c>
      <c r="H400" s="82" t="n">
        <v>6.27</v>
      </c>
      <c r="I400" s="74">
        <f>G400-F400</f>
        <v/>
      </c>
      <c r="J400" s="74">
        <f>H400-F400</f>
        <v/>
      </c>
      <c r="K400" s="74">
        <f>+H400-G400</f>
        <v/>
      </c>
      <c r="L400" s="55">
        <f>I400/F400</f>
        <v/>
      </c>
      <c r="M400" s="6" t="n">
        <v>149.62</v>
      </c>
      <c r="N400" s="6" t="n">
        <v>182.2</v>
      </c>
      <c r="O400" s="55">
        <f>(M400-N400)/N400</f>
        <v/>
      </c>
      <c r="P400" s="74">
        <f>N400*0.9056*0.85</f>
        <v/>
      </c>
      <c r="Q400" s="74">
        <f>N400*1.15</f>
        <v/>
      </c>
      <c r="R400" s="74">
        <f>IF(M400&lt;N400*0.9056*0.85,N400*0.9056*0.85,IF(M400&gt;N400*1.15,N400*1.15,M400))</f>
        <v/>
      </c>
      <c r="S400" s="74">
        <f>+F400*M400</f>
        <v/>
      </c>
      <c r="T400" s="74">
        <f>S400+R400*I400</f>
        <v/>
      </c>
      <c r="U400" s="82">
        <f>S400+R400*J400</f>
        <v/>
      </c>
      <c r="V400" s="74">
        <f>U400-S400</f>
        <v/>
      </c>
      <c r="W400" s="82">
        <f>+U400-T400</f>
        <v/>
      </c>
      <c r="X400" s="83">
        <f>+U400-T400</f>
        <v/>
      </c>
      <c r="Y400" s="5" t="n"/>
    </row>
    <row r="401" ht="20" customHeight="1" s="1">
      <c r="A401" s="5" t="n">
        <v>124</v>
      </c>
      <c r="B401" s="5" t="inlineStr">
        <is>
          <t>011210006001</t>
        </is>
      </c>
      <c r="C401" s="5" t="inlineStr">
        <is>
          <t>其他隔断</t>
        </is>
      </c>
      <c r="D401" s="5" t="inlineStr">
        <is>
          <t>1.轻钢龙骨12mm硅钙板隔墙(包龙骨)双面</t>
        </is>
      </c>
      <c r="E401" s="5" t="inlineStr">
        <is>
          <t>m2</t>
        </is>
      </c>
      <c r="F401" s="6" t="n">
        <v>39.888</v>
      </c>
      <c r="G401" s="74" t="n">
        <v>39.89</v>
      </c>
      <c r="H401" s="82" t="n">
        <v>35.67</v>
      </c>
      <c r="I401" s="74">
        <f>G401-F401</f>
        <v/>
      </c>
      <c r="J401" s="74">
        <f>H401-F401</f>
        <v/>
      </c>
      <c r="K401" s="74">
        <f>+H401-G401</f>
        <v/>
      </c>
      <c r="L401" s="55">
        <f>I401/F401</f>
        <v/>
      </c>
      <c r="M401" s="6" t="n">
        <v>100.87</v>
      </c>
      <c r="N401" s="6" t="n">
        <v>103.02</v>
      </c>
      <c r="O401" s="55">
        <f>(M401-N401)/N401</f>
        <v/>
      </c>
      <c r="P401" s="74">
        <f>N401*0.9056*0.85</f>
        <v/>
      </c>
      <c r="Q401" s="74">
        <f>N401*1.15</f>
        <v/>
      </c>
      <c r="R401" s="74">
        <f>IF(M401&lt;N401*0.9056*0.85,N401*0.9056*0.85,IF(M401&gt;N401*1.15,N401*1.15,M401))</f>
        <v/>
      </c>
      <c r="S401" s="74">
        <f>+F401*M401</f>
        <v/>
      </c>
      <c r="T401" s="74">
        <f>S401+R401*I401</f>
        <v/>
      </c>
      <c r="U401" s="82">
        <f>S401+R401*J401</f>
        <v/>
      </c>
      <c r="V401" s="74">
        <f>U401-S401</f>
        <v/>
      </c>
      <c r="W401" s="82">
        <f>+U401-T401</f>
        <v/>
      </c>
      <c r="X401" s="83">
        <f>+U401-T401</f>
        <v/>
      </c>
      <c r="Y401" s="5" t="n"/>
    </row>
    <row r="402" ht="20" customHeight="1" s="1">
      <c r="A402" s="5" t="n">
        <v>125</v>
      </c>
      <c r="B402" s="5" t="inlineStr">
        <is>
          <t>011508002001</t>
        </is>
      </c>
      <c r="C402" s="5" t="inlineStr">
        <is>
          <t>有机玻璃字</t>
        </is>
      </c>
      <c r="D402" s="5" t="inlineStr">
        <is>
          <t>1.订做亚克力广告字体logo
2.H=190mm</t>
        </is>
      </c>
      <c r="E402" s="5" t="inlineStr">
        <is>
          <t>个</t>
        </is>
      </c>
      <c r="F402" s="6" t="n">
        <v>19</v>
      </c>
      <c r="G402" s="74" t="n">
        <v>19</v>
      </c>
      <c r="H402" s="84" t="n">
        <v>19</v>
      </c>
      <c r="I402" s="74">
        <f>G402-F402</f>
        <v/>
      </c>
      <c r="J402" s="74">
        <f>H402-F402</f>
        <v/>
      </c>
      <c r="K402" s="74">
        <f>+H402-G402</f>
        <v/>
      </c>
      <c r="L402" s="55">
        <f>I402/F402</f>
        <v/>
      </c>
      <c r="M402" s="6" t="n">
        <v>148.45</v>
      </c>
      <c r="N402" s="6" t="n">
        <v>199.33</v>
      </c>
      <c r="O402" s="55">
        <f>(M402-N402)/N402</f>
        <v/>
      </c>
      <c r="P402" s="74">
        <f>N402*0.9056*0.85</f>
        <v/>
      </c>
      <c r="Q402" s="74">
        <f>N402*1.15</f>
        <v/>
      </c>
      <c r="R402" s="74">
        <f>IF(M402&lt;N402*0.9056*0.85,N402*0.9056*0.85,IF(M402&gt;N402*1.15,N402*1.15,M402))</f>
        <v/>
      </c>
      <c r="S402" s="74">
        <f>+F402*M402</f>
        <v/>
      </c>
      <c r="T402" s="74">
        <f>S402+R402*I402</f>
        <v/>
      </c>
      <c r="U402" s="82">
        <f>S402+R402*J402</f>
        <v/>
      </c>
      <c r="V402" s="74">
        <f>U402-S402</f>
        <v/>
      </c>
      <c r="W402" s="82">
        <f>+U402-T402</f>
        <v/>
      </c>
      <c r="X402" s="83">
        <f>+U402-T402</f>
        <v/>
      </c>
      <c r="Y402" s="5" t="n"/>
    </row>
    <row r="403" ht="20" customHeight="1" s="1">
      <c r="A403" s="5" t="n"/>
      <c r="B403" s="5" t="n"/>
      <c r="C403" s="5" t="inlineStr">
        <is>
          <t>天棚工程</t>
        </is>
      </c>
      <c r="D403" s="5" t="n"/>
      <c r="E403" s="5" t="n"/>
      <c r="F403" s="6" t="n"/>
      <c r="G403" s="74" t="n"/>
      <c r="H403" s="81" t="n"/>
      <c r="I403" s="74" t="n"/>
      <c r="J403" s="74" t="n"/>
      <c r="K403" s="74" t="n"/>
      <c r="L403" s="55" t="n"/>
      <c r="M403" s="6" t="n"/>
      <c r="N403" s="6" t="n"/>
      <c r="O403" s="55" t="n"/>
      <c r="P403" s="74" t="n"/>
      <c r="Q403" s="74" t="n"/>
      <c r="R403" s="74" t="n"/>
      <c r="S403" s="74">
        <f>+SUM(S404:S409)</f>
        <v/>
      </c>
      <c r="T403" s="74">
        <f>+SUM(T404:T409)</f>
        <v/>
      </c>
      <c r="U403" s="82">
        <f>SUM(U404:U409)</f>
        <v/>
      </c>
      <c r="V403" s="74">
        <f>U403-S403</f>
        <v/>
      </c>
      <c r="W403" s="82">
        <f>+U403-T403</f>
        <v/>
      </c>
      <c r="X403" s="83">
        <f>U403-T403</f>
        <v/>
      </c>
      <c r="Y403" s="5" t="n"/>
    </row>
    <row r="404" ht="20" customHeight="1" s="1">
      <c r="A404" s="5" t="n">
        <v>126</v>
      </c>
      <c r="B404" s="5" t="inlineStr">
        <is>
          <t>011407002003</t>
        </is>
      </c>
      <c r="C404" s="5" t="inlineStr">
        <is>
          <t>天棚喷刷涂料（顶1）</t>
        </is>
      </c>
      <c r="D404" s="5" t="inlineStr">
        <is>
          <t>1.加强型腻子找平层5厚
2.无机涂料,三遍成活</t>
        </is>
      </c>
      <c r="E404" s="5" t="inlineStr">
        <is>
          <t>m2</t>
        </is>
      </c>
      <c r="F404" s="6" t="n">
        <v>7757.446</v>
      </c>
      <c r="G404" s="74" t="n">
        <v>7886.13</v>
      </c>
      <c r="H404" s="82" t="n">
        <v>7886.13</v>
      </c>
      <c r="I404" s="74">
        <f>G404-F404</f>
        <v/>
      </c>
      <c r="J404" s="74">
        <f>H404-F404</f>
        <v/>
      </c>
      <c r="K404" s="74">
        <f>+H404-G404</f>
        <v/>
      </c>
      <c r="L404" s="55">
        <f>I404/F404</f>
        <v/>
      </c>
      <c r="M404" s="6" t="n">
        <v>39.44</v>
      </c>
      <c r="N404" s="6" t="n">
        <v>48.24</v>
      </c>
      <c r="O404" s="55">
        <f>(M404-N404)/N404</f>
        <v/>
      </c>
      <c r="P404" s="74">
        <f>N404*0.9056*0.85</f>
        <v/>
      </c>
      <c r="Q404" s="74">
        <f>N404*1.15</f>
        <v/>
      </c>
      <c r="R404" s="74">
        <f>IF(M404&lt;N404*0.9056*0.85,N404*0.9056*0.85,IF(M404&gt;N404*1.15,N404*1.15,M404))</f>
        <v/>
      </c>
      <c r="S404" s="74">
        <f>+F404*M404</f>
        <v/>
      </c>
      <c r="T404" s="74">
        <f>S404+R404*I404</f>
        <v/>
      </c>
      <c r="U404" s="82">
        <f>S404+R404*J404</f>
        <v/>
      </c>
      <c r="V404" s="74">
        <f>U404-S404</f>
        <v/>
      </c>
      <c r="W404" s="82">
        <f>+U404-T404</f>
        <v/>
      </c>
      <c r="X404" s="83">
        <f>+U404-T404</f>
        <v/>
      </c>
      <c r="Y404" s="5" t="n"/>
    </row>
    <row r="405" ht="20" customHeight="1" s="1">
      <c r="A405" s="5" t="n">
        <v>127</v>
      </c>
      <c r="B405" s="5" t="inlineStr">
        <is>
          <t>011406001007</t>
        </is>
      </c>
      <c r="C405" s="5" t="inlineStr">
        <is>
          <t>抹灰面油漆（顶2）</t>
        </is>
      </c>
      <c r="D405" s="5" t="inlineStr">
        <is>
          <t>1.扫白色灰水二道</t>
        </is>
      </c>
      <c r="E405" s="5" t="inlineStr">
        <is>
          <t>m2</t>
        </is>
      </c>
      <c r="F405" s="6" t="n">
        <v>27.24</v>
      </c>
      <c r="G405" s="74" t="n">
        <v>40.3</v>
      </c>
      <c r="H405" s="82" t="n">
        <v>40.3</v>
      </c>
      <c r="I405" s="74">
        <f>G405-F405</f>
        <v/>
      </c>
      <c r="J405" s="74">
        <f>H405-F405</f>
        <v/>
      </c>
      <c r="K405" s="74">
        <f>+H405-G405</f>
        <v/>
      </c>
      <c r="L405" s="55">
        <f>I405/F405</f>
        <v/>
      </c>
      <c r="M405" s="6" t="n">
        <v>19.62</v>
      </c>
      <c r="N405" s="6" t="n">
        <v>17.11</v>
      </c>
      <c r="O405" s="55">
        <f>(M405-N405)/N405</f>
        <v/>
      </c>
      <c r="P405" s="74">
        <f>N405*0.9056*0.85</f>
        <v/>
      </c>
      <c r="Q405" s="74">
        <f>N405*1.15</f>
        <v/>
      </c>
      <c r="R405" s="74">
        <f>IF(M405&lt;N405*0.9056*0.85,N405*0.9056*0.85,IF(M405&gt;N405*1.15,N405*1.15,M405))</f>
        <v/>
      </c>
      <c r="S405" s="74">
        <f>+F405*M405</f>
        <v/>
      </c>
      <c r="T405" s="74">
        <f>S405+R405*I405</f>
        <v/>
      </c>
      <c r="U405" s="82">
        <f>S405+R405*J405</f>
        <v/>
      </c>
      <c r="V405" s="74">
        <f>U405-S405</f>
        <v/>
      </c>
      <c r="W405" s="82">
        <f>+U405-T405</f>
        <v/>
      </c>
      <c r="X405" s="83">
        <f>+U405-T405</f>
        <v/>
      </c>
      <c r="Y405" s="5" t="inlineStr">
        <is>
          <t>变更</t>
        </is>
      </c>
    </row>
    <row r="406" ht="20" customHeight="1" s="1">
      <c r="A406" s="5" t="n">
        <v>128</v>
      </c>
      <c r="B406" s="5" t="inlineStr">
        <is>
          <t>011302001006</t>
        </is>
      </c>
      <c r="C406" s="5" t="inlineStr">
        <is>
          <t>吊顶天棚</t>
        </is>
      </c>
      <c r="D406" s="5" t="inlineStr">
        <is>
          <t>1.装配式U型轻钢天棚龙骨(不上人型)面层规格(mm)600×600平面
2.600*600*8mm厚穿孔硅钙板天花
3.做法详见图纸</t>
        </is>
      </c>
      <c r="E406" s="5" t="inlineStr">
        <is>
          <t>m2</t>
        </is>
      </c>
      <c r="F406" s="6" t="n">
        <v>122.4</v>
      </c>
      <c r="G406" s="74" t="n">
        <v>122.4</v>
      </c>
      <c r="H406" s="82" t="n">
        <v>122.4</v>
      </c>
      <c r="I406" s="74">
        <f>G406-F406</f>
        <v/>
      </c>
      <c r="J406" s="74">
        <f>H406-F406</f>
        <v/>
      </c>
      <c r="K406" s="74">
        <f>+H406-G406</f>
        <v/>
      </c>
      <c r="L406" s="55">
        <f>I406/F406</f>
        <v/>
      </c>
      <c r="M406" s="6" t="n">
        <v>127.13</v>
      </c>
      <c r="N406" s="6" t="n">
        <v>53.7</v>
      </c>
      <c r="O406" s="55">
        <f>(M406-N406)/N406</f>
        <v/>
      </c>
      <c r="P406" s="74">
        <f>N406*0.9056*0.85</f>
        <v/>
      </c>
      <c r="Q406" s="74">
        <f>N406*1.15</f>
        <v/>
      </c>
      <c r="R406" s="74">
        <f>IF(M406&lt;N406*0.9056*0.85,N406*0.9056*0.85,IF(M406&gt;N406*1.15,N406*1.15,M406))</f>
        <v/>
      </c>
      <c r="S406" s="74">
        <f>+F406*M406</f>
        <v/>
      </c>
      <c r="T406" s="74">
        <f>S406+R406*I406</f>
        <v/>
      </c>
      <c r="U406" s="82">
        <f>S406+R406*J406</f>
        <v/>
      </c>
      <c r="V406" s="74">
        <f>U406-S406</f>
        <v/>
      </c>
      <c r="W406" s="82">
        <f>+U406-T406</f>
        <v/>
      </c>
      <c r="X406" s="83">
        <f>+U406-T406</f>
        <v/>
      </c>
      <c r="Y406" s="5" t="n"/>
    </row>
    <row r="407" ht="20" customHeight="1" s="1">
      <c r="A407" s="5" t="n">
        <v>129</v>
      </c>
      <c r="B407" s="5" t="inlineStr">
        <is>
          <t>011406001008</t>
        </is>
      </c>
      <c r="C407" s="5" t="inlineStr">
        <is>
          <t>抹灰面油漆（顶5）</t>
        </is>
      </c>
      <c r="D407" s="5" t="inlineStr">
        <is>
          <t>1.耐水防霉白色腻子两遍</t>
        </is>
      </c>
      <c r="E407" s="5" t="inlineStr">
        <is>
          <t>m2</t>
        </is>
      </c>
      <c r="F407" s="6" t="n">
        <v>3599.223</v>
      </c>
      <c r="G407" s="74" t="n">
        <v>5402.28</v>
      </c>
      <c r="H407" s="82" t="n">
        <v>5402.28</v>
      </c>
      <c r="I407" s="74">
        <f>G407-F407</f>
        <v/>
      </c>
      <c r="J407" s="74">
        <f>H407-F407</f>
        <v/>
      </c>
      <c r="K407" s="74">
        <f>+H407-G407</f>
        <v/>
      </c>
      <c r="L407" s="55">
        <f>I407/F407</f>
        <v/>
      </c>
      <c r="M407" s="6" t="n">
        <v>19.62</v>
      </c>
      <c r="N407" s="6" t="n">
        <v>21.48</v>
      </c>
      <c r="O407" s="55">
        <f>(M407-N407)/N407</f>
        <v/>
      </c>
      <c r="P407" s="74">
        <f>N407*0.9056*0.85</f>
        <v/>
      </c>
      <c r="Q407" s="74">
        <f>N407*1.15</f>
        <v/>
      </c>
      <c r="R407" s="74">
        <f>IF(M407&lt;N407*0.9056*0.85,N407*0.9056*0.85,IF(M407&gt;N407*1.15,N407*1.15,M407))</f>
        <v/>
      </c>
      <c r="S407" s="74">
        <f>+F407*M407</f>
        <v/>
      </c>
      <c r="T407" s="74">
        <f>S407+R407*I407</f>
        <v/>
      </c>
      <c r="U407" s="82">
        <f>S407+R407*J407</f>
        <v/>
      </c>
      <c r="V407" s="74">
        <f>U407-S407</f>
        <v/>
      </c>
      <c r="W407" s="82">
        <f>+U407-T407</f>
        <v/>
      </c>
      <c r="X407" s="83">
        <f>+U407-T407</f>
        <v/>
      </c>
      <c r="Y407" s="5" t="n"/>
    </row>
    <row r="408" ht="20" customHeight="1" s="1">
      <c r="A408" s="5" t="n">
        <v>130</v>
      </c>
      <c r="B408" s="5" t="inlineStr">
        <is>
          <t>011302002001</t>
        </is>
      </c>
      <c r="C408" s="5" t="inlineStr">
        <is>
          <t>格栅吊顶</t>
        </is>
      </c>
      <c r="D408" s="5" t="inlineStr">
        <is>
          <t>1.50*100*1.0铝方管格栅天花(木纹转印)
2.做法详见图纸</t>
        </is>
      </c>
      <c r="E408" s="5" t="inlineStr">
        <is>
          <t>m2</t>
        </is>
      </c>
      <c r="F408" s="6" t="n">
        <v>22.36</v>
      </c>
      <c r="G408" s="74" t="n">
        <v>22.36</v>
      </c>
      <c r="H408" s="82" t="n">
        <v>22.36</v>
      </c>
      <c r="I408" s="74">
        <f>G408-F408</f>
        <v/>
      </c>
      <c r="J408" s="74">
        <f>H408-F408</f>
        <v/>
      </c>
      <c r="K408" s="74">
        <f>+H408-G408</f>
        <v/>
      </c>
      <c r="L408" s="55">
        <f>I408/F408</f>
        <v/>
      </c>
      <c r="M408" s="6" t="n">
        <v>203.6</v>
      </c>
      <c r="N408" s="6" t="n">
        <v>174.62</v>
      </c>
      <c r="O408" s="55">
        <f>(M408-N408)/N408</f>
        <v/>
      </c>
      <c r="P408" s="74">
        <f>N408*0.9056*0.85</f>
        <v/>
      </c>
      <c r="Q408" s="74">
        <f>N408*1.15</f>
        <v/>
      </c>
      <c r="R408" s="74">
        <f>IF(M408&lt;N408*0.9056*0.85,N408*0.9056*0.85,IF(M408&gt;N408*1.15,N408*1.15,M408))</f>
        <v/>
      </c>
      <c r="S408" s="74">
        <f>+F408*M408</f>
        <v/>
      </c>
      <c r="T408" s="74">
        <f>S408+R408*I408</f>
        <v/>
      </c>
      <c r="U408" s="82">
        <f>S408+R408*J408</f>
        <v/>
      </c>
      <c r="V408" s="74">
        <f>U408-S408</f>
        <v/>
      </c>
      <c r="W408" s="82">
        <f>+U408-T408</f>
        <v/>
      </c>
      <c r="X408" s="83">
        <f>+U408-T408</f>
        <v/>
      </c>
      <c r="Y408" s="5" t="n"/>
    </row>
    <row r="409" ht="20" customHeight="1" s="1">
      <c r="A409" s="5" t="n">
        <v>131</v>
      </c>
      <c r="B409" s="5" t="inlineStr">
        <is>
          <t>011302001007</t>
        </is>
      </c>
      <c r="C409" s="5" t="inlineStr">
        <is>
          <t>吊顶天棚</t>
        </is>
      </c>
      <c r="D409" s="5" t="inlineStr">
        <is>
          <t>1.装配式U型轻钢天棚龙骨(不上人型)面层规格(mm)600×600跌级
2.9mm胶合板基层
3.8MM厚硅钙板天花面层
4.加强型腻子找平层5厚
5.无机涂料,三遍成活</t>
        </is>
      </c>
      <c r="E409" s="5" t="inlineStr">
        <is>
          <t>m2</t>
        </is>
      </c>
      <c r="F409" s="6" t="n">
        <v>92.34</v>
      </c>
      <c r="G409" s="74" t="n">
        <v>103.1</v>
      </c>
      <c r="H409" s="82" t="n">
        <v>103.1</v>
      </c>
      <c r="I409" s="74">
        <f>G409-F409</f>
        <v/>
      </c>
      <c r="J409" s="74">
        <f>H409-F409</f>
        <v/>
      </c>
      <c r="K409" s="74">
        <f>+H409-G409</f>
        <v/>
      </c>
      <c r="L409" s="55">
        <f>I409/F409</f>
        <v/>
      </c>
      <c r="M409" s="6" t="n">
        <v>173.89</v>
      </c>
      <c r="N409" s="6" t="n">
        <v>176.34</v>
      </c>
      <c r="O409" s="55">
        <f>(M409-N409)/N409</f>
        <v/>
      </c>
      <c r="P409" s="74">
        <f>N409*0.9056*0.85</f>
        <v/>
      </c>
      <c r="Q409" s="74">
        <f>N409*1.15</f>
        <v/>
      </c>
      <c r="R409" s="74">
        <f>IF(M409&lt;N409*0.9056*0.85,N409*0.9056*0.85,IF(M409&gt;N409*1.15,N409*1.15,M409))</f>
        <v/>
      </c>
      <c r="S409" s="74">
        <f>+F409*M409</f>
        <v/>
      </c>
      <c r="T409" s="74">
        <f>S409+R409*I409</f>
        <v/>
      </c>
      <c r="U409" s="82">
        <f>S409+R409*J409</f>
        <v/>
      </c>
      <c r="V409" s="74">
        <f>U409-S409</f>
        <v/>
      </c>
      <c r="W409" s="82">
        <f>+U409-T409</f>
        <v/>
      </c>
      <c r="X409" s="83">
        <f>+U409-T409</f>
        <v/>
      </c>
      <c r="Y409" s="5" t="n"/>
    </row>
    <row r="410" ht="20" customHeight="1" s="1">
      <c r="A410" s="5" t="n"/>
      <c r="B410" s="5" t="n"/>
      <c r="C410" s="5" t="inlineStr">
        <is>
          <t>其他装饰工程</t>
        </is>
      </c>
      <c r="D410" s="5" t="n"/>
      <c r="E410" s="5" t="n"/>
      <c r="F410" s="6" t="n"/>
      <c r="G410" s="74" t="n"/>
      <c r="H410" s="81" t="n"/>
      <c r="I410" s="74" t="n"/>
      <c r="J410" s="74" t="n"/>
      <c r="K410" s="74" t="n"/>
      <c r="L410" s="55" t="n"/>
      <c r="M410" s="6" t="n"/>
      <c r="N410" s="6" t="n"/>
      <c r="O410" s="6" t="n"/>
      <c r="P410" s="6" t="n"/>
      <c r="Q410" s="6" t="n"/>
      <c r="R410" s="74" t="n"/>
      <c r="S410" s="74">
        <f>+SUM(S411:S428)</f>
        <v/>
      </c>
      <c r="T410" s="74">
        <f>+SUM(T411:T428)</f>
        <v/>
      </c>
      <c r="U410" s="82">
        <f>SUM(U411:U428)</f>
        <v/>
      </c>
      <c r="V410" s="74">
        <f>U410-S410</f>
        <v/>
      </c>
      <c r="W410" s="82">
        <f>+U410-T410</f>
        <v/>
      </c>
      <c r="X410" s="83">
        <f>U410-T410</f>
        <v/>
      </c>
      <c r="Y410" s="5" t="n"/>
    </row>
    <row r="411" ht="20" customHeight="1" s="1">
      <c r="A411" s="5" t="n">
        <v>132</v>
      </c>
      <c r="B411" s="5" t="inlineStr">
        <is>
          <t>011503001007</t>
        </is>
      </c>
      <c r="C411" s="5" t="inlineStr">
        <is>
          <t>金属扶手、栏杆、栏板</t>
        </is>
      </c>
      <c r="D411" s="5" t="inlineStr">
        <is>
          <t>1.名称:不锈钢护窗栏杆H=900mm
2.上扶手:Φ60x2.5不锈钢管
3.栏杆:Φ30x2.0不锈钢管
4.含热镀锌预埋件及螺栓</t>
        </is>
      </c>
      <c r="E411" s="5" t="inlineStr">
        <is>
          <t>m</t>
        </is>
      </c>
      <c r="F411" s="6" t="n">
        <v>182.16</v>
      </c>
      <c r="G411" s="74" t="n">
        <v>224.19</v>
      </c>
      <c r="H411" s="82" t="n">
        <v>194.56</v>
      </c>
      <c r="I411" s="74">
        <f>G411-F411</f>
        <v/>
      </c>
      <c r="J411" s="74">
        <f>H411-F411</f>
        <v/>
      </c>
      <c r="K411" s="74">
        <f>+H411-G411</f>
        <v/>
      </c>
      <c r="L411" s="55">
        <f>I411/F411</f>
        <v/>
      </c>
      <c r="M411" s="6" t="n">
        <v>527.8</v>
      </c>
      <c r="N411" s="6" t="n">
        <v>781.46</v>
      </c>
      <c r="O411" s="55">
        <f>(M411-N411)/N411</f>
        <v/>
      </c>
      <c r="P411" s="74">
        <f>N411*0.9056*0.85</f>
        <v/>
      </c>
      <c r="Q411" s="74">
        <f>N411*1.15</f>
        <v/>
      </c>
      <c r="R411" s="74">
        <f>IF(M411&lt;N411*0.9056*0.85,N411*0.9056*0.85,IF(M411&gt;N411*1.15,N411*1.15,M411))</f>
        <v/>
      </c>
      <c r="S411" s="74">
        <f>+F411*M411</f>
        <v/>
      </c>
      <c r="T411" s="74">
        <f>S411+R411*I411</f>
        <v/>
      </c>
      <c r="U411" s="82">
        <f>S411+R411*J411</f>
        <v/>
      </c>
      <c r="V411" s="74">
        <f>U411-S411</f>
        <v/>
      </c>
      <c r="W411" s="82">
        <f>+U411-T411</f>
        <v/>
      </c>
      <c r="X411" s="83">
        <f>+U411-T411</f>
        <v/>
      </c>
      <c r="Y411" s="5" t="n"/>
    </row>
    <row r="412" ht="20" customHeight="1" s="1">
      <c r="A412" s="5" t="n">
        <v>133</v>
      </c>
      <c r="B412" s="5" t="inlineStr">
        <is>
          <t>011503001003</t>
        </is>
      </c>
      <c r="C412" s="5" t="inlineStr">
        <is>
          <t>金属扶手、栏杆、栏板</t>
        </is>
      </c>
      <c r="D412" s="5" t="inlineStr">
        <is>
          <t>1.名称:不锈钢楼梯栏杆H=1200mm
2.上扶手:Φ60x3.0不锈钢管
3.栏杆:Φ28x1.2不锈钢管
4.含热镀锌预埋件及螺栓
5.做法参照国标15J403-1</t>
        </is>
      </c>
      <c r="E412" s="5" t="inlineStr">
        <is>
          <t>m</t>
        </is>
      </c>
      <c r="F412" s="6" t="n">
        <v>153.8</v>
      </c>
      <c r="G412" s="74" t="n">
        <v>159.85</v>
      </c>
      <c r="H412" s="82" t="n">
        <v>159.85</v>
      </c>
      <c r="I412" s="74">
        <f>G412-F412</f>
        <v/>
      </c>
      <c r="J412" s="74">
        <f>H412-F412</f>
        <v/>
      </c>
      <c r="K412" s="74">
        <f>+H412-G412</f>
        <v/>
      </c>
      <c r="L412" s="55">
        <f>I412/F412</f>
        <v/>
      </c>
      <c r="M412" s="6" t="n">
        <v>508.12</v>
      </c>
      <c r="N412" s="6" t="n">
        <v>816.95</v>
      </c>
      <c r="O412" s="55">
        <f>(M412-N412)/N412</f>
        <v/>
      </c>
      <c r="P412" s="74">
        <f>N412*0.9056*0.85</f>
        <v/>
      </c>
      <c r="Q412" s="74">
        <f>N412*1.15</f>
        <v/>
      </c>
      <c r="R412" s="74">
        <f>IF(M412&lt;N412*0.9056*0.85,N412*0.9056*0.85,IF(M412&gt;N412*1.15,N412*1.15,M412))</f>
        <v/>
      </c>
      <c r="S412" s="74">
        <f>+F412*M412</f>
        <v/>
      </c>
      <c r="T412" s="74">
        <f>S412+R412*I412</f>
        <v/>
      </c>
      <c r="U412" s="82">
        <f>S412+R412*J412</f>
        <v/>
      </c>
      <c r="V412" s="74">
        <f>U412-S412</f>
        <v/>
      </c>
      <c r="W412" s="82">
        <f>+U412-T412</f>
        <v/>
      </c>
      <c r="X412" s="83">
        <f>+U412-T412</f>
        <v/>
      </c>
      <c r="Y412" s="5" t="n"/>
    </row>
    <row r="413" ht="20" customHeight="1" s="1">
      <c r="A413" s="5" t="n">
        <v>134</v>
      </c>
      <c r="B413" s="5" t="inlineStr">
        <is>
          <t>011503001009</t>
        </is>
      </c>
      <c r="C413" s="5" t="inlineStr">
        <is>
          <t>金属扶手、栏杆、栏板</t>
        </is>
      </c>
      <c r="D413" s="5" t="inlineStr">
        <is>
          <t>1.名称:走廊拉丝不锈钢烤漆栏杆H=1200mm
2.上扶手:Φ60x3.0不锈钢管
3.栏杆:Φ28x1.2不锈钢管
4.含热镀锌预埋件及螺栓
5.做法参照国标15J403-1</t>
        </is>
      </c>
      <c r="E413" s="5" t="inlineStr">
        <is>
          <t>m</t>
        </is>
      </c>
      <c r="F413" s="6" t="n">
        <v>429.913</v>
      </c>
      <c r="G413" s="74" t="n">
        <v>442.35</v>
      </c>
      <c r="H413" s="82" t="n">
        <v>442.35</v>
      </c>
      <c r="I413" s="74">
        <f>G413-F413</f>
        <v/>
      </c>
      <c r="J413" s="74">
        <f>H413-F413</f>
        <v/>
      </c>
      <c r="K413" s="74">
        <f>+H413-G413</f>
        <v/>
      </c>
      <c r="L413" s="55">
        <f>I413/F413</f>
        <v/>
      </c>
      <c r="M413" s="6" t="n">
        <v>618.48</v>
      </c>
      <c r="N413" s="6" t="n">
        <v>849.58</v>
      </c>
      <c r="O413" s="55">
        <f>(M413-N413)/N413</f>
        <v/>
      </c>
      <c r="P413" s="74">
        <f>N413*0.9056*0.85</f>
        <v/>
      </c>
      <c r="Q413" s="74">
        <f>N413*1.15</f>
        <v/>
      </c>
      <c r="R413" s="74">
        <f>IF(M413&lt;N413*0.9056*0.85,N413*0.9056*0.85,IF(M413&gt;N413*1.15,N413*1.15,M413))</f>
        <v/>
      </c>
      <c r="S413" s="74">
        <f>+F413*M413</f>
        <v/>
      </c>
      <c r="T413" s="74">
        <f>S413+R413*I413</f>
        <v/>
      </c>
      <c r="U413" s="82">
        <f>S413+R413*J413</f>
        <v/>
      </c>
      <c r="V413" s="74">
        <f>U413-S413</f>
        <v/>
      </c>
      <c r="W413" s="82">
        <f>+U413-T413</f>
        <v/>
      </c>
      <c r="X413" s="83">
        <f>+U413-T413</f>
        <v/>
      </c>
      <c r="Y413" s="5" t="n"/>
    </row>
    <row r="414" ht="20" customHeight="1" s="1">
      <c r="A414" s="5" t="n">
        <v>135</v>
      </c>
      <c r="B414" s="5" t="inlineStr">
        <is>
          <t>011503008001</t>
        </is>
      </c>
      <c r="C414" s="5" t="inlineStr">
        <is>
          <t>玻璃栏板</t>
        </is>
      </c>
      <c r="D414" s="5" t="inlineStr">
        <is>
          <t>1.不锈钢立柱玻璃栏板
2.H=1250mm
3.不锈钢扶手Φ50x3.0直型
4.做法参照国标15J403-1</t>
        </is>
      </c>
      <c r="E414" s="5" t="inlineStr">
        <is>
          <t>m</t>
        </is>
      </c>
      <c r="F414" s="6" t="n">
        <v>25.228</v>
      </c>
      <c r="G414" s="74" t="n">
        <v>25.23</v>
      </c>
      <c r="H414" s="82" t="n">
        <v>25.23</v>
      </c>
      <c r="I414" s="74">
        <f>G414-F414</f>
        <v/>
      </c>
      <c r="J414" s="74">
        <f>H414-F414</f>
        <v/>
      </c>
      <c r="K414" s="74">
        <f>+H414-G414</f>
        <v/>
      </c>
      <c r="L414" s="55">
        <f>I414/F414</f>
        <v/>
      </c>
      <c r="M414" s="6" t="n">
        <v>895.61</v>
      </c>
      <c r="N414" s="6" t="n">
        <v>1040.81</v>
      </c>
      <c r="O414" s="55">
        <f>(M414-N414)/N414</f>
        <v/>
      </c>
      <c r="P414" s="74">
        <f>N414*0.9056*0.85</f>
        <v/>
      </c>
      <c r="Q414" s="74">
        <f>N414*1.15</f>
        <v/>
      </c>
      <c r="R414" s="74">
        <f>IF(M414&lt;N414*0.9056*0.85,N414*0.9056*0.85,IF(M414&gt;N414*1.15,N414*1.15,M414))</f>
        <v/>
      </c>
      <c r="S414" s="74">
        <f>+F414*M414</f>
        <v/>
      </c>
      <c r="T414" s="74">
        <f>S414+R414*I414</f>
        <v/>
      </c>
      <c r="U414" s="82">
        <f>S414+R414*J414</f>
        <v/>
      </c>
      <c r="V414" s="74">
        <f>U414-S414</f>
        <v/>
      </c>
      <c r="W414" s="82">
        <f>+U414-T414</f>
        <v/>
      </c>
      <c r="X414" s="83">
        <f>+U414-T414</f>
        <v/>
      </c>
      <c r="Y414" s="5" t="n"/>
    </row>
    <row r="415" ht="20" customHeight="1" s="1">
      <c r="A415" s="5" t="n">
        <v>136</v>
      </c>
      <c r="B415" s="5" t="inlineStr">
        <is>
          <t>011503005001</t>
        </is>
      </c>
      <c r="C415" s="5" t="inlineStr">
        <is>
          <t>金属靠墙扶手</t>
        </is>
      </c>
      <c r="D415" s="5" t="inlineStr">
        <is>
          <t>1.楼梯靠墙扶手
2.Φ60x2不锈钢管靠墙扶手
3.做法参照国标15J403-1</t>
        </is>
      </c>
      <c r="E415" s="5" t="inlineStr">
        <is>
          <t>m</t>
        </is>
      </c>
      <c r="F415" s="6" t="n">
        <v>175.552</v>
      </c>
      <c r="G415" s="74" t="n">
        <v>187.84</v>
      </c>
      <c r="H415" s="82" t="n">
        <v>187.84</v>
      </c>
      <c r="I415" s="74">
        <f>G415-F415</f>
        <v/>
      </c>
      <c r="J415" s="74">
        <f>H415-F415</f>
        <v/>
      </c>
      <c r="K415" s="74">
        <f>+H415-G415</f>
        <v/>
      </c>
      <c r="L415" s="55">
        <f>I415/F415</f>
        <v/>
      </c>
      <c r="M415" s="6" t="n">
        <v>473.06</v>
      </c>
      <c r="N415" s="6" t="n">
        <v>331.37</v>
      </c>
      <c r="O415" s="55">
        <f>(M415-N415)/N415</f>
        <v/>
      </c>
      <c r="P415" s="74">
        <f>N415*0.9056*0.85</f>
        <v/>
      </c>
      <c r="Q415" s="74">
        <f>N415*1.15</f>
        <v/>
      </c>
      <c r="R415" s="74">
        <f>IF(M415&lt;N415*0.9056*0.85,N415*0.9056*0.85,IF(M415&gt;N415*1.15,N415*1.15,M415))</f>
        <v/>
      </c>
      <c r="S415" s="74">
        <f>+F415*M415</f>
        <v/>
      </c>
      <c r="T415" s="74">
        <f>S415+R415*I415</f>
        <v/>
      </c>
      <c r="U415" s="82">
        <f>S415+R415*J415</f>
        <v/>
      </c>
      <c r="V415" s="74">
        <f>U415-S415</f>
        <v/>
      </c>
      <c r="W415" s="82">
        <f>+U415-T415</f>
        <v/>
      </c>
      <c r="X415" s="83">
        <f>+U415-T415</f>
        <v/>
      </c>
      <c r="Y415" s="5" t="n"/>
    </row>
    <row r="416" ht="20" customHeight="1" s="1">
      <c r="A416" s="5" t="n">
        <v>137</v>
      </c>
      <c r="B416" s="5" t="inlineStr">
        <is>
          <t>011503005003</t>
        </is>
      </c>
      <c r="C416" s="5" t="inlineStr">
        <is>
          <t>金属靠墙扶手</t>
        </is>
      </c>
      <c r="D416" s="5" t="inlineStr">
        <is>
          <t>1.卫生间无障碍扶手
2.Φ40x1.5不锈钢管靠墙扶手</t>
        </is>
      </c>
      <c r="E416" s="5" t="inlineStr">
        <is>
          <t>m</t>
        </is>
      </c>
      <c r="F416" s="6" t="n">
        <v>6.7</v>
      </c>
      <c r="G416" s="74" t="n">
        <v>6.7</v>
      </c>
      <c r="H416" s="82" t="n">
        <v>6.7</v>
      </c>
      <c r="I416" s="74">
        <f>G416-F416</f>
        <v/>
      </c>
      <c r="J416" s="74">
        <f>H416-F416</f>
        <v/>
      </c>
      <c r="K416" s="74">
        <f>+H416-G416</f>
        <v/>
      </c>
      <c r="L416" s="55">
        <f>I416/F416</f>
        <v/>
      </c>
      <c r="M416" s="6" t="n">
        <v>468.51</v>
      </c>
      <c r="N416" s="6" t="n">
        <v>272</v>
      </c>
      <c r="O416" s="55">
        <f>(M416-N416)/N416</f>
        <v/>
      </c>
      <c r="P416" s="74">
        <f>N416*0.9056*0.85</f>
        <v/>
      </c>
      <c r="Q416" s="74">
        <f>N416*1.15</f>
        <v/>
      </c>
      <c r="R416" s="74">
        <f>IF(M416&lt;N416*0.9056*0.85,N416*0.9056*0.85,IF(M416&gt;N416*1.15,N416*1.15,M416))</f>
        <v/>
      </c>
      <c r="S416" s="74">
        <f>+F416*M416</f>
        <v/>
      </c>
      <c r="T416" s="74">
        <f>S416+R416*I416</f>
        <v/>
      </c>
      <c r="U416" s="82">
        <f>S416+R416*J416</f>
        <v/>
      </c>
      <c r="V416" s="74">
        <f>U416-S416</f>
        <v/>
      </c>
      <c r="W416" s="82">
        <f>+U416-T416</f>
        <v/>
      </c>
      <c r="X416" s="83">
        <f>+U416-T416</f>
        <v/>
      </c>
      <c r="Y416" s="5" t="n"/>
    </row>
    <row r="417" ht="20" customHeight="1" s="1">
      <c r="A417" s="5" t="n">
        <v>138</v>
      </c>
      <c r="B417" s="5" t="inlineStr">
        <is>
          <t>011210005001</t>
        </is>
      </c>
      <c r="C417" s="5" t="inlineStr">
        <is>
          <t>成品隔断</t>
        </is>
      </c>
      <c r="D417" s="5" t="inlineStr">
        <is>
          <t>1.卫生间成品抗培特饰面隔断
2.其他详见图纸</t>
        </is>
      </c>
      <c r="E417" s="5" t="inlineStr">
        <is>
          <t>m2</t>
        </is>
      </c>
      <c r="F417" s="6" t="n">
        <v>516.3150000000001</v>
      </c>
      <c r="G417" s="74" t="n">
        <v>516.3200000000001</v>
      </c>
      <c r="H417" s="82" t="n">
        <v>516.3200000000001</v>
      </c>
      <c r="I417" s="74">
        <f>G417-F417</f>
        <v/>
      </c>
      <c r="J417" s="74">
        <f>H417-F417</f>
        <v/>
      </c>
      <c r="K417" s="74">
        <f>+H417-G417</f>
        <v/>
      </c>
      <c r="L417" s="55">
        <f>I417/F417</f>
        <v/>
      </c>
      <c r="M417" s="6" t="n">
        <v>205.48</v>
      </c>
      <c r="N417" s="6" t="n">
        <v>308.59</v>
      </c>
      <c r="O417" s="55">
        <f>(M417-N417)/N417</f>
        <v/>
      </c>
      <c r="P417" s="74">
        <f>N417*0.9056*0.85</f>
        <v/>
      </c>
      <c r="Q417" s="74">
        <f>N417*1.15</f>
        <v/>
      </c>
      <c r="R417" s="74">
        <f>IF(M417&lt;N417*0.9056*0.85,N417*0.9056*0.85,IF(M417&gt;N417*1.15,N417*1.15,M417))</f>
        <v/>
      </c>
      <c r="S417" s="74">
        <f>+F417*M417</f>
        <v/>
      </c>
      <c r="T417" s="74">
        <f>S417+R417*I417</f>
        <v/>
      </c>
      <c r="U417" s="82">
        <f>S417+R417*J417</f>
        <v/>
      </c>
      <c r="V417" s="74">
        <f>U417-S417</f>
        <v/>
      </c>
      <c r="W417" s="82">
        <f>+U417-T417</f>
        <v/>
      </c>
      <c r="X417" s="83">
        <f>+U417-T417</f>
        <v/>
      </c>
      <c r="Y417" s="5" t="n"/>
    </row>
    <row r="418" ht="20" customHeight="1" s="1">
      <c r="A418" s="5" t="n">
        <v>139</v>
      </c>
      <c r="B418" s="5" t="inlineStr">
        <is>
          <t>011505001002</t>
        </is>
      </c>
      <c r="C418" s="5" t="inlineStr">
        <is>
          <t>洗漱台</t>
        </is>
      </c>
      <c r="D418" s="5" t="inlineStr">
        <is>
          <t>1.20mm厚国产金沙黑洗漱台（洗手台）L40*4镀锌角钢底架
2.台面开水龙头孔
3.台面开洗手盆孔
4.石材水磨斜边</t>
        </is>
      </c>
      <c r="E418" s="5" t="inlineStr">
        <is>
          <t>m2</t>
        </is>
      </c>
      <c r="F418" s="6" t="n">
        <v>42.81</v>
      </c>
      <c r="G418" s="74" t="n">
        <v>42.81</v>
      </c>
      <c r="H418" s="82" t="n">
        <v>42.81</v>
      </c>
      <c r="I418" s="74">
        <f>G418-F418</f>
        <v/>
      </c>
      <c r="J418" s="74">
        <f>H418-F418</f>
        <v/>
      </c>
      <c r="K418" s="74">
        <f>+H418-G418</f>
        <v/>
      </c>
      <c r="L418" s="55">
        <f>I418/F418</f>
        <v/>
      </c>
      <c r="M418" s="6" t="n">
        <v>801.02</v>
      </c>
      <c r="N418" s="6" t="n">
        <v>639.0599999999999</v>
      </c>
      <c r="O418" s="55">
        <f>(M418-N418)/N418</f>
        <v/>
      </c>
      <c r="P418" s="74">
        <f>N418*0.9056*0.85</f>
        <v/>
      </c>
      <c r="Q418" s="74">
        <f>N418*1.15</f>
        <v/>
      </c>
      <c r="R418" s="74">
        <f>IF(M418&lt;N418*0.9056*0.85,N418*0.9056*0.85,IF(M418&gt;N418*1.15,N418*1.15,M418))</f>
        <v/>
      </c>
      <c r="S418" s="74">
        <f>+F418*M418</f>
        <v/>
      </c>
      <c r="T418" s="74">
        <f>S418+R418*I418</f>
        <v/>
      </c>
      <c r="U418" s="82">
        <f>S418+R418*J418</f>
        <v/>
      </c>
      <c r="V418" s="74">
        <f>U418-S418</f>
        <v/>
      </c>
      <c r="W418" s="82">
        <f>+U418-T418</f>
        <v/>
      </c>
      <c r="X418" s="83">
        <f>+U418-T418</f>
        <v/>
      </c>
      <c r="Y418" s="5" t="n"/>
    </row>
    <row r="419" ht="20" customHeight="1" s="1">
      <c r="A419" s="5" t="n">
        <v>140</v>
      </c>
      <c r="B419" s="5" t="inlineStr">
        <is>
          <t>011505010001</t>
        </is>
      </c>
      <c r="C419" s="5" t="inlineStr">
        <is>
          <t>镜面玻璃</t>
        </is>
      </c>
      <c r="D419" s="5" t="inlineStr">
        <is>
          <t>1.卫生间镜
2.6mm车边银镜
3.具体做法详见图纸</t>
        </is>
      </c>
      <c r="E419" s="5" t="inlineStr">
        <is>
          <t>m2</t>
        </is>
      </c>
      <c r="F419" s="6" t="n">
        <v>42.24</v>
      </c>
      <c r="G419" s="74" t="n">
        <v>42.24</v>
      </c>
      <c r="H419" s="82" t="n">
        <v>42.24</v>
      </c>
      <c r="I419" s="74">
        <f>G419-F419</f>
        <v/>
      </c>
      <c r="J419" s="74">
        <f>H419-F419</f>
        <v/>
      </c>
      <c r="K419" s="74">
        <f>+H419-G419</f>
        <v/>
      </c>
      <c r="L419" s="55">
        <f>I419/F419</f>
        <v/>
      </c>
      <c r="M419" s="6" t="n">
        <v>328.86</v>
      </c>
      <c r="N419" s="6" t="n">
        <v>295.82</v>
      </c>
      <c r="O419" s="55">
        <f>(M419-N419)/N419</f>
        <v/>
      </c>
      <c r="P419" s="74">
        <f>N419*0.9056*0.85</f>
        <v/>
      </c>
      <c r="Q419" s="74">
        <f>N419*1.15</f>
        <v/>
      </c>
      <c r="R419" s="74">
        <f>IF(M419&lt;N419*0.9056*0.85,N419*0.9056*0.85,IF(M419&gt;N419*1.15,N419*1.15,M419))</f>
        <v/>
      </c>
      <c r="S419" s="74">
        <f>+F419*M419</f>
        <v/>
      </c>
      <c r="T419" s="74">
        <f>S419+R419*I419</f>
        <v/>
      </c>
      <c r="U419" s="82">
        <f>S419+R419*J419</f>
        <v/>
      </c>
      <c r="V419" s="74">
        <f>U419-S419</f>
        <v/>
      </c>
      <c r="W419" s="82">
        <f>+U419-T419</f>
        <v/>
      </c>
      <c r="X419" s="83">
        <f>+U419-T419</f>
        <v/>
      </c>
      <c r="Y419" s="5" t="n"/>
    </row>
    <row r="420" ht="20" customHeight="1" s="1">
      <c r="A420" s="5" t="n">
        <v>141</v>
      </c>
      <c r="B420" s="5" t="inlineStr">
        <is>
          <t>011501001003</t>
        </is>
      </c>
      <c r="C420" s="5" t="inlineStr">
        <is>
          <t>直播台</t>
        </is>
      </c>
      <c r="D420" s="5" t="inlineStr">
        <is>
          <t>1.直播台
2.H=800
3.4MM阻燃夹板底面刮离子灰喷光面漆
4.做法详见设计图纸</t>
        </is>
      </c>
      <c r="E420" s="5" t="inlineStr">
        <is>
          <t>m</t>
        </is>
      </c>
      <c r="F420" s="6" t="n">
        <v>2.77</v>
      </c>
      <c r="G420" s="74" t="n">
        <v>2.77</v>
      </c>
      <c r="H420" s="82" t="n">
        <v>2.77</v>
      </c>
      <c r="I420" s="74">
        <f>G420-F420</f>
        <v/>
      </c>
      <c r="J420" s="74">
        <f>H420-F420</f>
        <v/>
      </c>
      <c r="K420" s="74">
        <f>+H420-G420</f>
        <v/>
      </c>
      <c r="L420" s="55">
        <f>I420/F420</f>
        <v/>
      </c>
      <c r="M420" s="6" t="n">
        <v>1630</v>
      </c>
      <c r="N420" s="6" t="n">
        <v>841.97</v>
      </c>
      <c r="O420" s="55">
        <f>(M420-N420)/N420</f>
        <v/>
      </c>
      <c r="P420" s="74">
        <f>N420*0.9056*0.85</f>
        <v/>
      </c>
      <c r="Q420" s="74">
        <f>N420*1.15</f>
        <v/>
      </c>
      <c r="R420" s="74">
        <f>IF(M420&lt;N420*0.9056*0.85,N420*0.9056*0.85,IF(M420&gt;N420*1.15,N420*1.15,M420))</f>
        <v/>
      </c>
      <c r="S420" s="74">
        <f>+F420*M420</f>
        <v/>
      </c>
      <c r="T420" s="74">
        <f>S420+R420*I420</f>
        <v/>
      </c>
      <c r="U420" s="82">
        <f>S420+R420*J420</f>
        <v/>
      </c>
      <c r="V420" s="74">
        <f>U420-S420</f>
        <v/>
      </c>
      <c r="W420" s="82">
        <f>+U420-T420</f>
        <v/>
      </c>
      <c r="X420" s="83">
        <f>+U420-T420</f>
        <v/>
      </c>
      <c r="Y420" s="5" t="n"/>
    </row>
    <row r="421" ht="20" customHeight="1" s="1">
      <c r="A421" s="5" t="n">
        <v>142</v>
      </c>
      <c r="B421" s="5" t="inlineStr">
        <is>
          <t>011501001005</t>
        </is>
      </c>
      <c r="C421" s="5" t="inlineStr">
        <is>
          <t>洗手柜</t>
        </is>
      </c>
      <c r="D421" s="5" t="inlineStr">
        <is>
          <t>1.4mm蓝色免漆板洗手柜
2.H=650
3.做法详见设计图纸</t>
        </is>
      </c>
      <c r="E421" s="5" t="inlineStr">
        <is>
          <t>m</t>
        </is>
      </c>
      <c r="F421" s="6" t="n">
        <v>12.61</v>
      </c>
      <c r="G421" s="74" t="n">
        <v>12.61</v>
      </c>
      <c r="H421" s="82" t="n">
        <v>12.61</v>
      </c>
      <c r="I421" s="74">
        <f>G421-F421</f>
        <v/>
      </c>
      <c r="J421" s="74">
        <f>H421-F421</f>
        <v/>
      </c>
      <c r="K421" s="74">
        <f>+H421-G421</f>
        <v/>
      </c>
      <c r="L421" s="55">
        <f>I421/F421</f>
        <v/>
      </c>
      <c r="M421" s="6" t="n">
        <v>1030</v>
      </c>
      <c r="N421" s="6" t="n">
        <v>991.97</v>
      </c>
      <c r="O421" s="55">
        <f>(M421-N421)/N421</f>
        <v/>
      </c>
      <c r="P421" s="74">
        <f>N421*0.9056*0.85</f>
        <v/>
      </c>
      <c r="Q421" s="74">
        <f>N421*1.15</f>
        <v/>
      </c>
      <c r="R421" s="74">
        <f>IF(M421&lt;N421*0.9056*0.85,N421*0.9056*0.85,IF(M421&gt;N421*1.15,N421*1.15,M421))</f>
        <v/>
      </c>
      <c r="S421" s="74">
        <f>+F421*M421</f>
        <v/>
      </c>
      <c r="T421" s="74">
        <f>S421+R421*I421</f>
        <v/>
      </c>
      <c r="U421" s="82">
        <f>S421+R421*J421</f>
        <v/>
      </c>
      <c r="V421" s="74">
        <f>U421-S421</f>
        <v/>
      </c>
      <c r="W421" s="82">
        <f>+U421-T421</f>
        <v/>
      </c>
      <c r="X421" s="83">
        <f>+U421-T421</f>
        <v/>
      </c>
      <c r="Y421" s="5" t="n"/>
    </row>
    <row r="422" ht="20" customHeight="1" s="1">
      <c r="A422" s="5" t="n">
        <v>143</v>
      </c>
      <c r="B422" s="5" t="inlineStr">
        <is>
          <t>011501001008</t>
        </is>
      </c>
      <c r="C422" s="5" t="inlineStr">
        <is>
          <t>电脑桌</t>
        </is>
      </c>
      <c r="D422" s="5" t="inlineStr">
        <is>
          <t>1.4mm白橡木免漆板电脑桌
2.H=700
3.做法详见设计图纸</t>
        </is>
      </c>
      <c r="E422" s="5" t="inlineStr">
        <is>
          <t>m</t>
        </is>
      </c>
      <c r="F422" s="6" t="n">
        <v>3</v>
      </c>
      <c r="G422" s="74" t="n">
        <v>3</v>
      </c>
      <c r="H422" s="82" t="n">
        <v>3</v>
      </c>
      <c r="I422" s="74">
        <f>G422-F422</f>
        <v/>
      </c>
      <c r="J422" s="74">
        <f>H422-F422</f>
        <v/>
      </c>
      <c r="K422" s="74">
        <f>+H422-G422</f>
        <v/>
      </c>
      <c r="L422" s="55">
        <f>I422/F422</f>
        <v/>
      </c>
      <c r="M422" s="6" t="n">
        <v>1470</v>
      </c>
      <c r="N422" s="6" t="n">
        <v>841.97</v>
      </c>
      <c r="O422" s="55">
        <f>(M422-N422)/N422</f>
        <v/>
      </c>
      <c r="P422" s="74">
        <f>N422*0.9056*0.85</f>
        <v/>
      </c>
      <c r="Q422" s="74">
        <f>N422*1.15</f>
        <v/>
      </c>
      <c r="R422" s="74">
        <f>IF(M422&lt;N422*0.9056*0.85,N422*0.9056*0.85,IF(M422&gt;N422*1.15,N422*1.15,M422))</f>
        <v/>
      </c>
      <c r="S422" s="74">
        <f>+F422*M422</f>
        <v/>
      </c>
      <c r="T422" s="74">
        <f>S422+R422*I422</f>
        <v/>
      </c>
      <c r="U422" s="82">
        <f>S422+R422*J422</f>
        <v/>
      </c>
      <c r="V422" s="74">
        <f>U422-S422</f>
        <v/>
      </c>
      <c r="W422" s="82">
        <f>+U422-T422</f>
        <v/>
      </c>
      <c r="X422" s="83">
        <f>+U422-T422</f>
        <v/>
      </c>
      <c r="Y422" s="5" t="n"/>
    </row>
    <row r="423" ht="20" customHeight="1" s="1">
      <c r="A423" s="5" t="n">
        <v>144</v>
      </c>
      <c r="B423" s="5" t="inlineStr">
        <is>
          <t>011501001007</t>
        </is>
      </c>
      <c r="C423" s="5" t="inlineStr">
        <is>
          <t>讲台</t>
        </is>
      </c>
      <c r="D423" s="5" t="inlineStr">
        <is>
          <t>1.4mm蓝色免漆板讲台
2.H=650
3.做法详见设计图纸</t>
        </is>
      </c>
      <c r="E423" s="5" t="inlineStr">
        <is>
          <t>m</t>
        </is>
      </c>
      <c r="F423" s="6" t="n">
        <v>5.27</v>
      </c>
      <c r="G423" s="74" t="n">
        <v>5.27</v>
      </c>
      <c r="H423" s="82" t="n">
        <v>5.27</v>
      </c>
      <c r="I423" s="74">
        <f>G423-F423</f>
        <v/>
      </c>
      <c r="J423" s="74">
        <f>H423-F423</f>
        <v/>
      </c>
      <c r="K423" s="74">
        <f>+H423-G423</f>
        <v/>
      </c>
      <c r="L423" s="55">
        <f>I423/F423</f>
        <v/>
      </c>
      <c r="M423" s="6" t="n">
        <v>1670</v>
      </c>
      <c r="N423" s="6" t="n">
        <v>1026.97</v>
      </c>
      <c r="O423" s="55">
        <f>(M423-N423)/N423</f>
        <v/>
      </c>
      <c r="P423" s="74">
        <f>N423*0.9056*0.85</f>
        <v/>
      </c>
      <c r="Q423" s="74">
        <f>N423*1.15</f>
        <v/>
      </c>
      <c r="R423" s="74">
        <f>IF(M423&lt;N423*0.9056*0.85,N423*0.9056*0.85,IF(M423&gt;N423*1.15,N423*1.15,M423))</f>
        <v/>
      </c>
      <c r="S423" s="74">
        <f>+F423*M423</f>
        <v/>
      </c>
      <c r="T423" s="74">
        <f>S423+R423*I423</f>
        <v/>
      </c>
      <c r="U423" s="82">
        <f>S423+R423*J423</f>
        <v/>
      </c>
      <c r="V423" s="74">
        <f>U423-S423</f>
        <v/>
      </c>
      <c r="W423" s="82">
        <f>+U423-T423</f>
        <v/>
      </c>
      <c r="X423" s="83">
        <f>+U423-T423</f>
        <v/>
      </c>
      <c r="Y423" s="5" t="n"/>
    </row>
    <row r="424" ht="20" customHeight="1" s="1">
      <c r="A424" s="5" t="n">
        <v>145</v>
      </c>
      <c r="B424" s="5" t="inlineStr">
        <is>
          <t>011501001006</t>
        </is>
      </c>
      <c r="C424" s="5" t="inlineStr">
        <is>
          <t>4MM白橡木免漆板书架</t>
        </is>
      </c>
      <c r="D424" s="5" t="inlineStr">
        <is>
          <t>1.4MM白橡木免漆板书架
2.做法详见设计图纸</t>
        </is>
      </c>
      <c r="E424" s="5" t="inlineStr">
        <is>
          <t>m2</t>
        </is>
      </c>
      <c r="F424" s="6" t="n">
        <v>61.49</v>
      </c>
      <c r="G424" s="74" t="n">
        <v>61.49</v>
      </c>
      <c r="H424" s="82" t="n">
        <v>61.49</v>
      </c>
      <c r="I424" s="74">
        <f>G424-F424</f>
        <v/>
      </c>
      <c r="J424" s="74">
        <f>H424-F424</f>
        <v/>
      </c>
      <c r="K424" s="74">
        <f>+H424-G424</f>
        <v/>
      </c>
      <c r="L424" s="55">
        <f>I424/F424</f>
        <v/>
      </c>
      <c r="M424" s="6" t="n">
        <v>1390</v>
      </c>
      <c r="N424" s="6" t="n">
        <v>761.97</v>
      </c>
      <c r="O424" s="55">
        <f>(M424-N424)/N424</f>
        <v/>
      </c>
      <c r="P424" s="74">
        <f>N424*0.9056*0.85</f>
        <v/>
      </c>
      <c r="Q424" s="74">
        <f>N424*1.15</f>
        <v/>
      </c>
      <c r="R424" s="74">
        <f>IF(M424&lt;N424*0.9056*0.85,N424*0.9056*0.85,IF(M424&gt;N424*1.15,N424*1.15,M424))</f>
        <v/>
      </c>
      <c r="S424" s="74">
        <f>+F424*M424</f>
        <v/>
      </c>
      <c r="T424" s="74">
        <f>S424+R424*I424</f>
        <v/>
      </c>
      <c r="U424" s="82">
        <f>S424+R424*J424</f>
        <v/>
      </c>
      <c r="V424" s="74">
        <f>U424-S424</f>
        <v/>
      </c>
      <c r="W424" s="82">
        <f>+U424-T424</f>
        <v/>
      </c>
      <c r="X424" s="83">
        <f>+U424-T424</f>
        <v/>
      </c>
      <c r="Y424" s="5" t="n"/>
    </row>
    <row r="425" ht="20" customHeight="1" s="1">
      <c r="A425" s="5" t="n">
        <v>146</v>
      </c>
      <c r="B425" s="5" t="inlineStr">
        <is>
          <t>011508001001</t>
        </is>
      </c>
      <c r="C425" s="5" t="inlineStr">
        <is>
          <t>装饰构件</t>
        </is>
      </c>
      <c r="D425" s="5" t="inlineStr">
        <is>
          <t>1.01装饰构件
2.白色发泡陶瓷构件
3.规格:2m
4.做法详见设计图纸</t>
        </is>
      </c>
      <c r="E425" s="5" t="inlineStr">
        <is>
          <t>个</t>
        </is>
      </c>
      <c r="F425" s="6" t="n">
        <v>1</v>
      </c>
      <c r="G425" s="74" t="n">
        <v>8</v>
      </c>
      <c r="H425" s="84" t="n">
        <v>8</v>
      </c>
      <c r="I425" s="74">
        <f>G425-F425</f>
        <v/>
      </c>
      <c r="J425" s="74">
        <f>H425-F425</f>
        <v/>
      </c>
      <c r="K425" s="74">
        <f>+H425-G425</f>
        <v/>
      </c>
      <c r="L425" s="55">
        <f>I425/F425</f>
        <v/>
      </c>
      <c r="M425" s="6" t="n">
        <v>148</v>
      </c>
      <c r="N425" s="6" t="n">
        <v>1235.9</v>
      </c>
      <c r="O425" s="55">
        <f>(M425-N425)/N425</f>
        <v/>
      </c>
      <c r="P425" s="74">
        <f>N425*0.9056*0.85</f>
        <v/>
      </c>
      <c r="Q425" s="74">
        <f>N425*1.15</f>
        <v/>
      </c>
      <c r="R425" s="74">
        <f>IF(M425&lt;N425*0.9056*0.85,N425*0.9056*0.85,IF(M425&gt;N425*1.15,N425*1.15,M425))</f>
        <v/>
      </c>
      <c r="S425" s="74">
        <f>+F425*M425</f>
        <v/>
      </c>
      <c r="T425" s="74">
        <f>S425+R425*I425</f>
        <v/>
      </c>
      <c r="U425" s="82">
        <f>S425+R425*J425</f>
        <v/>
      </c>
      <c r="V425" s="74">
        <f>U425-S425</f>
        <v/>
      </c>
      <c r="W425" s="82">
        <f>+U425-T425</f>
        <v/>
      </c>
      <c r="X425" s="83">
        <f>+U425-T425</f>
        <v/>
      </c>
      <c r="Y425" s="5" t="n"/>
    </row>
    <row r="426" ht="20" customHeight="1" s="1">
      <c r="A426" s="5" t="n">
        <v>147</v>
      </c>
      <c r="B426" s="5" t="inlineStr">
        <is>
          <t>011508001002</t>
        </is>
      </c>
      <c r="C426" s="5" t="inlineStr">
        <is>
          <t>装饰构件</t>
        </is>
      </c>
      <c r="D426" s="5" t="inlineStr">
        <is>
          <t>1.02装饰构件
2.白色发泡陶瓷构件
3.规格:1.6m
4.做法详见设计图纸</t>
        </is>
      </c>
      <c r="E426" s="5" t="inlineStr">
        <is>
          <t>个</t>
        </is>
      </c>
      <c r="F426" s="6" t="n">
        <v>2</v>
      </c>
      <c r="G426" s="74" t="n">
        <v>2</v>
      </c>
      <c r="H426" s="84" t="n">
        <v>2</v>
      </c>
      <c r="I426" s="74">
        <f>G426-F426</f>
        <v/>
      </c>
      <c r="J426" s="74">
        <f>H426-F426</f>
        <v/>
      </c>
      <c r="K426" s="74">
        <f>+H426-G426</f>
        <v/>
      </c>
      <c r="L426" s="55">
        <f>I426/F426</f>
        <v/>
      </c>
      <c r="M426" s="6" t="n">
        <v>110</v>
      </c>
      <c r="N426" s="6" t="n">
        <v>885.9</v>
      </c>
      <c r="O426" s="55">
        <f>(M426-N426)/N426</f>
        <v/>
      </c>
      <c r="P426" s="74">
        <f>N426*0.9056*0.85</f>
        <v/>
      </c>
      <c r="Q426" s="74">
        <f>N426*1.15</f>
        <v/>
      </c>
      <c r="R426" s="74">
        <f>IF(M426&lt;N426*0.9056*0.85,N426*0.9056*0.85,IF(M426&gt;N426*1.15,N426*1.15,M426))</f>
        <v/>
      </c>
      <c r="S426" s="74">
        <f>+F426*M426</f>
        <v/>
      </c>
      <c r="T426" s="74">
        <f>S426+R426*I426</f>
        <v/>
      </c>
      <c r="U426" s="82">
        <f>S426+R426*J426</f>
        <v/>
      </c>
      <c r="V426" s="74">
        <f>U426-S426</f>
        <v/>
      </c>
      <c r="W426" s="82">
        <f>+U426-T426</f>
        <v/>
      </c>
      <c r="X426" s="83">
        <f>+U426-T426</f>
        <v/>
      </c>
      <c r="Y426" s="5" t="n"/>
    </row>
    <row r="427" ht="20" customHeight="1" s="1">
      <c r="A427" s="5" t="n">
        <v>148</v>
      </c>
      <c r="B427" s="5" t="inlineStr">
        <is>
          <t>011508001003</t>
        </is>
      </c>
      <c r="C427" s="5" t="inlineStr">
        <is>
          <t>成品塔钟</t>
        </is>
      </c>
      <c r="D427" s="5" t="inlineStr">
        <is>
          <t>1.成品塔钟
2.规格:R=2m
3.做法详见设计图纸</t>
        </is>
      </c>
      <c r="E427" s="5" t="inlineStr">
        <is>
          <t>个</t>
        </is>
      </c>
      <c r="F427" s="6" t="n">
        <v>2</v>
      </c>
      <c r="G427" s="74" t="n">
        <v>2</v>
      </c>
      <c r="H427" s="84" t="n">
        <v>2</v>
      </c>
      <c r="I427" s="74">
        <f>G427-F427</f>
        <v/>
      </c>
      <c r="J427" s="74">
        <f>H427-F427</f>
        <v/>
      </c>
      <c r="K427" s="74">
        <f>+H427-G427</f>
        <v/>
      </c>
      <c r="L427" s="55">
        <f>I427/F427</f>
        <v/>
      </c>
      <c r="M427" s="6" t="n">
        <v>98676.85000000001</v>
      </c>
      <c r="N427" s="6" t="n">
        <v>68323.99000000001</v>
      </c>
      <c r="O427" s="55">
        <f>(M427-N427)/N427</f>
        <v/>
      </c>
      <c r="P427" s="74">
        <f>N427*0.9056*0.85</f>
        <v/>
      </c>
      <c r="Q427" s="74">
        <f>N427*1.15</f>
        <v/>
      </c>
      <c r="R427" s="74">
        <f>IF(M427&lt;N427*0.9056*0.85,N427*0.9056*0.85,IF(M427&gt;N427*1.15,N427*1.15,M427))</f>
        <v/>
      </c>
      <c r="S427" s="74">
        <f>+F427*M427</f>
        <v/>
      </c>
      <c r="T427" s="74">
        <f>S427+R427*I427</f>
        <v/>
      </c>
      <c r="U427" s="82">
        <f>S427+R427*J427</f>
        <v/>
      </c>
      <c r="V427" s="74">
        <f>U427-S427</f>
        <v/>
      </c>
      <c r="W427" s="82">
        <f>+U427-T427</f>
        <v/>
      </c>
      <c r="X427" s="83">
        <f>+U427-T427</f>
        <v/>
      </c>
      <c r="Y427" s="5" t="n"/>
    </row>
    <row r="428" ht="20" customHeight="1" s="1">
      <c r="A428" s="86" t="n">
        <v>149</v>
      </c>
      <c r="B428" s="86" t="inlineStr">
        <is>
          <t>01B001</t>
        </is>
      </c>
      <c r="C428" s="86" t="inlineStr">
        <is>
          <t>白蚁防治</t>
        </is>
      </c>
      <c r="D428" s="86" t="inlineStr">
        <is>
          <t>1.白蚁防治</t>
        </is>
      </c>
      <c r="E428" s="86" t="inlineStr">
        <is>
          <t>m2</t>
        </is>
      </c>
      <c r="F428" s="87" t="n">
        <v>8993.09</v>
      </c>
      <c r="G428" s="88" t="n">
        <v>10082.69</v>
      </c>
      <c r="H428" s="82" t="n">
        <v>8993.09</v>
      </c>
      <c r="I428" s="88">
        <f>G428-F428</f>
        <v/>
      </c>
      <c r="J428" s="88">
        <f>H428-F428</f>
        <v/>
      </c>
      <c r="K428" s="88">
        <f>+H428-G428</f>
        <v/>
      </c>
      <c r="L428" s="89">
        <f>I428/F428</f>
        <v/>
      </c>
      <c r="M428" s="87" t="n">
        <v>2</v>
      </c>
      <c r="N428" s="87" t="n">
        <v>3</v>
      </c>
      <c r="O428" s="89">
        <f>(M428-N428)/N428</f>
        <v/>
      </c>
      <c r="P428" s="88">
        <f>N428*0.9056*0.85</f>
        <v/>
      </c>
      <c r="Q428" s="88">
        <f>N428*1.15</f>
        <v/>
      </c>
      <c r="R428" s="88">
        <f>IF(M428&lt;N428*0.9056*0.85,N428*0.9056*0.85,IF(M428&gt;N428*1.15,N428*1.15,M428))</f>
        <v/>
      </c>
      <c r="S428" s="88">
        <f>+F428*M428</f>
        <v/>
      </c>
      <c r="T428" s="88">
        <f>S428+R428*I428</f>
        <v/>
      </c>
      <c r="U428" s="82">
        <f>S428+R428*J428</f>
        <v/>
      </c>
      <c r="V428" s="74">
        <f>U428-S428</f>
        <v/>
      </c>
      <c r="W428" s="82">
        <f>+U428-T428</f>
        <v/>
      </c>
      <c r="X428" s="83">
        <f>+U428-T428</f>
        <v/>
      </c>
      <c r="Y428" s="86" t="n"/>
    </row>
    <row r="429" ht="20" customHeight="1" s="1">
      <c r="A429" s="49" t="n"/>
      <c r="B429" s="5" t="n"/>
      <c r="C429" s="5" t="inlineStr">
        <is>
          <t>分部分项合计</t>
        </is>
      </c>
      <c r="D429" s="5" t="n"/>
      <c r="E429" s="5" t="n"/>
      <c r="F429" s="6" t="n"/>
      <c r="G429" s="74" t="n"/>
      <c r="H429" s="81" t="n"/>
      <c r="I429" s="74" t="n"/>
      <c r="J429" s="74" t="n"/>
      <c r="K429" s="74" t="n"/>
      <c r="L429" s="55" t="n"/>
      <c r="M429" s="78" t="n"/>
      <c r="N429" s="6" t="n"/>
      <c r="O429" s="55" t="n"/>
      <c r="P429" s="74" t="n"/>
      <c r="Q429" s="74" t="n"/>
      <c r="R429" s="74" t="n"/>
      <c r="S429" s="74">
        <f>+S410+S403+S379+S363+S356+S341+S327+S323+S291+S281+S274+S268</f>
        <v/>
      </c>
      <c r="T429" s="74">
        <f>+T410+T403+T379+T363+T356+T341+T323+T327+T291+T281+T274+T268</f>
        <v/>
      </c>
      <c r="U429" s="82">
        <f>+U410+U403+U379+U363+U356+U341+U323+U327+U291+U281+U274+U268</f>
        <v/>
      </c>
      <c r="V429" s="74">
        <f>U429-S429</f>
        <v/>
      </c>
      <c r="W429" s="82">
        <f>+U429-T429</f>
        <v/>
      </c>
      <c r="X429" s="83">
        <f>+U429-T429</f>
        <v/>
      </c>
      <c r="Y429" s="5" t="n"/>
    </row>
    <row r="430" ht="20" customHeight="1" s="1">
      <c r="A430" s="49" t="n"/>
      <c r="B430" s="5" t="n"/>
      <c r="C430" s="5" t="inlineStr">
        <is>
          <t>措施合计</t>
        </is>
      </c>
      <c r="D430" s="5" t="n"/>
      <c r="E430" s="5" t="n"/>
      <c r="F430" s="6" t="n"/>
      <c r="G430" s="74" t="n"/>
      <c r="H430" s="81" t="n"/>
      <c r="I430" s="74" t="n"/>
      <c r="J430" s="74" t="n"/>
      <c r="K430" s="74" t="n"/>
      <c r="L430" s="55" t="n"/>
      <c r="M430" s="78" t="n"/>
      <c r="N430" s="6" t="n"/>
      <c r="O430" s="55" t="n"/>
      <c r="P430" s="74" t="n"/>
      <c r="Q430" s="74" t="n"/>
      <c r="R430" s="74" t="n"/>
      <c r="S430" s="74">
        <f>SUM(S432:S475)</f>
        <v/>
      </c>
      <c r="T430" s="74">
        <f>SUM(T432:T475)</f>
        <v/>
      </c>
      <c r="U430" s="82">
        <f>SUM(U432:U475)</f>
        <v/>
      </c>
      <c r="V430" s="74">
        <f>U430-S430</f>
        <v/>
      </c>
      <c r="W430" s="82">
        <f>+U430-T430</f>
        <v/>
      </c>
      <c r="X430" s="83">
        <f>+U430-T430</f>
        <v/>
      </c>
      <c r="Y430" s="5" t="n"/>
    </row>
    <row r="431" ht="20" customHeight="1" s="1">
      <c r="A431" s="49" t="n">
        <v>1</v>
      </c>
      <c r="B431" s="5" t="n"/>
      <c r="C431" s="5" t="inlineStr">
        <is>
          <t>安全文明施工措施费</t>
        </is>
      </c>
      <c r="D431" s="5" t="n"/>
      <c r="E431" s="5" t="n"/>
      <c r="F431" s="6" t="n"/>
      <c r="G431" s="74" t="n"/>
      <c r="H431" s="81" t="n"/>
      <c r="I431" s="74" t="n"/>
      <c r="J431" s="74" t="n"/>
      <c r="K431" s="74" t="n"/>
      <c r="L431" s="55" t="n"/>
      <c r="M431" s="78" t="n"/>
      <c r="N431" s="6" t="n"/>
      <c r="O431" s="55" t="n"/>
      <c r="P431" s="74" t="n"/>
      <c r="Q431" s="74" t="n"/>
      <c r="R431" s="74" t="n"/>
      <c r="S431" s="74" t="n"/>
      <c r="T431" s="74" t="n"/>
      <c r="U431" s="82" t="n"/>
      <c r="V431" s="74" t="n"/>
      <c r="W431" s="82" t="n"/>
      <c r="X431" s="83" t="n"/>
      <c r="Y431" s="5" t="n"/>
    </row>
    <row r="432" ht="20" customHeight="1" s="1">
      <c r="A432" s="49" t="inlineStr">
        <is>
          <t>1.1</t>
        </is>
      </c>
      <c r="B432" s="5" t="inlineStr">
        <is>
          <t>01B001</t>
        </is>
      </c>
      <c r="C432" s="5" t="inlineStr">
        <is>
          <t>绿色施工安全防护措施费</t>
        </is>
      </c>
      <c r="D432" s="5" t="n"/>
      <c r="E432" s="5" t="n"/>
      <c r="F432" s="6" t="n"/>
      <c r="G432" s="74" t="n"/>
      <c r="H432" s="81" t="n"/>
      <c r="I432" s="74" t="n"/>
      <c r="J432" s="74" t="n"/>
      <c r="K432" s="74" t="n"/>
      <c r="L432" s="55" t="n"/>
      <c r="M432" s="78" t="n"/>
      <c r="N432" s="6" t="n"/>
      <c r="O432" s="55" t="n"/>
      <c r="P432" s="74" t="n"/>
      <c r="Q432" s="74" t="n"/>
      <c r="R432" s="74" t="n"/>
      <c r="S432" s="74" t="n">
        <v>703317.3100000001</v>
      </c>
      <c r="T432" s="74" t="n">
        <v>703317.3100000001</v>
      </c>
      <c r="U432" s="82" t="n">
        <v>703317.3100000001</v>
      </c>
      <c r="V432" s="74">
        <f>U432-S432</f>
        <v/>
      </c>
      <c r="W432" s="82">
        <f>+U432-T432</f>
        <v/>
      </c>
      <c r="X432" s="83" t="n"/>
      <c r="Y432" s="5" t="n"/>
    </row>
    <row r="433" ht="20" customHeight="1" s="1">
      <c r="A433" s="5" t="n">
        <v>150</v>
      </c>
      <c r="B433" s="5" t="inlineStr">
        <is>
          <t>粤011701008003</t>
        </is>
      </c>
      <c r="C433" s="5" t="inlineStr">
        <is>
          <t>综合钢脚手架</t>
        </is>
      </c>
      <c r="D433" s="5" t="inlineStr">
        <is>
          <t>1.搭设高度:综合钢脚手架搭拆高度(m以内)39
2.建筑用综合脚手架使用费</t>
        </is>
      </c>
      <c r="E433" s="5" t="inlineStr">
        <is>
          <t>m2</t>
        </is>
      </c>
      <c r="F433" s="6" t="n">
        <v>639.8</v>
      </c>
      <c r="G433" s="74" t="n">
        <v>645.1</v>
      </c>
      <c r="H433" s="82" t="n">
        <v>645.1</v>
      </c>
      <c r="I433" s="74">
        <f>G433-F433</f>
        <v/>
      </c>
      <c r="J433" s="74">
        <f>H433-F433</f>
        <v/>
      </c>
      <c r="K433" s="74">
        <f>+H433-G433</f>
        <v/>
      </c>
      <c r="L433" s="55">
        <f>I433/F433</f>
        <v/>
      </c>
      <c r="M433" s="6" t="n">
        <v>69.7</v>
      </c>
      <c r="N433" s="74" t="n">
        <v>75.62</v>
      </c>
      <c r="O433" s="55">
        <f>(M433-N433)/N433</f>
        <v/>
      </c>
      <c r="P433" s="74">
        <f>N433*0.9056*0.85</f>
        <v/>
      </c>
      <c r="Q433" s="74">
        <f>N433*1.15</f>
        <v/>
      </c>
      <c r="R433" s="74">
        <f>IF(M433&lt;N433*0.9056*0.85,N433*0.9056*0.85,IF(M433&gt;N433*1.15,N433*1.15,M433))</f>
        <v/>
      </c>
      <c r="S433" s="74">
        <f>+F433*M433</f>
        <v/>
      </c>
      <c r="T433" s="74">
        <f>S433+R433*I433</f>
        <v/>
      </c>
      <c r="U433" s="82">
        <f>S433+R433*J433</f>
        <v/>
      </c>
      <c r="V433" s="74">
        <f>U433-S433</f>
        <v/>
      </c>
      <c r="W433" s="82">
        <f>+U433-T433</f>
        <v/>
      </c>
      <c r="X433" s="83">
        <f>+U433-T433</f>
        <v/>
      </c>
      <c r="Y433" s="5" t="n"/>
    </row>
    <row r="434" ht="20" customHeight="1" s="1">
      <c r="A434" s="5" t="n">
        <v>151</v>
      </c>
      <c r="B434" s="5" t="inlineStr">
        <is>
          <t>粤011701008005</t>
        </is>
      </c>
      <c r="C434" s="5" t="inlineStr">
        <is>
          <t>综合钢脚手架</t>
        </is>
      </c>
      <c r="D434" s="5" t="inlineStr">
        <is>
          <t>1.搭设高度:综合钢脚手架搭拆高度(m以内)25.1
2.建筑用综合脚手架使用费</t>
        </is>
      </c>
      <c r="E434" s="5" t="inlineStr">
        <is>
          <t>m2</t>
        </is>
      </c>
      <c r="F434" s="6" t="n">
        <v>8201.799999999999</v>
      </c>
      <c r="G434" s="74" t="n">
        <v>8699.790000000001</v>
      </c>
      <c r="H434" s="82" t="n">
        <v>8699.790000000001</v>
      </c>
      <c r="I434" s="74">
        <f>G434-F434</f>
        <v/>
      </c>
      <c r="J434" s="74">
        <f>H434-F434</f>
        <v/>
      </c>
      <c r="K434" s="74">
        <f>+H434-G434</f>
        <v/>
      </c>
      <c r="L434" s="55">
        <f>I434/F434</f>
        <v/>
      </c>
      <c r="M434" s="6" t="n">
        <v>65.34999999999999</v>
      </c>
      <c r="N434" s="74" t="n">
        <v>70.8</v>
      </c>
      <c r="O434" s="55">
        <f>(M434-N434)/N434</f>
        <v/>
      </c>
      <c r="P434" s="74">
        <f>N434*0.9056*0.85</f>
        <v/>
      </c>
      <c r="Q434" s="74">
        <f>N434*1.15</f>
        <v/>
      </c>
      <c r="R434" s="74">
        <f>IF(M434&lt;N434*0.9056*0.85,N434*0.9056*0.85,IF(M434&gt;N434*1.15,N434*1.15,M434))</f>
        <v/>
      </c>
      <c r="S434" s="74">
        <f>+F434*M434</f>
        <v/>
      </c>
      <c r="T434" s="74">
        <f>S434+R434*I434</f>
        <v/>
      </c>
      <c r="U434" s="82">
        <f>S434+R434*J434</f>
        <v/>
      </c>
      <c r="V434" s="74">
        <f>U434-S434</f>
        <v/>
      </c>
      <c r="W434" s="82">
        <f>+U434-T434</f>
        <v/>
      </c>
      <c r="X434" s="83">
        <f>+U434-T434</f>
        <v/>
      </c>
      <c r="Y434" s="5" t="n"/>
    </row>
    <row r="435" ht="20" customHeight="1" s="1">
      <c r="A435" s="5" t="n">
        <v>152</v>
      </c>
      <c r="B435" s="5" t="inlineStr">
        <is>
          <t>粤011701008004</t>
        </is>
      </c>
      <c r="C435" s="5" t="inlineStr">
        <is>
          <t>综合钢脚手架</t>
        </is>
      </c>
      <c r="D435" s="5" t="inlineStr">
        <is>
          <t>1.搭设高度:综合钢脚手架搭拆高度(m以内)9.6
2.建筑用综合脚手架使用费</t>
        </is>
      </c>
      <c r="E435" s="5" t="inlineStr">
        <is>
          <t>m2</t>
        </is>
      </c>
      <c r="F435" s="6" t="n">
        <v>704.64</v>
      </c>
      <c r="G435" s="74" t="n">
        <v>836.14</v>
      </c>
      <c r="H435" s="82" t="n">
        <v>836.14</v>
      </c>
      <c r="I435" s="74">
        <f>G435-F435</f>
        <v/>
      </c>
      <c r="J435" s="74">
        <f>H435-F435</f>
        <v/>
      </c>
      <c r="K435" s="74">
        <f>+H435-G435</f>
        <v/>
      </c>
      <c r="L435" s="55">
        <f>I435/F435</f>
        <v/>
      </c>
      <c r="M435" s="6" t="n">
        <v>50.23</v>
      </c>
      <c r="N435" s="74" t="n">
        <v>54.32</v>
      </c>
      <c r="O435" s="55">
        <f>(M435-N435)/N435</f>
        <v/>
      </c>
      <c r="P435" s="74">
        <f>N435*0.9056*0.85</f>
        <v/>
      </c>
      <c r="Q435" s="74">
        <f>N435*1.15</f>
        <v/>
      </c>
      <c r="R435" s="74">
        <f>IF(M435&lt;N435*0.9056*0.85,N435*0.9056*0.85,IF(M435&gt;N435*1.15,N435*1.15,M435))</f>
        <v/>
      </c>
      <c r="S435" s="74">
        <f>+F435*M435</f>
        <v/>
      </c>
      <c r="T435" s="74">
        <f>S435+R435*I435</f>
        <v/>
      </c>
      <c r="U435" s="82">
        <f>S435+R435*J435</f>
        <v/>
      </c>
      <c r="V435" s="74">
        <f>U435-S435</f>
        <v/>
      </c>
      <c r="W435" s="82">
        <f>+U435-T435</f>
        <v/>
      </c>
      <c r="X435" s="83">
        <f>+U435-T435</f>
        <v/>
      </c>
      <c r="Y435" s="5" t="n"/>
    </row>
    <row r="436" ht="20" customHeight="1" s="1">
      <c r="A436" s="5" t="n">
        <v>153</v>
      </c>
      <c r="B436" s="5" t="inlineStr">
        <is>
          <t>MBZC001</t>
        </is>
      </c>
      <c r="C436" s="5" t="inlineStr">
        <is>
          <t>模板的支架</t>
        </is>
      </c>
      <c r="D436" s="5" t="inlineStr">
        <is>
          <t>1.模板钢支撑</t>
        </is>
      </c>
      <c r="E436" s="5" t="inlineStr">
        <is>
          <t>t</t>
        </is>
      </c>
      <c r="F436" s="6" t="n">
        <v>24.003</v>
      </c>
      <c r="G436" s="74" t="n">
        <v>24</v>
      </c>
      <c r="H436" s="82" t="n">
        <v>24</v>
      </c>
      <c r="I436" s="74">
        <f>G436-F436</f>
        <v/>
      </c>
      <c r="J436" s="74">
        <f>H436-F436</f>
        <v/>
      </c>
      <c r="K436" s="74">
        <f>+H436-G436</f>
        <v/>
      </c>
      <c r="L436" s="55">
        <f>I436/F436</f>
        <v/>
      </c>
      <c r="M436" s="6" t="n">
        <v>6313.66</v>
      </c>
      <c r="N436" s="74" t="n">
        <v>6000</v>
      </c>
      <c r="O436" s="55">
        <f>(M436-N436)/N436</f>
        <v/>
      </c>
      <c r="P436" s="74">
        <f>N436*0.9056*0.85</f>
        <v/>
      </c>
      <c r="Q436" s="74">
        <f>N436*1.15</f>
        <v/>
      </c>
      <c r="R436" s="74">
        <f>IF(M436&lt;N436*0.9056*0.85,N436*0.9056*0.85,IF(M436&gt;N436*1.15,N436*1.15,M436))</f>
        <v/>
      </c>
      <c r="S436" s="74">
        <f>+F436*M436</f>
        <v/>
      </c>
      <c r="T436" s="74">
        <f>S436+R436*I436</f>
        <v/>
      </c>
      <c r="U436" s="82">
        <f>S436+R436*J436</f>
        <v/>
      </c>
      <c r="V436" s="74">
        <f>U436-S436</f>
        <v/>
      </c>
      <c r="W436" s="82">
        <f>+U436-T436</f>
        <v/>
      </c>
      <c r="X436" s="83">
        <f>+U436-T436</f>
        <v/>
      </c>
      <c r="Y436" s="5" t="n"/>
    </row>
    <row r="437" ht="20" customHeight="1" s="1">
      <c r="A437" s="5" t="n"/>
      <c r="B437" s="5" t="n"/>
      <c r="C437" s="5" t="inlineStr">
        <is>
          <t>措施其他项目</t>
        </is>
      </c>
      <c r="D437" s="5" t="n"/>
      <c r="E437" s="5" t="n"/>
      <c r="F437" s="74" t="n"/>
      <c r="G437" s="74" t="n"/>
      <c r="H437" s="81" t="n"/>
      <c r="I437" s="74" t="n"/>
      <c r="J437" s="74" t="n"/>
      <c r="K437" s="74" t="n"/>
      <c r="L437" s="55" t="n"/>
      <c r="M437" s="6" t="n"/>
      <c r="N437" s="6" t="n"/>
      <c r="O437" s="55" t="n"/>
      <c r="P437" s="74" t="n"/>
      <c r="Q437" s="74" t="n"/>
      <c r="R437" s="74" t="n"/>
      <c r="S437" s="74" t="n"/>
      <c r="T437" s="74" t="n"/>
      <c r="U437" s="82" t="n"/>
      <c r="V437" s="74" t="n"/>
      <c r="W437" s="82" t="n"/>
      <c r="X437" s="83" t="n"/>
      <c r="Y437" s="5" t="n"/>
      <c r="Z437" s="73" t="n"/>
    </row>
    <row r="438" ht="20" customHeight="1" s="1">
      <c r="A438" s="5" t="n">
        <v>154</v>
      </c>
      <c r="B438" s="5" t="inlineStr">
        <is>
          <t>粤011701011002</t>
        </is>
      </c>
      <c r="C438" s="5" t="inlineStr">
        <is>
          <t>里脚手架</t>
        </is>
      </c>
      <c r="D438" s="5" t="inlineStr">
        <is>
          <t>1.里脚手架(钢管)民用建筑实际高度﹤3.6m</t>
        </is>
      </c>
      <c r="E438" s="5" t="inlineStr">
        <is>
          <t>m2</t>
        </is>
      </c>
      <c r="F438" s="6" t="n">
        <v>7803.84</v>
      </c>
      <c r="G438" s="74" t="n">
        <v>6989.45</v>
      </c>
      <c r="H438" s="82" t="n">
        <v>6989.45</v>
      </c>
      <c r="I438" s="74">
        <f>G438-F438</f>
        <v/>
      </c>
      <c r="J438" s="74">
        <f>H438-F438</f>
        <v/>
      </c>
      <c r="K438" s="74">
        <f>+H438-G438</f>
        <v/>
      </c>
      <c r="L438" s="55">
        <f>I438/F438</f>
        <v/>
      </c>
      <c r="M438" s="6" t="n">
        <v>14.69</v>
      </c>
      <c r="N438" s="6" t="n">
        <v>16.25</v>
      </c>
      <c r="O438" s="55">
        <f>(M438-N438)/N438</f>
        <v/>
      </c>
      <c r="P438" s="74">
        <f>N438*0.9056*0.85</f>
        <v/>
      </c>
      <c r="Q438" s="74">
        <f>N438*1.15</f>
        <v/>
      </c>
      <c r="R438" s="74">
        <f>IF(M438&lt;N438*0.9056*0.85,N438*0.9056*0.85,IF(M438&gt;N438*1.15,N438*1.15,M438))</f>
        <v/>
      </c>
      <c r="S438" s="74">
        <f>+F438*M438</f>
        <v/>
      </c>
      <c r="T438" s="74">
        <f>S438+R438*I438</f>
        <v/>
      </c>
      <c r="U438" s="82">
        <f>S438+R438*J438</f>
        <v/>
      </c>
      <c r="V438" s="74">
        <f>U438-S438</f>
        <v/>
      </c>
      <c r="W438" s="82">
        <f>+U438-T438</f>
        <v/>
      </c>
      <c r="X438" s="83">
        <f>+U438-T438</f>
        <v/>
      </c>
      <c r="Y438" s="5" t="n"/>
    </row>
    <row r="439" ht="20" customHeight="1" s="1">
      <c r="A439" s="5" t="n">
        <v>155</v>
      </c>
      <c r="B439" s="5" t="inlineStr">
        <is>
          <t>粤011701011003</t>
        </is>
      </c>
      <c r="C439" s="5" t="inlineStr">
        <is>
          <t>里脚手架</t>
        </is>
      </c>
      <c r="D439" s="5" t="inlineStr">
        <is>
          <t>1.里脚手架(钢管)民用建筑实际高度4.2m</t>
        </is>
      </c>
      <c r="E439" s="5" t="inlineStr">
        <is>
          <t>m2</t>
        </is>
      </c>
      <c r="F439" s="6" t="n">
        <v>742.8099999999999</v>
      </c>
      <c r="G439" s="74" t="n">
        <v>224.14</v>
      </c>
      <c r="H439" s="82" t="n">
        <v>224.14</v>
      </c>
      <c r="I439" s="74">
        <f>G439-F439</f>
        <v/>
      </c>
      <c r="J439" s="74">
        <f>H439-F439</f>
        <v/>
      </c>
      <c r="K439" s="74">
        <f>+H439-G439</f>
        <v/>
      </c>
      <c r="L439" s="55">
        <f>I439/F439</f>
        <v/>
      </c>
      <c r="M439" s="6" t="n">
        <v>19.66</v>
      </c>
      <c r="N439" s="6" t="n">
        <v>21.74</v>
      </c>
      <c r="O439" s="55">
        <f>(M439-N439)/N439</f>
        <v/>
      </c>
      <c r="P439" s="74">
        <f>N439*0.9056*0.85</f>
        <v/>
      </c>
      <c r="Q439" s="74">
        <f>N439*1.15</f>
        <v/>
      </c>
      <c r="R439" s="74">
        <f>IF(M439&lt;N439*0.9056*0.85,N439*0.9056*0.85,IF(M439&gt;N439*1.15,N439*1.15,M439))</f>
        <v/>
      </c>
      <c r="S439" s="74">
        <f>+F439*M439</f>
        <v/>
      </c>
      <c r="T439" s="74">
        <f>S439+R439*I439</f>
        <v/>
      </c>
      <c r="U439" s="82">
        <f>S439+R439*J439</f>
        <v/>
      </c>
      <c r="V439" s="74">
        <f>U439-S439</f>
        <v/>
      </c>
      <c r="W439" s="82">
        <f>+U439-T439</f>
        <v/>
      </c>
      <c r="X439" s="83">
        <f>+U439-T439</f>
        <v/>
      </c>
      <c r="Y439" s="5" t="n"/>
    </row>
    <row r="440" ht="20" customHeight="1" s="1">
      <c r="A440" s="5" t="n">
        <v>156</v>
      </c>
      <c r="B440" s="5" t="inlineStr">
        <is>
          <t>粤011701011004</t>
        </is>
      </c>
      <c r="C440" s="5" t="inlineStr">
        <is>
          <t>里脚手架</t>
        </is>
      </c>
      <c r="D440" s="5" t="inlineStr">
        <is>
          <t>1.里脚手架(钢管)民用建筑实际高度7.8m</t>
        </is>
      </c>
      <c r="E440" s="5" t="inlineStr">
        <is>
          <t>m2</t>
        </is>
      </c>
      <c r="F440" s="6" t="n">
        <v>107.7</v>
      </c>
      <c r="G440" s="74" t="n">
        <v>7.65</v>
      </c>
      <c r="H440" s="82" t="n">
        <v>7.65</v>
      </c>
      <c r="I440" s="74">
        <f>G440-F440</f>
        <v/>
      </c>
      <c r="J440" s="74">
        <f>H440-F440</f>
        <v/>
      </c>
      <c r="K440" s="74">
        <f>+H440-G440</f>
        <v/>
      </c>
      <c r="L440" s="55">
        <f>I440/F440</f>
        <v/>
      </c>
      <c r="M440" s="6" t="n">
        <v>34.57</v>
      </c>
      <c r="N440" s="6" t="n">
        <v>38.2</v>
      </c>
      <c r="O440" s="55">
        <f>(M440-N440)/N440</f>
        <v/>
      </c>
      <c r="P440" s="74">
        <f>N440*0.9056*0.85</f>
        <v/>
      </c>
      <c r="Q440" s="74">
        <f>N440*1.15</f>
        <v/>
      </c>
      <c r="R440" s="74">
        <f>IF(M440&lt;N440*0.9056*0.85,N440*0.9056*0.85,IF(M440&gt;N440*1.15,N440*1.15,M440))</f>
        <v/>
      </c>
      <c r="S440" s="74">
        <f>+F440*M440</f>
        <v/>
      </c>
      <c r="T440" s="74">
        <f>S440+R440*I440</f>
        <v/>
      </c>
      <c r="U440" s="82">
        <f>S440+R440*J440</f>
        <v/>
      </c>
      <c r="V440" s="74">
        <f>U440-S440</f>
        <v/>
      </c>
      <c r="W440" s="82">
        <f>+U440-T440</f>
        <v/>
      </c>
      <c r="X440" s="83">
        <f>+U440-T440</f>
        <v/>
      </c>
      <c r="Y440" s="5" t="n"/>
    </row>
    <row r="441" ht="20" customHeight="1" s="1">
      <c r="A441" s="5" t="n">
        <v>157</v>
      </c>
      <c r="B441" s="5" t="inlineStr">
        <is>
          <t>粤011701011005</t>
        </is>
      </c>
      <c r="C441" s="5" t="inlineStr">
        <is>
          <t>里脚手架</t>
        </is>
      </c>
      <c r="D441" s="5" t="inlineStr">
        <is>
          <t>1.里脚手架(钢管)民用建筑实际高度11.4m</t>
        </is>
      </c>
      <c r="E441" s="5" t="inlineStr">
        <is>
          <t>m2</t>
        </is>
      </c>
      <c r="F441" s="6" t="n">
        <v>198.87</v>
      </c>
      <c r="G441" s="74" t="n">
        <v>74.61</v>
      </c>
      <c r="H441" s="82" t="n">
        <v>74.61</v>
      </c>
      <c r="I441" s="74">
        <f>G441-F441</f>
        <v/>
      </c>
      <c r="J441" s="74">
        <f>H441-F441</f>
        <v/>
      </c>
      <c r="K441" s="74">
        <f>+H441-G441</f>
        <v/>
      </c>
      <c r="L441" s="55">
        <f>I441/F441</f>
        <v/>
      </c>
      <c r="M441" s="6" t="n">
        <v>49.49</v>
      </c>
      <c r="N441" s="6" t="n">
        <v>54.67</v>
      </c>
      <c r="O441" s="55">
        <f>(M441-N441)/N441</f>
        <v/>
      </c>
      <c r="P441" s="74">
        <f>N441*0.9056*0.85</f>
        <v/>
      </c>
      <c r="Q441" s="74">
        <f>N441*1.15</f>
        <v/>
      </c>
      <c r="R441" s="74">
        <f>IF(M441&lt;N441*0.9056*0.85,N441*0.9056*0.85,IF(M441&gt;N441*1.15,N441*1.15,M441))</f>
        <v/>
      </c>
      <c r="S441" s="74">
        <f>+F441*M441</f>
        <v/>
      </c>
      <c r="T441" s="74">
        <f>S441+R441*I441</f>
        <v/>
      </c>
      <c r="U441" s="82">
        <f>S441+R441*J441</f>
        <v/>
      </c>
      <c r="V441" s="74">
        <f>U441-S441</f>
        <v/>
      </c>
      <c r="W441" s="82">
        <f>+U441-T441</f>
        <v/>
      </c>
      <c r="X441" s="83">
        <f>+U441-T441</f>
        <v/>
      </c>
      <c r="Y441" s="5" t="n"/>
    </row>
    <row r="442" ht="20" customHeight="1" s="1">
      <c r="A442" s="5" t="n">
        <v>158</v>
      </c>
      <c r="B442" s="5" t="inlineStr">
        <is>
          <t>粤011701010001</t>
        </is>
      </c>
      <c r="C442" s="5" t="inlineStr">
        <is>
          <t>满堂脚手架</t>
        </is>
      </c>
      <c r="D442" s="5" t="inlineStr">
        <is>
          <t>1.满堂脚手架(钢管)基本层4.2m</t>
        </is>
      </c>
      <c r="E442" s="5" t="inlineStr">
        <is>
          <t>m2</t>
        </is>
      </c>
      <c r="F442" s="6" t="n">
        <v>1485.61</v>
      </c>
      <c r="G442" s="74" t="n">
        <v>1344.77</v>
      </c>
      <c r="H442" s="82" t="n">
        <v>1344.77</v>
      </c>
      <c r="I442" s="74">
        <f>G442-F442</f>
        <v/>
      </c>
      <c r="J442" s="74">
        <f>H442-F442</f>
        <v/>
      </c>
      <c r="K442" s="74">
        <f>+H442-G442</f>
        <v/>
      </c>
      <c r="L442" s="55">
        <f>I442/F442</f>
        <v/>
      </c>
      <c r="M442" s="6" t="n">
        <v>12.36</v>
      </c>
      <c r="N442" s="6" t="n">
        <v>13.43</v>
      </c>
      <c r="O442" s="55">
        <f>(M442-N442)/N442</f>
        <v/>
      </c>
      <c r="P442" s="74">
        <f>N442*0.9056*0.85</f>
        <v/>
      </c>
      <c r="Q442" s="74">
        <f>N442*1.15</f>
        <v/>
      </c>
      <c r="R442" s="74">
        <f>IF(M442&lt;N442*0.9056*0.85,N442*0.9056*0.85,IF(M442&gt;N442*1.15,N442*1.15,M442))</f>
        <v/>
      </c>
      <c r="S442" s="74">
        <f>+F442*M442</f>
        <v/>
      </c>
      <c r="T442" s="74">
        <f>S442+R442*I442</f>
        <v/>
      </c>
      <c r="U442" s="82">
        <f>S442+R442*J442</f>
        <v/>
      </c>
      <c r="V442" s="74">
        <f>U442-S442</f>
        <v/>
      </c>
      <c r="W442" s="82">
        <f>+U442-T442</f>
        <v/>
      </c>
      <c r="X442" s="83">
        <f>+U442-T442</f>
        <v/>
      </c>
      <c r="Y442" s="5" t="n"/>
    </row>
    <row r="443" ht="20" customHeight="1" s="1">
      <c r="A443" s="5" t="n">
        <v>159</v>
      </c>
      <c r="B443" s="5" t="inlineStr">
        <is>
          <t>粤011701010002</t>
        </is>
      </c>
      <c r="C443" s="5" t="inlineStr">
        <is>
          <t>满堂脚手架</t>
        </is>
      </c>
      <c r="D443" s="5" t="inlineStr">
        <is>
          <t>1.满堂脚手架(钢管)基本层7.8m</t>
        </is>
      </c>
      <c r="E443" s="5" t="inlineStr">
        <is>
          <t>m2</t>
        </is>
      </c>
      <c r="F443" s="6" t="n">
        <v>215.39</v>
      </c>
      <c r="G443" s="74" t="n">
        <v>149.55</v>
      </c>
      <c r="H443" s="82" t="n">
        <v>149.55</v>
      </c>
      <c r="I443" s="74">
        <f>G443-F443</f>
        <v/>
      </c>
      <c r="J443" s="74">
        <f>H443-F443</f>
        <v/>
      </c>
      <c r="K443" s="74">
        <f>+H443-G443</f>
        <v/>
      </c>
      <c r="L443" s="55">
        <f>I443/F443</f>
        <v/>
      </c>
      <c r="M443" s="6" t="n">
        <v>20.41</v>
      </c>
      <c r="N443" s="6" t="n">
        <v>22.27</v>
      </c>
      <c r="O443" s="55">
        <f>(M443-N443)/N443</f>
        <v/>
      </c>
      <c r="P443" s="74">
        <f>N443*0.9056*0.85</f>
        <v/>
      </c>
      <c r="Q443" s="74">
        <f>N443*1.15</f>
        <v/>
      </c>
      <c r="R443" s="74">
        <f>IF(M443&lt;N443*0.9056*0.85,N443*0.9056*0.85,IF(M443&gt;N443*1.15,N443*1.15,M443))</f>
        <v/>
      </c>
      <c r="S443" s="74">
        <f>+F443*M443</f>
        <v/>
      </c>
      <c r="T443" s="74">
        <f>S443+R443*I443</f>
        <v/>
      </c>
      <c r="U443" s="82">
        <f>S443+R443*J443</f>
        <v/>
      </c>
      <c r="V443" s="74">
        <f>U443-S443</f>
        <v/>
      </c>
      <c r="W443" s="82">
        <f>+U443-T443</f>
        <v/>
      </c>
      <c r="X443" s="83">
        <f>+U443-T443</f>
        <v/>
      </c>
      <c r="Y443" s="5" t="n"/>
    </row>
    <row r="444" ht="20" customHeight="1" s="1">
      <c r="A444" s="5" t="n">
        <v>160</v>
      </c>
      <c r="B444" s="5" t="inlineStr">
        <is>
          <t>粤011701010003</t>
        </is>
      </c>
      <c r="C444" s="5" t="inlineStr">
        <is>
          <t>满堂脚手架</t>
        </is>
      </c>
      <c r="D444" s="5" t="inlineStr">
        <is>
          <t>1.满堂脚手架(钢管)基本层11.4m</t>
        </is>
      </c>
      <c r="E444" s="5" t="inlineStr">
        <is>
          <t>m2</t>
        </is>
      </c>
      <c r="F444" s="6" t="n">
        <v>397.73</v>
      </c>
      <c r="G444" s="74" t="n">
        <v>361.79</v>
      </c>
      <c r="H444" s="82" t="n">
        <v>361.79</v>
      </c>
      <c r="I444" s="74">
        <f>G444-F444</f>
        <v/>
      </c>
      <c r="J444" s="74">
        <f>H444-F444</f>
        <v/>
      </c>
      <c r="K444" s="74">
        <f>+H444-G444</f>
        <v/>
      </c>
      <c r="L444" s="55">
        <f>I444/F444</f>
        <v/>
      </c>
      <c r="M444" s="6" t="n">
        <v>32.47</v>
      </c>
      <c r="N444" s="6" t="n">
        <v>35.54</v>
      </c>
      <c r="O444" s="55">
        <f>(M444-N444)/N444</f>
        <v/>
      </c>
      <c r="P444" s="74">
        <f>N444*0.9056*0.85</f>
        <v/>
      </c>
      <c r="Q444" s="74">
        <f>N444*1.15</f>
        <v/>
      </c>
      <c r="R444" s="74">
        <f>IF(M444&lt;N444*0.9056*0.85,N444*0.9056*0.85,IF(M444&gt;N444*1.15,N444*1.15,M444))</f>
        <v/>
      </c>
      <c r="S444" s="74">
        <f>+F444*M444</f>
        <v/>
      </c>
      <c r="T444" s="74">
        <f>S444+R444*I444</f>
        <v/>
      </c>
      <c r="U444" s="82">
        <f>S444+R444*J444</f>
        <v/>
      </c>
      <c r="V444" s="74">
        <f>U444-S444</f>
        <v/>
      </c>
      <c r="W444" s="82">
        <f>+U444-T444</f>
        <v/>
      </c>
      <c r="X444" s="83">
        <f>+U444-T444</f>
        <v/>
      </c>
      <c r="Y444" s="5" t="n"/>
    </row>
    <row r="445" ht="20" customHeight="1" s="1">
      <c r="A445" s="5" t="n">
        <v>161</v>
      </c>
      <c r="B445" s="5" t="inlineStr">
        <is>
          <t>粤011701015001</t>
        </is>
      </c>
      <c r="C445" s="5" t="inlineStr">
        <is>
          <t>电梯井脚手架</t>
        </is>
      </c>
      <c r="D445" s="5" t="inlineStr">
        <is>
          <t>1.电梯井脚手架(钢管)高度(m以内)30</t>
        </is>
      </c>
      <c r="E445" s="5" t="inlineStr">
        <is>
          <t>座</t>
        </is>
      </c>
      <c r="F445" s="6" t="n">
        <v>1</v>
      </c>
      <c r="G445" s="74" t="n">
        <v>1</v>
      </c>
      <c r="H445" s="84" t="n">
        <v>1</v>
      </c>
      <c r="I445" s="74">
        <f>G445-F445</f>
        <v/>
      </c>
      <c r="J445" s="74">
        <f>H445-F445</f>
        <v/>
      </c>
      <c r="K445" s="74">
        <f>+H445-G445</f>
        <v/>
      </c>
      <c r="L445" s="55">
        <f>I445/F445</f>
        <v/>
      </c>
      <c r="M445" s="6" t="n">
        <v>2876.01</v>
      </c>
      <c r="N445" s="6" t="n">
        <v>3126.05</v>
      </c>
      <c r="O445" s="55">
        <f>(M445-N445)/N445</f>
        <v/>
      </c>
      <c r="P445" s="74">
        <f>N445*0.9056*0.85</f>
        <v/>
      </c>
      <c r="Q445" s="74">
        <f>N445*1.15</f>
        <v/>
      </c>
      <c r="R445" s="74">
        <f>IF(M445&lt;N445*0.9056*0.85,N445*0.9056*0.85,IF(M445&gt;N445*1.15,N445*1.15,M445))</f>
        <v/>
      </c>
      <c r="S445" s="74">
        <f>+F445*M445</f>
        <v/>
      </c>
      <c r="T445" s="74">
        <f>S445+R445*I445</f>
        <v/>
      </c>
      <c r="U445" s="82">
        <f>S445+R445*J445</f>
        <v/>
      </c>
      <c r="V445" s="74">
        <f>U445-S445</f>
        <v/>
      </c>
      <c r="W445" s="82">
        <f>+U445-T445</f>
        <v/>
      </c>
      <c r="X445" s="83">
        <f>+U445-T445</f>
        <v/>
      </c>
      <c r="Y445" s="5" t="n"/>
    </row>
    <row r="446" ht="20" customHeight="1" s="1">
      <c r="A446" s="5" t="n">
        <v>162</v>
      </c>
      <c r="B446" s="5" t="inlineStr">
        <is>
          <t>粤011701009001</t>
        </is>
      </c>
      <c r="C446" s="5" t="inlineStr">
        <is>
          <t>单排钢脚手架</t>
        </is>
      </c>
      <c r="D446" s="5" t="inlineStr">
        <is>
          <t>1.搭设高度:高度(m以内)10
2.建筑用单排脚手架使用费</t>
        </is>
      </c>
      <c r="E446" s="5" t="inlineStr">
        <is>
          <t>m2</t>
        </is>
      </c>
      <c r="F446" s="6" t="n">
        <v>119.5</v>
      </c>
      <c r="G446" s="74" t="n">
        <v>119.5</v>
      </c>
      <c r="H446" s="82" t="n">
        <v>119.5</v>
      </c>
      <c r="I446" s="74">
        <f>G446-F446</f>
        <v/>
      </c>
      <c r="J446" s="74">
        <f>H446-F446</f>
        <v/>
      </c>
      <c r="K446" s="74">
        <f>+H446-G446</f>
        <v/>
      </c>
      <c r="L446" s="55">
        <f>I446/F446</f>
        <v/>
      </c>
      <c r="M446" s="6" t="n">
        <v>8.300000000000001</v>
      </c>
      <c r="N446" s="6" t="n">
        <v>18.05</v>
      </c>
      <c r="O446" s="55">
        <f>(M446-N446)/N446</f>
        <v/>
      </c>
      <c r="P446" s="74">
        <f>N446*0.9056*0.85</f>
        <v/>
      </c>
      <c r="Q446" s="74">
        <f>N446*1.15</f>
        <v/>
      </c>
      <c r="R446" s="74">
        <f>IF(M446&lt;N446*0.9056*0.85,N446*0.9056*0.85,IF(M446&gt;N446*1.15,N446*1.15,M446))</f>
        <v/>
      </c>
      <c r="S446" s="74">
        <f>+F446*M446</f>
        <v/>
      </c>
      <c r="T446" s="74">
        <f>S446+R446*I446</f>
        <v/>
      </c>
      <c r="U446" s="82">
        <f>S446+R446*J446</f>
        <v/>
      </c>
      <c r="V446" s="74">
        <f>U446-S446</f>
        <v/>
      </c>
      <c r="W446" s="82">
        <f>+U446-T446</f>
        <v/>
      </c>
      <c r="X446" s="83">
        <f>+U446-T446</f>
        <v/>
      </c>
      <c r="Y446" s="5" t="n"/>
    </row>
    <row r="447" ht="20" customHeight="1" s="1">
      <c r="A447" s="5" t="n">
        <v>163</v>
      </c>
      <c r="B447" s="5" t="inlineStr">
        <is>
          <t>011702001007</t>
        </is>
      </c>
      <c r="C447" s="5" t="inlineStr">
        <is>
          <t>基础</t>
        </is>
      </c>
      <c r="D447" s="5" t="inlineStr">
        <is>
          <t>1.基础垫层模板</t>
        </is>
      </c>
      <c r="E447" s="5" t="inlineStr">
        <is>
          <t>m2</t>
        </is>
      </c>
      <c r="F447" s="6" t="n">
        <v>194.52</v>
      </c>
      <c r="G447" s="74" t="n">
        <v>325.82</v>
      </c>
      <c r="H447" s="82" t="n">
        <v>310.3</v>
      </c>
      <c r="I447" s="74">
        <f>G447-F447</f>
        <v/>
      </c>
      <c r="J447" s="74">
        <f>H447-F447</f>
        <v/>
      </c>
      <c r="K447" s="74">
        <f>+H447-G447</f>
        <v/>
      </c>
      <c r="L447" s="55">
        <f>I447/F447</f>
        <v/>
      </c>
      <c r="M447" s="6" t="n">
        <v>31.42</v>
      </c>
      <c r="N447" s="6" t="n">
        <v>34.37</v>
      </c>
      <c r="O447" s="55">
        <f>(M447-N447)/N447</f>
        <v/>
      </c>
      <c r="P447" s="74">
        <f>N447*0.9056*0.85</f>
        <v/>
      </c>
      <c r="Q447" s="74">
        <f>N447*1.15</f>
        <v/>
      </c>
      <c r="R447" s="74">
        <f>IF(M447&lt;N447*0.9056*0.85,N447*0.9056*0.85,IF(M447&gt;N447*1.15,N447*1.15,M447))</f>
        <v/>
      </c>
      <c r="S447" s="74">
        <f>+F447*M447</f>
        <v/>
      </c>
      <c r="T447" s="74">
        <f>S447+R447*I447</f>
        <v/>
      </c>
      <c r="U447" s="82">
        <f>S447+R447*J447</f>
        <v/>
      </c>
      <c r="V447" s="74">
        <f>U447-S447</f>
        <v/>
      </c>
      <c r="W447" s="82">
        <f>+U447-T447</f>
        <v/>
      </c>
      <c r="X447" s="83">
        <f>+U447-T447</f>
        <v/>
      </c>
      <c r="Y447" s="5" t="n"/>
    </row>
    <row r="448" ht="20" customHeight="1" s="1">
      <c r="A448" s="5" t="n">
        <v>164</v>
      </c>
      <c r="B448" s="5" t="inlineStr">
        <is>
          <t>011702001005</t>
        </is>
      </c>
      <c r="C448" s="5" t="inlineStr">
        <is>
          <t>基础</t>
        </is>
      </c>
      <c r="D448" s="5" t="inlineStr">
        <is>
          <t>1.基础类型:桩承台模板</t>
        </is>
      </c>
      <c r="E448" s="5" t="inlineStr">
        <is>
          <t>m2</t>
        </is>
      </c>
      <c r="F448" s="6" t="n">
        <v>449.65</v>
      </c>
      <c r="G448" s="74" t="n">
        <v>0</v>
      </c>
      <c r="H448" s="82" t="n">
        <v>0</v>
      </c>
      <c r="I448" s="74">
        <f>G448-F448</f>
        <v/>
      </c>
      <c r="J448" s="74">
        <f>H448-F448</f>
        <v/>
      </c>
      <c r="K448" s="74">
        <f>+H448-G448</f>
        <v/>
      </c>
      <c r="L448" s="55">
        <f>I448/F448</f>
        <v/>
      </c>
      <c r="M448" s="6" t="n">
        <v>47.62</v>
      </c>
      <c r="N448" s="6" t="n">
        <v>54.22</v>
      </c>
      <c r="O448" s="55">
        <f>(M448-N448)/N448</f>
        <v/>
      </c>
      <c r="P448" s="74">
        <f>N448*0.9056*0.85</f>
        <v/>
      </c>
      <c r="Q448" s="74">
        <f>N448*1.15</f>
        <v/>
      </c>
      <c r="R448" s="74">
        <f>IF(M448&lt;N448*0.9056*0.85,N448*0.9056*0.85,IF(M448&gt;N448*1.15,N448*1.15,M448))</f>
        <v/>
      </c>
      <c r="S448" s="74">
        <f>+F448*M448</f>
        <v/>
      </c>
      <c r="T448" s="74">
        <f>S448+R448*I448</f>
        <v/>
      </c>
      <c r="U448" s="82">
        <f>S448+R448*J448</f>
        <v/>
      </c>
      <c r="V448" s="74">
        <f>U448-S448</f>
        <v/>
      </c>
      <c r="W448" s="82">
        <f>+U448-T448</f>
        <v/>
      </c>
      <c r="X448" s="83">
        <f>+U448-T448</f>
        <v/>
      </c>
      <c r="Y448" s="5" t="n"/>
    </row>
    <row r="449" ht="20" customHeight="1" s="1">
      <c r="A449" s="5" t="n">
        <v>165</v>
      </c>
      <c r="B449" s="5" t="inlineStr">
        <is>
          <t>011702001006</t>
        </is>
      </c>
      <c r="C449" s="5" t="inlineStr">
        <is>
          <t>基础</t>
        </is>
      </c>
      <c r="D449" s="5" t="inlineStr">
        <is>
          <t>1.基础类型:满堂基础模板</t>
        </is>
      </c>
      <c r="E449" s="5" t="inlineStr">
        <is>
          <t>m2</t>
        </is>
      </c>
      <c r="F449" s="6" t="n">
        <v>24.83</v>
      </c>
      <c r="G449" s="74" t="n">
        <v>35.11</v>
      </c>
      <c r="H449" s="82" t="n">
        <v>33.44</v>
      </c>
      <c r="I449" s="74">
        <f>G449-F449</f>
        <v/>
      </c>
      <c r="J449" s="74">
        <f>H449-F449</f>
        <v/>
      </c>
      <c r="K449" s="74">
        <f>+H449-G449</f>
        <v/>
      </c>
      <c r="L449" s="55">
        <f>I449/F449</f>
        <v/>
      </c>
      <c r="M449" s="6" t="n">
        <v>51.46</v>
      </c>
      <c r="N449" s="6" t="n">
        <v>58.36</v>
      </c>
      <c r="O449" s="55">
        <f>(M449-N449)/N449</f>
        <v/>
      </c>
      <c r="P449" s="74">
        <f>N449*0.9056*0.85</f>
        <v/>
      </c>
      <c r="Q449" s="74">
        <f>N449*1.15</f>
        <v/>
      </c>
      <c r="R449" s="74">
        <f>IF(M449&lt;N449*0.9056*0.85,N449*0.9056*0.85,IF(M449&gt;N449*1.15,N449*1.15,M449))</f>
        <v/>
      </c>
      <c r="S449" s="74">
        <f>+F449*M449</f>
        <v/>
      </c>
      <c r="T449" s="74">
        <f>S449+R449*I449</f>
        <v/>
      </c>
      <c r="U449" s="82">
        <f>S449+R449*J449</f>
        <v/>
      </c>
      <c r="V449" s="74">
        <f>U449-S449</f>
        <v/>
      </c>
      <c r="W449" s="82">
        <f>+U449-T449</f>
        <v/>
      </c>
      <c r="X449" s="83">
        <f>+U449-T449</f>
        <v/>
      </c>
      <c r="Y449" s="5" t="n"/>
    </row>
    <row r="450" ht="20" customHeight="1" s="1">
      <c r="A450" s="5" t="n">
        <v>166</v>
      </c>
      <c r="B450" s="5" t="inlineStr">
        <is>
          <t>011702002002</t>
        </is>
      </c>
      <c r="C450" s="5" t="inlineStr">
        <is>
          <t>矩形柱</t>
        </is>
      </c>
      <c r="D450" s="5" t="inlineStr">
        <is>
          <t>1.矩形柱模板(周长m)支模高度4.5m1.8外</t>
        </is>
      </c>
      <c r="E450" s="5" t="inlineStr">
        <is>
          <t>m2</t>
        </is>
      </c>
      <c r="F450" s="6" t="n">
        <v>754.35</v>
      </c>
      <c r="G450" s="74" t="n">
        <v>459.38</v>
      </c>
      <c r="H450" s="82" t="n">
        <v>459.38</v>
      </c>
      <c r="I450" s="74">
        <f>G450-F450</f>
        <v/>
      </c>
      <c r="J450" s="74">
        <f>H450-F450</f>
        <v/>
      </c>
      <c r="K450" s="74">
        <f>+H450-G450</f>
        <v/>
      </c>
      <c r="L450" s="55">
        <f>I450/F450</f>
        <v/>
      </c>
      <c r="M450" s="6" t="n">
        <v>62.37</v>
      </c>
      <c r="N450" s="6" t="n">
        <v>67.88</v>
      </c>
      <c r="O450" s="55">
        <f>(M450-N450)/N450</f>
        <v/>
      </c>
      <c r="P450" s="74">
        <f>N450*0.9056*0.85</f>
        <v/>
      </c>
      <c r="Q450" s="74">
        <f>N450*1.15</f>
        <v/>
      </c>
      <c r="R450" s="74">
        <f>IF(M450&lt;N450*0.9056*0.85,N450*0.9056*0.85,IF(M450&gt;N450*1.15,N450*1.15,M450))</f>
        <v/>
      </c>
      <c r="S450" s="74">
        <f>+F450*M450</f>
        <v/>
      </c>
      <c r="T450" s="74">
        <f>S450+R450*I450</f>
        <v/>
      </c>
      <c r="U450" s="82">
        <f>S450+R450*J450</f>
        <v/>
      </c>
      <c r="V450" s="74">
        <f>U450-S450</f>
        <v/>
      </c>
      <c r="W450" s="82">
        <f>+U450-T450</f>
        <v/>
      </c>
      <c r="X450" s="83">
        <f>+U450-T450</f>
        <v/>
      </c>
      <c r="Y450" s="5" t="n"/>
    </row>
    <row r="451" ht="20" customHeight="1" s="1">
      <c r="A451" s="5" t="n">
        <v>167</v>
      </c>
      <c r="B451" s="5" t="inlineStr">
        <is>
          <t>011702002008</t>
        </is>
      </c>
      <c r="C451" s="5" t="inlineStr">
        <is>
          <t>矩形柱</t>
        </is>
      </c>
      <c r="D451" s="5" t="inlineStr">
        <is>
          <t>1.矩形柱模板(周长m)支模高度3.6m内1.8外</t>
        </is>
      </c>
      <c r="E451" s="5" t="inlineStr">
        <is>
          <t>m2</t>
        </is>
      </c>
      <c r="F451" s="6" t="n">
        <v>2599.236</v>
      </c>
      <c r="G451" s="74" t="n">
        <v>1914.88</v>
      </c>
      <c r="H451" s="82" t="n">
        <v>1823.69</v>
      </c>
      <c r="I451" s="74">
        <f>G451-F451</f>
        <v/>
      </c>
      <c r="J451" s="74">
        <f>H451-F451</f>
        <v/>
      </c>
      <c r="K451" s="74">
        <f>+H451-G451</f>
        <v/>
      </c>
      <c r="L451" s="55">
        <f>I451/F451</f>
        <v/>
      </c>
      <c r="M451" s="6" t="n">
        <v>58.27</v>
      </c>
      <c r="N451" s="6" t="n">
        <v>63.57</v>
      </c>
      <c r="O451" s="55">
        <f>(M451-N451)/N451</f>
        <v/>
      </c>
      <c r="P451" s="74">
        <f>N451*0.9056*0.85</f>
        <v/>
      </c>
      <c r="Q451" s="74">
        <f>N451*1.15</f>
        <v/>
      </c>
      <c r="R451" s="74">
        <f>IF(M451&lt;N451*0.9056*0.85,N451*0.9056*0.85,IF(M451&gt;N451*1.15,N451*1.15,M451))</f>
        <v/>
      </c>
      <c r="S451" s="74">
        <f>+F451*M451</f>
        <v/>
      </c>
      <c r="T451" s="74">
        <f>S451+R451*I451</f>
        <v/>
      </c>
      <c r="U451" s="82">
        <f>S451+R451*J451</f>
        <v/>
      </c>
      <c r="V451" s="74">
        <f>U451-S451</f>
        <v/>
      </c>
      <c r="W451" s="82">
        <f>+U451-T451</f>
        <v/>
      </c>
      <c r="X451" s="83">
        <f>+U451-T451</f>
        <v/>
      </c>
      <c r="Y451" s="5" t="n"/>
    </row>
    <row r="452" ht="20" customHeight="1" s="1">
      <c r="A452" s="5" t="n">
        <v>168</v>
      </c>
      <c r="B452" s="5" t="inlineStr">
        <is>
          <t>011702002006</t>
        </is>
      </c>
      <c r="C452" s="5" t="inlineStr">
        <is>
          <t>矩形柱</t>
        </is>
      </c>
      <c r="D452" s="5" t="inlineStr">
        <is>
          <t>1.矩形柱模板(周长m)支模高度3.6m内1.8内</t>
        </is>
      </c>
      <c r="E452" s="5" t="inlineStr">
        <is>
          <t>m2</t>
        </is>
      </c>
      <c r="F452" s="6" t="n">
        <v>17.184</v>
      </c>
      <c r="G452" s="74" t="n">
        <v>682.21</v>
      </c>
      <c r="H452" s="82" t="n">
        <v>649.72</v>
      </c>
      <c r="I452" s="74">
        <f>G452-F452</f>
        <v/>
      </c>
      <c r="J452" s="74">
        <f>H452-F452</f>
        <v/>
      </c>
      <c r="K452" s="74">
        <f>+H452-G452</f>
        <v/>
      </c>
      <c r="L452" s="55">
        <f>I452/F452</f>
        <v/>
      </c>
      <c r="M452" s="6" t="n">
        <v>53.08</v>
      </c>
      <c r="N452" s="6" t="n">
        <v>57.93</v>
      </c>
      <c r="O452" s="55">
        <f>(M452-N452)/N452</f>
        <v/>
      </c>
      <c r="P452" s="74">
        <f>N452*0.9056*0.85</f>
        <v/>
      </c>
      <c r="Q452" s="74">
        <f>N452*1.15</f>
        <v/>
      </c>
      <c r="R452" s="74">
        <f>IF(M452&lt;N452*0.9056*0.85,N452*0.9056*0.85,IF(M452&gt;N452*1.15,N452*1.15,M452))</f>
        <v/>
      </c>
      <c r="S452" s="74">
        <f>+F452*M452</f>
        <v/>
      </c>
      <c r="T452" s="74">
        <f>S452+R452*I452</f>
        <v/>
      </c>
      <c r="U452" s="82">
        <f>S452+R452*J452</f>
        <v/>
      </c>
      <c r="V452" s="74">
        <f>U452-S452</f>
        <v/>
      </c>
      <c r="W452" s="82">
        <f>+U452-T452</f>
        <v/>
      </c>
      <c r="X452" s="83">
        <f>+U452-T452</f>
        <v/>
      </c>
      <c r="Y452" s="5" t="n"/>
    </row>
    <row r="453" ht="20" customHeight="1" s="1">
      <c r="A453" s="5" t="n">
        <v>169</v>
      </c>
      <c r="B453" s="5" t="inlineStr">
        <is>
          <t>011702004003</t>
        </is>
      </c>
      <c r="C453" s="5" t="inlineStr">
        <is>
          <t>异形柱</t>
        </is>
      </c>
      <c r="D453" s="5" t="inlineStr">
        <is>
          <t>1.异形柱模板支模高度3.6m内实际支模高度(m):4.2</t>
        </is>
      </c>
      <c r="E453" s="5" t="inlineStr">
        <is>
          <t>m2</t>
        </is>
      </c>
      <c r="F453" s="6" t="n">
        <v>105.36</v>
      </c>
      <c r="G453" s="74" t="n">
        <v>60.86</v>
      </c>
      <c r="H453" s="82" t="n">
        <v>60.86</v>
      </c>
      <c r="I453" s="74">
        <f>G453-F453</f>
        <v/>
      </c>
      <c r="J453" s="74">
        <f>H453-F453</f>
        <v/>
      </c>
      <c r="K453" s="74">
        <f>+H453-G453</f>
        <v/>
      </c>
      <c r="L453" s="55">
        <f>I453/F453</f>
        <v/>
      </c>
      <c r="M453" s="6" t="n">
        <v>78.64</v>
      </c>
      <c r="N453" s="6" t="n">
        <v>89.79000000000001</v>
      </c>
      <c r="O453" s="55">
        <f>(M453-N453)/N453</f>
        <v/>
      </c>
      <c r="P453" s="74">
        <f>N453*0.9056*0.85</f>
        <v/>
      </c>
      <c r="Q453" s="74">
        <f>N453*1.15</f>
        <v/>
      </c>
      <c r="R453" s="74">
        <f>IF(M453&lt;N453*0.9056*0.85,N453*0.9056*0.85,IF(M453&gt;N453*1.15,N453*1.15,M453))</f>
        <v/>
      </c>
      <c r="S453" s="74">
        <f>+F453*M453</f>
        <v/>
      </c>
      <c r="T453" s="74">
        <f>S453+R453*I453</f>
        <v/>
      </c>
      <c r="U453" s="82">
        <f>S453+R453*J453</f>
        <v/>
      </c>
      <c r="V453" s="74">
        <f>U453-S453</f>
        <v/>
      </c>
      <c r="W453" s="82">
        <f>+U453-T453</f>
        <v/>
      </c>
      <c r="X453" s="83">
        <f>+U453-T453</f>
        <v/>
      </c>
      <c r="Y453" s="5" t="n"/>
    </row>
    <row r="454" ht="20" customHeight="1" s="1">
      <c r="A454" s="5" t="n">
        <v>170</v>
      </c>
      <c r="B454" s="5" t="inlineStr">
        <is>
          <t>011702004002</t>
        </is>
      </c>
      <c r="C454" s="5" t="inlineStr">
        <is>
          <t>异形柱</t>
        </is>
      </c>
      <c r="D454" s="5" t="inlineStr">
        <is>
          <t>1.异形柱模板支模高度3.6m内</t>
        </is>
      </c>
      <c r="E454" s="5" t="inlineStr">
        <is>
          <t>m2</t>
        </is>
      </c>
      <c r="F454" s="6" t="n">
        <v>160.18</v>
      </c>
      <c r="G454" s="74" t="n">
        <v>147.26</v>
      </c>
      <c r="H454" s="82" t="n">
        <v>147.26</v>
      </c>
      <c r="I454" s="74">
        <f>G454-F454</f>
        <v/>
      </c>
      <c r="J454" s="74">
        <f>H454-F454</f>
        <v/>
      </c>
      <c r="K454" s="74">
        <f>+H454-G454</f>
        <v/>
      </c>
      <c r="L454" s="55">
        <f>I454/F454</f>
        <v/>
      </c>
      <c r="M454" s="6" t="n">
        <v>74.53</v>
      </c>
      <c r="N454" s="6" t="n">
        <v>85.23</v>
      </c>
      <c r="O454" s="55">
        <f>(M454-N454)/N454</f>
        <v/>
      </c>
      <c r="P454" s="74">
        <f>N454*0.9056*0.85</f>
        <v/>
      </c>
      <c r="Q454" s="74">
        <f>N454*1.15</f>
        <v/>
      </c>
      <c r="R454" s="74">
        <f>IF(M454&lt;N454*0.9056*0.85,N454*0.9056*0.85,IF(M454&gt;N454*1.15,N454*1.15,M454))</f>
        <v/>
      </c>
      <c r="S454" s="74">
        <f>+F454*M454</f>
        <v/>
      </c>
      <c r="T454" s="74">
        <f>S454+R454*I454</f>
        <v/>
      </c>
      <c r="U454" s="82">
        <f>S454+R454*J454</f>
        <v/>
      </c>
      <c r="V454" s="74">
        <f>U454-S454</f>
        <v/>
      </c>
      <c r="W454" s="82">
        <f>+U454-T454</f>
        <v/>
      </c>
      <c r="X454" s="83">
        <f>+U454-T454</f>
        <v/>
      </c>
      <c r="Y454" s="5" t="n"/>
    </row>
    <row r="455" ht="20" customHeight="1" s="1">
      <c r="A455" s="5" t="n">
        <v>171</v>
      </c>
      <c r="B455" s="5" t="inlineStr">
        <is>
          <t>011702003003</t>
        </is>
      </c>
      <c r="C455" s="5" t="inlineStr">
        <is>
          <t>构造柱</t>
        </is>
      </c>
      <c r="D455" s="5" t="inlineStr">
        <is>
          <t>1.构造柱模板(周长m)支模高度3.6m内1.2内</t>
        </is>
      </c>
      <c r="E455" s="5" t="inlineStr">
        <is>
          <t>m2</t>
        </is>
      </c>
      <c r="F455" s="6" t="n">
        <v>1955.16</v>
      </c>
      <c r="G455" s="74" t="n">
        <v>1955.16</v>
      </c>
      <c r="H455" s="82" t="n">
        <v>1689.13</v>
      </c>
      <c r="I455" s="74">
        <f>G455-F455</f>
        <v/>
      </c>
      <c r="J455" s="74">
        <f>H455-F455</f>
        <v/>
      </c>
      <c r="K455" s="74">
        <f>+H455-G455</f>
        <v/>
      </c>
      <c r="L455" s="55">
        <f>I455/F455</f>
        <v/>
      </c>
      <c r="M455" s="6" t="n">
        <v>66.62</v>
      </c>
      <c r="N455" s="6" t="n">
        <v>78.81</v>
      </c>
      <c r="O455" s="55">
        <f>(M455-N455)/N455</f>
        <v/>
      </c>
      <c r="P455" s="74">
        <f>N455*0.9056*0.85</f>
        <v/>
      </c>
      <c r="Q455" s="74">
        <f>N455*1.15</f>
        <v/>
      </c>
      <c r="R455" s="74">
        <f>IF(M455&lt;N455*0.9056*0.85,N455*0.9056*0.85,IF(M455&gt;N455*1.15,N455*1.15,M455))</f>
        <v/>
      </c>
      <c r="S455" s="74">
        <f>+F455*M455</f>
        <v/>
      </c>
      <c r="T455" s="74">
        <f>S455+R455*I455</f>
        <v/>
      </c>
      <c r="U455" s="82">
        <f>S455+R455*J455</f>
        <v/>
      </c>
      <c r="V455" s="74">
        <f>U455-S455</f>
        <v/>
      </c>
      <c r="W455" s="82">
        <f>+U455-T455</f>
        <v/>
      </c>
      <c r="X455" s="83">
        <f>+U455-T455</f>
        <v/>
      </c>
      <c r="Y455" s="5" t="n"/>
    </row>
    <row r="456" ht="20" customHeight="1" s="1">
      <c r="A456" s="5" t="n">
        <v>172</v>
      </c>
      <c r="B456" s="5" t="inlineStr">
        <is>
          <t>011702003004</t>
        </is>
      </c>
      <c r="C456" s="5" t="inlineStr">
        <is>
          <t>构造柱</t>
        </is>
      </c>
      <c r="D456" s="5" t="inlineStr">
        <is>
          <t>1.构造柱模板(周长m)支模高度4.5m内1.2内</t>
        </is>
      </c>
      <c r="E456" s="5" t="inlineStr">
        <is>
          <t>m2</t>
        </is>
      </c>
      <c r="F456" s="6" t="n">
        <v>343.48</v>
      </c>
      <c r="G456" s="74" t="n">
        <v>343.48</v>
      </c>
      <c r="H456" s="82" t="n">
        <v>293.8</v>
      </c>
      <c r="I456" s="74">
        <f>G456-F456</f>
        <v/>
      </c>
      <c r="J456" s="74">
        <f>H456-F456</f>
        <v/>
      </c>
      <c r="K456" s="74">
        <f>+H456-G456</f>
        <v/>
      </c>
      <c r="L456" s="55">
        <f>I456/F456</f>
        <v/>
      </c>
      <c r="M456" s="6" t="n">
        <v>70.72</v>
      </c>
      <c r="N456" s="6" t="n">
        <v>83.12</v>
      </c>
      <c r="O456" s="55">
        <f>(M456-N456)/N456</f>
        <v/>
      </c>
      <c r="P456" s="74">
        <f>N456*0.9056*0.85</f>
        <v/>
      </c>
      <c r="Q456" s="74">
        <f>N456*1.15</f>
        <v/>
      </c>
      <c r="R456" s="74">
        <f>IF(M456&lt;N456*0.9056*0.85,N456*0.9056*0.85,IF(M456&gt;N456*1.15,N456*1.15,M456))</f>
        <v/>
      </c>
      <c r="S456" s="74">
        <f>+F456*M456</f>
        <v/>
      </c>
      <c r="T456" s="74">
        <f>S456+R456*I456</f>
        <v/>
      </c>
      <c r="U456" s="82">
        <f>S456+R456*J456</f>
        <v/>
      </c>
      <c r="V456" s="74">
        <f>U456-S456</f>
        <v/>
      </c>
      <c r="W456" s="82">
        <f>+U456-T456</f>
        <v/>
      </c>
      <c r="X456" s="83">
        <f>+U456-T456</f>
        <v/>
      </c>
      <c r="Y456" s="5" t="n"/>
    </row>
    <row r="457" ht="20" customHeight="1" s="1">
      <c r="A457" s="5" t="n">
        <v>173</v>
      </c>
      <c r="B457" s="5" t="inlineStr">
        <is>
          <t>011702011002</t>
        </is>
      </c>
      <c r="C457" s="5" t="inlineStr">
        <is>
          <t>直形墙</t>
        </is>
      </c>
      <c r="D457" s="5" t="inlineStr">
        <is>
          <t>1.直形墙模板墙厚(cm以内)40支模高度3.6m内</t>
        </is>
      </c>
      <c r="E457" s="5" t="inlineStr">
        <is>
          <t>m2</t>
        </is>
      </c>
      <c r="F457" s="6" t="n">
        <v>1956.61</v>
      </c>
      <c r="G457" s="74" t="n">
        <v>2114.52</v>
      </c>
      <c r="H457" s="82" t="n">
        <v>2013.47</v>
      </c>
      <c r="I457" s="74">
        <f>G457-F457</f>
        <v/>
      </c>
      <c r="J457" s="74">
        <f>H457-F457</f>
        <v/>
      </c>
      <c r="K457" s="74">
        <f>+H457-G457</f>
        <v/>
      </c>
      <c r="L457" s="55">
        <f>I457/F457</f>
        <v/>
      </c>
      <c r="M457" s="6" t="n">
        <v>43.27</v>
      </c>
      <c r="N457" s="6" t="n">
        <v>45.5</v>
      </c>
      <c r="O457" s="55">
        <f>(M457-N457)/N457</f>
        <v/>
      </c>
      <c r="P457" s="74">
        <f>N457*0.9056*0.85</f>
        <v/>
      </c>
      <c r="Q457" s="74">
        <f>N457*1.15</f>
        <v/>
      </c>
      <c r="R457" s="74">
        <f>IF(M457&lt;N457*0.9056*0.85,N457*0.9056*0.85,IF(M457&gt;N457*1.15,N457*1.15,M457))</f>
        <v/>
      </c>
      <c r="S457" s="74">
        <f>+F457*M457</f>
        <v/>
      </c>
      <c r="T457" s="74">
        <f>S457+R457*I457</f>
        <v/>
      </c>
      <c r="U457" s="82">
        <f>S457+R457*J457</f>
        <v/>
      </c>
      <c r="V457" s="74">
        <f>U457-S457</f>
        <v/>
      </c>
      <c r="W457" s="82">
        <f>+U457-T457</f>
        <v/>
      </c>
      <c r="X457" s="83">
        <f>+U457-T457</f>
        <v/>
      </c>
      <c r="Y457" s="5" t="n"/>
    </row>
    <row r="458" ht="20" customHeight="1" s="1">
      <c r="A458" s="5" t="n">
        <v>174</v>
      </c>
      <c r="B458" s="5" t="inlineStr">
        <is>
          <t>011702011003</t>
        </is>
      </c>
      <c r="C458" s="5" t="inlineStr">
        <is>
          <t>直形墙</t>
        </is>
      </c>
      <c r="D458" s="5" t="inlineStr">
        <is>
          <t>1.直形墙模板墙厚(cm以内)40支模高度4.2m</t>
        </is>
      </c>
      <c r="E458" s="5" t="inlineStr">
        <is>
          <t>m2</t>
        </is>
      </c>
      <c r="F458" s="6" t="n">
        <v>421.32</v>
      </c>
      <c r="G458" s="74" t="n">
        <v>418.14</v>
      </c>
      <c r="H458" s="82" t="n">
        <v>398.23</v>
      </c>
      <c r="I458" s="74">
        <f>G458-F458</f>
        <v/>
      </c>
      <c r="J458" s="74">
        <f>H458-F458</f>
        <v/>
      </c>
      <c r="K458" s="74">
        <f>+H458-G458</f>
        <v/>
      </c>
      <c r="L458" s="55">
        <f>I458/F458</f>
        <v/>
      </c>
      <c r="M458" s="6" t="n">
        <v>45.51</v>
      </c>
      <c r="N458" s="6" t="n">
        <v>47.89</v>
      </c>
      <c r="O458" s="55">
        <f>(M458-N458)/N458</f>
        <v/>
      </c>
      <c r="P458" s="74">
        <f>N458*0.9056*0.85</f>
        <v/>
      </c>
      <c r="Q458" s="74">
        <f>N458*1.15</f>
        <v/>
      </c>
      <c r="R458" s="74">
        <f>IF(M458&lt;N458*0.9056*0.85,N458*0.9056*0.85,IF(M458&gt;N458*1.15,N458*1.15,M458))</f>
        <v/>
      </c>
      <c r="S458" s="74">
        <f>+F458*M458</f>
        <v/>
      </c>
      <c r="T458" s="74">
        <f>S458+R458*I458</f>
        <v/>
      </c>
      <c r="U458" s="82">
        <f>S458+R458*J458</f>
        <v/>
      </c>
      <c r="V458" s="74">
        <f>U458-S458</f>
        <v/>
      </c>
      <c r="W458" s="82">
        <f>+U458-T458</f>
        <v/>
      </c>
      <c r="X458" s="83">
        <f>+U458-T458</f>
        <v/>
      </c>
      <c r="Y458" s="5" t="n"/>
    </row>
    <row r="459" ht="20" customHeight="1" s="1">
      <c r="A459" s="5" t="n">
        <v>175</v>
      </c>
      <c r="B459" s="5" t="inlineStr">
        <is>
          <t>011702014004</t>
        </is>
      </c>
      <c r="C459" s="5" t="inlineStr">
        <is>
          <t>有梁板</t>
        </is>
      </c>
      <c r="D459" s="5" t="inlineStr">
        <is>
          <t>1.有梁板模板支模高度4.2m内</t>
        </is>
      </c>
      <c r="E459" s="5" t="inlineStr">
        <is>
          <t>m2</t>
        </is>
      </c>
      <c r="F459" s="6" t="n">
        <v>1188.2744</v>
      </c>
      <c r="G459" s="74" t="n">
        <v>1340.7</v>
      </c>
      <c r="H459" s="82" t="n">
        <v>1276.86</v>
      </c>
      <c r="I459" s="74">
        <f>G459-F459</f>
        <v/>
      </c>
      <c r="J459" s="74">
        <f>H459-F459</f>
        <v/>
      </c>
      <c r="K459" s="74">
        <f>+H459-G459</f>
        <v/>
      </c>
      <c r="L459" s="55">
        <f>I459/F459</f>
        <v/>
      </c>
      <c r="M459" s="6" t="n">
        <v>67.34</v>
      </c>
      <c r="N459" s="6" t="n">
        <v>87.18000000000001</v>
      </c>
      <c r="O459" s="55">
        <f>(M459-N459)/N459</f>
        <v/>
      </c>
      <c r="P459" s="74">
        <f>N459*0.9056*0.85</f>
        <v/>
      </c>
      <c r="Q459" s="74">
        <f>N459*1.15</f>
        <v/>
      </c>
      <c r="R459" s="74">
        <f>IF(M459&lt;N459*0.9056*0.85,N459*0.9056*0.85,IF(M459&gt;N459*1.15,N459*1.15,M459))</f>
        <v/>
      </c>
      <c r="S459" s="74">
        <f>+F459*M459</f>
        <v/>
      </c>
      <c r="T459" s="74">
        <f>S459+R459*I459</f>
        <v/>
      </c>
      <c r="U459" s="82">
        <f>S459+R459*J459</f>
        <v/>
      </c>
      <c r="V459" s="74">
        <f>U459-S459</f>
        <v/>
      </c>
      <c r="W459" s="82">
        <f>+U459-T459</f>
        <v/>
      </c>
      <c r="X459" s="83">
        <f>+U459-T459</f>
        <v/>
      </c>
      <c r="Y459" s="5" t="n"/>
    </row>
    <row r="460" ht="20" customHeight="1" s="1">
      <c r="A460" s="5" t="n">
        <v>176</v>
      </c>
      <c r="B460" s="5" t="inlineStr">
        <is>
          <t>011702014005</t>
        </is>
      </c>
      <c r="C460" s="5" t="inlineStr">
        <is>
          <t>有梁板</t>
        </is>
      </c>
      <c r="D460" s="5" t="inlineStr">
        <is>
          <t>1.有梁板模板支模高度3.6m内</t>
        </is>
      </c>
      <c r="E460" s="5" t="inlineStr">
        <is>
          <t>m2</t>
        </is>
      </c>
      <c r="F460" s="6" t="n">
        <v>6368.315</v>
      </c>
      <c r="G460" s="74" t="n">
        <v>6572.67</v>
      </c>
      <c r="H460" s="82">
        <f>8032.06-H461</f>
        <v/>
      </c>
      <c r="I460" s="74">
        <f>G460-F460</f>
        <v/>
      </c>
      <c r="J460" s="74">
        <f>H460-F460</f>
        <v/>
      </c>
      <c r="K460" s="74">
        <f>+H460-G460</f>
        <v/>
      </c>
      <c r="L460" s="55">
        <f>I460/F460</f>
        <v/>
      </c>
      <c r="M460" s="6" t="n">
        <v>59.25</v>
      </c>
      <c r="N460" s="6" t="n">
        <v>63.21</v>
      </c>
      <c r="O460" s="55">
        <f>(M460-N460)/N460</f>
        <v/>
      </c>
      <c r="P460" s="74">
        <f>N460*0.9056*0.85</f>
        <v/>
      </c>
      <c r="Q460" s="74">
        <f>N460*1.15</f>
        <v/>
      </c>
      <c r="R460" s="74">
        <f>IF(M460&lt;N460*0.9056*0.85,N460*0.9056*0.85,IF(M460&gt;N460*1.15,N460*1.15,M460))</f>
        <v/>
      </c>
      <c r="S460" s="74">
        <f>+F460*M460</f>
        <v/>
      </c>
      <c r="T460" s="74">
        <f>S460+R460*I460</f>
        <v/>
      </c>
      <c r="U460" s="82">
        <f>S460+R460*J460</f>
        <v/>
      </c>
      <c r="V460" s="74">
        <f>U460-S460</f>
        <v/>
      </c>
      <c r="W460" s="82">
        <f>+U460-T460</f>
        <v/>
      </c>
      <c r="X460" s="83">
        <f>+U460-T460</f>
        <v/>
      </c>
      <c r="Y460" s="5" t="n"/>
    </row>
    <row r="461" ht="20" customHeight="1" s="1">
      <c r="A461" s="5" t="n">
        <v>177</v>
      </c>
      <c r="B461" s="5" t="inlineStr">
        <is>
          <t>011702014006</t>
        </is>
      </c>
      <c r="C461" s="5" t="inlineStr">
        <is>
          <t>有梁板（斜板）</t>
        </is>
      </c>
      <c r="D461" s="5" t="inlineStr">
        <is>
          <t>1.有梁板模板支模高度3.6m内</t>
        </is>
      </c>
      <c r="E461" s="5" t="inlineStr">
        <is>
          <t>m2</t>
        </is>
      </c>
      <c r="F461" s="6" t="n">
        <v>1772.374</v>
      </c>
      <c r="G461" s="74" t="n">
        <v>1860.99</v>
      </c>
      <c r="H461" s="82" t="n">
        <v>1860.99</v>
      </c>
      <c r="I461" s="74">
        <f>G461-F461</f>
        <v/>
      </c>
      <c r="J461" s="74">
        <f>H461-F461</f>
        <v/>
      </c>
      <c r="K461" s="74">
        <f>+H461-G461</f>
        <v/>
      </c>
      <c r="L461" s="55">
        <f>I461/F461</f>
        <v/>
      </c>
      <c r="M461" s="6" t="n">
        <v>59.25</v>
      </c>
      <c r="N461" s="6" t="n">
        <v>72.38</v>
      </c>
      <c r="O461" s="55">
        <f>(M461-N461)/N461</f>
        <v/>
      </c>
      <c r="P461" s="74">
        <f>N461*0.9056*0.85</f>
        <v/>
      </c>
      <c r="Q461" s="74">
        <f>N461*1.15</f>
        <v/>
      </c>
      <c r="R461" s="74">
        <f>IF(M461&lt;N461*0.9056*0.85,N461*0.9056*0.85,IF(M461&gt;N461*1.15,N461*1.15,M461))</f>
        <v/>
      </c>
      <c r="S461" s="74">
        <f>+F461*M461</f>
        <v/>
      </c>
      <c r="T461" s="74">
        <f>S461+R461*I461</f>
        <v/>
      </c>
      <c r="U461" s="82">
        <f>S461+R461*J461</f>
        <v/>
      </c>
      <c r="V461" s="74">
        <f>U461-S461</f>
        <v/>
      </c>
      <c r="W461" s="82">
        <f>+U461-T461</f>
        <v/>
      </c>
      <c r="X461" s="83">
        <f>+U461-T461</f>
        <v/>
      </c>
      <c r="Y461" s="5" t="n"/>
    </row>
    <row r="462" ht="20" customHeight="1" s="1">
      <c r="A462" s="5" t="n">
        <v>178</v>
      </c>
      <c r="B462" s="5" t="inlineStr">
        <is>
          <t>011702006003</t>
        </is>
      </c>
      <c r="C462" s="5" t="inlineStr">
        <is>
          <t>矩形梁</t>
        </is>
      </c>
      <c r="D462" s="5" t="inlineStr">
        <is>
          <t>1.单梁、连续梁模板(梁宽cm)25以内支模高度4.2m内</t>
        </is>
      </c>
      <c r="E462" s="5" t="inlineStr">
        <is>
          <t>m2</t>
        </is>
      </c>
      <c r="F462" s="6" t="n">
        <v>1534.1</v>
      </c>
      <c r="G462" s="74" t="n">
        <v>1554.47</v>
      </c>
      <c r="H462" s="82" t="n">
        <v>1480.28</v>
      </c>
      <c r="I462" s="74">
        <f>G462-F462</f>
        <v/>
      </c>
      <c r="J462" s="74">
        <f>H462-F462</f>
        <v/>
      </c>
      <c r="K462" s="74">
        <f>+H462-G462</f>
        <v/>
      </c>
      <c r="L462" s="55">
        <f>I462/F462</f>
        <v/>
      </c>
      <c r="M462" s="6" t="n">
        <v>69.20999999999999</v>
      </c>
      <c r="N462" s="6" t="n">
        <v>86.95999999999999</v>
      </c>
      <c r="O462" s="55">
        <f>(M462-N462)/N462</f>
        <v/>
      </c>
      <c r="P462" s="74">
        <f>N462*0.9056*0.85</f>
        <v/>
      </c>
      <c r="Q462" s="74">
        <f>N462*1.15</f>
        <v/>
      </c>
      <c r="R462" s="74">
        <f>IF(M462&lt;N462*0.9056*0.85,N462*0.9056*0.85,IF(M462&gt;N462*1.15,N462*1.15,M462))</f>
        <v/>
      </c>
      <c r="S462" s="74">
        <f>+F462*M462</f>
        <v/>
      </c>
      <c r="T462" s="74">
        <f>S462+R462*I462</f>
        <v/>
      </c>
      <c r="U462" s="82">
        <f>S462+R462*J462</f>
        <v/>
      </c>
      <c r="V462" s="74">
        <f>U462-S462</f>
        <v/>
      </c>
      <c r="W462" s="82">
        <f>+U462-T462</f>
        <v/>
      </c>
      <c r="X462" s="83">
        <f>+U462-T462</f>
        <v/>
      </c>
      <c r="Y462" s="5" t="n"/>
    </row>
    <row r="463" ht="20" customHeight="1" s="1">
      <c r="A463" s="5" t="n">
        <v>179</v>
      </c>
      <c r="B463" s="5" t="inlineStr">
        <is>
          <t>011702006006</t>
        </is>
      </c>
      <c r="C463" s="5" t="inlineStr">
        <is>
          <t>矩形梁</t>
        </is>
      </c>
      <c r="D463" s="5" t="inlineStr">
        <is>
          <t>1.单梁、连续梁模板(梁宽cm)25以外支模高度4.2m内</t>
        </is>
      </c>
      <c r="E463" s="5" t="inlineStr">
        <is>
          <t>m2</t>
        </is>
      </c>
      <c r="F463" s="6" t="n">
        <v>31.648</v>
      </c>
      <c r="G463" s="74" t="n">
        <v>31.17</v>
      </c>
      <c r="H463" s="82" t="n">
        <v>29.68</v>
      </c>
      <c r="I463" s="74">
        <f>G463-F463</f>
        <v/>
      </c>
      <c r="J463" s="74">
        <f>H463-F463</f>
        <v/>
      </c>
      <c r="K463" s="74">
        <f>+H463-G463</f>
        <v/>
      </c>
      <c r="L463" s="55">
        <f>I463/F463</f>
        <v/>
      </c>
      <c r="M463" s="6" t="n">
        <v>75.31999999999999</v>
      </c>
      <c r="N463" s="6" t="n">
        <v>79.58</v>
      </c>
      <c r="O463" s="55">
        <f>(M463-N463)/N463</f>
        <v/>
      </c>
      <c r="P463" s="74">
        <f>N463*0.9056*0.85</f>
        <v/>
      </c>
      <c r="Q463" s="74">
        <f>N463*1.15</f>
        <v/>
      </c>
      <c r="R463" s="74">
        <f>IF(M463&lt;N463*0.9056*0.85,N463*0.9056*0.85,IF(M463&gt;N463*1.15,N463*1.15,M463))</f>
        <v/>
      </c>
      <c r="S463" s="74">
        <f>+F463*M463</f>
        <v/>
      </c>
      <c r="T463" s="74">
        <f>S463+R463*I463</f>
        <v/>
      </c>
      <c r="U463" s="82">
        <f>S463+R463*J463</f>
        <v/>
      </c>
      <c r="V463" s="74">
        <f>U463-S463</f>
        <v/>
      </c>
      <c r="W463" s="82">
        <f>+U463-T463</f>
        <v/>
      </c>
      <c r="X463" s="83">
        <f>+U463-T463</f>
        <v/>
      </c>
      <c r="Y463" s="5" t="n"/>
    </row>
    <row r="464" ht="20" customHeight="1" s="1">
      <c r="A464" s="5" t="n">
        <v>180</v>
      </c>
      <c r="B464" s="5" t="inlineStr">
        <is>
          <t>011702006007</t>
        </is>
      </c>
      <c r="C464" s="5" t="inlineStr">
        <is>
          <t>矩形梁</t>
        </is>
      </c>
      <c r="D464" s="5" t="inlineStr">
        <is>
          <t>1.单梁、连续梁模板(梁宽cm)25以内支模高度3.6m内</t>
        </is>
      </c>
      <c r="E464" s="5" t="inlineStr">
        <is>
          <t>m2</t>
        </is>
      </c>
      <c r="F464" s="6" t="n">
        <v>7386.904</v>
      </c>
      <c r="G464" s="74" t="n">
        <v>8480.66</v>
      </c>
      <c r="H464" s="82" t="n">
        <v>8076.15</v>
      </c>
      <c r="I464" s="74">
        <f>G464-F464</f>
        <v/>
      </c>
      <c r="J464" s="74">
        <f>H464-F464</f>
        <v/>
      </c>
      <c r="K464" s="74">
        <f>+H464-G464</f>
        <v/>
      </c>
      <c r="L464" s="55">
        <f>I464/F464</f>
        <v/>
      </c>
      <c r="M464" s="6" t="n">
        <v>61.79</v>
      </c>
      <c r="N464" s="6" t="n">
        <v>65.84</v>
      </c>
      <c r="O464" s="55">
        <f>(M464-N464)/N464</f>
        <v/>
      </c>
      <c r="P464" s="74">
        <f>N464*0.9056*0.85</f>
        <v/>
      </c>
      <c r="Q464" s="74">
        <f>N464*1.15</f>
        <v/>
      </c>
      <c r="R464" s="74">
        <f>IF(M464&lt;N464*0.9056*0.85,N464*0.9056*0.85,IF(M464&gt;N464*1.15,N464*1.15,M464))</f>
        <v/>
      </c>
      <c r="S464" s="74">
        <f>+F464*M464</f>
        <v/>
      </c>
      <c r="T464" s="74">
        <f>S464+R464*I464</f>
        <v/>
      </c>
      <c r="U464" s="82">
        <f>S464+R464*J464</f>
        <v/>
      </c>
      <c r="V464" s="74">
        <f>U464-S464</f>
        <v/>
      </c>
      <c r="W464" s="82">
        <f>+U464-T464</f>
        <v/>
      </c>
      <c r="X464" s="83">
        <f>+U464-T464</f>
        <v/>
      </c>
      <c r="Y464" s="5" t="n"/>
    </row>
    <row r="465" ht="20" customHeight="1" s="1">
      <c r="A465" s="5" t="n">
        <v>181</v>
      </c>
      <c r="B465" s="5" t="inlineStr">
        <is>
          <t>011702006005</t>
        </is>
      </c>
      <c r="C465" s="5" t="inlineStr">
        <is>
          <t>矩形梁</t>
        </is>
      </c>
      <c r="D465" s="5" t="inlineStr">
        <is>
          <t>1.单梁、连续梁模板(梁宽cm)25以外支模高度3.6m内</t>
        </is>
      </c>
      <c r="E465" s="5" t="inlineStr">
        <is>
          <t>m2</t>
        </is>
      </c>
      <c r="F465" s="6" t="n">
        <v>523.652</v>
      </c>
      <c r="G465" s="74" t="n">
        <v>550.6</v>
      </c>
      <c r="H465" s="82" t="n">
        <v>524.38</v>
      </c>
      <c r="I465" s="74">
        <f>G465-F465</f>
        <v/>
      </c>
      <c r="J465" s="74">
        <f>H465-F465</f>
        <v/>
      </c>
      <c r="K465" s="74">
        <f>+H465-G465</f>
        <v/>
      </c>
      <c r="L465" s="55">
        <f>I465/F465</f>
        <v/>
      </c>
      <c r="M465" s="6" t="n">
        <v>67.90000000000001</v>
      </c>
      <c r="N465" s="6" t="n">
        <v>72.20999999999999</v>
      </c>
      <c r="O465" s="55">
        <f>(M465-N465)/N465</f>
        <v/>
      </c>
      <c r="P465" s="74">
        <f>N465*0.9056*0.85</f>
        <v/>
      </c>
      <c r="Q465" s="74">
        <f>N465*1.15</f>
        <v/>
      </c>
      <c r="R465" s="74">
        <f>IF(M465&lt;N465*0.9056*0.85,N465*0.9056*0.85,IF(M465&gt;N465*1.15,N465*1.15,M465))</f>
        <v/>
      </c>
      <c r="S465" s="74">
        <f>+F465*M465</f>
        <v/>
      </c>
      <c r="T465" s="74">
        <f>S465+R465*I465</f>
        <v/>
      </c>
      <c r="U465" s="82">
        <f>S465+R465*J465</f>
        <v/>
      </c>
      <c r="V465" s="74">
        <f>U465-S465</f>
        <v/>
      </c>
      <c r="W465" s="82">
        <f>+U465-T465</f>
        <v/>
      </c>
      <c r="X465" s="83">
        <f>+U465-T465</f>
        <v/>
      </c>
      <c r="Y465" s="5" t="n"/>
    </row>
    <row r="466" ht="20" customHeight="1" s="1">
      <c r="A466" s="5" t="n">
        <v>182</v>
      </c>
      <c r="B466" s="5" t="inlineStr">
        <is>
          <t>011702006008</t>
        </is>
      </c>
      <c r="C466" s="5" t="inlineStr">
        <is>
          <t>矩形梁（斜梁）</t>
        </is>
      </c>
      <c r="D466" s="5" t="inlineStr">
        <is>
          <t>1.单梁、连续梁模板(梁宽cm)25以内支模高度3.6m内</t>
        </is>
      </c>
      <c r="E466" s="5" t="inlineStr">
        <is>
          <t>m2</t>
        </is>
      </c>
      <c r="F466" s="6" t="n">
        <v>1014.696</v>
      </c>
      <c r="G466" s="74" t="n">
        <v>488.32</v>
      </c>
      <c r="H466" s="82" t="n">
        <v>465.07</v>
      </c>
      <c r="I466" s="74">
        <f>G466-F466</f>
        <v/>
      </c>
      <c r="J466" s="74">
        <f>H466-F466</f>
        <v/>
      </c>
      <c r="K466" s="74">
        <f>+H466-G466</f>
        <v/>
      </c>
      <c r="L466" s="55">
        <f>I466/F466</f>
        <v/>
      </c>
      <c r="M466" s="6" t="n">
        <v>61.79</v>
      </c>
      <c r="N466" s="6" t="n">
        <v>76.23</v>
      </c>
      <c r="O466" s="55">
        <f>(M466-N466)/N466</f>
        <v/>
      </c>
      <c r="P466" s="74">
        <f>N466*0.9056*0.85</f>
        <v/>
      </c>
      <c r="Q466" s="74">
        <f>N466*1.15</f>
        <v/>
      </c>
      <c r="R466" s="74">
        <f>IF(M466&lt;N466*0.9056*0.85,N466*0.9056*0.85,IF(M466&gt;N466*1.15,N466*1.15,M466))</f>
        <v/>
      </c>
      <c r="S466" s="74">
        <f>+F466*M466</f>
        <v/>
      </c>
      <c r="T466" s="74">
        <f>S466+R466*I466</f>
        <v/>
      </c>
      <c r="U466" s="82">
        <f>S466+R466*J466</f>
        <v/>
      </c>
      <c r="V466" s="74">
        <f>U466-S466</f>
        <v/>
      </c>
      <c r="W466" s="82">
        <f>+U466-T466</f>
        <v/>
      </c>
      <c r="X466" s="83">
        <f>+U466-T466</f>
        <v/>
      </c>
      <c r="Y466" s="5" t="n"/>
    </row>
    <row r="467" ht="20" customHeight="1" s="1">
      <c r="A467" s="5" t="n">
        <v>183</v>
      </c>
      <c r="B467" s="5" t="inlineStr">
        <is>
          <t>011702023002</t>
        </is>
      </c>
      <c r="C467" s="5" t="inlineStr">
        <is>
          <t>雨篷、悬挑板、阳台板</t>
        </is>
      </c>
      <c r="D467" s="5" t="inlineStr">
        <is>
          <t>1.雨篷、悬挑板、阳台板</t>
        </is>
      </c>
      <c r="E467" s="5" t="inlineStr">
        <is>
          <t>m2</t>
        </is>
      </c>
      <c r="F467" s="6" t="n">
        <v>1556.026</v>
      </c>
      <c r="G467" s="74" t="n">
        <v>1035.73</v>
      </c>
      <c r="H467" s="82" t="n">
        <v>1035.73</v>
      </c>
      <c r="I467" s="74">
        <f>G467-F467</f>
        <v/>
      </c>
      <c r="J467" s="74">
        <f>H467-F467</f>
        <v/>
      </c>
      <c r="K467" s="74">
        <f>+H467-G467</f>
        <v/>
      </c>
      <c r="L467" s="55">
        <f>I467/F467</f>
        <v/>
      </c>
      <c r="M467" s="6" t="n">
        <v>69.34999999999999</v>
      </c>
      <c r="N467" s="6" t="n">
        <v>74.27</v>
      </c>
      <c r="O467" s="55">
        <f>(M467-N467)/N467</f>
        <v/>
      </c>
      <c r="P467" s="74">
        <f>N467*0.9056*0.85</f>
        <v/>
      </c>
      <c r="Q467" s="74">
        <f>N467*1.15</f>
        <v/>
      </c>
      <c r="R467" s="74">
        <f>IF(M467&lt;N467*0.9056*0.85,N467*0.9056*0.85,IF(M467&gt;N467*1.15,N467*1.15,M467))</f>
        <v/>
      </c>
      <c r="S467" s="74">
        <f>+F467*M467</f>
        <v/>
      </c>
      <c r="T467" s="74">
        <f>S467+R467*I467</f>
        <v/>
      </c>
      <c r="U467" s="82">
        <f>S467+R467*J467</f>
        <v/>
      </c>
      <c r="V467" s="74">
        <f>U467-S467</f>
        <v/>
      </c>
      <c r="W467" s="82">
        <f>+U467-T467</f>
        <v/>
      </c>
      <c r="X467" s="83">
        <f>+U467-T467</f>
        <v/>
      </c>
      <c r="Y467" s="5" t="n"/>
    </row>
    <row r="468" ht="20" customHeight="1" s="1">
      <c r="A468" s="5" t="n">
        <v>184</v>
      </c>
      <c r="B468" s="5" t="inlineStr">
        <is>
          <t>011702021002</t>
        </is>
      </c>
      <c r="C468" s="5" t="inlineStr">
        <is>
          <t>栏板、反檐</t>
        </is>
      </c>
      <c r="D468" s="5" t="inlineStr">
        <is>
          <t>1.栏板、反檐模板</t>
        </is>
      </c>
      <c r="E468" s="5" t="inlineStr">
        <is>
          <t>m2</t>
        </is>
      </c>
      <c r="F468" s="6" t="n">
        <v>357.9</v>
      </c>
      <c r="G468" s="74" t="n">
        <v>1595.69</v>
      </c>
      <c r="H468" s="82" t="n">
        <v>1595.69</v>
      </c>
      <c r="I468" s="74">
        <f>G468-F468</f>
        <v/>
      </c>
      <c r="J468" s="74">
        <f>H468-F468</f>
        <v/>
      </c>
      <c r="K468" s="74">
        <f>+H468-G468</f>
        <v/>
      </c>
      <c r="L468" s="55">
        <f>I468/F468</f>
        <v/>
      </c>
      <c r="M468" s="6" t="n">
        <v>64.39</v>
      </c>
      <c r="N468" s="6" t="n">
        <v>69.66</v>
      </c>
      <c r="O468" s="55">
        <f>(M468-N468)/N468</f>
        <v/>
      </c>
      <c r="P468" s="74">
        <f>N468*0.9056*0.85</f>
        <v/>
      </c>
      <c r="Q468" s="74">
        <f>N468*1.15</f>
        <v/>
      </c>
      <c r="R468" s="74">
        <f>IF(M468&lt;N468*0.9056*0.85,N468*0.9056*0.85,IF(M468&gt;N468*1.15,N468*1.15,M468))</f>
        <v/>
      </c>
      <c r="S468" s="74">
        <f>+F468*M468</f>
        <v/>
      </c>
      <c r="T468" s="74">
        <f>S468+R468*I468</f>
        <v/>
      </c>
      <c r="U468" s="82">
        <f>S468+R468*J468</f>
        <v/>
      </c>
      <c r="V468" s="74">
        <f>U468-S468</f>
        <v/>
      </c>
      <c r="W468" s="82">
        <f>+U468-T468</f>
        <v/>
      </c>
      <c r="X468" s="83">
        <f>+U468-T468</f>
        <v/>
      </c>
      <c r="Y468" s="5" t="n"/>
    </row>
    <row r="469" ht="20" customHeight="1" s="1">
      <c r="A469" s="5" t="n">
        <v>185</v>
      </c>
      <c r="B469" s="5" t="inlineStr">
        <is>
          <t>011702008001</t>
        </is>
      </c>
      <c r="C469" s="5" t="inlineStr">
        <is>
          <t>圈梁</t>
        </is>
      </c>
      <c r="D469" s="5" t="inlineStr">
        <is>
          <t>1.圈梁模板支模高度3.6m内</t>
        </is>
      </c>
      <c r="E469" s="5" t="inlineStr">
        <is>
          <t>m2</t>
        </is>
      </c>
      <c r="F469" s="6" t="n">
        <v>426</v>
      </c>
      <c r="G469" s="74" t="n">
        <v>426</v>
      </c>
      <c r="H469" s="82" t="n">
        <v>226.27</v>
      </c>
      <c r="I469" s="74">
        <f>G469-F469</f>
        <v/>
      </c>
      <c r="J469" s="74">
        <f>H469-F469</f>
        <v/>
      </c>
      <c r="K469" s="74">
        <f>+H469-G469</f>
        <v/>
      </c>
      <c r="L469" s="55">
        <f>I469/F469</f>
        <v/>
      </c>
      <c r="M469" s="6" t="n">
        <v>48.71</v>
      </c>
      <c r="N469" s="6" t="n">
        <v>69.5</v>
      </c>
      <c r="O469" s="55">
        <f>(M469-N469)/N469</f>
        <v/>
      </c>
      <c r="P469" s="74">
        <f>N469*0.9056*0.85</f>
        <v/>
      </c>
      <c r="Q469" s="74">
        <f>N469*1.15</f>
        <v/>
      </c>
      <c r="R469" s="74">
        <f>IF(M469&lt;N469*0.9056*0.85,N469*0.9056*0.85,IF(M469&gt;N469*1.15,N469*1.15,M469))</f>
        <v/>
      </c>
      <c r="S469" s="74">
        <f>+F469*M469</f>
        <v/>
      </c>
      <c r="T469" s="74">
        <f>S469+R469*I469</f>
        <v/>
      </c>
      <c r="U469" s="82">
        <f>S469+R469*J469</f>
        <v/>
      </c>
      <c r="V469" s="74">
        <f>U469-S469</f>
        <v/>
      </c>
      <c r="W469" s="82">
        <f>+U469-T469</f>
        <v/>
      </c>
      <c r="X469" s="83">
        <f>+U469-T469</f>
        <v/>
      </c>
      <c r="Y469" s="5" t="n"/>
    </row>
    <row r="470" ht="20" customHeight="1" s="1">
      <c r="A470" s="5" t="n">
        <v>186</v>
      </c>
      <c r="B470" s="5" t="inlineStr">
        <is>
          <t>011702008004</t>
        </is>
      </c>
      <c r="C470" s="5" t="inlineStr">
        <is>
          <t>过梁</t>
        </is>
      </c>
      <c r="D470" s="5" t="inlineStr">
        <is>
          <t>1.过梁模板支模高度3.6m内</t>
        </is>
      </c>
      <c r="E470" s="5" t="inlineStr">
        <is>
          <t>m2</t>
        </is>
      </c>
      <c r="F470" s="6" t="n">
        <v>151.22</v>
      </c>
      <c r="G470" s="74" t="n">
        <v>151.22</v>
      </c>
      <c r="H470" s="82" t="n">
        <v>103.99</v>
      </c>
      <c r="I470" s="74">
        <f>G470-F470</f>
        <v/>
      </c>
      <c r="J470" s="74">
        <f>H470-F470</f>
        <v/>
      </c>
      <c r="K470" s="74">
        <f>+H470-G470</f>
        <v/>
      </c>
      <c r="L470" s="55">
        <f>I470/F470</f>
        <v/>
      </c>
      <c r="M470" s="6" t="n">
        <v>48.71</v>
      </c>
      <c r="N470" s="6" t="n">
        <v>69.5</v>
      </c>
      <c r="O470" s="55">
        <f>(M470-N470)/N470</f>
        <v/>
      </c>
      <c r="P470" s="74">
        <f>N470*0.9056*0.85</f>
        <v/>
      </c>
      <c r="Q470" s="74">
        <f>N470*1.15</f>
        <v/>
      </c>
      <c r="R470" s="74">
        <f>IF(M470&lt;N470*0.9056*0.85,N470*0.9056*0.85,IF(M470&gt;N470*1.15,N470*1.15,M470))</f>
        <v/>
      </c>
      <c r="S470" s="74">
        <f>+F470*M470</f>
        <v/>
      </c>
      <c r="T470" s="74">
        <f>S470+R470*I470</f>
        <v/>
      </c>
      <c r="U470" s="82">
        <f>S470+R470*J470</f>
        <v/>
      </c>
      <c r="V470" s="74">
        <f>U470-S470</f>
        <v/>
      </c>
      <c r="W470" s="82">
        <f>+U470-T470</f>
        <v/>
      </c>
      <c r="X470" s="83">
        <f>+U470-T470</f>
        <v/>
      </c>
      <c r="Y470" s="5" t="n"/>
    </row>
    <row r="471" ht="20" customHeight="1" s="1">
      <c r="A471" s="5" t="n">
        <v>187</v>
      </c>
      <c r="B471" s="5" t="inlineStr">
        <is>
          <t>011702008003</t>
        </is>
      </c>
      <c r="C471" s="5" t="inlineStr">
        <is>
          <t>反坎</t>
        </is>
      </c>
      <c r="D471" s="5" t="inlineStr">
        <is>
          <t>1.反坎模板支模高度3.6m内</t>
        </is>
      </c>
      <c r="E471" s="5" t="inlineStr">
        <is>
          <t>m2</t>
        </is>
      </c>
      <c r="F471" s="6" t="n">
        <v>181.06</v>
      </c>
      <c r="G471" s="74" t="n">
        <v>308.44</v>
      </c>
      <c r="H471" s="82" t="n">
        <v>308.44</v>
      </c>
      <c r="I471" s="74">
        <f>G471-F471</f>
        <v/>
      </c>
      <c r="J471" s="74">
        <f>H471-F471</f>
        <v/>
      </c>
      <c r="K471" s="74">
        <f>+H471-G471</f>
        <v/>
      </c>
      <c r="L471" s="55">
        <f>I471/F471</f>
        <v/>
      </c>
      <c r="M471" s="6" t="n">
        <v>64.39</v>
      </c>
      <c r="N471" s="6" t="n">
        <v>69.5</v>
      </c>
      <c r="O471" s="55">
        <f>(M471-N471)/N471</f>
        <v/>
      </c>
      <c r="P471" s="74">
        <f>N471*0.9056*0.85</f>
        <v/>
      </c>
      <c r="Q471" s="74">
        <f>N471*1.15</f>
        <v/>
      </c>
      <c r="R471" s="74">
        <f>IF(M471&lt;N471*0.9056*0.85,N471*0.9056*0.85,IF(M471&gt;N471*1.15,N471*1.15,M471))</f>
        <v/>
      </c>
      <c r="S471" s="74">
        <f>+F471*M471</f>
        <v/>
      </c>
      <c r="T471" s="74">
        <f>S471+R471*I471</f>
        <v/>
      </c>
      <c r="U471" s="82">
        <f>S471+R471*J471</f>
        <v/>
      </c>
      <c r="V471" s="74">
        <f>U471-S471</f>
        <v/>
      </c>
      <c r="W471" s="82">
        <f>+U471-T471</f>
        <v/>
      </c>
      <c r="X471" s="83">
        <f>+U471-T471</f>
        <v/>
      </c>
      <c r="Y471" s="5" t="n"/>
    </row>
    <row r="472" ht="20" customHeight="1" s="1">
      <c r="A472" s="5" t="n">
        <v>188</v>
      </c>
      <c r="B472" s="5" t="inlineStr">
        <is>
          <t>011702024001</t>
        </is>
      </c>
      <c r="C472" s="5" t="inlineStr">
        <is>
          <t>楼梯</t>
        </is>
      </c>
      <c r="D472" s="5" t="inlineStr">
        <is>
          <t>1.楼梯模板直形</t>
        </is>
      </c>
      <c r="E472" s="5" t="inlineStr">
        <is>
          <t>m2</t>
        </is>
      </c>
      <c r="F472" s="6" t="n">
        <v>579.55</v>
      </c>
      <c r="G472" s="74" t="n">
        <v>540.67</v>
      </c>
      <c r="H472" s="82" t="n">
        <v>514.92</v>
      </c>
      <c r="I472" s="74">
        <f>G472-F472</f>
        <v/>
      </c>
      <c r="J472" s="74">
        <f>H472-F472</f>
        <v/>
      </c>
      <c r="K472" s="74">
        <f>+H472-G472</f>
        <v/>
      </c>
      <c r="L472" s="55">
        <f>I472/F472</f>
        <v/>
      </c>
      <c r="M472" s="6" t="n">
        <v>174.23</v>
      </c>
      <c r="N472" s="6" t="n">
        <v>190.32</v>
      </c>
      <c r="O472" s="55">
        <f>(M472-N472)/N472</f>
        <v/>
      </c>
      <c r="P472" s="74">
        <f>N472*0.9056*0.85</f>
        <v/>
      </c>
      <c r="Q472" s="74">
        <f>N472*1.15</f>
        <v/>
      </c>
      <c r="R472" s="74">
        <f>IF(M472&lt;N472*0.9056*0.85,N472*0.9056*0.85,IF(M472&gt;N472*1.15,N472*1.15,M472))</f>
        <v/>
      </c>
      <c r="S472" s="74">
        <f>+F472*M472</f>
        <v/>
      </c>
      <c r="T472" s="74">
        <f>S472+R472*I472</f>
        <v/>
      </c>
      <c r="U472" s="82">
        <f>S472+R472*J472</f>
        <v/>
      </c>
      <c r="V472" s="74">
        <f>U472-S472</f>
        <v/>
      </c>
      <c r="W472" s="82">
        <f>+U472-T472</f>
        <v/>
      </c>
      <c r="X472" s="83">
        <f>+U472-T472</f>
        <v/>
      </c>
      <c r="Y472" s="5" t="n"/>
    </row>
    <row r="473" ht="20" customHeight="1" s="1">
      <c r="A473" s="86" t="n">
        <v>189</v>
      </c>
      <c r="B473" s="86" t="inlineStr">
        <is>
          <t>010401001002</t>
        </is>
      </c>
      <c r="C473" s="86" t="inlineStr">
        <is>
          <t>砖基础</t>
        </is>
      </c>
      <c r="D473" s="86" t="inlineStr">
        <is>
          <t>1.砖胎膜
2.砖品种、规格、强度等级:Mu15蒸压灰砂砖
3.砂浆强度等级:WMM5专用砌筑砂浆</t>
        </is>
      </c>
      <c r="E473" s="86" t="inlineStr">
        <is>
          <t>m3</t>
        </is>
      </c>
      <c r="F473" s="87" t="n">
        <v>130.7376</v>
      </c>
      <c r="G473" s="88" t="n">
        <v>361.58</v>
      </c>
      <c r="H473" s="82" t="n">
        <v>361.58</v>
      </c>
      <c r="I473" s="88">
        <f>G473-F473</f>
        <v/>
      </c>
      <c r="J473" s="88">
        <f>H473-F473</f>
        <v/>
      </c>
      <c r="K473" s="88">
        <f>+H473-G473</f>
        <v/>
      </c>
      <c r="L473" s="89">
        <f>I473/F473</f>
        <v/>
      </c>
      <c r="M473" s="87" t="n">
        <v>527.28</v>
      </c>
      <c r="N473" s="87" t="n">
        <v>641.05</v>
      </c>
      <c r="O473" s="89">
        <f>(M473-N473)/N473</f>
        <v/>
      </c>
      <c r="P473" s="88">
        <f>N473*0.9056*0.85</f>
        <v/>
      </c>
      <c r="Q473" s="88">
        <f>N473*1.15</f>
        <v/>
      </c>
      <c r="R473" s="88">
        <f>IF(M473&lt;N473*0.9056*0.85,N473*0.9056*0.85,IF(M473&gt;N473*1.15,N473*1.15,M473))</f>
        <v/>
      </c>
      <c r="S473" s="88">
        <f>+F473*M473</f>
        <v/>
      </c>
      <c r="T473" s="88">
        <f>S473+R473*I473</f>
        <v/>
      </c>
      <c r="U473" s="82">
        <f>S473+R473*J473</f>
        <v/>
      </c>
      <c r="V473" s="74">
        <f>U473-S473</f>
        <v/>
      </c>
      <c r="W473" s="82">
        <f>+U473-T473</f>
        <v/>
      </c>
      <c r="X473" s="83">
        <f>+U473-T473</f>
        <v/>
      </c>
      <c r="Y473" s="86" t="n"/>
    </row>
    <row r="474" ht="20" customHeight="1" s="1">
      <c r="A474" s="86" t="n">
        <v>190</v>
      </c>
      <c r="B474" s="86" t="inlineStr">
        <is>
          <t>011703001001</t>
        </is>
      </c>
      <c r="C474" s="86" t="inlineStr">
        <is>
          <t>垂直运输</t>
        </is>
      </c>
      <c r="D474" s="86" t="inlineStr">
        <is>
          <t>1.建筑物20m以上的垂直运输30m以内</t>
        </is>
      </c>
      <c r="E474" s="86" t="inlineStr">
        <is>
          <t>m2</t>
        </is>
      </c>
      <c r="F474" s="87" t="n">
        <v>8993.09</v>
      </c>
      <c r="G474" s="88" t="n">
        <v>10082.59</v>
      </c>
      <c r="H474" s="82" t="n">
        <v>9367.66</v>
      </c>
      <c r="I474" s="88">
        <f>G474-F474</f>
        <v/>
      </c>
      <c r="J474" s="88">
        <f>H474-F474</f>
        <v/>
      </c>
      <c r="K474" s="88">
        <f>+H474-G474</f>
        <v/>
      </c>
      <c r="L474" s="89">
        <f>I474/F474</f>
        <v/>
      </c>
      <c r="M474" s="87" t="n">
        <v>35.03</v>
      </c>
      <c r="N474" s="87" t="n">
        <v>37.72</v>
      </c>
      <c r="O474" s="89">
        <f>(M474-N474)/N474</f>
        <v/>
      </c>
      <c r="P474" s="88">
        <f>N474*0.9056*0.85</f>
        <v/>
      </c>
      <c r="Q474" s="88">
        <f>N474*1.15</f>
        <v/>
      </c>
      <c r="R474" s="88">
        <f>IF(M474&lt;N474*0.9056*0.85,N474*0.9056*0.85,IF(M474&gt;N474*1.15,N474*1.15,M474))</f>
        <v/>
      </c>
      <c r="S474" s="88">
        <f>+F474*M474</f>
        <v/>
      </c>
      <c r="T474" s="88">
        <f>S474+R474*I474</f>
        <v/>
      </c>
      <c r="U474" s="82">
        <f>S474+R474*J474</f>
        <v/>
      </c>
      <c r="V474" s="74">
        <f>U474-S474</f>
        <v/>
      </c>
      <c r="W474" s="82">
        <f>+U474-T474</f>
        <v/>
      </c>
      <c r="X474" s="83">
        <f>+U474-T474</f>
        <v/>
      </c>
      <c r="Y474" s="86" t="n"/>
    </row>
    <row r="475" ht="20" customHeight="1" s="1">
      <c r="A475" s="5" t="n">
        <v>191</v>
      </c>
      <c r="B475" s="5" t="inlineStr">
        <is>
          <t>011704001001</t>
        </is>
      </c>
      <c r="C475" s="5" t="inlineStr">
        <is>
          <t>超高施工增加</t>
        </is>
      </c>
      <c r="D475" s="5" t="inlineStr">
        <is>
          <t>1.建筑物超高增加人工、机械降效率高度30m以内</t>
        </is>
      </c>
      <c r="E475" s="5" t="inlineStr">
        <is>
          <t>项</t>
        </is>
      </c>
      <c r="F475" s="6" t="n">
        <v>1</v>
      </c>
      <c r="G475" s="74" t="n">
        <v>1</v>
      </c>
      <c r="H475" s="84" t="n">
        <v>1</v>
      </c>
      <c r="I475" s="74">
        <f>G475-F475</f>
        <v/>
      </c>
      <c r="J475" s="74">
        <f>H475-F475</f>
        <v/>
      </c>
      <c r="K475" s="74">
        <f>+H475-G475</f>
        <v/>
      </c>
      <c r="L475" s="55">
        <f>I475/F475</f>
        <v/>
      </c>
      <c r="M475" s="6" t="n">
        <v>47756.39</v>
      </c>
      <c r="N475" s="6" t="n">
        <v>88431.92</v>
      </c>
      <c r="O475" s="55">
        <f>(M475-N475)/N475</f>
        <v/>
      </c>
      <c r="P475" s="74">
        <f>N475*0.9056*0.85</f>
        <v/>
      </c>
      <c r="Q475" s="74">
        <f>N475*1.15</f>
        <v/>
      </c>
      <c r="R475" s="74">
        <f>IF(M475&lt;N475*0.9056*0.85,N475*0.9056*0.85,IF(M475&gt;N475*1.15,N475*1.15,M475))</f>
        <v/>
      </c>
      <c r="S475" s="74">
        <f>+F475*M475</f>
        <v/>
      </c>
      <c r="T475" s="74">
        <f>S475+R475*I475</f>
        <v/>
      </c>
      <c r="U475" s="82">
        <f>S475+R475*J475</f>
        <v/>
      </c>
      <c r="V475" s="74">
        <f>U475-S475</f>
        <v/>
      </c>
      <c r="W475" s="82">
        <f>+U475-T475</f>
        <v/>
      </c>
      <c r="X475" s="83">
        <f>+U475-T475</f>
        <v/>
      </c>
      <c r="Y475" s="5" t="n"/>
    </row>
    <row r="476" ht="20" customHeight="1" s="1">
      <c r="A476" s="5" t="inlineStr">
        <is>
          <t>三</t>
        </is>
      </c>
      <c r="B476" s="5" t="n"/>
      <c r="C476" s="5" t="inlineStr">
        <is>
          <t>不含税造价</t>
        </is>
      </c>
      <c r="D476" s="5" t="n"/>
      <c r="E476" s="5" t="n"/>
      <c r="F476" s="6" t="n"/>
      <c r="G476" s="74" t="n"/>
      <c r="H476" s="81" t="n"/>
      <c r="I476" s="6" t="n"/>
      <c r="J476" s="6" t="n"/>
      <c r="K476" s="6" t="n"/>
      <c r="L476" s="55" t="n"/>
      <c r="M476" s="6" t="n"/>
      <c r="N476" s="6" t="n"/>
      <c r="O476" s="55" t="n"/>
      <c r="P476" s="74" t="n"/>
      <c r="Q476" s="74" t="n"/>
      <c r="R476" s="74" t="n"/>
      <c r="S476" s="74">
        <f>+S429+S430</f>
        <v/>
      </c>
      <c r="T476" s="74">
        <f>+T429+T430</f>
        <v/>
      </c>
      <c r="U476" s="82">
        <f>+U429+U430</f>
        <v/>
      </c>
      <c r="V476" s="74">
        <f>U476-S476</f>
        <v/>
      </c>
      <c r="W476" s="82">
        <f>+U476-T476</f>
        <v/>
      </c>
      <c r="X476" s="83">
        <f>+U476-T476</f>
        <v/>
      </c>
      <c r="Y476" s="79" t="n"/>
      <c r="Z476" s="58" t="n"/>
    </row>
    <row r="477" ht="20" customHeight="1" s="1">
      <c r="A477" s="5" t="inlineStr">
        <is>
          <t>四</t>
        </is>
      </c>
      <c r="B477" s="5" t="n"/>
      <c r="C477" s="5" t="inlineStr">
        <is>
          <t>税金（9%）</t>
        </is>
      </c>
      <c r="D477" s="5" t="n"/>
      <c r="E477" s="5" t="n"/>
      <c r="F477" s="6" t="n"/>
      <c r="G477" s="74" t="n"/>
      <c r="H477" s="81" t="n"/>
      <c r="I477" s="6" t="n"/>
      <c r="J477" s="6" t="n"/>
      <c r="K477" s="6" t="n"/>
      <c r="L477" s="55" t="n"/>
      <c r="M477" s="6" t="n"/>
      <c r="N477" s="6" t="n"/>
      <c r="O477" s="55" t="n"/>
      <c r="P477" s="74" t="n"/>
      <c r="Q477" s="74" t="n"/>
      <c r="R477" s="74" t="n"/>
      <c r="S477" s="74">
        <f>S476*0.09</f>
        <v/>
      </c>
      <c r="T477" s="74">
        <f>T476*0.09</f>
        <v/>
      </c>
      <c r="U477" s="82">
        <f>U476*0.09</f>
        <v/>
      </c>
      <c r="V477" s="74">
        <f>U477-S477</f>
        <v/>
      </c>
      <c r="W477" s="82">
        <f>+U477-T477</f>
        <v/>
      </c>
      <c r="X477" s="83">
        <f>+U477-T477</f>
        <v/>
      </c>
      <c r="Y477" s="79" t="n"/>
      <c r="Z477" s="58" t="n"/>
    </row>
    <row r="478" ht="20" customHeight="1" s="1">
      <c r="A478" s="5" t="inlineStr">
        <is>
          <t>五</t>
        </is>
      </c>
      <c r="B478" s="5" t="n"/>
      <c r="C478" s="5" t="inlineStr">
        <is>
          <t>含税造价</t>
        </is>
      </c>
      <c r="D478" s="5" t="n"/>
      <c r="E478" s="5" t="n"/>
      <c r="F478" s="78" t="n"/>
      <c r="G478" s="74" t="n"/>
      <c r="H478" s="81" t="n"/>
      <c r="I478" s="78" t="n"/>
      <c r="J478" s="78" t="n"/>
      <c r="K478" s="78" t="n"/>
      <c r="L478" s="55" t="n"/>
      <c r="M478" s="78" t="n"/>
      <c r="N478" s="78" t="n"/>
      <c r="O478" s="55" t="n"/>
      <c r="P478" s="74" t="n"/>
      <c r="Q478" s="74" t="n"/>
      <c r="R478" s="74" t="n"/>
      <c r="S478" s="74">
        <f>S476+S477</f>
        <v/>
      </c>
      <c r="T478" s="74">
        <f>T476+T477</f>
        <v/>
      </c>
      <c r="U478" s="82">
        <f>U476+U477</f>
        <v/>
      </c>
      <c r="V478" s="74">
        <f>U478-S478</f>
        <v/>
      </c>
      <c r="W478" s="82">
        <f>+U478-T478</f>
        <v/>
      </c>
      <c r="X478" s="83">
        <f>+U478-T478</f>
        <v/>
      </c>
      <c r="Y478" s="79" t="n"/>
      <c r="Z478" s="60" t="n"/>
    </row>
    <row r="479" ht="20" customHeight="1" s="1">
      <c r="A479" s="5" t="n"/>
      <c r="B479" s="5" t="n"/>
      <c r="C479" s="5" t="n"/>
      <c r="D479" s="5" t="n"/>
      <c r="E479" s="5" t="n"/>
      <c r="F479" s="6" t="n"/>
      <c r="G479" s="6" t="n"/>
      <c r="H479" s="81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82" t="n"/>
      <c r="V479" s="74" t="n"/>
      <c r="W479" s="82" t="n"/>
      <c r="X479" s="83" t="n"/>
      <c r="Y479" s="5" t="n"/>
    </row>
    <row r="480" ht="20" customHeight="1" s="1">
      <c r="A480" s="5" t="n"/>
      <c r="B480" s="5" t="n"/>
      <c r="C480" s="5" t="n"/>
      <c r="D480" s="5" t="n"/>
      <c r="E480" s="5" t="n"/>
      <c r="F480" s="6" t="n"/>
      <c r="G480" s="6" t="n"/>
      <c r="H480" s="81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82" t="n"/>
      <c r="V480" s="74" t="n"/>
      <c r="W480" s="82" t="n"/>
      <c r="X480" s="83" t="n"/>
      <c r="Y480" s="5" t="n"/>
    </row>
    <row r="481" ht="20" customHeight="1" s="1">
      <c r="A481" s="5" t="n"/>
      <c r="B481" s="5" t="n"/>
      <c r="C481" s="5" t="n"/>
      <c r="D481" s="5" t="n"/>
      <c r="E481" s="5" t="n"/>
      <c r="F481" s="6" t="n"/>
      <c r="G481" s="6" t="n"/>
      <c r="H481" s="81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82" t="n"/>
      <c r="V481" s="74" t="n"/>
      <c r="W481" s="82" t="n"/>
      <c r="X481" s="83" t="n"/>
      <c r="Y481" s="5" t="n"/>
    </row>
    <row r="482" ht="20" customHeight="1" s="1">
      <c r="A482" s="5" t="n"/>
      <c r="B482" s="5" t="n"/>
      <c r="C482" s="5" t="n"/>
      <c r="D482" s="5" t="n"/>
      <c r="E482" s="5" t="n"/>
      <c r="F482" s="6" t="n"/>
      <c r="G482" s="6" t="n"/>
      <c r="H482" s="81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82" t="n"/>
      <c r="V482" s="74" t="n"/>
      <c r="W482" s="82" t="n"/>
      <c r="X482" s="83" t="n"/>
      <c r="Y482" s="5" t="n"/>
    </row>
    <row r="483" ht="20" customHeight="1" s="1">
      <c r="A483" s="5" t="n"/>
      <c r="B483" s="5" t="n"/>
      <c r="C483" s="5" t="n"/>
      <c r="D483" s="5" t="n"/>
      <c r="E483" s="5" t="n"/>
      <c r="F483" s="6" t="n"/>
      <c r="G483" s="6" t="n"/>
      <c r="H483" s="81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82" t="n"/>
      <c r="V483" s="74" t="n"/>
      <c r="W483" s="82" t="n"/>
      <c r="X483" s="83" t="n"/>
      <c r="Y483" s="5" t="n"/>
    </row>
    <row r="484" ht="20" customHeight="1" s="1">
      <c r="A484" s="5" t="n"/>
      <c r="B484" s="5" t="n"/>
      <c r="C484" s="5" t="n"/>
      <c r="D484" s="5" t="n"/>
      <c r="E484" s="5" t="n"/>
      <c r="F484" s="6" t="n"/>
      <c r="G484" s="6" t="n"/>
      <c r="H484" s="81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82" t="n"/>
      <c r="V484" s="74" t="n"/>
      <c r="W484" s="82" t="n"/>
      <c r="X484" s="83" t="n"/>
      <c r="Y484" s="5" t="n"/>
    </row>
    <row r="485" ht="20" customHeight="1" s="1">
      <c r="A485" s="5" t="n"/>
      <c r="B485" s="5" t="n"/>
      <c r="C485" s="5" t="n"/>
      <c r="D485" s="5" t="n"/>
      <c r="E485" s="5" t="n"/>
      <c r="F485" s="6" t="n"/>
      <c r="G485" s="6" t="n"/>
      <c r="H485" s="81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82" t="n"/>
      <c r="V485" s="74" t="n"/>
      <c r="W485" s="82" t="n"/>
      <c r="X485" s="95">
        <f>X478/T478</f>
        <v/>
      </c>
      <c r="Y485" s="5" t="n"/>
    </row>
    <row r="486" ht="20" customHeight="1" s="1">
      <c r="A486" s="5" t="n"/>
      <c r="B486" s="5" t="n"/>
      <c r="C486" s="5" t="n"/>
      <c r="D486" s="5" t="n"/>
      <c r="E486" s="5" t="n"/>
      <c r="F486" s="6" t="n"/>
      <c r="G486" s="6" t="n"/>
      <c r="H486" s="81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82" t="n"/>
      <c r="V486" s="74" t="n"/>
      <c r="W486" s="82" t="n"/>
      <c r="X486" s="83" t="n"/>
      <c r="Y486" s="5" t="n"/>
    </row>
    <row r="487" ht="20" customHeight="1" s="1">
      <c r="A487" s="5" t="n"/>
      <c r="B487" s="5" t="n"/>
      <c r="C487" s="5" t="n"/>
      <c r="D487" s="5" t="n"/>
      <c r="E487" s="5" t="n"/>
      <c r="F487" s="6" t="n"/>
      <c r="G487" s="6" t="n"/>
      <c r="H487" s="81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82" t="n"/>
      <c r="V487" s="74" t="n"/>
      <c r="W487" s="82" t="n"/>
      <c r="X487" s="83" t="n"/>
      <c r="Y487" s="5" t="n"/>
    </row>
    <row r="488" ht="20" customHeight="1" s="1">
      <c r="A488" s="5" t="n"/>
      <c r="B488" s="5" t="n"/>
      <c r="C488" s="5" t="n"/>
      <c r="D488" s="5" t="n"/>
      <c r="E488" s="5" t="n"/>
      <c r="F488" s="6" t="n"/>
      <c r="G488" s="6" t="n"/>
      <c r="H488" s="81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82" t="n"/>
      <c r="V488" s="74" t="n"/>
      <c r="W488" s="82" t="n"/>
      <c r="X488" s="83" t="n"/>
      <c r="Y488" s="5" t="n"/>
    </row>
    <row r="489" ht="20" customHeight="1" s="1">
      <c r="A489" s="5" t="n"/>
      <c r="B489" s="5" t="n"/>
      <c r="C489" s="5" t="n"/>
      <c r="D489" s="5" t="n"/>
      <c r="E489" s="5" t="n"/>
      <c r="F489" s="6" t="n"/>
      <c r="G489" s="6" t="n"/>
      <c r="H489" s="81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82" t="n"/>
      <c r="V489" s="74" t="n"/>
      <c r="W489" s="82" t="n"/>
      <c r="X489" s="83" t="n"/>
      <c r="Y489" s="5" t="n"/>
    </row>
    <row r="490" ht="20" customHeight="1" s="1">
      <c r="A490" s="5" t="n"/>
      <c r="B490" s="5" t="n"/>
      <c r="C490" s="5" t="n"/>
      <c r="D490" s="5" t="n"/>
      <c r="E490" s="5" t="n"/>
      <c r="F490" s="6" t="n"/>
      <c r="G490" s="6" t="n"/>
      <c r="H490" s="81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82" t="n"/>
      <c r="V490" s="74" t="n"/>
      <c r="W490" s="82" t="n"/>
      <c r="X490" s="83" t="n"/>
      <c r="Y490" s="5" t="n"/>
    </row>
    <row r="491" ht="20" customHeight="1" s="1">
      <c r="A491" s="5" t="n"/>
      <c r="B491" s="5" t="n"/>
      <c r="C491" s="5" t="n"/>
      <c r="D491" s="5" t="n"/>
      <c r="E491" s="5" t="n"/>
      <c r="F491" s="6" t="n"/>
      <c r="G491" s="6" t="n"/>
      <c r="H491" s="81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82" t="n"/>
      <c r="V491" s="74" t="n"/>
      <c r="W491" s="82" t="n"/>
      <c r="X491" s="83" t="n"/>
      <c r="Y491" s="5" t="n"/>
    </row>
    <row r="492" ht="20" customHeight="1" s="1">
      <c r="A492" s="5" t="n"/>
      <c r="B492" s="5" t="n"/>
      <c r="C492" s="5" t="n"/>
      <c r="D492" s="5" t="n"/>
      <c r="E492" s="5" t="n"/>
      <c r="F492" s="6" t="n"/>
      <c r="G492" s="6" t="n"/>
      <c r="H492" s="81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82" t="n"/>
      <c r="V492" s="74" t="n"/>
      <c r="W492" s="82" t="n"/>
      <c r="X492" s="83" t="n"/>
      <c r="Y492" s="5" t="n"/>
    </row>
    <row r="493" ht="20" customHeight="1" s="1">
      <c r="A493" s="5" t="n"/>
      <c r="B493" s="5" t="n"/>
      <c r="C493" s="5" t="n"/>
      <c r="D493" s="5" t="n"/>
      <c r="E493" s="5" t="n"/>
      <c r="F493" s="6" t="n"/>
      <c r="G493" s="6" t="n"/>
      <c r="H493" s="81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82" t="n"/>
      <c r="V493" s="74" t="n"/>
      <c r="W493" s="82" t="n"/>
      <c r="X493" s="83" t="n"/>
      <c r="Y493" s="5" t="n"/>
    </row>
    <row r="494" ht="20" customHeight="1" s="1">
      <c r="A494" s="5" t="n"/>
      <c r="B494" s="5" t="n"/>
      <c r="C494" s="5" t="n"/>
      <c r="D494" s="5" t="n"/>
      <c r="E494" s="5" t="n"/>
      <c r="F494" s="6" t="n"/>
      <c r="G494" s="6" t="n"/>
      <c r="H494" s="81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82" t="n"/>
      <c r="V494" s="74" t="n"/>
      <c r="W494" s="82" t="n"/>
      <c r="X494" s="83" t="n"/>
      <c r="Y494" s="5" t="n"/>
    </row>
    <row r="495" ht="20" customHeight="1" s="1">
      <c r="A495" s="5" t="n"/>
      <c r="B495" s="5" t="n"/>
      <c r="C495" s="5" t="n"/>
      <c r="D495" s="5" t="n"/>
      <c r="E495" s="5" t="n"/>
      <c r="F495" s="6" t="n"/>
      <c r="G495" s="6" t="n"/>
      <c r="H495" s="81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82" t="n"/>
      <c r="V495" s="74" t="n"/>
      <c r="W495" s="82" t="n"/>
      <c r="X495" s="83" t="n"/>
      <c r="Y495" s="5" t="n"/>
    </row>
    <row r="496" ht="20" customHeight="1" s="1">
      <c r="A496" s="5" t="n"/>
      <c r="B496" s="5" t="n"/>
      <c r="C496" s="5" t="n"/>
      <c r="D496" s="5" t="n"/>
      <c r="E496" s="5" t="n"/>
      <c r="F496" s="6" t="n"/>
      <c r="G496" s="6" t="n"/>
      <c r="H496" s="81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82" t="n"/>
      <c r="V496" s="74" t="n"/>
      <c r="W496" s="82" t="n"/>
      <c r="X496" s="83" t="n"/>
      <c r="Y496" s="5" t="n"/>
    </row>
    <row r="497" ht="20" customHeight="1" s="1">
      <c r="A497" s="5" t="n"/>
      <c r="B497" s="5" t="n"/>
      <c r="C497" s="5" t="n"/>
      <c r="D497" s="5" t="n"/>
      <c r="E497" s="5" t="n"/>
      <c r="F497" s="6" t="n"/>
      <c r="G497" s="6" t="n"/>
      <c r="H497" s="81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82" t="n"/>
      <c r="V497" s="74" t="n"/>
      <c r="W497" s="82" t="n"/>
      <c r="X497" s="83" t="n"/>
      <c r="Y497" s="5" t="n"/>
    </row>
    <row r="498" ht="20" customHeight="1" s="1">
      <c r="A498" s="5" t="n"/>
      <c r="B498" s="5" t="n"/>
      <c r="C498" s="5" t="n"/>
      <c r="D498" s="5" t="n"/>
      <c r="E498" s="5" t="n"/>
      <c r="F498" s="6" t="n"/>
      <c r="G498" s="6" t="n"/>
      <c r="H498" s="81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82" t="n"/>
      <c r="V498" s="74" t="n"/>
      <c r="W498" s="82" t="n"/>
      <c r="X498" s="83" t="n"/>
      <c r="Y498" s="5" t="n"/>
    </row>
    <row r="499" ht="20" customHeight="1" s="1">
      <c r="A499" s="5" t="n"/>
      <c r="B499" s="5" t="n"/>
      <c r="C499" s="5" t="n"/>
      <c r="D499" s="5" t="n"/>
      <c r="E499" s="5" t="n"/>
      <c r="F499" s="6" t="n"/>
      <c r="G499" s="6" t="n"/>
      <c r="H499" s="81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82" t="n"/>
      <c r="V499" s="74" t="n"/>
      <c r="W499" s="82" t="n"/>
      <c r="X499" s="83" t="n"/>
      <c r="Y499" s="5" t="n"/>
    </row>
    <row r="500" ht="20" customHeight="1" s="1">
      <c r="A500" s="5" t="n"/>
      <c r="B500" s="5" t="n"/>
      <c r="C500" s="5" t="n"/>
      <c r="D500" s="5" t="n"/>
      <c r="E500" s="5" t="n"/>
      <c r="F500" s="6" t="n"/>
      <c r="G500" s="6" t="n"/>
      <c r="H500" s="81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82" t="n"/>
      <c r="V500" s="74" t="n"/>
      <c r="W500" s="82" t="n"/>
      <c r="X500" s="83" t="n"/>
      <c r="Y500" s="5" t="n"/>
    </row>
    <row r="501" ht="20" customHeight="1" s="1">
      <c r="A501" s="5" t="n"/>
      <c r="B501" s="5" t="n"/>
      <c r="C501" s="5" t="n"/>
      <c r="D501" s="5" t="n"/>
      <c r="E501" s="5" t="n"/>
      <c r="F501" s="6" t="n"/>
      <c r="G501" s="6" t="n"/>
      <c r="H501" s="81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82" t="n"/>
      <c r="V501" s="74" t="n"/>
      <c r="W501" s="82" t="n"/>
      <c r="X501" s="83" t="n"/>
      <c r="Y501" s="5" t="n"/>
    </row>
    <row r="502" ht="20" customHeight="1" s="1">
      <c r="A502" s="5" t="n"/>
      <c r="B502" s="5" t="n"/>
      <c r="C502" s="5" t="n"/>
      <c r="D502" s="5" t="n"/>
      <c r="E502" s="5" t="n"/>
      <c r="F502" s="6" t="n"/>
      <c r="G502" s="6" t="n"/>
      <c r="H502" s="81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82" t="n"/>
      <c r="V502" s="74" t="n"/>
      <c r="W502" s="82" t="n"/>
      <c r="X502" s="83" t="n"/>
      <c r="Y502" s="5" t="n"/>
    </row>
    <row r="503" ht="20" customHeight="1" s="1">
      <c r="A503" s="5" t="n"/>
      <c r="B503" s="5" t="n"/>
      <c r="C503" s="5" t="n"/>
      <c r="D503" s="5" t="n"/>
      <c r="E503" s="5" t="n"/>
      <c r="F503" s="6" t="n"/>
      <c r="G503" s="6" t="n"/>
      <c r="H503" s="81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82" t="n"/>
      <c r="V503" s="74" t="n"/>
      <c r="W503" s="82" t="n"/>
      <c r="X503" s="83" t="n"/>
      <c r="Y503" s="5" t="n"/>
    </row>
    <row r="504" ht="20" customHeight="1" s="1">
      <c r="A504" s="5" t="n"/>
      <c r="B504" s="5" t="n"/>
      <c r="C504" s="5" t="n"/>
      <c r="D504" s="5" t="n"/>
      <c r="E504" s="5" t="n"/>
      <c r="F504" s="6" t="n"/>
      <c r="G504" s="6" t="n"/>
      <c r="H504" s="81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82" t="n"/>
      <c r="V504" s="74" t="n"/>
      <c r="W504" s="82" t="n"/>
      <c r="X504" s="83" t="n"/>
      <c r="Y504" s="5" t="n"/>
    </row>
    <row r="505" ht="20" customHeight="1" s="1">
      <c r="A505" s="5" t="n"/>
      <c r="B505" s="5" t="n"/>
      <c r="C505" s="5" t="n"/>
      <c r="D505" s="5" t="n"/>
      <c r="E505" s="5" t="n"/>
      <c r="F505" s="6" t="n"/>
      <c r="G505" s="6" t="n"/>
      <c r="H505" s="81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82" t="n"/>
      <c r="V505" s="74" t="n"/>
      <c r="W505" s="82" t="n"/>
      <c r="X505" s="83" t="n"/>
      <c r="Y505" s="5" t="n"/>
    </row>
    <row r="506" ht="20" customHeight="1" s="1">
      <c r="A506" s="5" t="n"/>
      <c r="B506" s="5" t="n"/>
      <c r="C506" s="5" t="n"/>
      <c r="D506" s="5" t="n"/>
      <c r="E506" s="5" t="n"/>
      <c r="F506" s="6" t="n"/>
      <c r="G506" s="6" t="n"/>
      <c r="H506" s="81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82" t="n"/>
      <c r="V506" s="74" t="n"/>
      <c r="W506" s="82" t="n"/>
      <c r="X506" s="83" t="n"/>
      <c r="Y506" s="5" t="n"/>
    </row>
    <row r="507" ht="20" customHeight="1" s="1">
      <c r="A507" s="5" t="n"/>
      <c r="B507" s="5" t="n"/>
      <c r="C507" s="5" t="n"/>
      <c r="D507" s="5" t="n"/>
      <c r="E507" s="5" t="n"/>
      <c r="F507" s="6" t="n"/>
      <c r="G507" s="6" t="n"/>
      <c r="H507" s="81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82" t="n"/>
      <c r="V507" s="74" t="n"/>
      <c r="W507" s="82" t="n"/>
      <c r="X507" s="83" t="n"/>
      <c r="Y507" s="5" t="n"/>
    </row>
    <row r="508" ht="20" customHeight="1" s="1">
      <c r="A508" s="5" t="n"/>
      <c r="B508" s="5" t="n"/>
      <c r="C508" s="5" t="n"/>
      <c r="D508" s="5" t="n"/>
      <c r="E508" s="5" t="n"/>
      <c r="F508" s="6" t="n"/>
      <c r="G508" s="6" t="n"/>
      <c r="H508" s="81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82" t="n"/>
      <c r="V508" s="74" t="n"/>
      <c r="W508" s="82" t="n"/>
      <c r="X508" s="83" t="n"/>
      <c r="Y508" s="5" t="n"/>
    </row>
    <row r="509" ht="20" customHeight="1" s="1">
      <c r="A509" s="5" t="n"/>
      <c r="B509" s="5" t="n"/>
      <c r="C509" s="5" t="n"/>
      <c r="D509" s="5" t="n"/>
      <c r="E509" s="5" t="n"/>
      <c r="F509" s="6" t="n"/>
      <c r="G509" s="6" t="n"/>
      <c r="H509" s="9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82" t="n"/>
      <c r="V509" s="74" t="n"/>
      <c r="W509" s="82" t="n"/>
      <c r="X509" s="83" t="n"/>
      <c r="Y509" s="5" t="n"/>
    </row>
  </sheetData>
  <mergeCells count="3">
    <mergeCell ref="A1:Z1"/>
    <mergeCell ref="N2:Z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AI266"/>
  <sheetViews>
    <sheetView showGridLines="0" view="pageBreakPreview" zoomScale="115" zoomScaleNormal="100" workbookViewId="0">
      <pane ySplit="5" topLeftCell="A62" activePane="bottomLeft" state="frozen"/>
      <selection activeCell="A1" sqref="A1"/>
      <selection pane="bottomLeft" activeCell="F67" sqref="B66:F67"/>
    </sheetView>
  </sheetViews>
  <sheetFormatPr baseColWidth="8" defaultColWidth="10.5" defaultRowHeight="11.25"/>
  <cols>
    <col width="4.33333333333333" customWidth="1" style="7" min="1" max="1"/>
    <col width="16.1666666666667" customWidth="1" style="7" min="2" max="2"/>
    <col width="16.8444444444444" customWidth="1" style="7" min="3" max="3"/>
    <col width="29.5555555555556" customWidth="1" style="7" min="4" max="4"/>
    <col width="6.22222222222222" customWidth="1" style="7" min="5" max="5"/>
    <col width="11.7555555555556" customWidth="1" style="15" min="6" max="7"/>
    <col width="11.7555555555556" customWidth="1" style="97" min="8" max="9"/>
    <col width="12.3222222222222" customWidth="1" style="15" min="10" max="10"/>
    <col width="18.2777777777778" customWidth="1" style="97" min="11" max="12"/>
    <col width="18.2777777777778" customWidth="1" style="61" min="13" max="13"/>
    <col width="11.2777777777778" customWidth="1" style="15" min="14" max="15"/>
    <col width="11.2777777777778" customWidth="1" style="61" min="16" max="16"/>
    <col width="15.7555555555556" customWidth="1" style="97" min="17" max="17"/>
    <col width="15.1666666666667" customWidth="1" style="97" min="18" max="18"/>
    <col width="11.2777777777778" customWidth="1" style="97" min="19" max="19"/>
    <col width="17.3333333333333" customWidth="1" style="15" min="20" max="20"/>
    <col width="17.6666666666667" customWidth="1" style="15" min="21" max="21"/>
    <col width="17.6333333333333" customWidth="1" style="97" min="22" max="22"/>
    <col width="17.1666666666667" customWidth="1" style="15" min="23" max="23"/>
    <col width="19.6111111111111" customWidth="1" style="97" min="24" max="24"/>
    <col width="18.6222222222222" customWidth="1" style="97" min="25" max="25"/>
    <col width="15.3333333333333" customWidth="1" style="15" min="26" max="26"/>
    <col width="15" customWidth="1" style="42" min="27" max="27"/>
    <col width="14.1666666666667" customWidth="1" style="7" min="28" max="28"/>
    <col width="10.5" customWidth="1" style="7" min="29" max="29"/>
    <col width="13" customWidth="1" style="7" min="30" max="30"/>
    <col width="10.5" customWidth="1" style="7" min="31" max="16384"/>
  </cols>
  <sheetData>
    <row r="1" ht="32" customHeight="1" s="1">
      <c r="A1" s="20" t="inlineStr">
        <is>
          <t>工程量偏差或漏项对比表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3" t="n"/>
    </row>
    <row r="2" ht="25" customHeight="1" s="1">
      <c r="A2" s="22" t="inlineStr">
        <is>
          <t>工程名称：综合楼</t>
        </is>
      </c>
      <c r="B2" s="21" t="n"/>
      <c r="C2" s="21" t="n"/>
      <c r="D2" s="23" t="n"/>
      <c r="E2" s="22" t="n"/>
      <c r="F2" s="62" t="n"/>
      <c r="G2" s="22" t="n"/>
      <c r="H2" s="98" t="n"/>
      <c r="I2" s="98" t="n"/>
      <c r="J2" s="22" t="n"/>
      <c r="K2" s="98" t="n"/>
      <c r="L2" s="98" t="n"/>
      <c r="M2" s="64" t="n"/>
      <c r="N2" s="22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3" t="n"/>
    </row>
    <row r="3" ht="35" customHeight="1" s="1">
      <c r="A3" s="25" t="inlineStr">
        <is>
          <t>序号</t>
        </is>
      </c>
      <c r="B3" s="25" t="inlineStr">
        <is>
          <t>项目编码</t>
        </is>
      </c>
      <c r="C3" s="25" t="inlineStr">
        <is>
          <t>项目名称</t>
        </is>
      </c>
      <c r="D3" s="25" t="inlineStr">
        <is>
          <t>项目特征描述</t>
        </is>
      </c>
      <c r="E3" s="25" t="inlineStr">
        <is>
          <t>计量单位</t>
        </is>
      </c>
      <c r="F3" s="25" t="inlineStr">
        <is>
          <t>工程量_合同工程量_A</t>
        </is>
      </c>
      <c r="G3" s="2" t="inlineStr">
        <is>
          <t>工程量_送审工程量_B</t>
        </is>
      </c>
      <c r="H3" s="2" t="inlineStr">
        <is>
          <t>工程量_审核工程量_C</t>
        </is>
      </c>
      <c r="I3" s="2" t="inlineStr">
        <is>
          <t>工程量_施工单位复核工程量</t>
        </is>
      </c>
      <c r="J3" s="2" t="inlineStr">
        <is>
          <t>工程量_送审增减工程量（±）_D=B-A</t>
        </is>
      </c>
      <c r="K3" s="2" t="inlineStr">
        <is>
          <t>工程量_增减工程量（±）_D=C-A</t>
        </is>
      </c>
      <c r="L3" s="2" t="inlineStr">
        <is>
          <t>工程量_核增减工程量（±）_E=C-B</t>
        </is>
      </c>
      <c r="M3" s="2" t="inlineStr">
        <is>
          <t>工程量_增减工程量比例（%）_E=D/A</t>
        </is>
      </c>
      <c r="N3" s="25" t="inlineStr">
        <is>
          <t>单价（元）_投标单价（元）_P0</t>
        </is>
      </c>
      <c r="O3" s="2" t="inlineStr">
        <is>
          <t>单价（元）_预算备案单价（元）_P1</t>
        </is>
      </c>
      <c r="P3" s="2" t="inlineStr">
        <is>
          <t>单价（元）_单价偏差率（%）_H=(P1-P0)/P1</t>
        </is>
      </c>
      <c r="Q3" s="2" t="inlineStr">
        <is>
          <t>单价（元）_P1*L*(1-15%)_打印时隐藏</t>
        </is>
      </c>
      <c r="R3" s="2" t="inlineStr">
        <is>
          <t>单价（元）_P1*(1+15%)_打印时隐藏</t>
        </is>
      </c>
      <c r="S3" s="2" t="inlineStr">
        <is>
          <t>单价（元）_增减部分单价（元）_I</t>
        </is>
      </c>
      <c r="T3" s="25" t="inlineStr">
        <is>
          <t>合价（元）_合同合价（元）_J</t>
        </is>
      </c>
      <c r="U3" s="2" t="inlineStr">
        <is>
          <t>合价（元）_结算合价（元）_K</t>
        </is>
      </c>
      <c r="V3" s="2" t="inlineStr">
        <is>
          <t>合价（元）_审核合价（元）_L</t>
        </is>
      </c>
      <c r="W3" s="99" t="inlineStr">
        <is>
          <t>送审增减部分金额（元）_M=K-J</t>
        </is>
      </c>
      <c r="X3" s="99" t="inlineStr">
        <is>
          <t>审核增减部分金额（元）_N</t>
        </is>
      </c>
      <c r="Y3" s="99" t="inlineStr">
        <is>
          <t>核增减金额（元）_O</t>
        </is>
      </c>
      <c r="Z3" s="25" t="inlineStr">
        <is>
          <t>备注</t>
        </is>
      </c>
      <c r="AB3" s="42" t="n"/>
    </row>
    <row r="4" ht="20" customHeight="1" s="1">
      <c r="A4" s="26" t="n"/>
      <c r="B4" s="26" t="n"/>
      <c r="C4" s="26" t="inlineStr">
        <is>
          <t>土石方工程</t>
        </is>
      </c>
      <c r="D4" s="26" t="n"/>
      <c r="E4" s="26" t="n"/>
      <c r="F4" s="27" t="n"/>
      <c r="G4" s="27" t="n"/>
      <c r="H4" s="100" t="n"/>
      <c r="I4" s="100" t="n"/>
      <c r="J4" s="27" t="n"/>
      <c r="K4" s="100" t="n"/>
      <c r="L4" s="100" t="n"/>
      <c r="M4" s="37" t="n"/>
      <c r="N4" s="27" t="n"/>
      <c r="O4" s="27" t="n"/>
      <c r="P4" s="37" t="n"/>
      <c r="Q4" s="100" t="n"/>
      <c r="R4" s="100" t="n"/>
      <c r="S4" s="100" t="n"/>
      <c r="T4" s="100" t="n">
        <v>139151.88</v>
      </c>
      <c r="U4" s="100" t="n">
        <v>139151.88</v>
      </c>
      <c r="V4" s="100">
        <f>+SUM(V5:V10)</f>
        <v/>
      </c>
      <c r="W4" s="100">
        <f>U4-T4</f>
        <v/>
      </c>
      <c r="X4" s="100" t="n"/>
      <c r="Y4" s="100" t="n"/>
      <c r="Z4" s="26" t="n"/>
      <c r="AA4" s="42" t="n"/>
    </row>
    <row r="5" ht="20" customHeight="1" s="1">
      <c r="A5" s="26" t="n">
        <v>1</v>
      </c>
      <c r="B5" s="26" t="inlineStr">
        <is>
          <t>010101001001</t>
        </is>
      </c>
      <c r="C5" s="26" t="inlineStr">
        <is>
          <t>平整场地</t>
        </is>
      </c>
      <c r="D5" s="26" t="inlineStr">
        <is>
          <t>1.平整场地</t>
        </is>
      </c>
      <c r="E5" s="26" t="inlineStr">
        <is>
          <t>m2</t>
        </is>
      </c>
      <c r="F5" s="100" t="n">
        <v>2090.01</v>
      </c>
      <c r="G5" s="100" t="n">
        <v>2090.01</v>
      </c>
      <c r="H5" s="100" t="n">
        <v>2090.01</v>
      </c>
      <c r="I5" s="100" t="n"/>
      <c r="J5" s="100">
        <f>G5-F5</f>
        <v/>
      </c>
      <c r="K5" s="100">
        <f>H5-F5</f>
        <v/>
      </c>
      <c r="L5" s="100">
        <f>H5-G5</f>
        <v/>
      </c>
      <c r="M5" s="37">
        <f>J5/F5</f>
        <v/>
      </c>
      <c r="N5" s="27" t="n">
        <v>2.32</v>
      </c>
      <c r="O5" s="27" t="n">
        <v>2.49</v>
      </c>
      <c r="P5" s="37">
        <f>(N5-O5)/O5</f>
        <v/>
      </c>
      <c r="Q5" s="100">
        <f>O5*0.9056*0.85</f>
        <v/>
      </c>
      <c r="R5" s="100">
        <f>O5*1.15</f>
        <v/>
      </c>
      <c r="S5" s="100">
        <f>IF(N5&lt;O5*0.9056*0.85,O5*0.9056*0.85,IF(N5&gt;O5*1.15,O5*1.15,N5))</f>
        <v/>
      </c>
      <c r="T5" s="100" t="n">
        <v>4848.83</v>
      </c>
      <c r="U5" s="100" t="n">
        <v>4848.83</v>
      </c>
      <c r="V5" s="100">
        <f>T5+S5*K5</f>
        <v/>
      </c>
      <c r="W5" s="100">
        <f>U5-T5</f>
        <v/>
      </c>
      <c r="X5" s="100">
        <f>V5-T5</f>
        <v/>
      </c>
      <c r="Y5" s="100">
        <f>V5-U5</f>
        <v/>
      </c>
      <c r="Z5" s="26" t="inlineStr">
        <is>
          <t>包干</t>
        </is>
      </c>
    </row>
    <row r="6" ht="20" customFormat="1" customHeight="1" s="7">
      <c r="A6" s="26" t="n">
        <v>2</v>
      </c>
      <c r="B6" s="26" t="inlineStr">
        <is>
          <t>010101002001</t>
        </is>
      </c>
      <c r="C6" s="26" t="inlineStr">
        <is>
          <t>挖一般土方</t>
        </is>
      </c>
      <c r="D6" s="26" t="inlineStr">
        <is>
          <t>1.土壤类别:综合考虑
2.挖土深度:综合考虑
3.综合考虑桩间土开挖等因素</t>
        </is>
      </c>
      <c r="E6" s="26" t="inlineStr">
        <is>
          <t>m3</t>
        </is>
      </c>
      <c r="F6" s="100" t="n">
        <v>1585.62</v>
      </c>
      <c r="G6" s="100" t="n">
        <v>1585.62</v>
      </c>
      <c r="H6" s="100" t="n">
        <v>1585.62</v>
      </c>
      <c r="I6" s="100" t="n"/>
      <c r="J6" s="100">
        <f>G6-F6</f>
        <v/>
      </c>
      <c r="K6" s="100">
        <f>H6-F6</f>
        <v/>
      </c>
      <c r="L6" s="100">
        <f>H6-G6</f>
        <v/>
      </c>
      <c r="M6" s="37">
        <f>J6/F6</f>
        <v/>
      </c>
      <c r="N6" s="27" t="n">
        <v>5.77</v>
      </c>
      <c r="O6" s="27" t="n">
        <v>6.22</v>
      </c>
      <c r="P6" s="37">
        <f>(N6-O6)/O6</f>
        <v/>
      </c>
      <c r="Q6" s="100">
        <f>O6*0.9056*0.85</f>
        <v/>
      </c>
      <c r="R6" s="100">
        <f>O6*1.15</f>
        <v/>
      </c>
      <c r="S6" s="100">
        <f>IF(N6&lt;O6*0.9056*0.85,O6*0.9056*0.85,IF(N6&gt;O6*1.15,O6*1.15,N6))</f>
        <v/>
      </c>
      <c r="T6" s="100" t="n">
        <v>9149</v>
      </c>
      <c r="U6" s="100" t="n">
        <v>9149</v>
      </c>
      <c r="V6" s="100">
        <f>T6+S6*K6</f>
        <v/>
      </c>
      <c r="W6" s="100">
        <f>U6-T6</f>
        <v/>
      </c>
      <c r="X6" s="100">
        <f>V6-T6</f>
        <v/>
      </c>
      <c r="Y6" s="100">
        <f>V6-U6</f>
        <v/>
      </c>
      <c r="Z6" s="5" t="inlineStr">
        <is>
          <t>包干</t>
        </is>
      </c>
    </row>
    <row r="7" ht="20" customHeight="1" s="1">
      <c r="A7" s="26" t="n">
        <v>3</v>
      </c>
      <c r="B7" s="26" t="inlineStr">
        <is>
          <t>010101003001</t>
        </is>
      </c>
      <c r="C7" s="26" t="inlineStr">
        <is>
          <t>挖沟槽土方</t>
        </is>
      </c>
      <c r="D7" s="26" t="inlineStr">
        <is>
          <t>1.土壤类别:综合考虑
2.挖土深度:综合考虑</t>
        </is>
      </c>
      <c r="E7" s="26" t="inlineStr">
        <is>
          <t>m3</t>
        </is>
      </c>
      <c r="F7" s="100" t="n">
        <v>350.37</v>
      </c>
      <c r="G7" s="100" t="n">
        <v>350.37</v>
      </c>
      <c r="H7" s="100" t="n">
        <v>350.37</v>
      </c>
      <c r="I7" s="100" t="n"/>
      <c r="J7" s="100">
        <f>G7-F7</f>
        <v/>
      </c>
      <c r="K7" s="100">
        <f>H7-F7</f>
        <v/>
      </c>
      <c r="L7" s="100">
        <f>H7-G7</f>
        <v/>
      </c>
      <c r="M7" s="37">
        <f>J7/F7</f>
        <v/>
      </c>
      <c r="N7" s="27" t="n">
        <v>9.859999999999999</v>
      </c>
      <c r="O7" s="27" t="n">
        <v>9.32</v>
      </c>
      <c r="P7" s="37">
        <f>(N7-O7)/O7</f>
        <v/>
      </c>
      <c r="Q7" s="100">
        <f>O7*0.9056*0.85</f>
        <v/>
      </c>
      <c r="R7" s="100">
        <f>O7*1.15</f>
        <v/>
      </c>
      <c r="S7" s="100">
        <f>IF(N7&lt;O7*0.9056*0.85,O7*0.9056*0.85,IF(N7&gt;O7*1.15,O7*1.15,N7))</f>
        <v/>
      </c>
      <c r="T7" s="100" t="n">
        <v>3454.64</v>
      </c>
      <c r="U7" s="100" t="n">
        <v>3454.64</v>
      </c>
      <c r="V7" s="100">
        <f>T7+S7*K7</f>
        <v/>
      </c>
      <c r="W7" s="100">
        <f>U7-T7</f>
        <v/>
      </c>
      <c r="X7" s="100">
        <f>V7-T7</f>
        <v/>
      </c>
      <c r="Y7" s="100">
        <f>V7-U7</f>
        <v/>
      </c>
      <c r="Z7" s="5" t="inlineStr">
        <is>
          <t>包干</t>
        </is>
      </c>
    </row>
    <row r="8" ht="20" customHeight="1" s="1">
      <c r="A8" s="26" t="n">
        <v>4</v>
      </c>
      <c r="B8" s="26" t="inlineStr">
        <is>
          <t>010101004001</t>
        </is>
      </c>
      <c r="C8" s="26" t="inlineStr">
        <is>
          <t>挖基坑土方</t>
        </is>
      </c>
      <c r="D8" s="26" t="inlineStr">
        <is>
          <t>1.土壤类别:综合考虑
2.挖土深度:综合考虑</t>
        </is>
      </c>
      <c r="E8" s="26" t="inlineStr">
        <is>
          <t>m3</t>
        </is>
      </c>
      <c r="F8" s="100" t="n">
        <v>752.53</v>
      </c>
      <c r="G8" s="100" t="n">
        <v>752.53</v>
      </c>
      <c r="H8" s="100" t="n">
        <v>752.53</v>
      </c>
      <c r="I8" s="100" t="n"/>
      <c r="J8" s="100">
        <f>G8-F8</f>
        <v/>
      </c>
      <c r="K8" s="100">
        <f>H8-F8</f>
        <v/>
      </c>
      <c r="L8" s="100">
        <f>H8-G8</f>
        <v/>
      </c>
      <c r="M8" s="37">
        <f>J8/F8</f>
        <v/>
      </c>
      <c r="N8" s="27" t="n">
        <v>8.25</v>
      </c>
      <c r="O8" s="27" t="n">
        <v>9.449999999999999</v>
      </c>
      <c r="P8" s="37">
        <f>(N8-O8)/O8</f>
        <v/>
      </c>
      <c r="Q8" s="100">
        <f>O8*0.9056*0.85</f>
        <v/>
      </c>
      <c r="R8" s="100">
        <f>O8*1.15</f>
        <v/>
      </c>
      <c r="S8" s="100">
        <f>IF(N8&lt;O8*0.9056*0.85,O8*0.9056*0.85,IF(N8&gt;O8*1.15,O8*1.15,N8))</f>
        <v/>
      </c>
      <c r="T8" s="100" t="n">
        <v>6208.41</v>
      </c>
      <c r="U8" s="100" t="n">
        <v>6208.41</v>
      </c>
      <c r="V8" s="100">
        <f>T8+S8*K8</f>
        <v/>
      </c>
      <c r="W8" s="100">
        <f>U8-T8</f>
        <v/>
      </c>
      <c r="X8" s="100">
        <f>V8-T8</f>
        <v/>
      </c>
      <c r="Y8" s="100">
        <f>V8-U8</f>
        <v/>
      </c>
      <c r="Z8" s="5" t="inlineStr">
        <is>
          <t>包干</t>
        </is>
      </c>
    </row>
    <row r="9" ht="20" customHeight="1" s="1">
      <c r="A9" s="26" t="n">
        <v>5</v>
      </c>
      <c r="B9" s="26" t="inlineStr">
        <is>
          <t>010103001001</t>
        </is>
      </c>
      <c r="C9" s="26" t="inlineStr">
        <is>
          <t>回填方</t>
        </is>
      </c>
      <c r="D9" s="26" t="inlineStr">
        <is>
          <t>1.填方材料品种:原土
2.密实度要求:按设计及规范要求</t>
        </is>
      </c>
      <c r="E9" s="26" t="inlineStr">
        <is>
          <t>m3</t>
        </is>
      </c>
      <c r="F9" s="100" t="n">
        <v>764.17</v>
      </c>
      <c r="G9" s="100" t="n">
        <v>764.17</v>
      </c>
      <c r="H9" s="100" t="n">
        <v>764.17</v>
      </c>
      <c r="I9" s="100" t="n"/>
      <c r="J9" s="100">
        <f>G9-F9</f>
        <v/>
      </c>
      <c r="K9" s="100">
        <f>H9-F9</f>
        <v/>
      </c>
      <c r="L9" s="100">
        <f>H9-G9</f>
        <v/>
      </c>
      <c r="M9" s="37">
        <f>J9/F9</f>
        <v/>
      </c>
      <c r="N9" s="27" t="n">
        <v>17.92</v>
      </c>
      <c r="O9" s="27" t="n">
        <v>19.89</v>
      </c>
      <c r="P9" s="37">
        <f>(N9-O9)/O9</f>
        <v/>
      </c>
      <c r="Q9" s="100">
        <f>O9*0.9056*0.85</f>
        <v/>
      </c>
      <c r="R9" s="100">
        <f>O9*1.15</f>
        <v/>
      </c>
      <c r="S9" s="100">
        <f>IF(N9&lt;O9*0.9056*0.85,O9*0.9056*0.85,IF(N9&gt;O9*1.15,O9*1.15,N9))</f>
        <v/>
      </c>
      <c r="T9" s="100" t="n">
        <v>13694</v>
      </c>
      <c r="U9" s="100" t="n">
        <v>13694</v>
      </c>
      <c r="V9" s="100">
        <f>T9+S9*K9</f>
        <v/>
      </c>
      <c r="W9" s="100">
        <f>U9-T9</f>
        <v/>
      </c>
      <c r="X9" s="100">
        <f>V9-T9</f>
        <v/>
      </c>
      <c r="Y9" s="100">
        <f>V9-U9</f>
        <v/>
      </c>
      <c r="Z9" s="5" t="inlineStr">
        <is>
          <t>包干</t>
        </is>
      </c>
    </row>
    <row r="10" ht="20" customHeight="1" s="1">
      <c r="A10" s="26" t="n">
        <v>6</v>
      </c>
      <c r="B10" s="26" t="inlineStr">
        <is>
          <t>010103002001</t>
        </is>
      </c>
      <c r="C10" s="26" t="inlineStr">
        <is>
          <t>余方弃置</t>
        </is>
      </c>
      <c r="D10" s="26" t="inlineStr">
        <is>
          <t>1.土方弃置
2.运距:智能渣土车运输运距综合考虑</t>
        </is>
      </c>
      <c r="E10" s="26" t="inlineStr">
        <is>
          <t>m3</t>
        </is>
      </c>
      <c r="F10" s="100" t="n">
        <v>1809.72</v>
      </c>
      <c r="G10" s="100" t="n">
        <v>1809.72</v>
      </c>
      <c r="H10" s="100" t="n">
        <v>1809.72</v>
      </c>
      <c r="I10" s="100" t="n"/>
      <c r="J10" s="100">
        <f>G10-F10</f>
        <v/>
      </c>
      <c r="K10" s="100">
        <f>H10-F10</f>
        <v/>
      </c>
      <c r="L10" s="100">
        <f>H10-G10</f>
        <v/>
      </c>
      <c r="M10" s="37">
        <f>J10/F10</f>
        <v/>
      </c>
      <c r="N10" s="27" t="n">
        <v>56.25</v>
      </c>
      <c r="O10" s="27" t="n">
        <v>59.2</v>
      </c>
      <c r="P10" s="37">
        <f>(N10-O10)/O10</f>
        <v/>
      </c>
      <c r="Q10" s="100">
        <f>O10*0.9056*0.85</f>
        <v/>
      </c>
      <c r="R10" s="100">
        <f>O10*1.15</f>
        <v/>
      </c>
      <c r="S10" s="100">
        <f>IF(N10&lt;O10*0.9056*0.85,O10*0.9056*0.85,IF(N10&gt;O10*1.15,O10*1.15,N10))</f>
        <v/>
      </c>
      <c r="T10" s="100" t="n">
        <v>101797</v>
      </c>
      <c r="U10" s="100" t="n">
        <v>101797</v>
      </c>
      <c r="V10" s="100">
        <f>T10+S10*K10</f>
        <v/>
      </c>
      <c r="W10" s="100">
        <f>U10-T10</f>
        <v/>
      </c>
      <c r="X10" s="100">
        <f>V10-T10</f>
        <v/>
      </c>
      <c r="Y10" s="100">
        <f>V10-U10</f>
        <v/>
      </c>
      <c r="Z10" s="5" t="inlineStr">
        <is>
          <t>包干</t>
        </is>
      </c>
    </row>
    <row r="11" ht="20" customHeight="1" s="1">
      <c r="A11" s="26" t="n"/>
      <c r="B11" s="26" t="n"/>
      <c r="C11" s="26" t="inlineStr">
        <is>
          <t>桩基工程</t>
        </is>
      </c>
      <c r="D11" s="26" t="n"/>
      <c r="E11" s="26" t="n"/>
      <c r="F11" s="100" t="n"/>
      <c r="G11" s="100" t="n"/>
      <c r="H11" s="100" t="n"/>
      <c r="I11" s="100" t="n"/>
      <c r="J11" s="100" t="n"/>
      <c r="K11" s="100" t="n"/>
      <c r="L11" s="100" t="n"/>
      <c r="M11" s="37" t="n"/>
      <c r="N11" s="27" t="n"/>
      <c r="O11" s="27" t="n"/>
      <c r="P11" s="37" t="n"/>
      <c r="Q11" s="100" t="n"/>
      <c r="R11" s="100" t="n"/>
      <c r="S11" s="100" t="n"/>
      <c r="T11" s="100" t="n">
        <v>1069070.38</v>
      </c>
      <c r="U11" s="100" t="n">
        <v>1137925.24</v>
      </c>
      <c r="V11" s="100">
        <f>+SUM(V12:V17)</f>
        <v/>
      </c>
      <c r="W11" s="100">
        <f>U11-T11</f>
        <v/>
      </c>
      <c r="X11" s="100">
        <f>V11-T11</f>
        <v/>
      </c>
      <c r="Y11" s="100">
        <f>V11-U11</f>
        <v/>
      </c>
      <c r="Z11" s="26" t="n"/>
      <c r="AA11" s="42" t="n"/>
    </row>
    <row r="12" ht="20" customHeight="1" s="1">
      <c r="A12" s="26" t="n">
        <v>7</v>
      </c>
      <c r="B12" s="26" t="inlineStr">
        <is>
          <t>010301002001</t>
        </is>
      </c>
      <c r="C12" s="26" t="inlineStr">
        <is>
          <t>预制钢筋混凝土管桩</t>
        </is>
      </c>
      <c r="D12" s="26" t="inlineStr">
        <is>
          <t>1.桩外径、壁厚:Φ400PHC80预应力管桩AB型壁厚95mm（综合考虑抗拔桩）
2.沉桩方法:静压
3.混凝土强度等级:C40\C30
4.填充材料种类:微膨胀混凝土
5.接桩
6.预埋钢板</t>
        </is>
      </c>
      <c r="E12" s="26" t="inlineStr">
        <is>
          <t>m</t>
        </is>
      </c>
      <c r="F12" s="100" t="n">
        <v>3420</v>
      </c>
      <c r="G12" s="100" t="n">
        <v>3847.9</v>
      </c>
      <c r="H12" s="100" t="n">
        <v>3536.74</v>
      </c>
      <c r="I12" s="100" t="n"/>
      <c r="J12" s="100">
        <f>G12-F12</f>
        <v/>
      </c>
      <c r="K12" s="100">
        <f>H12-F12</f>
        <v/>
      </c>
      <c r="L12" s="100">
        <f>H12-G12</f>
        <v/>
      </c>
      <c r="M12" s="37">
        <f>J12/F12</f>
        <v/>
      </c>
      <c r="N12" s="27" t="n">
        <v>276.89</v>
      </c>
      <c r="O12" s="27" t="n">
        <v>320.16</v>
      </c>
      <c r="P12" s="37">
        <f>(N12-O12)/O12</f>
        <v/>
      </c>
      <c r="Q12" s="100">
        <f>O12*0.9056*0.85</f>
        <v/>
      </c>
      <c r="R12" s="100">
        <f>O12*1.15</f>
        <v/>
      </c>
      <c r="S12" s="100">
        <f>IF(N12&lt;O12*0.9056*0.85,O12*0.9056*0.85,IF(N12&gt;O12*1.15,O12*1.15,N12))</f>
        <v/>
      </c>
      <c r="T12" s="100" t="n">
        <v>946963.8</v>
      </c>
      <c r="U12" s="100" t="n">
        <v>1065445.03</v>
      </c>
      <c r="V12" s="100">
        <f>T12+S12*K12</f>
        <v/>
      </c>
      <c r="W12" s="100">
        <f>U12-T12</f>
        <v/>
      </c>
      <c r="X12" s="100">
        <f>V12-T12</f>
        <v/>
      </c>
      <c r="Y12" s="100">
        <f>V12-U12</f>
        <v/>
      </c>
      <c r="Z12" s="26" t="n"/>
    </row>
    <row r="13" ht="20" customFormat="1" customHeight="1" s="7">
      <c r="A13" s="26" t="n">
        <v>8</v>
      </c>
      <c r="B13" s="26" t="inlineStr">
        <is>
          <t>010301002002</t>
        </is>
      </c>
      <c r="C13" s="26" t="inlineStr">
        <is>
          <t>预制钢筋混凝土管桩（试验桩）</t>
        </is>
      </c>
      <c r="D13" s="26" t="inlineStr">
        <is>
          <t>1.桩外径、壁厚:Φ400PHC80预应力管桩AB型壁厚95mm
2.沉桩方法:静压
3.混凝土强度等级:C40\C30
4.填充材料种类:微膨胀混凝土
5.接桩
6.预埋钢板</t>
        </is>
      </c>
      <c r="E13" s="26" t="inlineStr">
        <is>
          <t>m</t>
        </is>
      </c>
      <c r="F13" s="100" t="n">
        <v>100</v>
      </c>
      <c r="G13" s="100" t="n">
        <v>0</v>
      </c>
      <c r="H13" s="100" t="n">
        <v>0</v>
      </c>
      <c r="I13" s="100" t="n"/>
      <c r="J13" s="100">
        <f>G13-F13</f>
        <v/>
      </c>
      <c r="K13" s="100">
        <f>H13-F13</f>
        <v/>
      </c>
      <c r="L13" s="100">
        <f>H13-G13</f>
        <v/>
      </c>
      <c r="M13" s="37">
        <f>J13/F13</f>
        <v/>
      </c>
      <c r="N13" s="27" t="n">
        <v>315.52</v>
      </c>
      <c r="O13" s="27" t="n">
        <v>357.1</v>
      </c>
      <c r="P13" s="37">
        <f>(N13-O13)/O13</f>
        <v/>
      </c>
      <c r="Q13" s="100">
        <f>O13*0.9056*0.85</f>
        <v/>
      </c>
      <c r="R13" s="100">
        <f>O13*1.15</f>
        <v/>
      </c>
      <c r="S13" s="100">
        <f>IF(N13&lt;O13*0.9056*0.85,O13*0.9056*0.85,IF(N13&gt;O13*1.15,O13*1.15,N13))</f>
        <v/>
      </c>
      <c r="T13" s="100" t="n">
        <v>31552</v>
      </c>
      <c r="U13" s="100" t="n">
        <v>0</v>
      </c>
      <c r="V13" s="100">
        <f>T13+S13*K13</f>
        <v/>
      </c>
      <c r="W13" s="100">
        <f>U13-T13</f>
        <v/>
      </c>
      <c r="X13" s="100">
        <f>V13-T13</f>
        <v/>
      </c>
      <c r="Y13" s="100">
        <f>V13-U13</f>
        <v/>
      </c>
      <c r="Z13" s="26" t="n"/>
      <c r="AA13" s="42" t="n"/>
    </row>
    <row r="14" ht="20" customHeight="1" s="1">
      <c r="A14" s="26" t="n">
        <v>9</v>
      </c>
      <c r="B14" s="26" t="inlineStr">
        <is>
          <t>010301002004</t>
        </is>
      </c>
      <c r="C14" s="26" t="inlineStr">
        <is>
          <t>预制钢筋混凝土管桩（送桩）</t>
        </is>
      </c>
      <c r="D14" s="26" t="inlineStr">
        <is>
          <t>1.桩外径、壁厚:Φ400PHC80预应力管桩AB型壁厚95mm</t>
        </is>
      </c>
      <c r="E14" s="26" t="inlineStr">
        <is>
          <t>m</t>
        </is>
      </c>
      <c r="F14" s="100" t="n">
        <v>264</v>
      </c>
      <c r="G14" s="100" t="n">
        <v>122.3</v>
      </c>
      <c r="H14" s="100" t="n">
        <v>122.3</v>
      </c>
      <c r="I14" s="100" t="n"/>
      <c r="J14" s="100">
        <f>G14-F14</f>
        <v/>
      </c>
      <c r="K14" s="100">
        <f>H14-F14</f>
        <v/>
      </c>
      <c r="L14" s="100">
        <f>H14-G14</f>
        <v/>
      </c>
      <c r="M14" s="37">
        <f>J14/F14</f>
        <v/>
      </c>
      <c r="N14" s="27" t="n">
        <v>56.37</v>
      </c>
      <c r="O14" s="27" t="n">
        <v>58.71</v>
      </c>
      <c r="P14" s="37">
        <f>(N14-O14)/O14</f>
        <v/>
      </c>
      <c r="Q14" s="100">
        <f>O14*0.9056*0.85</f>
        <v/>
      </c>
      <c r="R14" s="100">
        <f>O14*1.15</f>
        <v/>
      </c>
      <c r="S14" s="100">
        <f>IF(N14&lt;O14*0.9056*0.85,O14*0.9056*0.85,IF(N14&gt;O14*1.15,O14*1.15,N14))</f>
        <v/>
      </c>
      <c r="T14" s="100" t="n">
        <v>14881.68</v>
      </c>
      <c r="U14" s="100" t="n">
        <v>6894.05</v>
      </c>
      <c r="V14" s="100">
        <f>T14+S14*K14</f>
        <v/>
      </c>
      <c r="W14" s="100">
        <f>U14-T14</f>
        <v/>
      </c>
      <c r="X14" s="100">
        <f>V14-T14</f>
        <v/>
      </c>
      <c r="Y14" s="100">
        <f>V14-U14</f>
        <v/>
      </c>
      <c r="Z14" s="26" t="n"/>
      <c r="AA14" s="42" t="n"/>
    </row>
    <row r="15" ht="20" customFormat="1" customHeight="1" s="7">
      <c r="A15" s="26" t="n">
        <v>10</v>
      </c>
      <c r="B15" s="26" t="inlineStr">
        <is>
          <t>010301004001</t>
        </is>
      </c>
      <c r="C15" s="26" t="inlineStr">
        <is>
          <t>截(凿)桩头</t>
        </is>
      </c>
      <c r="D15" s="26" t="inlineStr">
        <is>
          <t>1.桩类型:管桩
2.桩头截面、高度:桩径D为400
3.场外运输:综合考虑</t>
        </is>
      </c>
      <c r="E15" s="26" t="inlineStr">
        <is>
          <t>根</t>
        </is>
      </c>
      <c r="F15" s="100" t="n">
        <v>176</v>
      </c>
      <c r="G15" s="100" t="n">
        <v>176</v>
      </c>
      <c r="H15" s="101" t="n">
        <v>176</v>
      </c>
      <c r="I15" s="101" t="n"/>
      <c r="J15" s="100">
        <f>G15-F15</f>
        <v/>
      </c>
      <c r="K15" s="100">
        <f>H15-F15</f>
        <v/>
      </c>
      <c r="L15" s="100">
        <f>H15-G15</f>
        <v/>
      </c>
      <c r="M15" s="37">
        <f>J15/F15</f>
        <v/>
      </c>
      <c r="N15" s="27" t="n">
        <v>78.16</v>
      </c>
      <c r="O15" s="27" t="n">
        <v>95.36</v>
      </c>
      <c r="P15" s="37">
        <f>(N15-O15)/O15</f>
        <v/>
      </c>
      <c r="Q15" s="100">
        <f>O15*0.9056*0.85</f>
        <v/>
      </c>
      <c r="R15" s="100">
        <f>O15*1.15</f>
        <v/>
      </c>
      <c r="S15" s="100">
        <f>IF(N15&lt;O15*0.9056*0.85,O15*0.9056*0.85,IF(N15&gt;O15*1.15,O15*1.15,N15))</f>
        <v/>
      </c>
      <c r="T15" s="100" t="n">
        <v>13756.16</v>
      </c>
      <c r="U15" s="100" t="n">
        <v>13756.16</v>
      </c>
      <c r="V15" s="100">
        <f>T15+S15*K15</f>
        <v/>
      </c>
      <c r="W15" s="100">
        <f>U15-T15</f>
        <v/>
      </c>
      <c r="X15" s="100">
        <f>V15-T15</f>
        <v/>
      </c>
      <c r="Y15" s="100">
        <f>V15-U15</f>
        <v/>
      </c>
      <c r="Z15" s="26" t="n"/>
    </row>
    <row r="16" ht="20" customFormat="1" customHeight="1" s="7">
      <c r="A16" s="26" t="n">
        <v>11</v>
      </c>
      <c r="B16" s="26" t="inlineStr">
        <is>
          <t>粤010301005001</t>
        </is>
      </c>
      <c r="C16" s="26" t="inlineStr">
        <is>
          <t>桩尖</t>
        </is>
      </c>
      <c r="D16" s="26" t="inlineStr">
        <is>
          <t>1.钢桩尖制作
2.桩径:400
3.具体做法详见图纸</t>
        </is>
      </c>
      <c r="E16" s="26" t="inlineStr">
        <is>
          <t>个</t>
        </is>
      </c>
      <c r="F16" s="100" t="n">
        <v>176</v>
      </c>
      <c r="G16" s="100" t="n">
        <v>176</v>
      </c>
      <c r="H16" s="101" t="n">
        <v>176</v>
      </c>
      <c r="I16" s="101" t="n"/>
      <c r="J16" s="100">
        <f>G16-F16</f>
        <v/>
      </c>
      <c r="K16" s="100">
        <f>H16-F16</f>
        <v/>
      </c>
      <c r="L16" s="100">
        <f>H16-G16</f>
        <v/>
      </c>
      <c r="M16" s="37">
        <f>J16/F16</f>
        <v/>
      </c>
      <c r="N16" s="27" t="n">
        <v>268.05</v>
      </c>
      <c r="O16" s="27" t="n">
        <v>259.06</v>
      </c>
      <c r="P16" s="37">
        <f>(N16-O16)/O16</f>
        <v/>
      </c>
      <c r="Q16" s="100">
        <f>O16*0.9056*0.85</f>
        <v/>
      </c>
      <c r="R16" s="100">
        <f>O16*1.15</f>
        <v/>
      </c>
      <c r="S16" s="100">
        <f>IF(N16&lt;O16*0.9056*0.85,O16*0.9056*0.85,IF(N16&gt;O16*1.15,O16*1.15,N16))</f>
        <v/>
      </c>
      <c r="T16" s="100" t="n">
        <v>47176.8</v>
      </c>
      <c r="U16" s="100" t="n">
        <v>47176.8</v>
      </c>
      <c r="V16" s="100">
        <f>T16+S16*K16</f>
        <v/>
      </c>
      <c r="W16" s="100">
        <f>U16-T16</f>
        <v/>
      </c>
      <c r="X16" s="100">
        <f>V16-T16</f>
        <v/>
      </c>
      <c r="Y16" s="100">
        <f>V16-U16</f>
        <v/>
      </c>
      <c r="Z16" s="26" t="n"/>
    </row>
    <row r="17" ht="20" customHeight="1" s="1">
      <c r="A17" s="26" t="n">
        <v>12</v>
      </c>
      <c r="B17" s="26" t="inlineStr">
        <is>
          <t>010515001001</t>
        </is>
      </c>
      <c r="C17" s="26" t="inlineStr">
        <is>
          <t>现浇构件钢筋</t>
        </is>
      </c>
      <c r="D17" s="26" t="inlineStr">
        <is>
          <t>1.桩头插筋</t>
        </is>
      </c>
      <c r="E17" s="26" t="inlineStr">
        <is>
          <t>t</t>
        </is>
      </c>
      <c r="F17" s="100" t="n">
        <v>2.76</v>
      </c>
      <c r="G17" s="100" t="n">
        <v>0.87</v>
      </c>
      <c r="H17" s="102" t="n">
        <v>0.87</v>
      </c>
      <c r="I17" s="102" t="n"/>
      <c r="J17" s="100">
        <f>G17-F17</f>
        <v/>
      </c>
      <c r="K17" s="100">
        <f>H17-F17</f>
        <v/>
      </c>
      <c r="L17" s="100">
        <f>H17-G17</f>
        <v/>
      </c>
      <c r="M17" s="37">
        <f>J17/F17</f>
        <v/>
      </c>
      <c r="N17" s="27" t="n">
        <v>5341.14</v>
      </c>
      <c r="O17" s="27" t="n">
        <v>6492.43</v>
      </c>
      <c r="P17" s="37">
        <f>(N17-O17)/O17</f>
        <v/>
      </c>
      <c r="Q17" s="100">
        <f>O17*0.9056*0.85</f>
        <v/>
      </c>
      <c r="R17" s="100">
        <f>O17*1.15</f>
        <v/>
      </c>
      <c r="S17" s="100">
        <f>IF(N17&lt;O17*0.9056*0.85,O17*0.9056*0.85,IF(N17&gt;O17*1.15,O17*1.15,N17))</f>
        <v/>
      </c>
      <c r="T17" s="100" t="n">
        <v>14739.94</v>
      </c>
      <c r="U17" s="100" t="n">
        <v>4653.2</v>
      </c>
      <c r="V17" s="100">
        <f>T17+S17*K17</f>
        <v/>
      </c>
      <c r="W17" s="100">
        <f>U17-T17</f>
        <v/>
      </c>
      <c r="X17" s="100">
        <f>V17-T17</f>
        <v/>
      </c>
      <c r="Y17" s="100">
        <f>V17-U17</f>
        <v/>
      </c>
      <c r="Z17" s="26" t="n"/>
    </row>
    <row r="18" ht="20" customHeight="1" s="1">
      <c r="A18" s="26" t="n"/>
      <c r="B18" s="26" t="n"/>
      <c r="C18" s="26" t="inlineStr">
        <is>
          <t>砌筑工程</t>
        </is>
      </c>
      <c r="D18" s="26" t="n"/>
      <c r="E18" s="26" t="n"/>
      <c r="F18" s="100" t="n"/>
      <c r="G18" s="100" t="n"/>
      <c r="H18" s="100" t="n"/>
      <c r="I18" s="100" t="n"/>
      <c r="J18" s="100" t="n"/>
      <c r="K18" s="100" t="n"/>
      <c r="L18" s="100" t="n"/>
      <c r="M18" s="37" t="n"/>
      <c r="N18" s="27" t="n"/>
      <c r="O18" s="27" t="n"/>
      <c r="P18" s="37" t="n"/>
      <c r="Q18" s="100" t="n"/>
      <c r="R18" s="100" t="n"/>
      <c r="S18" s="100" t="n"/>
      <c r="T18" s="100" t="n">
        <v>563645.6899999999</v>
      </c>
      <c r="U18" s="100" t="n">
        <v>835049.33</v>
      </c>
      <c r="V18" s="100">
        <f>+SUM(V19:V27)</f>
        <v/>
      </c>
      <c r="W18" s="100">
        <f>U18-T18</f>
        <v/>
      </c>
      <c r="X18" s="100">
        <f>V18-T18</f>
        <v/>
      </c>
      <c r="Y18" s="100">
        <f>V18-U18</f>
        <v/>
      </c>
      <c r="Z18" s="26" t="n"/>
      <c r="AA18" s="42" t="n"/>
    </row>
    <row r="19" ht="20" customHeight="1" s="1">
      <c r="A19" s="26" t="n">
        <v>13</v>
      </c>
      <c r="B19" s="26" t="inlineStr">
        <is>
          <t>010103001002</t>
        </is>
      </c>
      <c r="C19" s="26" t="inlineStr">
        <is>
          <t>回填方</t>
        </is>
      </c>
      <c r="D19" s="26" t="inlineStr">
        <is>
          <t>1.卫生间回填
2.20厚WSM15找平层
3.陶粒混凝土(水泥:陶粒=1:8)回填兼找坡
4.20厚M20水泥砂浆找平层</t>
        </is>
      </c>
      <c r="E19" s="26" t="inlineStr">
        <is>
          <t>m3</t>
        </is>
      </c>
      <c r="F19" s="100" t="n">
        <v>27.86</v>
      </c>
      <c r="G19" s="100" t="n">
        <v>266.77</v>
      </c>
      <c r="H19" s="100" t="n">
        <v>266.77</v>
      </c>
      <c r="I19" s="100" t="n"/>
      <c r="J19" s="100">
        <f>G19-F19</f>
        <v/>
      </c>
      <c r="K19" s="100">
        <f>H19-F19</f>
        <v/>
      </c>
      <c r="L19" s="100">
        <f>H19-G19</f>
        <v/>
      </c>
      <c r="M19" s="37">
        <f>J19/F19</f>
        <v/>
      </c>
      <c r="N19" s="27" t="n">
        <v>793.8099999999999</v>
      </c>
      <c r="O19" s="27" t="n">
        <v>770.77</v>
      </c>
      <c r="P19" s="37">
        <f>(N19-O19)/O19</f>
        <v/>
      </c>
      <c r="Q19" s="100">
        <f>O19*0.9056*0.85</f>
        <v/>
      </c>
      <c r="R19" s="100">
        <f>O19*1.15</f>
        <v/>
      </c>
      <c r="S19" s="100">
        <f>IF(N19&lt;O19*0.9056*0.85,O19*0.9056*0.85,IF(N19&gt;O19*1.15,O19*1.15,N19))</f>
        <v/>
      </c>
      <c r="T19" s="100" t="n">
        <v>22116.18</v>
      </c>
      <c r="U19" s="100" t="n">
        <v>211762.63</v>
      </c>
      <c r="V19" s="100" t="n">
        <v>211762.63</v>
      </c>
      <c r="W19" s="100">
        <f>U19-T19</f>
        <v/>
      </c>
      <c r="X19" s="100">
        <f>V19-T19</f>
        <v/>
      </c>
      <c r="Y19" s="100">
        <f>V19-U19</f>
        <v/>
      </c>
      <c r="Z19" s="26" t="n"/>
    </row>
    <row r="20" ht="20" customFormat="1" customHeight="1" s="7">
      <c r="A20" s="26" t="n">
        <v>14</v>
      </c>
      <c r="B20" s="26" t="inlineStr">
        <is>
          <t>010402001001</t>
        </is>
      </c>
      <c r="C20" s="26" t="inlineStr">
        <is>
          <t>砌块墙</t>
        </is>
      </c>
      <c r="D20" s="26" t="inlineStr">
        <is>
          <t>1.砌块品种、规格、强度等级:A5.0蒸压加气混凝土砌块
2.墙体类型:外墙
3.厚度:200
4.砂浆强度等级、配合比:DMM5专用砌筑砂浆</t>
        </is>
      </c>
      <c r="E20" s="26" t="inlineStr">
        <is>
          <t>m3</t>
        </is>
      </c>
      <c r="F20" s="100" t="n">
        <v>384.69</v>
      </c>
      <c r="G20" s="100" t="n">
        <v>399.19</v>
      </c>
      <c r="H20" s="100">
        <f>268.41</f>
        <v/>
      </c>
      <c r="I20" s="100" t="n"/>
      <c r="J20" s="100">
        <f>G20-F20</f>
        <v/>
      </c>
      <c r="K20" s="100">
        <f>H20-F20</f>
        <v/>
      </c>
      <c r="L20" s="100">
        <f>H20-G20</f>
        <v/>
      </c>
      <c r="M20" s="37">
        <f>J20/F20</f>
        <v/>
      </c>
      <c r="N20" s="27" t="n">
        <v>589.41</v>
      </c>
      <c r="O20" s="27" t="n">
        <v>676.12</v>
      </c>
      <c r="P20" s="37">
        <f>(N20-O20)/O20</f>
        <v/>
      </c>
      <c r="Q20" s="100">
        <f>O20*0.9056*0.85</f>
        <v/>
      </c>
      <c r="R20" s="100">
        <f>O20*1.15</f>
        <v/>
      </c>
      <c r="S20" s="100">
        <f>IF(N20&lt;O20*0.9056*0.85,O20*0.9056*0.85,IF(N20&gt;O20*1.15,O20*1.15,N20))</f>
        <v/>
      </c>
      <c r="T20" s="100" t="n">
        <v>226742.37</v>
      </c>
      <c r="U20" s="100" t="n">
        <v>235288.82</v>
      </c>
      <c r="V20" s="100">
        <f>T20+S20*K20</f>
        <v/>
      </c>
      <c r="W20" s="100">
        <f>U20-T20</f>
        <v/>
      </c>
      <c r="X20" s="100">
        <f>V20-T20</f>
        <v/>
      </c>
      <c r="Y20" s="100">
        <f>V20-U20</f>
        <v/>
      </c>
      <c r="Z20" s="26" t="n"/>
    </row>
    <row r="21" ht="20" customHeight="1" s="1">
      <c r="A21" s="26" t="n">
        <v>15</v>
      </c>
      <c r="B21" s="26" t="inlineStr">
        <is>
          <t>010402001002</t>
        </is>
      </c>
      <c r="C21" s="26" t="inlineStr">
        <is>
          <t>砌块墙</t>
        </is>
      </c>
      <c r="D21" s="26" t="inlineStr">
        <is>
          <t>1.砌块品种、规格、强度等级:A5.0蒸压加气混凝土砌块
2.墙体类型:内墙
3.厚度:200
4.砂浆强度等级、配合比:DMM5专用砌筑砂浆</t>
        </is>
      </c>
      <c r="E21" s="26" t="inlineStr">
        <is>
          <t>m3</t>
        </is>
      </c>
      <c r="F21" s="100" t="n">
        <v>331.51</v>
      </c>
      <c r="G21" s="100" t="n">
        <v>440.98</v>
      </c>
      <c r="H21" s="100" t="n">
        <v>424.16</v>
      </c>
      <c r="I21" s="100" t="n"/>
      <c r="J21" s="100">
        <f>G21-F21</f>
        <v/>
      </c>
      <c r="K21" s="100">
        <f>H21-F21</f>
        <v/>
      </c>
      <c r="L21" s="100">
        <f>H21-G21</f>
        <v/>
      </c>
      <c r="M21" s="37">
        <f>J21/F21</f>
        <v/>
      </c>
      <c r="N21" s="27" t="n">
        <v>576.98</v>
      </c>
      <c r="O21" s="27" t="n">
        <v>661.47</v>
      </c>
      <c r="P21" s="37">
        <f>(N21-O21)/O21</f>
        <v/>
      </c>
      <c r="Q21" s="100">
        <f>O21*0.9056*0.85</f>
        <v/>
      </c>
      <c r="R21" s="100">
        <f>O21*1.15</f>
        <v/>
      </c>
      <c r="S21" s="100">
        <f>IF(N21&lt;O21*0.9056*0.85,O21*0.9056*0.85,IF(N21&gt;O21*1.15,O21*1.15,N21))</f>
        <v/>
      </c>
      <c r="T21" s="100" t="n">
        <v>191272.56</v>
      </c>
      <c r="U21" s="100" t="n">
        <v>254438.2</v>
      </c>
      <c r="V21" s="100">
        <f>T21+S21*K21</f>
        <v/>
      </c>
      <c r="W21" s="100">
        <f>U21-T21</f>
        <v/>
      </c>
      <c r="X21" s="100">
        <f>V21-T21</f>
        <v/>
      </c>
      <c r="Y21" s="100">
        <f>V21-U21</f>
        <v/>
      </c>
      <c r="Z21" s="26" t="n"/>
    </row>
    <row r="22" ht="20" customHeight="1" s="1">
      <c r="A22" s="26" t="n">
        <v>16</v>
      </c>
      <c r="B22" s="26" t="inlineStr">
        <is>
          <t>010402001004</t>
        </is>
      </c>
      <c r="C22" s="26" t="inlineStr">
        <is>
          <t>砌块墙</t>
        </is>
      </c>
      <c r="D22" s="26" t="inlineStr">
        <is>
          <t>1.砌块品种、规格、强度等级:A5.0蒸压加气混凝土砌块
2.墙体类型:内墙
3.厚度:100
4.砂浆强度等级、配合比:DMM5专用砌筑砂浆</t>
        </is>
      </c>
      <c r="E22" s="26" t="inlineStr">
        <is>
          <t>m3</t>
        </is>
      </c>
      <c r="F22" s="100" t="n">
        <v>1.09</v>
      </c>
      <c r="G22" s="100" t="n">
        <v>2.59</v>
      </c>
      <c r="H22" s="100" t="n">
        <v>0</v>
      </c>
      <c r="I22" s="100" t="n"/>
      <c r="J22" s="100">
        <f>G22-F22</f>
        <v/>
      </c>
      <c r="K22" s="100">
        <f>H22-F22</f>
        <v/>
      </c>
      <c r="L22" s="100">
        <f>H22-G22</f>
        <v/>
      </c>
      <c r="M22" s="37">
        <f>J22/F22</f>
        <v/>
      </c>
      <c r="N22" s="27" t="n">
        <v>599.51</v>
      </c>
      <c r="O22" s="27" t="n">
        <v>686.9</v>
      </c>
      <c r="P22" s="37">
        <f>(N22-O22)/O22</f>
        <v/>
      </c>
      <c r="Q22" s="100">
        <f>O22*0.9056*0.85</f>
        <v/>
      </c>
      <c r="R22" s="100">
        <f>O22*1.15</f>
        <v/>
      </c>
      <c r="S22" s="100">
        <f>IF(N22&lt;O22*0.9056*0.85,O22*0.9056*0.85,IF(N22&gt;O22*1.15,O22*1.15,N22))</f>
        <v/>
      </c>
      <c r="T22" s="100" t="n">
        <v>655.5</v>
      </c>
      <c r="U22" s="100" t="n">
        <v>1554.77</v>
      </c>
      <c r="V22" s="100">
        <f>T22+S22*K22</f>
        <v/>
      </c>
      <c r="W22" s="100">
        <f>U22-T22</f>
        <v/>
      </c>
      <c r="X22" s="100">
        <f>V22-T22</f>
        <v/>
      </c>
      <c r="Y22" s="100">
        <f>V22-U22</f>
        <v/>
      </c>
      <c r="Z22" s="26" t="n"/>
      <c r="AA22" s="42" t="n"/>
    </row>
    <row r="23" ht="20" customHeight="1" s="1">
      <c r="A23" s="26" t="n">
        <v>17</v>
      </c>
      <c r="B23" s="26" t="inlineStr">
        <is>
          <t>010402001005</t>
        </is>
      </c>
      <c r="C23" s="26" t="inlineStr">
        <is>
          <t>砌块墙</t>
        </is>
      </c>
      <c r="D23" s="26" t="inlineStr">
        <is>
          <t>1.砌块品种、规格、强度等级:A5.0蒸压加气混凝土砌块
2.墙体类型:装饰墙
3.厚度:100
4.砂浆强度等级、配合比:DMM5专用砌筑砂浆</t>
        </is>
      </c>
      <c r="E23" s="26" t="inlineStr">
        <is>
          <t>m3</t>
        </is>
      </c>
      <c r="F23" s="100" t="n">
        <v>147.47</v>
      </c>
      <c r="G23" s="100" t="n">
        <v>148.91</v>
      </c>
      <c r="H23" s="100">
        <f>72.8+74.08</f>
        <v/>
      </c>
      <c r="I23" s="100" t="n"/>
      <c r="J23" s="100">
        <f>G23-F23</f>
        <v/>
      </c>
      <c r="K23" s="100">
        <f>H23-F23</f>
        <v/>
      </c>
      <c r="L23" s="100">
        <f>H23-G23</f>
        <v/>
      </c>
      <c r="M23" s="37">
        <f>J23/F23</f>
        <v/>
      </c>
      <c r="N23" s="27" t="n">
        <v>599.53</v>
      </c>
      <c r="O23" s="27" t="n">
        <v>686.9</v>
      </c>
      <c r="P23" s="37">
        <f>(N23-O23)/O23</f>
        <v/>
      </c>
      <c r="Q23" s="100">
        <f>O23*0.9056*0.85</f>
        <v/>
      </c>
      <c r="R23" s="100">
        <f>O23*1.15</f>
        <v/>
      </c>
      <c r="S23" s="100">
        <f>IF(N23&lt;O23*0.9056*0.85,O23*0.9056*0.85,IF(N23&gt;O23*1.15,O23*1.15,N23))</f>
        <v/>
      </c>
      <c r="T23" s="100" t="n">
        <v>88409.92999999999</v>
      </c>
      <c r="U23" s="100" t="n">
        <v>89273.91</v>
      </c>
      <c r="V23" s="100">
        <f>T23+S23*K23</f>
        <v/>
      </c>
      <c r="W23" s="100">
        <f>U23-T23</f>
        <v/>
      </c>
      <c r="X23" s="100">
        <f>V23-T23</f>
        <v/>
      </c>
      <c r="Y23" s="100">
        <f>V23-U23</f>
        <v/>
      </c>
      <c r="Z23" s="26" t="n"/>
    </row>
    <row r="24" ht="20" customFormat="1" customHeight="1" s="7">
      <c r="A24" s="26" t="n">
        <v>18</v>
      </c>
      <c r="B24" s="26" t="inlineStr">
        <is>
          <t>010402001006</t>
        </is>
      </c>
      <c r="C24" s="26" t="inlineStr">
        <is>
          <t>砌块墙</t>
        </is>
      </c>
      <c r="D24" s="26" t="inlineStr">
        <is>
          <t>1.砌块品种、规格、强度等级:A5.0蒸压加气混凝土砌块
2.墙体类型:装饰墙
3.厚度:200
4.砂浆强度等级、配合比:DMM5专用砌筑砂浆</t>
        </is>
      </c>
      <c r="E24" s="26" t="inlineStr">
        <is>
          <t>m3</t>
        </is>
      </c>
      <c r="F24" s="100" t="n">
        <v>33.46</v>
      </c>
      <c r="G24" s="100" t="n">
        <v>35.46</v>
      </c>
      <c r="H24" s="100">
        <f>4.1+25.86+0.57+0.11</f>
        <v/>
      </c>
      <c r="I24" s="100" t="n"/>
      <c r="J24" s="100">
        <f>G24-F24</f>
        <v/>
      </c>
      <c r="K24" s="100">
        <f>H24-F24</f>
        <v/>
      </c>
      <c r="L24" s="100">
        <f>H24-G24</f>
        <v/>
      </c>
      <c r="M24" s="37">
        <f>J24/F24</f>
        <v/>
      </c>
      <c r="N24" s="27" t="n">
        <v>589.41</v>
      </c>
      <c r="O24" s="27" t="n">
        <v>661.47</v>
      </c>
      <c r="P24" s="37">
        <f>(N24-O24)/O24</f>
        <v/>
      </c>
      <c r="Q24" s="100">
        <f>O24*0.9056*0.85</f>
        <v/>
      </c>
      <c r="R24" s="100">
        <f>O24*1.15</f>
        <v/>
      </c>
      <c r="S24" s="100">
        <f>IF(N24&lt;O24*0.9056*0.85,O24*0.9056*0.85,IF(N24&gt;O24*1.15,O24*1.15,N24))</f>
        <v/>
      </c>
      <c r="T24" s="100" t="n">
        <v>19722.31</v>
      </c>
      <c r="U24" s="100" t="n">
        <v>20901.13</v>
      </c>
      <c r="V24" s="100">
        <f>T24+S24*K24</f>
        <v/>
      </c>
      <c r="W24" s="100">
        <f>U24-T24</f>
        <v/>
      </c>
      <c r="X24" s="100">
        <f>V24-T24</f>
        <v/>
      </c>
      <c r="Y24" s="100">
        <f>V24-U24</f>
        <v/>
      </c>
      <c r="Z24" s="26" t="n"/>
    </row>
    <row r="25" ht="20" customHeight="1" s="1">
      <c r="A25" s="26" t="n">
        <v>19</v>
      </c>
      <c r="B25" s="26" t="inlineStr">
        <is>
          <t>010402001007</t>
        </is>
      </c>
      <c r="C25" s="26" t="inlineStr">
        <is>
          <t>砌块墙</t>
        </is>
      </c>
      <c r="D25" s="26" t="inlineStr">
        <is>
          <t>1.砌块品种、规格、强度等级:MU15混凝土实心砖
2.墙体类型:女儿墙、栏板
3.厚度:200
4.砂浆强度等级、配合比:DMM10专用砌筑砂浆</t>
        </is>
      </c>
      <c r="E25" s="26" t="inlineStr">
        <is>
          <t>m3</t>
        </is>
      </c>
      <c r="F25" s="100" t="n">
        <v>17.53</v>
      </c>
      <c r="G25" s="100" t="n">
        <v>18.74</v>
      </c>
      <c r="H25" s="100">
        <f>11.3+7.01</f>
        <v/>
      </c>
      <c r="I25" s="100" t="n"/>
      <c r="J25" s="100">
        <f>G25-F25</f>
        <v/>
      </c>
      <c r="K25" s="100">
        <f>H25-F25</f>
        <v/>
      </c>
      <c r="L25" s="100">
        <f>H25-G25</f>
        <v/>
      </c>
      <c r="M25" s="37">
        <f>J25/F25</f>
        <v/>
      </c>
      <c r="N25" s="27" t="n">
        <v>591.21</v>
      </c>
      <c r="O25" s="27" t="n">
        <v>677</v>
      </c>
      <c r="P25" s="37">
        <f>(N25-O25)/O25</f>
        <v/>
      </c>
      <c r="Q25" s="100">
        <f>O25*0.9056*0.85</f>
        <v/>
      </c>
      <c r="R25" s="100">
        <f>O25*1.15</f>
        <v/>
      </c>
      <c r="S25" s="100">
        <f>IF(N25&lt;O25*0.9056*0.85,O25*0.9056*0.85,IF(N25&gt;O25*1.15,O25*1.15,N25))</f>
        <v/>
      </c>
      <c r="T25" s="100" t="n">
        <v>10362.08</v>
      </c>
      <c r="U25" s="100" t="n">
        <v>11081.76</v>
      </c>
      <c r="V25" s="100">
        <f>T25+S25*K25</f>
        <v/>
      </c>
      <c r="W25" s="100">
        <f>U25-T25</f>
        <v/>
      </c>
      <c r="X25" s="100">
        <f>V25-T25</f>
        <v/>
      </c>
      <c r="Y25" s="100">
        <f>V25-U25</f>
        <v/>
      </c>
      <c r="Z25" s="26" t="n"/>
    </row>
    <row r="26" ht="20" customHeight="1" s="1">
      <c r="A26" s="26" t="n">
        <v>20</v>
      </c>
      <c r="B26" s="26" t="inlineStr">
        <is>
          <t>010401012001</t>
        </is>
      </c>
      <c r="C26" s="26" t="inlineStr">
        <is>
          <t>零星砌砖</t>
        </is>
      </c>
      <c r="D26" s="26" t="inlineStr">
        <is>
          <t>1.砖砌台阶
2.砂浆强度等级、配合比:WMM5专用砌筑砂浆</t>
        </is>
      </c>
      <c r="E26" s="26" t="inlineStr">
        <is>
          <t>m2</t>
        </is>
      </c>
      <c r="F26" s="100" t="n">
        <v>6.24</v>
      </c>
      <c r="G26" s="100" t="n">
        <v>10.57</v>
      </c>
      <c r="H26" s="100" t="n">
        <v>10.57</v>
      </c>
      <c r="I26" s="100" t="n"/>
      <c r="J26" s="100">
        <f>G26-F26</f>
        <v/>
      </c>
      <c r="K26" s="100">
        <f>H26-F26</f>
        <v/>
      </c>
      <c r="L26" s="100">
        <f>H26-G26</f>
        <v/>
      </c>
      <c r="M26" s="37">
        <f>J26/F26</f>
        <v/>
      </c>
      <c r="N26" s="27" t="n">
        <v>159.23</v>
      </c>
      <c r="O26" s="27" t="n">
        <v>189.88</v>
      </c>
      <c r="P26" s="37">
        <f>(N26-O26)/O26</f>
        <v/>
      </c>
      <c r="Q26" s="100">
        <f>O26*0.9056*0.85</f>
        <v/>
      </c>
      <c r="R26" s="100">
        <f>O26*1.15</f>
        <v/>
      </c>
      <c r="S26" s="100">
        <f>IF(N26&lt;O26*0.9056*0.85,O26*0.9056*0.85,IF(N26&gt;O26*1.15,O26*1.15,N26))</f>
        <v/>
      </c>
      <c r="T26" s="100" t="n">
        <v>993.6</v>
      </c>
      <c r="U26" s="100" t="n">
        <v>1683.7</v>
      </c>
      <c r="V26" s="100">
        <f>T26+S26*K26</f>
        <v/>
      </c>
      <c r="W26" s="100">
        <f>U26-T26</f>
        <v/>
      </c>
      <c r="X26" s="100">
        <f>V26-T26</f>
        <v/>
      </c>
      <c r="Y26" s="100">
        <f>V26-U26</f>
        <v/>
      </c>
      <c r="Z26" s="26" t="n"/>
    </row>
    <row r="27" ht="20" customHeight="1" s="1">
      <c r="A27" s="26" t="n">
        <v>21</v>
      </c>
      <c r="B27" s="26" t="inlineStr">
        <is>
          <t>010401012003</t>
        </is>
      </c>
      <c r="C27" s="26" t="inlineStr">
        <is>
          <t>零星砌砖</t>
        </is>
      </c>
      <c r="D27" s="26" t="inlineStr">
        <is>
          <t>1.台阶侧边、砖砌小步级
2.砂浆强度等级、配合比:WMM5专用砌筑砂浆</t>
        </is>
      </c>
      <c r="E27" s="26" t="inlineStr">
        <is>
          <t>m3</t>
        </is>
      </c>
      <c r="F27" s="100" t="n">
        <v>4.66</v>
      </c>
      <c r="G27" s="100" t="n">
        <v>12.54</v>
      </c>
      <c r="H27" s="100">
        <f>7.75+4.79</f>
        <v/>
      </c>
      <c r="I27" s="100" t="n"/>
      <c r="J27" s="100">
        <f>G27-F27</f>
        <v/>
      </c>
      <c r="K27" s="100">
        <f>H27-F27</f>
        <v/>
      </c>
      <c r="L27" s="100">
        <f>H27-G27</f>
        <v/>
      </c>
      <c r="M27" s="37">
        <f>J27/F27</f>
        <v/>
      </c>
      <c r="N27" s="27" t="n">
        <v>722.99</v>
      </c>
      <c r="O27" s="27" t="n">
        <v>864.65</v>
      </c>
      <c r="P27" s="37">
        <f>(N27-O27)/O27</f>
        <v/>
      </c>
      <c r="Q27" s="100">
        <f>O27*0.9056*0.85</f>
        <v/>
      </c>
      <c r="R27" s="100">
        <f>O27*1.15</f>
        <v/>
      </c>
      <c r="S27" s="100">
        <f>IF(N27&lt;O27*0.9056*0.85,O27*0.9056*0.85,IF(N27&gt;O27*1.15,O27*1.15,N27))</f>
        <v/>
      </c>
      <c r="T27" s="100" t="n">
        <v>3371.16</v>
      </c>
      <c r="U27" s="100" t="n">
        <v>9064.41</v>
      </c>
      <c r="V27" s="100" t="n">
        <v>9064.41</v>
      </c>
      <c r="W27" s="100">
        <f>U27-T27</f>
        <v/>
      </c>
      <c r="X27" s="100">
        <f>V27-T27</f>
        <v/>
      </c>
      <c r="Y27" s="100">
        <f>V27-U27</f>
        <v/>
      </c>
      <c r="Z27" s="26" t="n"/>
    </row>
    <row r="28" ht="20" customHeight="1" s="1">
      <c r="A28" s="26" t="n"/>
      <c r="B28" s="26" t="n"/>
      <c r="C28" s="26" t="inlineStr">
        <is>
          <t>混凝土及钢筋混凝土工程</t>
        </is>
      </c>
      <c r="D28" s="26" t="n"/>
      <c r="E28" s="26" t="n"/>
      <c r="F28" s="100" t="n"/>
      <c r="G28" s="100" t="n"/>
      <c r="H28" s="100" t="n"/>
      <c r="I28" s="100" t="n"/>
      <c r="J28" s="100" t="n"/>
      <c r="K28" s="100" t="n"/>
      <c r="L28" s="100" t="n"/>
      <c r="M28" s="37" t="n"/>
      <c r="N28" s="27" t="n"/>
      <c r="O28" s="27" t="n"/>
      <c r="P28" s="37" t="n"/>
      <c r="Q28" s="100" t="n"/>
      <c r="R28" s="100" t="n"/>
      <c r="S28" s="100" t="n"/>
      <c r="T28" s="100" t="n">
        <v>4004682.77</v>
      </c>
      <c r="U28" s="100" t="n">
        <v>3988491.76</v>
      </c>
      <c r="V28" s="100">
        <f>+SUM(V29:V54)</f>
        <v/>
      </c>
      <c r="W28" s="100">
        <f>U28-T28</f>
        <v/>
      </c>
      <c r="X28" s="100">
        <f>V28-T28</f>
        <v/>
      </c>
      <c r="Y28" s="100">
        <f>V28-U28</f>
        <v/>
      </c>
      <c r="Z28" s="26" t="n"/>
      <c r="AA28" s="42" t="n"/>
    </row>
    <row r="29" ht="20" customHeight="1" s="1">
      <c r="A29" s="26" t="n">
        <v>22</v>
      </c>
      <c r="B29" s="26" t="inlineStr">
        <is>
          <t>010501001001</t>
        </is>
      </c>
      <c r="C29" s="26" t="inlineStr">
        <is>
          <t>垫层</t>
        </is>
      </c>
      <c r="D29" s="26" t="inlineStr">
        <is>
          <t>1.垫层
2.混凝土种类:预拌混凝土
3.混凝土强度等级:C15
4.含混凝土泵送费用</t>
        </is>
      </c>
      <c r="E29" s="26" t="inlineStr">
        <is>
          <t>m3</t>
        </is>
      </c>
      <c r="F29" s="100" t="n">
        <v>295.51</v>
      </c>
      <c r="G29" s="100" t="n">
        <v>261.34</v>
      </c>
      <c r="H29" s="100">
        <f>237.87+10.87</f>
        <v/>
      </c>
      <c r="I29" s="100" t="n"/>
      <c r="J29" s="100">
        <f>G29-F29</f>
        <v/>
      </c>
      <c r="K29" s="100">
        <f>H29-F29</f>
        <v/>
      </c>
      <c r="L29" s="100">
        <f>H29-G29</f>
        <v/>
      </c>
      <c r="M29" s="37">
        <f>J29/F29</f>
        <v/>
      </c>
      <c r="N29" s="27" t="n">
        <v>626.1799999999999</v>
      </c>
      <c r="O29" s="27" t="n">
        <v>830</v>
      </c>
      <c r="P29" s="37">
        <f>(N29-O29)/O29</f>
        <v/>
      </c>
      <c r="Q29" s="100">
        <f>O29*0.9056*0.85</f>
        <v/>
      </c>
      <c r="R29" s="100">
        <f>O29*1.15</f>
        <v/>
      </c>
      <c r="S29" s="100">
        <f>IF(N29&lt;O29*0.9056*0.85,O29*0.9056*0.85,IF(N29&gt;O29*1.15,O29*1.15,N29))</f>
        <v/>
      </c>
      <c r="T29" s="100" t="n">
        <v>185040.01</v>
      </c>
      <c r="U29" s="100" t="n">
        <v>163210.83</v>
      </c>
      <c r="V29" s="100">
        <f>T29+S29*K29</f>
        <v/>
      </c>
      <c r="W29" s="100">
        <f>U29-T29</f>
        <v/>
      </c>
      <c r="X29" s="100">
        <f>V29-T29</f>
        <v/>
      </c>
      <c r="Y29" s="100">
        <f>V29-U29</f>
        <v/>
      </c>
      <c r="Z29" s="26" t="n"/>
      <c r="AA29" s="42" t="inlineStr">
        <is>
          <t>加负一层垫层</t>
        </is>
      </c>
    </row>
    <row r="30" ht="20" customFormat="1" customHeight="1" s="7">
      <c r="A30" s="26" t="n">
        <v>23</v>
      </c>
      <c r="B30" s="26" t="inlineStr">
        <is>
          <t>010501005001</t>
        </is>
      </c>
      <c r="C30" s="26" t="inlineStr">
        <is>
          <t>桩承台基础</t>
        </is>
      </c>
      <c r="D30" s="26" t="inlineStr">
        <is>
          <t>1.桩承台
2.混凝土种类:预拌混凝土
3.混凝土强度等级:C35P6
4.含混凝土泵送费用</t>
        </is>
      </c>
      <c r="E30" s="26" t="inlineStr">
        <is>
          <t>m3</t>
        </is>
      </c>
      <c r="F30" s="100" t="n">
        <v>181.51</v>
      </c>
      <c r="G30" s="100" t="n">
        <v>233.54</v>
      </c>
      <c r="H30" s="100">
        <f>53.3+176.3</f>
        <v/>
      </c>
      <c r="I30" s="100" t="n"/>
      <c r="J30" s="100">
        <f>G30-F30</f>
        <v/>
      </c>
      <c r="K30" s="100">
        <f>H30-F30</f>
        <v/>
      </c>
      <c r="L30" s="100">
        <f>H30-G30</f>
        <v/>
      </c>
      <c r="M30" s="37">
        <f>J30/F30</f>
        <v/>
      </c>
      <c r="N30" s="27" t="n">
        <v>687.16</v>
      </c>
      <c r="O30" s="27" t="n">
        <v>871.16</v>
      </c>
      <c r="P30" s="37">
        <f>(N30-O30)/O30</f>
        <v/>
      </c>
      <c r="Q30" s="100">
        <f>O30*0.9056*0.85</f>
        <v/>
      </c>
      <c r="R30" s="100">
        <f>O30*1.15</f>
        <v/>
      </c>
      <c r="S30" s="100">
        <f>IF(N30&lt;O30*0.9056*0.85,O30*0.9056*0.85,IF(N30&gt;O30*1.15,O30*1.15,N30))</f>
        <v/>
      </c>
      <c r="T30" s="100" t="n">
        <v>124725.04</v>
      </c>
      <c r="U30" s="100" t="n">
        <v>160477.65</v>
      </c>
      <c r="V30" s="100">
        <f>T30+S30*K30</f>
        <v/>
      </c>
      <c r="W30" s="100">
        <f>U30-T30</f>
        <v/>
      </c>
      <c r="X30" s="100">
        <f>V30-T30</f>
        <v/>
      </c>
      <c r="Y30" s="100">
        <f>V30-U30</f>
        <v/>
      </c>
      <c r="Z30" s="26" t="n"/>
    </row>
    <row r="31" ht="20" customHeight="1" s="1">
      <c r="A31" s="26" t="n">
        <v>24</v>
      </c>
      <c r="B31" s="26" t="inlineStr">
        <is>
          <t>010503001001</t>
        </is>
      </c>
      <c r="C31" s="26" t="inlineStr">
        <is>
          <t>基础梁</t>
        </is>
      </c>
      <c r="D31" s="26" t="inlineStr">
        <is>
          <t>1.基础梁
2.混凝土种类:预拌混凝土
3.混凝土强度等级:C35P6
4.含混凝土泵送费用</t>
        </is>
      </c>
      <c r="E31" s="26" t="inlineStr">
        <is>
          <t>m3</t>
        </is>
      </c>
      <c r="F31" s="100" t="n">
        <v>113.08</v>
      </c>
      <c r="G31" s="100" t="n">
        <v>114.47</v>
      </c>
      <c r="H31" s="100" t="n">
        <v>110.3</v>
      </c>
      <c r="I31" s="100" t="n"/>
      <c r="J31" s="100">
        <f>G31-F31</f>
        <v/>
      </c>
      <c r="K31" s="100">
        <f>H31-F31</f>
        <v/>
      </c>
      <c r="L31" s="100">
        <f>H31-G31</f>
        <v/>
      </c>
      <c r="M31" s="37">
        <f>J31/F31</f>
        <v/>
      </c>
      <c r="N31" s="27" t="n">
        <v>679.67</v>
      </c>
      <c r="O31" s="27" t="n">
        <v>863.84</v>
      </c>
      <c r="P31" s="37">
        <f>(N31-O31)/O31</f>
        <v/>
      </c>
      <c r="Q31" s="100">
        <f>O31*0.9056*0.85</f>
        <v/>
      </c>
      <c r="R31" s="100">
        <f>O31*1.15</f>
        <v/>
      </c>
      <c r="S31" s="100">
        <f>IF(N31&lt;O31*0.9056*0.85,O31*0.9056*0.85,IF(N31&gt;O31*1.15,O31*1.15,N31))</f>
        <v/>
      </c>
      <c r="T31" s="100" t="n">
        <v>76855.86</v>
      </c>
      <c r="U31" s="100" t="n">
        <v>77801.22</v>
      </c>
      <c r="V31" s="100">
        <f>T31+S31*K31</f>
        <v/>
      </c>
      <c r="W31" s="100">
        <f>U31-T31</f>
        <v/>
      </c>
      <c r="X31" s="100">
        <f>V31-T31</f>
        <v/>
      </c>
      <c r="Y31" s="100">
        <f>V31-U31</f>
        <v/>
      </c>
      <c r="Z31" s="26" t="n"/>
    </row>
    <row r="32" ht="20" customHeight="1" s="1">
      <c r="A32" s="26" t="n">
        <v>25</v>
      </c>
      <c r="B32" s="26" t="inlineStr">
        <is>
          <t>010501004001</t>
        </is>
      </c>
      <c r="C32" s="26" t="inlineStr">
        <is>
          <t>满堂基础</t>
        </is>
      </c>
      <c r="D32" s="26" t="inlineStr">
        <is>
          <t>1.满堂基础
2.预拌混凝土
3.混凝土强度等级:C35P6
4.含混凝土泵送费用</t>
        </is>
      </c>
      <c r="E32" s="26" t="inlineStr">
        <is>
          <t>m3</t>
        </is>
      </c>
      <c r="F32" s="100" t="n">
        <v>411.63</v>
      </c>
      <c r="G32" s="100" t="n">
        <v>360.95</v>
      </c>
      <c r="H32" s="100">
        <f>340.67+3.09</f>
        <v/>
      </c>
      <c r="I32" s="100" t="n"/>
      <c r="J32" s="100">
        <f>G32-F32</f>
        <v/>
      </c>
      <c r="K32" s="100">
        <f>H32-F32</f>
        <v/>
      </c>
      <c r="L32" s="100">
        <f>H32-G32</f>
        <v/>
      </c>
      <c r="M32" s="37">
        <f>J32/F32</f>
        <v/>
      </c>
      <c r="N32" s="27" t="n">
        <v>686.38</v>
      </c>
      <c r="O32" s="27" t="n">
        <v>871.16</v>
      </c>
      <c r="P32" s="37">
        <f>(N32-O32)/O32</f>
        <v/>
      </c>
      <c r="Q32" s="100">
        <f>O32*0.9056*0.85</f>
        <v/>
      </c>
      <c r="R32" s="100">
        <f>O32*1.15</f>
        <v/>
      </c>
      <c r="S32" s="100">
        <f>IF(N32&lt;O32*0.9056*0.85,O32*0.9056*0.85,IF(N32&gt;O32*1.15,O32*1.15,N32))</f>
        <v/>
      </c>
      <c r="T32" s="100" t="n">
        <v>282533.23</v>
      </c>
      <c r="U32" s="100" t="n">
        <v>247750.59</v>
      </c>
      <c r="V32" s="100">
        <f>T32+S32*K32</f>
        <v/>
      </c>
      <c r="W32" s="100">
        <f>U32-T32</f>
        <v/>
      </c>
      <c r="X32" s="100">
        <f>V32-T32</f>
        <v/>
      </c>
      <c r="Y32" s="100">
        <f>V32-U32</f>
        <v/>
      </c>
      <c r="Z32" s="26" t="n"/>
      <c r="AA32" s="42" t="inlineStr">
        <is>
          <t>加首层集水井</t>
        </is>
      </c>
    </row>
    <row r="33" ht="20" customHeight="1" s="1">
      <c r="A33" s="26" t="n">
        <v>26</v>
      </c>
      <c r="B33" s="26" t="inlineStr">
        <is>
          <t>010502001005</t>
        </is>
      </c>
      <c r="C33" s="26" t="inlineStr">
        <is>
          <t>矩形柱、异性柱</t>
        </is>
      </c>
      <c r="D33" s="26" t="inlineStr">
        <is>
          <t>1.现浇建筑物混凝土矩形、多边形、异形、圆形柱、钢管柱
2.混凝土种类:预拌混凝土
3.混凝土强度等级:C30
4.含混凝土泵送费用</t>
        </is>
      </c>
      <c r="E33" s="26" t="inlineStr">
        <is>
          <t>m3</t>
        </is>
      </c>
      <c r="F33" s="100" t="n">
        <v>374.97</v>
      </c>
      <c r="G33" s="100" t="n">
        <v>389.37</v>
      </c>
      <c r="H33" s="100">
        <f>340.09+30.12+0.61+14.7</f>
        <v/>
      </c>
      <c r="I33" s="100" t="n"/>
      <c r="J33" s="100">
        <f>G33-F33</f>
        <v/>
      </c>
      <c r="K33" s="100">
        <f>H33-F33</f>
        <v/>
      </c>
      <c r="L33" s="100">
        <f>H33-G33</f>
        <v/>
      </c>
      <c r="M33" s="37">
        <f>J33/F33</f>
        <v/>
      </c>
      <c r="N33" s="27" t="n">
        <v>767.6900000000001</v>
      </c>
      <c r="O33" s="27" t="n">
        <v>959.74</v>
      </c>
      <c r="P33" s="37">
        <f>(N33-O33)/O33</f>
        <v/>
      </c>
      <c r="Q33" s="100">
        <f>O33*0.9056*0.85</f>
        <v/>
      </c>
      <c r="R33" s="100">
        <f>O33*1.15</f>
        <v/>
      </c>
      <c r="S33" s="100">
        <f>IF(N33&lt;O33*0.9056*0.85,O33*0.9056*0.85,IF(N33&gt;O33*1.15,O33*1.15,N33))</f>
        <v/>
      </c>
      <c r="T33" s="100" t="n">
        <v>287859.49</v>
      </c>
      <c r="U33" s="100" t="n">
        <v>298913.06</v>
      </c>
      <c r="V33" s="100">
        <f>T33+S33*K33</f>
        <v/>
      </c>
      <c r="W33" s="100">
        <f>U33-T33</f>
        <v/>
      </c>
      <c r="X33" s="100">
        <f>V33-T33</f>
        <v/>
      </c>
      <c r="Y33" s="100">
        <f>V33-U33</f>
        <v/>
      </c>
      <c r="Z33" s="26" t="n"/>
    </row>
    <row r="34" ht="20" customHeight="1" s="1">
      <c r="A34" s="26" t="n">
        <v>27</v>
      </c>
      <c r="B34" s="26" t="inlineStr">
        <is>
          <t>010502002001</t>
        </is>
      </c>
      <c r="C34" s="26" t="inlineStr">
        <is>
          <t>构造柱</t>
        </is>
      </c>
      <c r="D34" s="26" t="inlineStr">
        <is>
          <t>1.构造柱
2.混凝土种类:预拌混凝土
3.混凝土强度等级:C25</t>
        </is>
      </c>
      <c r="E34" s="26" t="inlineStr">
        <is>
          <t>m3</t>
        </is>
      </c>
      <c r="F34" s="100" t="n">
        <v>59.54</v>
      </c>
      <c r="G34" s="100" t="n">
        <v>65.14</v>
      </c>
      <c r="H34" s="100" t="n">
        <v>65.14</v>
      </c>
      <c r="I34" s="100" t="n"/>
      <c r="J34" s="100">
        <f>G34-F34</f>
        <v/>
      </c>
      <c r="K34" s="100">
        <f>H34-F34</f>
        <v/>
      </c>
      <c r="L34" s="100">
        <f>H34-G34</f>
        <v/>
      </c>
      <c r="M34" s="37">
        <f>J34/F34</f>
        <v/>
      </c>
      <c r="N34" s="27" t="n">
        <v>820.9400000000001</v>
      </c>
      <c r="O34" s="27" t="n">
        <v>1006.12</v>
      </c>
      <c r="P34" s="37">
        <f>(N34-O34)/O34</f>
        <v/>
      </c>
      <c r="Q34" s="100">
        <f>O34*0.9056*0.85</f>
        <v/>
      </c>
      <c r="R34" s="100">
        <f>O34*1.15</f>
        <v/>
      </c>
      <c r="S34" s="100">
        <f>IF(N34&lt;O34*0.9056*0.85,O34*0.9056*0.85,IF(N34&gt;O34*1.15,O34*1.15,N34))</f>
        <v/>
      </c>
      <c r="T34" s="100" t="n">
        <v>48878.52</v>
      </c>
      <c r="U34" s="100" t="n">
        <v>53476.03</v>
      </c>
      <c r="V34" s="100">
        <f>T34+S34*K34</f>
        <v/>
      </c>
      <c r="W34" s="100">
        <f>U34-T34</f>
        <v/>
      </c>
      <c r="X34" s="100">
        <f>V34-T34</f>
        <v/>
      </c>
      <c r="Y34" s="100">
        <f>V34-U34</f>
        <v/>
      </c>
      <c r="Z34" s="26" t="n"/>
    </row>
    <row r="35" ht="20" customHeight="1" s="1">
      <c r="A35" s="26" t="n">
        <v>28</v>
      </c>
      <c r="B35" s="26" t="inlineStr">
        <is>
          <t>010505001002</t>
        </is>
      </c>
      <c r="C35" s="26" t="inlineStr">
        <is>
          <t>有梁板</t>
        </is>
      </c>
      <c r="D35" s="26" t="inlineStr">
        <is>
          <t>1.有梁板
2.混凝土种类:预拌混凝土
3.混凝土强度等级:C30
4.含混凝土泵送费用</t>
        </is>
      </c>
      <c r="E35" s="26" t="inlineStr">
        <is>
          <t>m3</t>
        </is>
      </c>
      <c r="F35" s="100" t="n">
        <v>1100.15</v>
      </c>
      <c r="G35" s="100" t="n">
        <v>1139.02</v>
      </c>
      <c r="H35" s="100">
        <f>549.51+211.22+325.1</f>
        <v/>
      </c>
      <c r="I35" s="100" t="n"/>
      <c r="J35" s="100">
        <f>G35-F35</f>
        <v/>
      </c>
      <c r="K35" s="100">
        <f>H35-F35</f>
        <v/>
      </c>
      <c r="L35" s="100">
        <f>H35-G35</f>
        <v/>
      </c>
      <c r="M35" s="37">
        <f>J35/F35</f>
        <v/>
      </c>
      <c r="N35" s="27" t="n">
        <v>674.8</v>
      </c>
      <c r="O35" s="27" t="n">
        <v>855.35</v>
      </c>
      <c r="P35" s="37">
        <f>(N35-O35)/O35</f>
        <v/>
      </c>
      <c r="Q35" s="100">
        <f>O35*0.9056*0.85</f>
        <v/>
      </c>
      <c r="R35" s="100">
        <f>O35*1.15</f>
        <v/>
      </c>
      <c r="S35" s="100">
        <f>IF(N35&lt;O35*0.9056*0.85,O35*0.9056*0.85,IF(N35&gt;O35*1.15,O35*1.15,N35))</f>
        <v/>
      </c>
      <c r="T35" s="100" t="n">
        <v>742380.21</v>
      </c>
      <c r="U35" s="100" t="n">
        <v>768609.1</v>
      </c>
      <c r="V35" s="100">
        <f>T35+S35*K35</f>
        <v/>
      </c>
      <c r="W35" s="100">
        <f>U35-T35</f>
        <v/>
      </c>
      <c r="X35" s="100">
        <f>V35-T35</f>
        <v/>
      </c>
      <c r="Y35" s="100">
        <f>V35-U35</f>
        <v/>
      </c>
      <c r="Z35" s="26" t="n"/>
    </row>
    <row r="36" ht="20" customHeight="1" s="1">
      <c r="A36" s="26" t="n">
        <v>29</v>
      </c>
      <c r="B36" s="26" t="inlineStr">
        <is>
          <t>010505001003</t>
        </is>
      </c>
      <c r="C36" s="26" t="inlineStr">
        <is>
          <t>有梁板（斜板）</t>
        </is>
      </c>
      <c r="D36" s="26" t="inlineStr">
        <is>
          <t>1.有梁板
2.混凝土种类:预拌混凝土
3.混凝土强度等级:C30
4.含混凝土泵送费用</t>
        </is>
      </c>
      <c r="E36" s="26" t="inlineStr">
        <is>
          <t>m3</t>
        </is>
      </c>
      <c r="F36" s="100" t="n">
        <v>36.14</v>
      </c>
      <c r="G36" s="100" t="n">
        <v>27.25</v>
      </c>
      <c r="H36" s="100">
        <f>2.75+23.2</f>
        <v/>
      </c>
      <c r="I36" s="100" t="n"/>
      <c r="J36" s="100">
        <f>G36-F36</f>
        <v/>
      </c>
      <c r="K36" s="100">
        <f>H36-F36</f>
        <v/>
      </c>
      <c r="L36" s="100">
        <f>H36-G36</f>
        <v/>
      </c>
      <c r="M36" s="37">
        <f>J36/F36</f>
        <v/>
      </c>
      <c r="N36" s="27" t="n">
        <v>674.8</v>
      </c>
      <c r="O36" s="27" t="n">
        <v>869.35</v>
      </c>
      <c r="P36" s="37">
        <f>(N36-O36)/O36</f>
        <v/>
      </c>
      <c r="Q36" s="100">
        <f>O36*0.9056*0.85</f>
        <v/>
      </c>
      <c r="R36" s="100">
        <f>O36*1.15</f>
        <v/>
      </c>
      <c r="S36" s="100">
        <f>IF(N36&lt;O36*0.9056*0.85,O36*0.9056*0.85,IF(N36&gt;O36*1.15,O36*1.15,N36))</f>
        <v/>
      </c>
      <c r="T36" s="100" t="n">
        <v>24386.26</v>
      </c>
      <c r="U36" s="100" t="n">
        <v>18387.39</v>
      </c>
      <c r="V36" s="100">
        <f>T36+S36*K36</f>
        <v/>
      </c>
      <c r="W36" s="100">
        <f>U36-T36</f>
        <v/>
      </c>
      <c r="X36" s="100">
        <f>V36-T36</f>
        <v/>
      </c>
      <c r="Y36" s="100">
        <f>V36-U36</f>
        <v/>
      </c>
      <c r="Z36" s="26" t="n"/>
    </row>
    <row r="37" ht="20" customHeight="1" s="1">
      <c r="A37" s="26" t="n">
        <v>30</v>
      </c>
      <c r="B37" s="26" t="inlineStr">
        <is>
          <t>010504001003</t>
        </is>
      </c>
      <c r="C37" s="26" t="inlineStr">
        <is>
          <t>直形墙</t>
        </is>
      </c>
      <c r="D37" s="26" t="inlineStr">
        <is>
          <t>1.直行墙
2.混凝土种类:预拌混凝土
3.混凝土强度等级:C30
4.含混凝土泵送费用</t>
        </is>
      </c>
      <c r="E37" s="26" t="inlineStr">
        <is>
          <t>m3</t>
        </is>
      </c>
      <c r="F37" s="100" t="n">
        <v>49.41</v>
      </c>
      <c r="G37" s="100" t="n">
        <v>22.39</v>
      </c>
      <c r="H37" s="100">
        <f>21.29</f>
        <v/>
      </c>
      <c r="I37" s="100" t="n"/>
      <c r="J37" s="100">
        <f>G37-F37</f>
        <v/>
      </c>
      <c r="K37" s="100">
        <f>H37-F37</f>
        <v/>
      </c>
      <c r="L37" s="100">
        <f>H37-G37</f>
        <v/>
      </c>
      <c r="M37" s="37">
        <f>J37/F37</f>
        <v/>
      </c>
      <c r="N37" s="27" t="n">
        <v>699.01</v>
      </c>
      <c r="O37" s="27" t="n">
        <v>882.4400000000001</v>
      </c>
      <c r="P37" s="37">
        <f>(N37-O37)/O37</f>
        <v/>
      </c>
      <c r="Q37" s="100">
        <f>O37*0.9056*0.85</f>
        <v/>
      </c>
      <c r="R37" s="100">
        <f>O37*1.15</f>
        <v/>
      </c>
      <c r="S37" s="100">
        <f>IF(N37&lt;O37*0.9056*0.85,O37*0.9056*0.85,IF(N37&gt;O37*1.15,O37*1.15,N37))</f>
        <v/>
      </c>
      <c r="T37" s="100" t="n">
        <v>34535.99</v>
      </c>
      <c r="U37" s="100" t="n">
        <v>15647.96</v>
      </c>
      <c r="V37" s="100">
        <f>T37+S37*K37</f>
        <v/>
      </c>
      <c r="W37" s="100">
        <f>U37-T37</f>
        <v/>
      </c>
      <c r="X37" s="100">
        <f>V37-T37</f>
        <v/>
      </c>
      <c r="Y37" s="100">
        <f>V37-U37</f>
        <v/>
      </c>
      <c r="Z37" s="26" t="n"/>
    </row>
    <row r="38" ht="20" customHeight="1" s="1">
      <c r="A38" s="26" t="n">
        <v>31</v>
      </c>
      <c r="B38" s="26" t="inlineStr">
        <is>
          <t>010506001002</t>
        </is>
      </c>
      <c r="C38" s="26" t="inlineStr">
        <is>
          <t>直形楼梯</t>
        </is>
      </c>
      <c r="D38" s="26" t="inlineStr">
        <is>
          <t>1.混凝土种类:预拌混凝土
2.混凝土强度等级:C30
3.含混凝土泵送费用</t>
        </is>
      </c>
      <c r="E38" s="26" t="inlineStr">
        <is>
          <t>m3</t>
        </is>
      </c>
      <c r="F38" s="100" t="n">
        <v>145.46</v>
      </c>
      <c r="G38" s="100" t="n">
        <v>111.17</v>
      </c>
      <c r="H38" s="100" t="n">
        <v>107.54</v>
      </c>
      <c r="I38" s="100" t="n"/>
      <c r="J38" s="100">
        <f>G38-F38</f>
        <v/>
      </c>
      <c r="K38" s="100">
        <f>H38-F38</f>
        <v/>
      </c>
      <c r="L38" s="100">
        <f>H38-G38</f>
        <v/>
      </c>
      <c r="M38" s="37">
        <f>J38/F38</f>
        <v/>
      </c>
      <c r="N38" s="27" t="n">
        <v>726.66</v>
      </c>
      <c r="O38" s="27" t="n">
        <v>913.95</v>
      </c>
      <c r="P38" s="37">
        <f>(N38-O38)/O38</f>
        <v/>
      </c>
      <c r="Q38" s="100">
        <f>O38*0.9056*0.85</f>
        <v/>
      </c>
      <c r="R38" s="100">
        <f>O38*1.15</f>
        <v/>
      </c>
      <c r="S38" s="100">
        <f>IF(N38&lt;O38*0.9056*0.85,O38*0.9056*0.85,IF(N38&gt;O38*1.15,O38*1.15,N38))</f>
        <v/>
      </c>
      <c r="T38" s="100" t="n">
        <v>105702.36</v>
      </c>
      <c r="U38" s="100" t="n">
        <v>80781.2</v>
      </c>
      <c r="V38" s="100">
        <f>T38+S38*K38</f>
        <v/>
      </c>
      <c r="W38" s="100">
        <f>U38-T38</f>
        <v/>
      </c>
      <c r="X38" s="100">
        <f>V38-T38</f>
        <v/>
      </c>
      <c r="Y38" s="100">
        <f>V38-U38</f>
        <v/>
      </c>
      <c r="Z38" s="26" t="n"/>
    </row>
    <row r="39" ht="20" customHeight="1" s="1">
      <c r="A39" s="26" t="n">
        <v>32</v>
      </c>
      <c r="B39" s="26" t="inlineStr">
        <is>
          <t>010505008001</t>
        </is>
      </c>
      <c r="C39" s="26" t="inlineStr">
        <is>
          <t>飘板</t>
        </is>
      </c>
      <c r="D39" s="26" t="inlineStr">
        <is>
          <t>1.部位:空调板、装饰飘板
2.混凝土种类:预拌混凝土
3.混凝土强度等级:C30
4.含混凝土泵送费用</t>
        </is>
      </c>
      <c r="E39" s="26" t="inlineStr">
        <is>
          <t>m3</t>
        </is>
      </c>
      <c r="F39" s="100" t="n">
        <v>3.49</v>
      </c>
      <c r="G39" s="100" t="n">
        <v>12.68</v>
      </c>
      <c r="H39" s="100">
        <f>4.33+6.24+1.51</f>
        <v/>
      </c>
      <c r="I39" s="100" t="n"/>
      <c r="J39" s="100">
        <f>G39-F39</f>
        <v/>
      </c>
      <c r="K39" s="100">
        <f>H39-F39</f>
        <v/>
      </c>
      <c r="L39" s="100">
        <f>H39-G39</f>
        <v/>
      </c>
      <c r="M39" s="37">
        <f>J39/F39</f>
        <v/>
      </c>
      <c r="N39" s="27" t="n">
        <v>838.64</v>
      </c>
      <c r="O39" s="27" t="n">
        <v>1035.77</v>
      </c>
      <c r="P39" s="37">
        <f>(N39-O39)/O39</f>
        <v/>
      </c>
      <c r="Q39" s="100">
        <f>O39*0.9056*0.85</f>
        <v/>
      </c>
      <c r="R39" s="100">
        <f>O39*1.15</f>
        <v/>
      </c>
      <c r="S39" s="100">
        <f>IF(N39&lt;O39*0.9056*0.85,O39*0.9056*0.85,IF(N39&gt;O39*1.15,O39*1.15,N39))</f>
        <v/>
      </c>
      <c r="T39" s="100" t="n">
        <v>2923</v>
      </c>
      <c r="U39" s="100" t="n">
        <v>10630.79</v>
      </c>
      <c r="V39" s="100">
        <f>T39+S39*K39</f>
        <v/>
      </c>
      <c r="W39" s="100">
        <f>U39-T39</f>
        <v/>
      </c>
      <c r="X39" s="100">
        <f>V39-T39</f>
        <v/>
      </c>
      <c r="Y39" s="100">
        <f>V39-U39</f>
        <v/>
      </c>
      <c r="Z39" s="26" t="n"/>
      <c r="AA39" s="42" t="inlineStr">
        <is>
          <t>加首层排水沟，复核单价</t>
        </is>
      </c>
    </row>
    <row r="40" ht="20" customHeight="1" s="1">
      <c r="A40" s="26" t="n">
        <v>33</v>
      </c>
      <c r="B40" s="26" t="inlineStr">
        <is>
          <t>010507007002</t>
        </is>
      </c>
      <c r="C40" s="26" t="inlineStr">
        <is>
          <t>其他构件</t>
        </is>
      </c>
      <c r="D40" s="26" t="inlineStr">
        <is>
          <t>1.部位:外墙造型、挑檐
2.混凝土种类:预拌混凝土
3.混凝土强度等级:C30
4.含混凝土泵送费用</t>
        </is>
      </c>
      <c r="E40" s="26" t="inlineStr">
        <is>
          <t>m3</t>
        </is>
      </c>
      <c r="F40" s="100" t="n">
        <v>116.23</v>
      </c>
      <c r="G40" s="100" t="n">
        <v>71.20999999999999</v>
      </c>
      <c r="H40" s="100" t="n">
        <v>69.73999999999999</v>
      </c>
      <c r="I40" s="100" t="n"/>
      <c r="J40" s="100">
        <f>G40-F40</f>
        <v/>
      </c>
      <c r="K40" s="100">
        <f>H40-F40</f>
        <v/>
      </c>
      <c r="L40" s="100">
        <f>H40-G40</f>
        <v/>
      </c>
      <c r="M40" s="37">
        <f>J40/F40</f>
        <v/>
      </c>
      <c r="N40" s="27" t="n">
        <v>994.4400000000001</v>
      </c>
      <c r="O40" s="27" t="n">
        <v>1058.32</v>
      </c>
      <c r="P40" s="37">
        <f>(N40-O40)/O40</f>
        <v/>
      </c>
      <c r="Q40" s="100">
        <f>O40*0.9056*0.85</f>
        <v/>
      </c>
      <c r="R40" s="100">
        <f>O40*1.15</f>
        <v/>
      </c>
      <c r="S40" s="100">
        <f>IF(N40&lt;O40*0.9056*0.85,O40*0.9056*0.85,IF(N40&gt;O40*1.15,O40*1.15,N40))</f>
        <v/>
      </c>
      <c r="T40" s="100" t="n">
        <v>115587.84</v>
      </c>
      <c r="U40" s="100" t="n">
        <v>70817.89</v>
      </c>
      <c r="V40" s="100">
        <f>T40+S40*K40</f>
        <v/>
      </c>
      <c r="W40" s="100">
        <f>U40-T40</f>
        <v/>
      </c>
      <c r="X40" s="100">
        <f>V40-T40</f>
        <v/>
      </c>
      <c r="Y40" s="100">
        <f>V40-U40</f>
        <v/>
      </c>
      <c r="Z40" s="26" t="n"/>
    </row>
    <row r="41" ht="20" customHeight="1" s="1">
      <c r="A41" s="26" t="n">
        <v>34</v>
      </c>
      <c r="B41" s="26" t="inlineStr">
        <is>
          <t>010503004002</t>
        </is>
      </c>
      <c r="C41" s="26" t="inlineStr">
        <is>
          <t>圈梁</t>
        </is>
      </c>
      <c r="D41" s="26" t="inlineStr">
        <is>
          <t>1.部位:圈梁
2.混凝土种类:预拌混凝土
3.混凝土强度等级:C30
4.含混凝土泵送费用</t>
        </is>
      </c>
      <c r="E41" s="26" t="inlineStr">
        <is>
          <t>m3</t>
        </is>
      </c>
      <c r="F41" s="100" t="n">
        <v>4.76</v>
      </c>
      <c r="G41" s="100" t="n">
        <v>15.08</v>
      </c>
      <c r="H41" s="100">
        <f>8.31+4.06+2.68</f>
        <v/>
      </c>
      <c r="I41" s="100" t="n"/>
      <c r="J41" s="100">
        <f>G41-F41</f>
        <v/>
      </c>
      <c r="K41" s="100">
        <f>H41-F41</f>
        <v/>
      </c>
      <c r="L41" s="100">
        <f>H41-G41</f>
        <v/>
      </c>
      <c r="M41" s="37">
        <f>J41/F41</f>
        <v/>
      </c>
      <c r="N41" s="27" t="n">
        <v>766.65</v>
      </c>
      <c r="O41" s="27" t="n">
        <v>957.91</v>
      </c>
      <c r="P41" s="37">
        <f>(N41-O41)/O41</f>
        <v/>
      </c>
      <c r="Q41" s="100">
        <f>O41*0.9056*0.85</f>
        <v/>
      </c>
      <c r="R41" s="100">
        <f>O41*1.15</f>
        <v/>
      </c>
      <c r="S41" s="100">
        <f>IF(N41&lt;O41*0.9056*0.85,O41*0.9056*0.85,IF(N41&gt;O41*1.15,O41*1.15,N41))</f>
        <v/>
      </c>
      <c r="T41" s="100" t="n">
        <v>3650.17</v>
      </c>
      <c r="U41" s="100" t="n">
        <v>11559.47</v>
      </c>
      <c r="V41" s="100">
        <f>T41+S41*K41</f>
        <v/>
      </c>
      <c r="W41" s="100">
        <f>U41-T41</f>
        <v/>
      </c>
      <c r="X41" s="100">
        <f>V41-T41</f>
        <v/>
      </c>
      <c r="Y41" s="100">
        <f>V41-U41</f>
        <v/>
      </c>
      <c r="Z41" s="26" t="n"/>
    </row>
    <row r="42" ht="20" customHeight="1" s="1">
      <c r="A42" s="26" t="n">
        <v>35</v>
      </c>
      <c r="B42" s="26" t="inlineStr">
        <is>
          <t>010503004003</t>
        </is>
      </c>
      <c r="C42" s="26" t="inlineStr">
        <is>
          <t>圈梁</t>
        </is>
      </c>
      <c r="D42" s="26" t="inlineStr">
        <is>
          <t>1.部位:圈梁、压顶
2.混凝土种类:预拌混凝土
3.混凝土强度等级:C25
4.含混凝土泵送费用</t>
        </is>
      </c>
      <c r="E42" s="26" t="inlineStr">
        <is>
          <t>m3</t>
        </is>
      </c>
      <c r="F42" s="100" t="n">
        <v>7.63</v>
      </c>
      <c r="G42" s="100" t="n">
        <v>24.62</v>
      </c>
      <c r="H42" s="100">
        <f>24.62</f>
        <v/>
      </c>
      <c r="I42" s="100" t="n"/>
      <c r="J42" s="100">
        <f>G42-F42</f>
        <v/>
      </c>
      <c r="K42" s="100">
        <f>H42-F42</f>
        <v/>
      </c>
      <c r="L42" s="100">
        <f>H42-G42</f>
        <v/>
      </c>
      <c r="M42" s="37">
        <f>J42/F42</f>
        <v/>
      </c>
      <c r="N42" s="27" t="n">
        <v>730.1</v>
      </c>
      <c r="O42" s="27" t="n">
        <v>934.35</v>
      </c>
      <c r="P42" s="37">
        <f>(N42-O42)/O42</f>
        <v/>
      </c>
      <c r="Q42" s="100">
        <f>O42*0.9056*0.85</f>
        <v/>
      </c>
      <c r="R42" s="100">
        <f>O42*1.15</f>
        <v/>
      </c>
      <c r="S42" s="100">
        <f>IF(N42&lt;O42*0.9056*0.85,O42*0.9056*0.85,IF(N42&gt;O42*1.15,O42*1.15,N42))</f>
        <v/>
      </c>
      <c r="T42" s="100" t="n">
        <v>5568.11</v>
      </c>
      <c r="U42" s="100" t="n">
        <v>17975.06</v>
      </c>
      <c r="V42" s="100">
        <f>T42+S42*K42</f>
        <v/>
      </c>
      <c r="W42" s="100">
        <f>U42-T42</f>
        <v/>
      </c>
      <c r="X42" s="100">
        <f>V42-T42</f>
        <v/>
      </c>
      <c r="Y42" s="100">
        <f>V42-U42</f>
        <v/>
      </c>
      <c r="Z42" s="26" t="n"/>
      <c r="AA42" s="42" t="n"/>
      <c r="AB42" s="7" t="n"/>
      <c r="AD42" s="7">
        <f>+AB44+AB36</f>
        <v/>
      </c>
    </row>
    <row r="43" ht="20" customHeight="1" s="1">
      <c r="A43" s="26" t="n">
        <v>36</v>
      </c>
      <c r="B43" s="26" t="inlineStr">
        <is>
          <t>010503005001</t>
        </is>
      </c>
      <c r="C43" s="26" t="inlineStr">
        <is>
          <t>过梁</t>
        </is>
      </c>
      <c r="D43" s="26" t="inlineStr">
        <is>
          <t>1.过梁
2.混凝土种类:预拌混凝土
3.混凝土强度等级:C25</t>
        </is>
      </c>
      <c r="E43" s="26" t="inlineStr">
        <is>
          <t>m3</t>
        </is>
      </c>
      <c r="F43" s="100" t="n">
        <v>4.46</v>
      </c>
      <c r="G43" s="100" t="n">
        <v>4.46</v>
      </c>
      <c r="H43" s="100">
        <f>1.66</f>
        <v/>
      </c>
      <c r="I43" s="100" t="n"/>
      <c r="J43" s="100">
        <f>G43-F43</f>
        <v/>
      </c>
      <c r="K43" s="100">
        <f>H43-F43</f>
        <v/>
      </c>
      <c r="L43" s="100">
        <f>H43-G43</f>
        <v/>
      </c>
      <c r="M43" s="37">
        <f>J43/F43</f>
        <v/>
      </c>
      <c r="N43" s="27" t="n">
        <v>730.1</v>
      </c>
      <c r="O43" s="27" t="n">
        <v>906.2</v>
      </c>
      <c r="P43" s="37">
        <f>(N43-O43)/O43</f>
        <v/>
      </c>
      <c r="Q43" s="100">
        <f>O43*0.9056*0.85</f>
        <v/>
      </c>
      <c r="R43" s="100">
        <f>O43*1.15</f>
        <v/>
      </c>
      <c r="S43" s="100">
        <f>IF(N43&lt;O43*0.9056*0.85,O43*0.9056*0.85,IF(N43&gt;O43*1.15,O43*1.15,N43))</f>
        <v/>
      </c>
      <c r="T43" s="100" t="n">
        <v>3257.2</v>
      </c>
      <c r="U43" s="100" t="n">
        <v>3257.2</v>
      </c>
      <c r="V43" s="100">
        <f>T43+S43*K43</f>
        <v/>
      </c>
      <c r="W43" s="100">
        <f>U43-T43</f>
        <v/>
      </c>
      <c r="X43" s="100">
        <f>V43-T43</f>
        <v/>
      </c>
      <c r="Y43" s="100">
        <f>V43-U43</f>
        <v/>
      </c>
      <c r="Z43" s="26" t="n"/>
      <c r="AA43" s="42" t="n"/>
    </row>
    <row r="44" ht="20" customFormat="1" customHeight="1" s="7">
      <c r="A44" s="26" t="n">
        <v>37</v>
      </c>
      <c r="B44" s="26" t="inlineStr">
        <is>
          <t>010505006001</t>
        </is>
      </c>
      <c r="C44" s="26" t="inlineStr">
        <is>
          <t>栏板、反檐</t>
        </is>
      </c>
      <c r="D44" s="26" t="inlineStr">
        <is>
          <t>1.部位:栏板、反坎
2.混凝土强度等级:C25商品混凝土
3.含混凝土泵送费用</t>
        </is>
      </c>
      <c r="E44" s="26" t="inlineStr">
        <is>
          <t>m3</t>
        </is>
      </c>
      <c r="F44" s="100" t="n">
        <v>4.3</v>
      </c>
      <c r="G44" s="100" t="n">
        <v>0.2</v>
      </c>
      <c r="H44" s="100" t="n">
        <v>0.19</v>
      </c>
      <c r="I44" s="100" t="n"/>
      <c r="J44" s="100">
        <f>G44-F44</f>
        <v/>
      </c>
      <c r="K44" s="100">
        <f>H44-F44</f>
        <v/>
      </c>
      <c r="L44" s="100">
        <f>H44-G44</f>
        <v/>
      </c>
      <c r="M44" s="37">
        <f>J44/F44</f>
        <v/>
      </c>
      <c r="N44" s="27" t="n">
        <v>826.88</v>
      </c>
      <c r="O44" s="27" t="n">
        <v>1019.22</v>
      </c>
      <c r="P44" s="37">
        <f>(N44-O44)/O44</f>
        <v/>
      </c>
      <c r="Q44" s="100">
        <f>O44*0.9056*0.85</f>
        <v/>
      </c>
      <c r="R44" s="100">
        <f>O44*1.15</f>
        <v/>
      </c>
      <c r="S44" s="100">
        <f>IF(N44&lt;O44*0.9056*0.85,O44*0.9056*0.85,IF(N44&gt;O44*1.15,O44*1.15,N44))</f>
        <v/>
      </c>
      <c r="T44" s="100" t="n">
        <v>3557.57</v>
      </c>
      <c r="U44" s="100" t="n">
        <v>166.7</v>
      </c>
      <c r="V44" s="100">
        <f>T44+S44*K44</f>
        <v/>
      </c>
      <c r="W44" s="100">
        <f>U44-T44</f>
        <v/>
      </c>
      <c r="X44" s="100">
        <f>V44-T44</f>
        <v/>
      </c>
      <c r="Y44" s="100">
        <f>V44-U44</f>
        <v/>
      </c>
      <c r="Z44" s="26" t="n"/>
    </row>
    <row r="45" ht="20" customFormat="1" customHeight="1" s="7">
      <c r="A45" s="26" t="n">
        <v>38</v>
      </c>
      <c r="B45" s="26" t="inlineStr">
        <is>
          <t>010401013001</t>
        </is>
      </c>
      <c r="C45" s="26" t="inlineStr">
        <is>
          <t>砖散水、地坪</t>
        </is>
      </c>
      <c r="D45" s="26" t="inlineStr">
        <is>
          <t>1.散水
2.C20素砼垫层60厚
3.150厚3:7灰土</t>
        </is>
      </c>
      <c r="E45" s="26" t="inlineStr">
        <is>
          <t>m2</t>
        </is>
      </c>
      <c r="F45" s="100" t="n">
        <v>142.78</v>
      </c>
      <c r="G45" s="100" t="n">
        <v>142.78</v>
      </c>
      <c r="H45" s="100" t="n">
        <v>0</v>
      </c>
      <c r="I45" s="100" t="n"/>
      <c r="J45" s="100">
        <f>G45-F45</f>
        <v/>
      </c>
      <c r="K45" s="100">
        <f>H45-F45</f>
        <v/>
      </c>
      <c r="L45" s="100">
        <f>H45-G45</f>
        <v/>
      </c>
      <c r="M45" s="37">
        <f>J45/F45</f>
        <v/>
      </c>
      <c r="N45" s="27" t="n">
        <v>80.23999999999999</v>
      </c>
      <c r="O45" s="27" t="n">
        <v>95.34</v>
      </c>
      <c r="P45" s="37">
        <f>(N45-O45)/O45</f>
        <v/>
      </c>
      <c r="Q45" s="100">
        <f>O45*0.9056*0.85</f>
        <v/>
      </c>
      <c r="R45" s="100">
        <f>O45*1.15</f>
        <v/>
      </c>
      <c r="S45" s="100">
        <f>IF(N45&lt;O45*0.9056*0.85,O45*0.9056*0.85,IF(N45&gt;O45*1.15,O45*1.15,N45))</f>
        <v/>
      </c>
      <c r="T45" s="100" t="n">
        <v>11456.35</v>
      </c>
      <c r="U45" s="100" t="n">
        <v>11456.35</v>
      </c>
      <c r="V45" s="100">
        <f>T45+S45*K45</f>
        <v/>
      </c>
      <c r="W45" s="100">
        <f>U45-T45</f>
        <v/>
      </c>
      <c r="X45" s="100">
        <f>V45-T45</f>
        <v/>
      </c>
      <c r="Y45" s="100">
        <f>V45-U45</f>
        <v/>
      </c>
      <c r="Z45" s="26" t="n"/>
      <c r="AA45" s="48" t="inlineStr">
        <is>
          <t>周边有园建铺装，无需做散水</t>
        </is>
      </c>
    </row>
    <row r="46" ht="20" customHeight="1" s="1">
      <c r="A46" s="26" t="n">
        <v>39</v>
      </c>
      <c r="B46" s="26" t="inlineStr">
        <is>
          <t>010515001002</t>
        </is>
      </c>
      <c r="C46" s="26" t="inlineStr">
        <is>
          <t>现浇构件钢筋</t>
        </is>
      </c>
      <c r="D46" s="26" t="inlineStr">
        <is>
          <t>1.钢筋种类、规格:现浇构件带肋钢筋(HRB400)φ10以内</t>
        </is>
      </c>
      <c r="E46" s="26" t="inlineStr">
        <is>
          <t>t</t>
        </is>
      </c>
      <c r="F46" s="100" t="n">
        <v>88.84</v>
      </c>
      <c r="G46" s="100" t="n">
        <v>100.86</v>
      </c>
      <c r="H46" s="102" t="n">
        <v>100.86</v>
      </c>
      <c r="I46" s="102" t="n"/>
      <c r="J46" s="100">
        <f>G46-F46</f>
        <v/>
      </c>
      <c r="K46" s="100">
        <f>H46-F46</f>
        <v/>
      </c>
      <c r="L46" s="100">
        <f>H46-G46</f>
        <v/>
      </c>
      <c r="M46" s="37">
        <f>J46/F46</f>
        <v/>
      </c>
      <c r="N46" s="27" t="n">
        <v>5708.81</v>
      </c>
      <c r="O46" s="27" t="n">
        <v>6995.45</v>
      </c>
      <c r="P46" s="37">
        <f>(N46-O46)/O46</f>
        <v/>
      </c>
      <c r="Q46" s="100">
        <f>O46*0.9056*0.85</f>
        <v/>
      </c>
      <c r="R46" s="100">
        <f>O46*1.15</f>
        <v/>
      </c>
      <c r="S46" s="100">
        <f>IF(N46&lt;O46*0.9056*0.85,O46*0.9056*0.85,IF(N46&gt;O46*1.15,O46*1.15,N46))</f>
        <v/>
      </c>
      <c r="T46" s="100" t="n">
        <v>507176.39</v>
      </c>
      <c r="U46" s="100" t="n">
        <v>575817.64</v>
      </c>
      <c r="V46" s="100">
        <f>T46+S46*K46</f>
        <v/>
      </c>
      <c r="W46" s="100">
        <f>U46-T46</f>
        <v/>
      </c>
      <c r="X46" s="100">
        <f>V46-T46</f>
        <v/>
      </c>
      <c r="Y46" s="100">
        <f>V46-U46</f>
        <v/>
      </c>
      <c r="Z46" s="26" t="n"/>
    </row>
    <row r="47" ht="20" customHeight="1" s="1">
      <c r="A47" s="26" t="n">
        <v>40</v>
      </c>
      <c r="B47" s="26" t="inlineStr">
        <is>
          <t>010515001003</t>
        </is>
      </c>
      <c r="C47" s="26" t="inlineStr">
        <is>
          <t>现浇构件钢筋</t>
        </is>
      </c>
      <c r="D47" s="26" t="inlineStr">
        <is>
          <t>1.钢筋种类、规格:现浇构件带肋钢筋(HRB400E)φ10以内</t>
        </is>
      </c>
      <c r="E47" s="26" t="inlineStr">
        <is>
          <t>t</t>
        </is>
      </c>
      <c r="F47" s="100" t="n">
        <v>10.71</v>
      </c>
      <c r="G47" s="100" t="n">
        <v>7.35</v>
      </c>
      <c r="H47" s="102" t="n">
        <v>7.35</v>
      </c>
      <c r="I47" s="102" t="n"/>
      <c r="J47" s="100">
        <f>G47-F47</f>
        <v/>
      </c>
      <c r="K47" s="100">
        <f>H47-F47</f>
        <v/>
      </c>
      <c r="L47" s="100">
        <f>H47-G47</f>
        <v/>
      </c>
      <c r="M47" s="37">
        <f>J47/F47</f>
        <v/>
      </c>
      <c r="N47" s="27" t="n">
        <v>5708.81</v>
      </c>
      <c r="O47" s="27" t="n">
        <v>7085.72</v>
      </c>
      <c r="P47" s="37">
        <f>(N47-O47)/O47</f>
        <v/>
      </c>
      <c r="Q47" s="100">
        <f>O47*0.9056*0.85</f>
        <v/>
      </c>
      <c r="R47" s="100">
        <f>O47*1.15</f>
        <v/>
      </c>
      <c r="S47" s="100">
        <f>IF(N47&lt;O47*0.9056*0.85,O47*0.9056*0.85,IF(N47&gt;O47*1.15,O47*1.15,N47))</f>
        <v/>
      </c>
      <c r="T47" s="100" t="n">
        <v>61118.52</v>
      </c>
      <c r="U47" s="100" t="n">
        <v>41966.95</v>
      </c>
      <c r="V47" s="100">
        <f>T47+S47*K47</f>
        <v/>
      </c>
      <c r="W47" s="100">
        <f>U47-T47</f>
        <v/>
      </c>
      <c r="X47" s="100">
        <f>V47-T47</f>
        <v/>
      </c>
      <c r="Y47" s="100">
        <f>V47-U47</f>
        <v/>
      </c>
      <c r="Z47" s="26" t="n"/>
    </row>
    <row r="48" ht="20" customHeight="1" s="1">
      <c r="A48" s="26" t="n">
        <v>41</v>
      </c>
      <c r="B48" s="26" t="inlineStr">
        <is>
          <t>010515001004</t>
        </is>
      </c>
      <c r="C48" s="26" t="inlineStr">
        <is>
          <t>现浇构件钢筋</t>
        </is>
      </c>
      <c r="D48" s="26" t="inlineStr">
        <is>
          <t>1.钢筋种类、规格:现浇构件带肋钢筋(HRB400)φ25以内</t>
        </is>
      </c>
      <c r="E48" s="26" t="inlineStr">
        <is>
          <t>t</t>
        </is>
      </c>
      <c r="F48" s="100" t="n">
        <v>44.38</v>
      </c>
      <c r="G48" s="100" t="n">
        <v>41.66</v>
      </c>
      <c r="H48" s="102" t="n">
        <v>41.66</v>
      </c>
      <c r="I48" s="102" t="n"/>
      <c r="J48" s="100">
        <f>G48-F48</f>
        <v/>
      </c>
      <c r="K48" s="100">
        <f>H48-F48</f>
        <v/>
      </c>
      <c r="L48" s="100">
        <f>H48-G48</f>
        <v/>
      </c>
      <c r="M48" s="37">
        <f>J48/F48</f>
        <v/>
      </c>
      <c r="N48" s="27" t="n">
        <v>5570.86</v>
      </c>
      <c r="O48" s="27" t="n">
        <v>6793.55</v>
      </c>
      <c r="P48" s="37">
        <f>(N48-O48)/O48</f>
        <v/>
      </c>
      <c r="Q48" s="100">
        <f>O48*0.9056*0.85</f>
        <v/>
      </c>
      <c r="R48" s="100">
        <f>O48*1.15</f>
        <v/>
      </c>
      <c r="S48" s="100">
        <f>IF(N48&lt;O48*0.9056*0.85,O48*0.9056*0.85,IF(N48&gt;O48*1.15,O48*1.15,N48))</f>
        <v/>
      </c>
      <c r="T48" s="100" t="n">
        <v>247212.48</v>
      </c>
      <c r="U48" s="100" t="n">
        <v>232074.03</v>
      </c>
      <c r="V48" s="100">
        <f>T48+S48*K48</f>
        <v/>
      </c>
      <c r="W48" s="100">
        <f>U48-T48</f>
        <v/>
      </c>
      <c r="X48" s="100">
        <f>V48-T48</f>
        <v/>
      </c>
      <c r="Y48" s="100">
        <f>V48-U48</f>
        <v/>
      </c>
      <c r="Z48" s="26" t="n"/>
    </row>
    <row r="49" ht="20" customHeight="1" s="1">
      <c r="A49" s="26" t="n">
        <v>42</v>
      </c>
      <c r="B49" s="26" t="inlineStr">
        <is>
          <t>010515001005</t>
        </is>
      </c>
      <c r="C49" s="26" t="inlineStr">
        <is>
          <t>现浇构件钢筋</t>
        </is>
      </c>
      <c r="D49" s="26" t="inlineStr">
        <is>
          <t>1.钢筋种类、规格:现浇构件带肋钢筋(HRB400E)φ25以内</t>
        </is>
      </c>
      <c r="E49" s="26" t="inlineStr">
        <is>
          <t>t</t>
        </is>
      </c>
      <c r="F49" s="100" t="n">
        <v>102.11</v>
      </c>
      <c r="G49" s="100" t="n">
        <v>110.02</v>
      </c>
      <c r="H49" s="102" t="n">
        <v>110.02</v>
      </c>
      <c r="I49" s="102" t="n"/>
      <c r="J49" s="100">
        <f>G49-F49</f>
        <v/>
      </c>
      <c r="K49" s="100">
        <f>H49-F49</f>
        <v/>
      </c>
      <c r="L49" s="100">
        <f>H49-G49</f>
        <v/>
      </c>
      <c r="M49" s="37">
        <f>J49/F49</f>
        <v/>
      </c>
      <c r="N49" s="27" t="n">
        <v>5570.86</v>
      </c>
      <c r="O49" s="27" t="n">
        <v>6884.26</v>
      </c>
      <c r="P49" s="37">
        <f>(N49-O49)/O49</f>
        <v/>
      </c>
      <c r="Q49" s="100">
        <f>O49*0.9056*0.85</f>
        <v/>
      </c>
      <c r="R49" s="100">
        <f>O49*1.15</f>
        <v/>
      </c>
      <c r="S49" s="100">
        <f>IF(N49&lt;O49*0.9056*0.85,O49*0.9056*0.85,IF(N49&gt;O49*1.15,O49*1.15,N49))</f>
        <v/>
      </c>
      <c r="T49" s="100" t="n">
        <v>568818.23</v>
      </c>
      <c r="U49" s="100" t="n">
        <v>612880.85</v>
      </c>
      <c r="V49" s="100" t="n">
        <v>612880.85</v>
      </c>
      <c r="W49" s="100">
        <f>U49-T49</f>
        <v/>
      </c>
      <c r="X49" s="100">
        <f>V49-T49</f>
        <v/>
      </c>
      <c r="Y49" s="100">
        <f>V49-U49</f>
        <v/>
      </c>
      <c r="Z49" s="26" t="n"/>
    </row>
    <row r="50" ht="20" customHeight="1" s="1">
      <c r="A50" s="26" t="n">
        <v>43</v>
      </c>
      <c r="B50" s="26" t="inlineStr">
        <is>
          <t>010515001006</t>
        </is>
      </c>
      <c r="C50" s="26" t="inlineStr">
        <is>
          <t>现浇构件钢筋</t>
        </is>
      </c>
      <c r="D50" s="26" t="inlineStr">
        <is>
          <t>1.钢筋种类、规格:现浇构件带肋钢筋(HRB400E)φ25以外</t>
        </is>
      </c>
      <c r="E50" s="26" t="inlineStr">
        <is>
          <t>t</t>
        </is>
      </c>
      <c r="F50" s="100" t="n">
        <v>13.81</v>
      </c>
      <c r="G50" s="100" t="n">
        <v>11.02</v>
      </c>
      <c r="H50" s="102" t="n">
        <v>11.015</v>
      </c>
      <c r="I50" s="102" t="n"/>
      <c r="J50" s="100">
        <f>G50-F50</f>
        <v/>
      </c>
      <c r="K50" s="100">
        <f>H50-F50</f>
        <v/>
      </c>
      <c r="L50" s="100">
        <f>H50-G50</f>
        <v/>
      </c>
      <c r="M50" s="37">
        <f>J50/F50</f>
        <v/>
      </c>
      <c r="N50" s="27" t="n">
        <v>5507.01</v>
      </c>
      <c r="O50" s="27" t="n">
        <v>6766.86</v>
      </c>
      <c r="P50" s="37">
        <f>(N50-O50)/O50</f>
        <v/>
      </c>
      <c r="Q50" s="100">
        <f>O50*0.9056*0.85</f>
        <v/>
      </c>
      <c r="R50" s="100">
        <f>O50*1.15</f>
        <v/>
      </c>
      <c r="S50" s="100">
        <f>IF(N50&lt;O50*0.9056*0.85,O50*0.9056*0.85,IF(N50&gt;O50*1.15,O50*1.15,N50))</f>
        <v/>
      </c>
      <c r="T50" s="100" t="n">
        <v>76051.81</v>
      </c>
      <c r="U50" s="100" t="n">
        <v>60671.42</v>
      </c>
      <c r="V50" s="100">
        <f>T50+S50*K50</f>
        <v/>
      </c>
      <c r="W50" s="100">
        <f>U50-T50</f>
        <v/>
      </c>
      <c r="X50" s="100">
        <f>V50-T50</f>
        <v/>
      </c>
      <c r="Y50" s="100">
        <f>V50-U50</f>
        <v/>
      </c>
      <c r="Z50" s="26" t="n"/>
    </row>
    <row r="51" ht="20" customHeight="1" s="1">
      <c r="A51" s="26" t="n">
        <v>44</v>
      </c>
      <c r="B51" s="26" t="inlineStr">
        <is>
          <t>010515001007</t>
        </is>
      </c>
      <c r="C51" s="26" t="inlineStr">
        <is>
          <t>现浇构件钢筋</t>
        </is>
      </c>
      <c r="D51" s="26" t="inlineStr">
        <is>
          <t>1.钢筋种类、规格:现浇构件箍筋带肋钢筋(HRB400)φ10以内</t>
        </is>
      </c>
      <c r="E51" s="26" t="inlineStr">
        <is>
          <t>t</t>
        </is>
      </c>
      <c r="F51" s="100" t="n">
        <v>64.06999999999999</v>
      </c>
      <c r="G51" s="100" t="n">
        <v>66.42</v>
      </c>
      <c r="H51" s="102" t="n">
        <v>66.42</v>
      </c>
      <c r="I51" s="102" t="n"/>
      <c r="J51" s="100">
        <f>G51-F51</f>
        <v/>
      </c>
      <c r="K51" s="100">
        <f>H51-F51</f>
        <v/>
      </c>
      <c r="L51" s="100">
        <f>H51-G51</f>
        <v/>
      </c>
      <c r="M51" s="37">
        <f>J51/F51</f>
        <v/>
      </c>
      <c r="N51" s="27" t="n">
        <v>6837.26</v>
      </c>
      <c r="O51" s="27" t="n">
        <v>8255.91</v>
      </c>
      <c r="P51" s="37">
        <f>(N51-O51)/O51</f>
        <v/>
      </c>
      <c r="Q51" s="100">
        <f>O51*0.9056*0.85</f>
        <v/>
      </c>
      <c r="R51" s="100">
        <f>O51*1.15</f>
        <v/>
      </c>
      <c r="S51" s="100">
        <f>IF(N51&lt;O51*0.9056*0.85,O51*0.9056*0.85,IF(N51&gt;O51*1.15,O51*1.15,N51))</f>
        <v/>
      </c>
      <c r="T51" s="100" t="n">
        <v>438076.92</v>
      </c>
      <c r="U51" s="100" t="n">
        <v>454162.38</v>
      </c>
      <c r="V51" s="100">
        <f>T51+S51*K51</f>
        <v/>
      </c>
      <c r="W51" s="100">
        <f>U51-T51</f>
        <v/>
      </c>
      <c r="X51" s="100">
        <f>V51-T51</f>
        <v/>
      </c>
      <c r="Y51" s="100">
        <f>V51-U51</f>
        <v/>
      </c>
      <c r="Z51" s="26" t="n"/>
    </row>
    <row r="52" ht="20" customHeight="1" s="1">
      <c r="A52" s="26" t="n">
        <v>45</v>
      </c>
      <c r="B52" s="26" t="inlineStr">
        <is>
          <t>010516003001</t>
        </is>
      </c>
      <c r="C52" s="26" t="inlineStr">
        <is>
          <t>钢筋连接</t>
        </is>
      </c>
      <c r="D52" s="26" t="inlineStr">
        <is>
          <t>1.连接方式:电渣压力焊接
2.规格:φ18以内</t>
        </is>
      </c>
      <c r="E52" s="26" t="inlineStr">
        <is>
          <t>个</t>
        </is>
      </c>
      <c r="F52" s="100" t="n">
        <v>1022</v>
      </c>
      <c r="G52" s="100" t="n">
        <v>0</v>
      </c>
      <c r="H52" s="101" t="n">
        <v>0</v>
      </c>
      <c r="I52" s="101" t="n"/>
      <c r="J52" s="100">
        <f>G52-F52</f>
        <v/>
      </c>
      <c r="K52" s="100">
        <f>H52-F52</f>
        <v/>
      </c>
      <c r="L52" s="100">
        <f>H52-G52</f>
        <v/>
      </c>
      <c r="M52" s="37">
        <f>J52/F52</f>
        <v/>
      </c>
      <c r="N52" s="27" t="n">
        <v>7.47</v>
      </c>
      <c r="O52" s="27" t="n">
        <v>8.25</v>
      </c>
      <c r="P52" s="37">
        <f>(N52-O52)/O52</f>
        <v/>
      </c>
      <c r="Q52" s="100">
        <f>O52*0.9056*0.85</f>
        <v/>
      </c>
      <c r="R52" s="100">
        <f>O52*1.15</f>
        <v/>
      </c>
      <c r="S52" s="100">
        <f>IF(N52&lt;O52*0.9056*0.85,O52*0.9056*0.85,IF(N52&gt;O52*1.15,O52*1.15,N52))</f>
        <v/>
      </c>
      <c r="T52" s="100" t="n">
        <v>7634.34</v>
      </c>
      <c r="U52" s="100" t="n">
        <v>0</v>
      </c>
      <c r="V52" s="100">
        <f>T52+S52*K52</f>
        <v/>
      </c>
      <c r="W52" s="100">
        <f>U52-T52</f>
        <v/>
      </c>
      <c r="X52" s="100">
        <f>V52-T52</f>
        <v/>
      </c>
      <c r="Y52" s="100">
        <f>V52-U52</f>
        <v/>
      </c>
      <c r="Z52" s="26" t="n"/>
    </row>
    <row r="53" ht="20" customHeight="1" s="1">
      <c r="A53" s="26" t="n">
        <v>46</v>
      </c>
      <c r="B53" s="26" t="inlineStr">
        <is>
          <t>010516003002</t>
        </is>
      </c>
      <c r="C53" s="26" t="inlineStr">
        <is>
          <t>钢筋连接</t>
        </is>
      </c>
      <c r="D53" s="26" t="inlineStr">
        <is>
          <t>1.连接方式:电渣压力焊接
2.规格:φ32以内</t>
        </is>
      </c>
      <c r="E53" s="26" t="inlineStr">
        <is>
          <t>个</t>
        </is>
      </c>
      <c r="F53" s="100" t="n">
        <v>1509</v>
      </c>
      <c r="G53" s="100" t="n">
        <v>0</v>
      </c>
      <c r="H53" s="101" t="n">
        <v>0</v>
      </c>
      <c r="I53" s="101" t="n"/>
      <c r="J53" s="100">
        <f>G53-F53</f>
        <v/>
      </c>
      <c r="K53" s="100">
        <f>H53-F53</f>
        <v/>
      </c>
      <c r="L53" s="100">
        <f>H53-G53</f>
        <v/>
      </c>
      <c r="M53" s="37">
        <f>J53/F53</f>
        <v/>
      </c>
      <c r="N53" s="27" t="n">
        <v>9.460000000000001</v>
      </c>
      <c r="O53" s="27" t="n">
        <v>10.44</v>
      </c>
      <c r="P53" s="37">
        <f>(N53-O53)/O53</f>
        <v/>
      </c>
      <c r="Q53" s="100">
        <f>O53*0.9056*0.85</f>
        <v/>
      </c>
      <c r="R53" s="100">
        <f>O53*1.15</f>
        <v/>
      </c>
      <c r="S53" s="100">
        <f>IF(N53&lt;O53*0.9056*0.85,O53*0.9056*0.85,IF(N53&gt;O53*1.15,O53*1.15,N53))</f>
        <v/>
      </c>
      <c r="T53" s="100" t="n">
        <v>14275.14</v>
      </c>
      <c r="U53" s="100" t="n">
        <v>0</v>
      </c>
      <c r="V53" s="100">
        <f>T53+S53*K53</f>
        <v/>
      </c>
      <c r="W53" s="100">
        <f>U53-T53</f>
        <v/>
      </c>
      <c r="X53" s="100">
        <f>V53-T53</f>
        <v/>
      </c>
      <c r="Y53" s="100">
        <f>V53-U53</f>
        <v/>
      </c>
      <c r="Z53" s="26" t="n"/>
    </row>
    <row r="54" ht="20" customHeight="1" s="1">
      <c r="A54" s="26" t="n">
        <v>47</v>
      </c>
      <c r="B54" s="26" t="inlineStr">
        <is>
          <t>010516003003</t>
        </is>
      </c>
      <c r="C54" s="26" t="inlineStr">
        <is>
          <t>机械连接</t>
        </is>
      </c>
      <c r="D54" s="26" t="inlineStr">
        <is>
          <t>1.连接方式:套筒直螺纹钢筋接头
2.规格:φ32以内</t>
        </is>
      </c>
      <c r="E54" s="26" t="inlineStr">
        <is>
          <t>个</t>
        </is>
      </c>
      <c r="F54" s="100" t="n">
        <v>1525</v>
      </c>
      <c r="G54" s="100" t="n">
        <v>0</v>
      </c>
      <c r="H54" s="101" t="n">
        <v>0</v>
      </c>
      <c r="I54" s="101" t="n"/>
      <c r="J54" s="100">
        <f>G54-F54</f>
        <v/>
      </c>
      <c r="K54" s="100">
        <f>H54-F54</f>
        <v/>
      </c>
      <c r="L54" s="100">
        <f>H54-G54</f>
        <v/>
      </c>
      <c r="M54" s="37">
        <f>J54/F54</f>
        <v/>
      </c>
      <c r="N54" s="27" t="n">
        <v>16.67</v>
      </c>
      <c r="O54" s="27" t="n">
        <v>21.53</v>
      </c>
      <c r="P54" s="37">
        <f>(N54-O54)/O54</f>
        <v/>
      </c>
      <c r="Q54" s="100">
        <f>O54*0.9056*0.85</f>
        <v/>
      </c>
      <c r="R54" s="100">
        <f>O54*1.15</f>
        <v/>
      </c>
      <c r="S54" s="100">
        <f>IF(N54&lt;O54*0.9056*0.85,O54*0.9056*0.85,IF(N54&gt;O54*1.15,O54*1.15,N54))</f>
        <v/>
      </c>
      <c r="T54" s="100" t="n">
        <v>25421.75</v>
      </c>
      <c r="U54" s="100" t="n">
        <v>0</v>
      </c>
      <c r="V54" s="100">
        <f>T54+S54*K54</f>
        <v/>
      </c>
      <c r="W54" s="100">
        <f>U54-T54</f>
        <v/>
      </c>
      <c r="X54" s="100">
        <f>V54-T54</f>
        <v/>
      </c>
      <c r="Y54" s="100">
        <f>V54-U54</f>
        <v/>
      </c>
      <c r="Z54" s="26" t="n"/>
    </row>
    <row r="55" ht="20" customHeight="1" s="1">
      <c r="A55" s="26" t="n"/>
      <c r="B55" s="26" t="n"/>
      <c r="C55" s="26" t="inlineStr">
        <is>
          <t>金属结构工程</t>
        </is>
      </c>
      <c r="D55" s="26" t="n"/>
      <c r="E55" s="26" t="n"/>
      <c r="F55" s="100" t="n"/>
      <c r="G55" s="100" t="n"/>
      <c r="H55" s="100" t="n"/>
      <c r="I55" s="100" t="n"/>
      <c r="J55" s="100" t="n"/>
      <c r="K55" s="100" t="n"/>
      <c r="L55" s="100" t="n"/>
      <c r="M55" s="37" t="n"/>
      <c r="N55" s="27" t="n"/>
      <c r="O55" s="27" t="n"/>
      <c r="P55" s="37" t="n"/>
      <c r="Q55" s="100" t="n"/>
      <c r="R55" s="100" t="n"/>
      <c r="S55" s="100" t="n"/>
      <c r="T55" s="100" t="n">
        <v>1979944.66</v>
      </c>
      <c r="U55" s="100" t="n">
        <v>1901843.25</v>
      </c>
      <c r="V55" s="100">
        <f>+SUM(V56:V71)</f>
        <v/>
      </c>
      <c r="W55" s="100">
        <f>U55-T55</f>
        <v/>
      </c>
      <c r="X55" s="100">
        <f>V55-T55</f>
        <v/>
      </c>
      <c r="Y55" s="100">
        <f>V55-U55</f>
        <v/>
      </c>
      <c r="Z55" s="26" t="n"/>
      <c r="AA55" s="42" t="n"/>
    </row>
    <row r="56" ht="20" customHeight="1" s="1">
      <c r="A56" s="26" t="n">
        <v>48</v>
      </c>
      <c r="B56" s="26" t="inlineStr">
        <is>
          <t>010607005001</t>
        </is>
      </c>
      <c r="C56" s="26" t="inlineStr">
        <is>
          <t>砌块墙钢丝网加固</t>
        </is>
      </c>
      <c r="D56" s="26" t="inlineStr">
        <is>
          <t>1.镀锌钢丝网
2.材料品种、规格:Φ0.9@12.7*12.7</t>
        </is>
      </c>
      <c r="E56" s="26" t="inlineStr">
        <is>
          <t>m2</t>
        </is>
      </c>
      <c r="F56" s="100" t="n">
        <v>5631.67</v>
      </c>
      <c r="G56" s="100" t="n">
        <v>4161.91</v>
      </c>
      <c r="H56" s="100" t="n">
        <v>4161.91</v>
      </c>
      <c r="I56" s="100" t="n"/>
      <c r="J56" s="100">
        <f>G56-F56</f>
        <v/>
      </c>
      <c r="K56" s="100">
        <f>H56-F56</f>
        <v/>
      </c>
      <c r="L56" s="100">
        <f>H56-G56</f>
        <v/>
      </c>
      <c r="M56" s="37">
        <f>J56/F56</f>
        <v/>
      </c>
      <c r="N56" s="27" t="n">
        <v>6.91</v>
      </c>
      <c r="O56" s="27" t="n">
        <v>16.21</v>
      </c>
      <c r="P56" s="37">
        <f>(N56-O56)/O56</f>
        <v/>
      </c>
      <c r="Q56" s="100">
        <f>O56*0.9056*0.85</f>
        <v/>
      </c>
      <c r="R56" s="100">
        <f>O56*1.15</f>
        <v/>
      </c>
      <c r="S56" s="100">
        <f>IF(N56&lt;O56*0.9056*0.85,O56*0.9056*0.85,IF(N56&gt;O56*1.15,O56*1.15,N56))</f>
        <v/>
      </c>
      <c r="T56" s="100" t="n">
        <v>38914.84</v>
      </c>
      <c r="U56" s="100" t="n">
        <v>20575.48</v>
      </c>
      <c r="V56" s="100">
        <f>T56+S56*K56</f>
        <v/>
      </c>
      <c r="W56" s="100">
        <f>U56-T56</f>
        <v/>
      </c>
      <c r="X56" s="100">
        <f>V56-T56</f>
        <v/>
      </c>
      <c r="Y56" s="100">
        <f>V56-U56</f>
        <v/>
      </c>
      <c r="Z56" s="26" t="n"/>
    </row>
    <row r="57" ht="20" customFormat="1" customHeight="1" s="7">
      <c r="A57" s="26" t="n">
        <v>49</v>
      </c>
      <c r="B57" s="26" t="inlineStr">
        <is>
          <t>010607005002</t>
        </is>
      </c>
      <c r="C57" s="26" t="inlineStr">
        <is>
          <t>砌块墙钢丝网加固</t>
        </is>
      </c>
      <c r="D57" s="26" t="inlineStr">
        <is>
          <t>1.耐碱玻璃纤维网布</t>
        </is>
      </c>
      <c r="E57" s="26" t="inlineStr">
        <is>
          <t>m2</t>
        </is>
      </c>
      <c r="F57" s="100" t="n">
        <v>781.41</v>
      </c>
      <c r="G57" s="100" t="n">
        <v>788.4</v>
      </c>
      <c r="H57" s="100" t="n">
        <v>784.84</v>
      </c>
      <c r="I57" s="100" t="n"/>
      <c r="J57" s="100">
        <f>G57-F57</f>
        <v/>
      </c>
      <c r="K57" s="100">
        <f>H57-F57</f>
        <v/>
      </c>
      <c r="L57" s="100">
        <f>H57-G57</f>
        <v/>
      </c>
      <c r="M57" s="37">
        <f>J57/F57</f>
        <v/>
      </c>
      <c r="N57" s="27" t="n">
        <v>4.58</v>
      </c>
      <c r="O57" s="27" t="n">
        <v>11.97</v>
      </c>
      <c r="P57" s="37">
        <f>(N57-O57)/O57</f>
        <v/>
      </c>
      <c r="Q57" s="100">
        <f>O57*0.9056*0.85</f>
        <v/>
      </c>
      <c r="R57" s="100">
        <f>O57*1.15</f>
        <v/>
      </c>
      <c r="S57" s="100">
        <f>IF(N57&lt;O57*0.9056*0.85,O57*0.9056*0.85,IF(N57&gt;O57*1.15,O57*1.15,N57))</f>
        <v/>
      </c>
      <c r="T57" s="100" t="n">
        <v>3578.85</v>
      </c>
      <c r="U57" s="100" t="n">
        <v>3643.3</v>
      </c>
      <c r="V57" s="100">
        <f>T57+S57*K57</f>
        <v/>
      </c>
      <c r="W57" s="100">
        <f>U57-T57</f>
        <v/>
      </c>
      <c r="X57" s="100">
        <f>V57-T57</f>
        <v/>
      </c>
      <c r="Y57" s="100">
        <f>V57-U57</f>
        <v/>
      </c>
      <c r="Z57" s="26" t="n"/>
    </row>
    <row r="58" ht="20" customHeight="1" s="1">
      <c r="A58" s="26" t="n">
        <v>50</v>
      </c>
      <c r="B58" s="26" t="inlineStr">
        <is>
          <t>010603002001</t>
        </is>
      </c>
      <c r="C58" s="26" t="inlineStr">
        <is>
          <t>钢柱</t>
        </is>
      </c>
      <c r="D58" s="26" t="inlineStr">
        <is>
          <t>1.钢结构柱
2.钢材品种、规格:Q235B
3.钢柱制作、安装、除锈
4.综合考虑场内、场外运输
5.其他详见施工设计图</t>
        </is>
      </c>
      <c r="E58" s="26" t="inlineStr">
        <is>
          <t>t</t>
        </is>
      </c>
      <c r="F58" s="100" t="n">
        <v>0.6899999999999999</v>
      </c>
      <c r="G58" s="100" t="n">
        <v>1.85</v>
      </c>
      <c r="H58" s="102">
        <f>4*(20.03-9)*36.55/1000</f>
        <v/>
      </c>
      <c r="I58" s="102" t="n"/>
      <c r="J58" s="100">
        <f>G58-F58</f>
        <v/>
      </c>
      <c r="K58" s="100">
        <f>H58-F58</f>
        <v/>
      </c>
      <c r="L58" s="100">
        <f>H58-G58</f>
        <v/>
      </c>
      <c r="M58" s="37">
        <f>J58/F58</f>
        <v/>
      </c>
      <c r="N58" s="27" t="n">
        <v>8068.1</v>
      </c>
      <c r="O58" s="27" t="n">
        <v>9670.09</v>
      </c>
      <c r="P58" s="37">
        <f>(N58-O58)/O58</f>
        <v/>
      </c>
      <c r="Q58" s="100">
        <f>O58*0.9056*0.85</f>
        <v/>
      </c>
      <c r="R58" s="100">
        <f>O58*1.15</f>
        <v/>
      </c>
      <c r="S58" s="100">
        <f>IF(N58&lt;O58*0.9056*0.85,O58*0.9056*0.85,IF(N58&gt;O58*1.15,O58*1.15,N58))</f>
        <v/>
      </c>
      <c r="T58" s="100" t="n">
        <v>5534.72</v>
      </c>
      <c r="U58" s="100" t="n">
        <v>14887.26</v>
      </c>
      <c r="V58" s="100">
        <f>T58+S58*K58</f>
        <v/>
      </c>
      <c r="W58" s="100">
        <f>U58-T58</f>
        <v/>
      </c>
      <c r="X58" s="100">
        <f>V58-T58</f>
        <v/>
      </c>
      <c r="Y58" s="100">
        <f>V58-U58</f>
        <v/>
      </c>
      <c r="Z58" s="26" t="n"/>
    </row>
    <row r="59" ht="20" customHeight="1" s="1">
      <c r="A59" s="26" t="n">
        <v>51</v>
      </c>
      <c r="B59" s="26" t="inlineStr">
        <is>
          <t>010604001001</t>
        </is>
      </c>
      <c r="C59" s="26" t="inlineStr">
        <is>
          <t>钢梁</t>
        </is>
      </c>
      <c r="D59" s="26" t="inlineStr">
        <is>
          <t>1.钢结构梁
2.钢材品种、规格:Q355B
3.钢梁制作、安装、除锈
4.其他详见施工设计图</t>
        </is>
      </c>
      <c r="E59" s="26" t="inlineStr">
        <is>
          <t>t</t>
        </is>
      </c>
      <c r="F59" s="100" t="n">
        <v>12.35</v>
      </c>
      <c r="G59" s="100" t="n">
        <v>19.01</v>
      </c>
      <c r="H59" s="102" t="n">
        <v>19.004</v>
      </c>
      <c r="I59" s="102" t="n"/>
      <c r="J59" s="100">
        <f>G59-F59</f>
        <v/>
      </c>
      <c r="K59" s="100">
        <f>H59-F59</f>
        <v/>
      </c>
      <c r="L59" s="100">
        <f>H59-G59</f>
        <v/>
      </c>
      <c r="M59" s="37">
        <f>J59/F59</f>
        <v/>
      </c>
      <c r="N59" s="27" t="n">
        <v>8895</v>
      </c>
      <c r="O59" s="27" t="n">
        <v>9802.52</v>
      </c>
      <c r="P59" s="37">
        <f>(N59-O59)/O59</f>
        <v/>
      </c>
      <c r="Q59" s="100">
        <f>O59*0.9056*0.85</f>
        <v/>
      </c>
      <c r="R59" s="100">
        <f>O59*1.15</f>
        <v/>
      </c>
      <c r="S59" s="100">
        <f>IF(N59&lt;O59*0.9056*0.85,O59*0.9056*0.85,IF(N59&gt;O59*1.15,O59*1.15,N59))</f>
        <v/>
      </c>
      <c r="T59" s="100" t="n">
        <v>109890.61</v>
      </c>
      <c r="U59" s="100" t="n">
        <v>169073.49</v>
      </c>
      <c r="V59" s="100">
        <f>T59+S59*K59</f>
        <v/>
      </c>
      <c r="W59" s="100">
        <f>U59-T59</f>
        <v/>
      </c>
      <c r="X59" s="100">
        <f>V59-T59</f>
        <v/>
      </c>
      <c r="Y59" s="100">
        <f>V59-U59</f>
        <v/>
      </c>
      <c r="Z59" s="26" t="n"/>
    </row>
    <row r="60" ht="20" customHeight="1" s="1">
      <c r="A60" s="26" t="n">
        <v>52</v>
      </c>
      <c r="B60" s="26" t="inlineStr">
        <is>
          <t>010604001002</t>
        </is>
      </c>
      <c r="C60" s="26" t="inlineStr">
        <is>
          <t>钢梁</t>
        </is>
      </c>
      <c r="D60" s="26" t="inlineStr">
        <is>
          <t>1.钢结构梁
2.钢材品种、规格:Q235B
3.钢梁制作、安装、除锈
4.其他详见施工设计图</t>
        </is>
      </c>
      <c r="E60" s="26" t="inlineStr">
        <is>
          <t>t</t>
        </is>
      </c>
      <c r="F60" s="100" t="n">
        <v>38.23</v>
      </c>
      <c r="G60" s="100" t="n">
        <v>11.43</v>
      </c>
      <c r="H60" s="102" t="n">
        <v>11.424</v>
      </c>
      <c r="I60" s="102" t="n"/>
      <c r="J60" s="100">
        <f>G60-F60</f>
        <v/>
      </c>
      <c r="K60" s="100">
        <f>H60-F60</f>
        <v/>
      </c>
      <c r="L60" s="100">
        <f>H60-G60</f>
        <v/>
      </c>
      <c r="M60" s="37">
        <f>J60/F60</f>
        <v/>
      </c>
      <c r="N60" s="27" t="n">
        <v>6839.9</v>
      </c>
      <c r="O60" s="27" t="n">
        <v>9706.68</v>
      </c>
      <c r="P60" s="37">
        <f>(N60-O60)/O60</f>
        <v/>
      </c>
      <c r="Q60" s="100">
        <f>O60*0.9056*0.85</f>
        <v/>
      </c>
      <c r="R60" s="100">
        <f>O60*1.15</f>
        <v/>
      </c>
      <c r="S60" s="100">
        <f>IF(N60&lt;O60*0.9056*0.85,O60*0.9056*0.85,IF(N60&gt;O60*1.15,O60*1.15,N60))</f>
        <v/>
      </c>
      <c r="T60" s="100" t="n">
        <v>261520.16</v>
      </c>
      <c r="U60" s="100" t="n">
        <v>61226.23</v>
      </c>
      <c r="V60" s="100">
        <f>T60+S60*K60</f>
        <v/>
      </c>
      <c r="W60" s="100">
        <f>U60-T60</f>
        <v/>
      </c>
      <c r="X60" s="100">
        <f>V60-T60</f>
        <v/>
      </c>
      <c r="Y60" s="100">
        <f>V60-U60</f>
        <v/>
      </c>
      <c r="Z60" s="26" t="n"/>
    </row>
    <row r="61" ht="20" customHeight="1" s="1">
      <c r="A61" s="26" t="n">
        <v>53</v>
      </c>
      <c r="B61" s="26" t="inlineStr">
        <is>
          <t>010602003001</t>
        </is>
      </c>
      <c r="C61" s="26" t="inlineStr">
        <is>
          <t>钢桁架</t>
        </is>
      </c>
      <c r="D61" s="26" t="inlineStr">
        <is>
          <t>1.钢桁架
2.钢材品种、规格:Q355B
3.钢桁架制作、安装、除锈
4.综合考虑场内、场外运输
5.其他详见施工设计图</t>
        </is>
      </c>
      <c r="E61" s="26" t="inlineStr">
        <is>
          <t>t</t>
        </is>
      </c>
      <c r="F61" s="100" t="n">
        <v>49.33</v>
      </c>
      <c r="G61" s="100" t="n">
        <v>45.65</v>
      </c>
      <c r="H61" s="102" t="n">
        <v>45.645</v>
      </c>
      <c r="I61" s="102" t="n"/>
      <c r="J61" s="100">
        <f>G61-F61</f>
        <v/>
      </c>
      <c r="K61" s="100">
        <f>H61-F61</f>
        <v/>
      </c>
      <c r="L61" s="100">
        <f>H61-G61</f>
        <v/>
      </c>
      <c r="M61" s="37">
        <f>J61/F61</f>
        <v/>
      </c>
      <c r="N61" s="27" t="n">
        <v>10367.99</v>
      </c>
      <c r="O61" s="27" t="n">
        <v>11465.39</v>
      </c>
      <c r="P61" s="37">
        <f>(N61-O61)/O61</f>
        <v/>
      </c>
      <c r="Q61" s="100">
        <f>O61*0.9056*0.85</f>
        <v/>
      </c>
      <c r="R61" s="100">
        <f>O61*1.15</f>
        <v/>
      </c>
      <c r="S61" s="100">
        <f>IF(N61&lt;O61*0.9056*0.85,O61*0.9056*0.85,IF(N61&gt;O61*1.15,O61*1.15,N61))</f>
        <v/>
      </c>
      <c r="T61" s="100" t="n">
        <v>511438.43</v>
      </c>
      <c r="U61" s="100" t="n">
        <v>473276.97</v>
      </c>
      <c r="V61" s="100">
        <f>T61+S61*K61</f>
        <v/>
      </c>
      <c r="W61" s="100">
        <f>U61-T61</f>
        <v/>
      </c>
      <c r="X61" s="100">
        <f>V61-T61</f>
        <v/>
      </c>
      <c r="Y61" s="100">
        <f>V61-U61</f>
        <v/>
      </c>
      <c r="Z61" s="26" t="n"/>
    </row>
    <row r="62" ht="20" customHeight="1" s="1">
      <c r="A62" s="26" t="n">
        <v>54</v>
      </c>
      <c r="B62" s="26" t="inlineStr">
        <is>
          <t>010602001001</t>
        </is>
      </c>
      <c r="C62" s="26" t="inlineStr">
        <is>
          <t>钢屋架</t>
        </is>
      </c>
      <c r="D62" s="26" t="inlineStr">
        <is>
          <t>1.钢屋架
2.钢材品种、规格:Q235B
3.钢屋架制作、安装、除锈
4.综合考虑场内、场外运输
5.其他详见施工设计图</t>
        </is>
      </c>
      <c r="E62" s="26" t="inlineStr">
        <is>
          <t>t</t>
        </is>
      </c>
      <c r="F62" s="100" t="n">
        <v>23.92</v>
      </c>
      <c r="G62" s="100" t="n">
        <v>41.4</v>
      </c>
      <c r="H62" s="102" t="n">
        <v>41.4</v>
      </c>
      <c r="I62" s="102" t="n"/>
      <c r="J62" s="100">
        <f>G62-F62</f>
        <v/>
      </c>
      <c r="K62" s="100">
        <f>H62-F62</f>
        <v/>
      </c>
      <c r="L62" s="100">
        <f>H62-G62</f>
        <v/>
      </c>
      <c r="M62" s="37">
        <f>J62/F62</f>
        <v/>
      </c>
      <c r="N62" s="27" t="n">
        <v>7068.28</v>
      </c>
      <c r="O62" s="27" t="n">
        <v>9954.190000000001</v>
      </c>
      <c r="P62" s="37">
        <f>(N62-O62)/O62</f>
        <v/>
      </c>
      <c r="Q62" s="100">
        <f>O62*0.9056*0.85</f>
        <v/>
      </c>
      <c r="R62" s="100">
        <f>O62*1.15</f>
        <v/>
      </c>
      <c r="S62" s="100">
        <f>IF(N62&lt;O62*0.9056*0.85,O62*0.9056*0.85,IF(N62&gt;O62*1.15,O62*1.15,N62))</f>
        <v/>
      </c>
      <c r="T62" s="100" t="n">
        <v>169081.74</v>
      </c>
      <c r="U62" s="100" t="n">
        <v>303046.21</v>
      </c>
      <c r="V62" s="100">
        <f>T62+S62*K62</f>
        <v/>
      </c>
      <c r="W62" s="100">
        <f>U62-T62</f>
        <v/>
      </c>
      <c r="X62" s="100">
        <f>V62-T62</f>
        <v/>
      </c>
      <c r="Y62" s="100">
        <f>V62-U62</f>
        <v/>
      </c>
      <c r="Z62" s="26" t="n"/>
    </row>
    <row r="63" ht="20" customHeight="1" s="1">
      <c r="A63" s="26" t="n">
        <v>55</v>
      </c>
      <c r="B63" s="26" t="inlineStr">
        <is>
          <t>010602001002</t>
        </is>
      </c>
      <c r="C63" s="26" t="inlineStr">
        <is>
          <t>钢屋架</t>
        </is>
      </c>
      <c r="D63" s="26" t="inlineStr">
        <is>
          <t>1.钢屋架
2.钢材品种、规格:Q355B
3.钢屋架制作、安装、除锈
4.综合考虑场内、场外运输
5.其他详见施工设计图</t>
        </is>
      </c>
      <c r="E63" s="26" t="inlineStr">
        <is>
          <t>t</t>
        </is>
      </c>
      <c r="F63" s="100" t="n">
        <v>9.51</v>
      </c>
      <c r="G63" s="100" t="n">
        <v>10.26</v>
      </c>
      <c r="H63" s="102" t="n">
        <v>10.26</v>
      </c>
      <c r="I63" s="102" t="n"/>
      <c r="J63" s="100">
        <f>G63-F63</f>
        <v/>
      </c>
      <c r="K63" s="100">
        <f>H63-F63</f>
        <v/>
      </c>
      <c r="L63" s="100">
        <f>H63-G63</f>
        <v/>
      </c>
      <c r="M63" s="37">
        <f>J63/F63</f>
        <v/>
      </c>
      <c r="N63" s="27" t="n">
        <v>9123.379999999999</v>
      </c>
      <c r="O63" s="27" t="n">
        <v>10054.19</v>
      </c>
      <c r="P63" s="37">
        <f>(N63-O63)/O63</f>
        <v/>
      </c>
      <c r="Q63" s="100">
        <f>O63*0.9056*0.85</f>
        <v/>
      </c>
      <c r="R63" s="100">
        <f>O63*1.15</f>
        <v/>
      </c>
      <c r="S63" s="100">
        <f>IF(N63&lt;O63*0.9056*0.85,O63*0.9056*0.85,IF(N63&gt;O63*1.15,O63*1.15,N63))</f>
        <v/>
      </c>
      <c r="T63" s="100" t="n">
        <v>86719.55</v>
      </c>
      <c r="U63" s="100" t="n">
        <v>93584.89999999999</v>
      </c>
      <c r="V63" s="100">
        <f>T63+S63*K63</f>
        <v/>
      </c>
      <c r="W63" s="100">
        <f>U63-T63</f>
        <v/>
      </c>
      <c r="X63" s="100">
        <f>V63-T63</f>
        <v/>
      </c>
      <c r="Y63" s="100">
        <f>V63-U63</f>
        <v/>
      </c>
      <c r="Z63" s="26" t="n"/>
    </row>
    <row r="64" ht="20" customHeight="1" s="1">
      <c r="A64" s="26" t="n">
        <v>56</v>
      </c>
      <c r="B64" s="26" t="inlineStr">
        <is>
          <t>010606007001</t>
        </is>
      </c>
      <c r="C64" s="26" t="inlineStr">
        <is>
          <t>钢马道</t>
        </is>
      </c>
      <c r="D64" s="26" t="inlineStr">
        <is>
          <t>1.钢马道
2.钢材品种、规格:Q235B、
3.钢屋架制作、安装、除锈
4.综合考虑场内、场外运输
5.其他详见施工设计图</t>
        </is>
      </c>
      <c r="E64" s="26" t="inlineStr">
        <is>
          <t>t</t>
        </is>
      </c>
      <c r="F64" s="100" t="n">
        <v>5.92</v>
      </c>
      <c r="G64" s="100" t="n">
        <v>9.02</v>
      </c>
      <c r="H64" s="102" t="n">
        <v>9.02</v>
      </c>
      <c r="I64" s="102" t="n"/>
      <c r="J64" s="100">
        <f>G64-F64</f>
        <v/>
      </c>
      <c r="K64" s="100">
        <f>H64-F64</f>
        <v/>
      </c>
      <c r="L64" s="100">
        <f>H64-G64</f>
        <v/>
      </c>
      <c r="M64" s="37">
        <f>J64/F64</f>
        <v/>
      </c>
      <c r="N64" s="27" t="n">
        <v>7232.27</v>
      </c>
      <c r="O64" s="27" t="n">
        <v>10133.72</v>
      </c>
      <c r="P64" s="37">
        <f>(N64-O64)/O64</f>
        <v/>
      </c>
      <c r="Q64" s="100">
        <f>O64*0.9056*0.85</f>
        <v/>
      </c>
      <c r="R64" s="100">
        <f>O64*1.15</f>
        <v/>
      </c>
      <c r="S64" s="100">
        <f>IF(N64&lt;O64*0.9056*0.85,O64*0.9056*0.85,IF(N64&gt;O64*1.15,O64*1.15,N64))</f>
        <v/>
      </c>
      <c r="T64" s="100" t="n">
        <v>42788.28</v>
      </c>
      <c r="U64" s="100" t="n">
        <v>67004.25</v>
      </c>
      <c r="V64" s="100">
        <f>T64+S64*K64</f>
        <v/>
      </c>
      <c r="W64" s="100">
        <f>U64-T64</f>
        <v/>
      </c>
      <c r="X64" s="100">
        <f>V64-T64</f>
        <v/>
      </c>
      <c r="Y64" s="100">
        <f>V64-U64</f>
        <v/>
      </c>
      <c r="Z64" s="26" t="n"/>
    </row>
    <row r="65" ht="20" customHeight="1" s="1">
      <c r="A65" s="26" t="n">
        <v>57</v>
      </c>
      <c r="B65" s="26" t="inlineStr">
        <is>
          <t>010516002001</t>
        </is>
      </c>
      <c r="C65" s="26" t="inlineStr">
        <is>
          <t>预埋铁件</t>
        </is>
      </c>
      <c r="D65" s="26" t="inlineStr">
        <is>
          <t>1.钢材种类:预埋铁件
2.其他详见施工设计图</t>
        </is>
      </c>
      <c r="E65" s="26" t="inlineStr">
        <is>
          <t>t</t>
        </is>
      </c>
      <c r="F65" s="100" t="n">
        <v>2.11</v>
      </c>
      <c r="G65" s="100" t="n">
        <v>2.12</v>
      </c>
      <c r="H65" s="102" t="n">
        <v>2.12</v>
      </c>
      <c r="I65" s="102" t="n"/>
      <c r="J65" s="100">
        <f>G65-F65</f>
        <v/>
      </c>
      <c r="K65" s="100">
        <f>H65-F65</f>
        <v/>
      </c>
      <c r="L65" s="100">
        <f>H65-G65</f>
        <v/>
      </c>
      <c r="M65" s="37">
        <f>J65/F65</f>
        <v/>
      </c>
      <c r="N65" s="27" t="n">
        <v>9040.459999999999</v>
      </c>
      <c r="O65" s="27" t="n">
        <v>10467.11</v>
      </c>
      <c r="P65" s="37">
        <f>(N65-O65)/O65</f>
        <v/>
      </c>
      <c r="Q65" s="100">
        <f>O65*0.9056*0.85</f>
        <v/>
      </c>
      <c r="R65" s="100">
        <f>O65*1.15</f>
        <v/>
      </c>
      <c r="S65" s="100">
        <f>IF(N65&lt;O65*0.9056*0.85,O65*0.9056*0.85,IF(N65&gt;O65*1.15,O65*1.15,N65))</f>
        <v/>
      </c>
      <c r="T65" s="100" t="n">
        <v>19099.78</v>
      </c>
      <c r="U65" s="100" t="n">
        <v>19208.27</v>
      </c>
      <c r="V65" s="100">
        <f>T65+S65*K65</f>
        <v/>
      </c>
      <c r="W65" s="100">
        <f>U65-T65</f>
        <v/>
      </c>
      <c r="X65" s="100">
        <f>V65-T65</f>
        <v/>
      </c>
      <c r="Y65" s="100">
        <f>V65-U65</f>
        <v/>
      </c>
      <c r="Z65" s="26" t="n"/>
    </row>
    <row r="66" ht="20" customHeight="1" s="1">
      <c r="A66" s="26" t="n">
        <v>58</v>
      </c>
      <c r="B66" s="26" t="inlineStr">
        <is>
          <t>010605001001</t>
        </is>
      </c>
      <c r="C66" s="26" t="inlineStr">
        <is>
          <t>钢板楼板</t>
        </is>
      </c>
      <c r="D66" s="26" t="inlineStr">
        <is>
          <t>1.部位：钢板楼板
2.钢材品种、规格：压型钢板YXB65-185-555(B)Q355B（含镀锌层）
3.钢板厚：0.91mm
4.金属结构件场内运输
5.其他详见施工设计图</t>
        </is>
      </c>
      <c r="E66" s="26" t="inlineStr">
        <is>
          <t>m2</t>
        </is>
      </c>
      <c r="F66" s="100" t="n">
        <v>1681.88</v>
      </c>
      <c r="G66" s="100" t="n">
        <v>1695</v>
      </c>
      <c r="H66" s="100">
        <f>317.9+1367.78</f>
        <v/>
      </c>
      <c r="I66" s="100" t="n"/>
      <c r="J66" s="100">
        <f>G66-F66</f>
        <v/>
      </c>
      <c r="K66" s="100">
        <f>H66-F66</f>
        <v/>
      </c>
      <c r="L66" s="100">
        <f>H66-G66</f>
        <v/>
      </c>
      <c r="M66" s="37">
        <f>J66/F66</f>
        <v/>
      </c>
      <c r="N66" s="27" t="n">
        <v>133.37</v>
      </c>
      <c r="O66" s="27" t="n">
        <v>156.01</v>
      </c>
      <c r="P66" s="37">
        <f>(N66-O66)/O66</f>
        <v/>
      </c>
      <c r="Q66" s="100">
        <f>O66*0.9056*0.85</f>
        <v/>
      </c>
      <c r="R66" s="100">
        <f>O66*1.15</f>
        <v/>
      </c>
      <c r="S66" s="100">
        <f>IF(N66&lt;O66*0.9056*0.85,O66*0.9056*0.85,IF(N66&gt;O66*1.15,O66*1.15,N66))</f>
        <v/>
      </c>
      <c r="T66" s="100" t="n">
        <v>224312.34</v>
      </c>
      <c r="U66" s="100" t="n">
        <v>226062.15</v>
      </c>
      <c r="V66" s="100">
        <f>T66+S66*K66</f>
        <v/>
      </c>
      <c r="W66" s="100">
        <f>U66-T66</f>
        <v/>
      </c>
      <c r="X66" s="100">
        <f>V66-T66</f>
        <v/>
      </c>
      <c r="Y66" s="100">
        <f>V66-U66</f>
        <v/>
      </c>
      <c r="Z66" s="26" t="n"/>
      <c r="AA66" s="42" t="inlineStr">
        <is>
          <t>区分0.75和0.91</t>
        </is>
      </c>
    </row>
    <row r="67" ht="20" customHeight="1" s="1">
      <c r="A67" s="26" t="n">
        <v>59</v>
      </c>
      <c r="B67" s="26" t="inlineStr">
        <is>
          <t>010606013001</t>
        </is>
      </c>
      <c r="C67" s="26" t="inlineStr">
        <is>
          <t>零星钢构件</t>
        </is>
      </c>
      <c r="D67" s="26" t="inlineStr">
        <is>
          <t>1.构件名称:栓钉
2.钢材规格:Φ16，L=100mm
3.其他:具体详见图纸</t>
        </is>
      </c>
      <c r="E67" s="26" t="inlineStr">
        <is>
          <t>套</t>
        </is>
      </c>
      <c r="F67" s="100" t="n">
        <v>5586</v>
      </c>
      <c r="G67" s="100" t="n">
        <v>6828</v>
      </c>
      <c r="H67" s="101" t="n">
        <v>6828</v>
      </c>
      <c r="I67" s="101" t="n"/>
      <c r="J67" s="100">
        <f>G67-F67</f>
        <v/>
      </c>
      <c r="K67" s="100">
        <f>H67-F67</f>
        <v/>
      </c>
      <c r="L67" s="100">
        <f>H67-G67</f>
        <v/>
      </c>
      <c r="M67" s="37">
        <f>J67/F67</f>
        <v/>
      </c>
      <c r="N67" s="27" t="n">
        <v>3.34</v>
      </c>
      <c r="O67" s="27" t="n">
        <v>5.64</v>
      </c>
      <c r="P67" s="37">
        <f>(N67-O67)/O67</f>
        <v/>
      </c>
      <c r="Q67" s="100">
        <f>O67*0.9056*0.85</f>
        <v/>
      </c>
      <c r="R67" s="100">
        <f>O67*1.15</f>
        <v/>
      </c>
      <c r="S67" s="100">
        <f>IF(N67&lt;O67*0.9056*0.85,O67*0.9056*0.85,IF(N67&gt;O67*1.15,O67*1.15,N67))</f>
        <v/>
      </c>
      <c r="T67" s="100" t="n">
        <v>18657.24</v>
      </c>
      <c r="U67" s="100" t="n">
        <v>24049.32</v>
      </c>
      <c r="V67" s="100">
        <f>T67+S67*K67</f>
        <v/>
      </c>
      <c r="W67" s="100">
        <f>U67-T67</f>
        <v/>
      </c>
      <c r="X67" s="100">
        <f>V67-T67</f>
        <v/>
      </c>
      <c r="Y67" s="100">
        <f>V67-U67</f>
        <v/>
      </c>
      <c r="Z67" s="26" t="n"/>
    </row>
    <row r="68" ht="20" customHeight="1" s="1">
      <c r="A68" s="26" t="n">
        <v>60</v>
      </c>
      <c r="B68" s="26" t="inlineStr">
        <is>
          <t>011405001004</t>
        </is>
      </c>
      <c r="C68" s="26" t="inlineStr">
        <is>
          <t>金属面油漆</t>
        </is>
      </c>
      <c r="D68" s="26" t="inlineStr">
        <is>
          <t>部位：钢板楼板
1.膨胀型防火涂料（耐火极限1.0h）
2.聚硅氧烷面漆2遍
3.其他详见施工设计图</t>
        </is>
      </c>
      <c r="E68" s="26" t="inlineStr">
        <is>
          <t>m2</t>
        </is>
      </c>
      <c r="F68" s="100" t="n">
        <v>1681.88</v>
      </c>
      <c r="G68" s="100" t="n">
        <v>1695</v>
      </c>
      <c r="H68" s="100">
        <f>H66</f>
        <v/>
      </c>
      <c r="I68" s="100" t="n"/>
      <c r="J68" s="100">
        <f>G68-F68</f>
        <v/>
      </c>
      <c r="K68" s="100">
        <f>H68-F68</f>
        <v/>
      </c>
      <c r="L68" s="100">
        <f>H68-G68</f>
        <v/>
      </c>
      <c r="M68" s="37">
        <f>J68/F68</f>
        <v/>
      </c>
      <c r="N68" s="27" t="n">
        <v>32.5</v>
      </c>
      <c r="O68" s="27" t="n">
        <v>42.71</v>
      </c>
      <c r="P68" s="37">
        <f>(N68-O68)/O68</f>
        <v/>
      </c>
      <c r="Q68" s="100">
        <f>O68*0.9056*0.85</f>
        <v/>
      </c>
      <c r="R68" s="100">
        <f>O68*1.15</f>
        <v/>
      </c>
      <c r="S68" s="100">
        <f>IF(N68&lt;O68*0.9056*0.85,O68*0.9056*0.85,IF(N68&gt;O68*1.15,O68*1.15,N68))</f>
        <v/>
      </c>
      <c r="T68" s="100" t="n">
        <v>54661.1</v>
      </c>
      <c r="U68" s="100" t="n">
        <v>55092.44</v>
      </c>
      <c r="V68" s="100">
        <f>T68+S68*K68</f>
        <v/>
      </c>
      <c r="W68" s="100">
        <f>U68-T68</f>
        <v/>
      </c>
      <c r="X68" s="100">
        <f>V68-T68</f>
        <v/>
      </c>
      <c r="Y68" s="100">
        <f>V68-U68</f>
        <v/>
      </c>
      <c r="Z68" s="26" t="n"/>
      <c r="AA68" s="42" t="inlineStr">
        <is>
          <t>金属面油漆</t>
        </is>
      </c>
      <c r="AB68" s="65" t="n">
        <v>1695</v>
      </c>
    </row>
    <row r="69" ht="20" customHeight="1" s="1">
      <c r="A69" s="26" t="n">
        <v>61</v>
      </c>
      <c r="B69" s="26" t="inlineStr">
        <is>
          <t>011405001002</t>
        </is>
      </c>
      <c r="C69" s="26" t="inlineStr">
        <is>
          <t>金属面油漆</t>
        </is>
      </c>
      <c r="D69" s="26" t="inlineStr">
        <is>
          <t>部位：钢柱
1.环氧富锌底漆2遍
2.环氧云铁中间漆3遍
3.非膨胀型防火涂料40mm（耐火极限2.5h）
4.聚硅氧烷面漆2遍
5.其他详见施工设计图</t>
        </is>
      </c>
      <c r="E69" s="26" t="inlineStr">
        <is>
          <t>m2</t>
        </is>
      </c>
      <c r="F69" s="100" t="n">
        <v>14.99</v>
      </c>
      <c r="G69" s="100" t="n">
        <v>25.23</v>
      </c>
      <c r="H69" s="100" t="n">
        <v>25.23</v>
      </c>
      <c r="I69" s="100" t="n"/>
      <c r="J69" s="100">
        <f>G69-F69</f>
        <v/>
      </c>
      <c r="K69" s="100">
        <f>H69-F69</f>
        <v/>
      </c>
      <c r="L69" s="100">
        <f>H69-G69</f>
        <v/>
      </c>
      <c r="M69" s="37">
        <f>J69/F69</f>
        <v/>
      </c>
      <c r="N69" s="27" t="n">
        <v>311.94</v>
      </c>
      <c r="O69" s="27" t="n">
        <v>214.23</v>
      </c>
      <c r="P69" s="37">
        <f>(N69-O69)/O69</f>
        <v/>
      </c>
      <c r="Q69" s="100">
        <f>O69*0.9056*0.85</f>
        <v/>
      </c>
      <c r="R69" s="100">
        <f>O69*1.15</f>
        <v/>
      </c>
      <c r="S69" s="100">
        <f>IF(N69&lt;O69*0.9056*0.85,O69*0.9056*0.85,IF(N69&gt;O69*1.15,O69*1.15,N69))</f>
        <v/>
      </c>
      <c r="T69" s="100" t="n">
        <v>4675.98</v>
      </c>
      <c r="U69" s="100" t="n">
        <v>7198.75</v>
      </c>
      <c r="V69" s="100">
        <f>T69+S69*K69</f>
        <v/>
      </c>
      <c r="W69" s="100">
        <f>U69-T69</f>
        <v/>
      </c>
      <c r="X69" s="100">
        <f>V69-T69</f>
        <v/>
      </c>
      <c r="Y69" s="100">
        <f>V69-U69</f>
        <v/>
      </c>
      <c r="Z69" s="26" t="n"/>
    </row>
    <row r="70" ht="20" customHeight="1" s="1">
      <c r="A70" s="26" t="n">
        <v>62</v>
      </c>
      <c r="B70" s="26" t="inlineStr">
        <is>
          <t>011405001003</t>
        </is>
      </c>
      <c r="C70" s="26" t="inlineStr">
        <is>
          <t>金属面油漆</t>
        </is>
      </c>
      <c r="D70" s="26" t="inlineStr">
        <is>
          <t>部位：钢梁、钢屋架、钢桁架、钢马道等
1.环氧富锌底漆2遍
2.环氧云铁中间漆3遍
3.膨胀型防火涂料（耐火极限1.5h）
4.聚硅氧烷面漆2遍
5.其他详见施工设计图</t>
        </is>
      </c>
      <c r="E70" s="26" t="inlineStr">
        <is>
          <t>m2</t>
        </is>
      </c>
      <c r="F70" s="100" t="n">
        <v>3436.94</v>
      </c>
      <c r="G70" s="100" t="n">
        <v>2873.67</v>
      </c>
      <c r="H70" s="100" t="n">
        <v>2873.67</v>
      </c>
      <c r="I70" s="100" t="n"/>
      <c r="J70" s="100">
        <f>G70-F70</f>
        <v/>
      </c>
      <c r="K70" s="100">
        <f>H70-F70</f>
        <v/>
      </c>
      <c r="L70" s="100">
        <f>H70-G70</f>
        <v/>
      </c>
      <c r="M70" s="37">
        <f>J70/F70</f>
        <v/>
      </c>
      <c r="N70" s="27" t="n">
        <v>116.14</v>
      </c>
      <c r="O70" s="27" t="n">
        <v>114.29</v>
      </c>
      <c r="P70" s="37">
        <f>(N70-O70)/O70</f>
        <v/>
      </c>
      <c r="Q70" s="100">
        <f>O70*0.9056*0.85</f>
        <v/>
      </c>
      <c r="R70" s="100">
        <f>O70*1.15</f>
        <v/>
      </c>
      <c r="S70" s="100">
        <f>IF(N70&lt;O70*0.9056*0.85,O70*0.9056*0.85,IF(N70&gt;O70*1.15,O70*1.15,N70))</f>
        <v/>
      </c>
      <c r="T70" s="100" t="n">
        <v>399166.21</v>
      </c>
      <c r="U70" s="100" t="n">
        <v>333748.03</v>
      </c>
      <c r="V70" s="100">
        <f>T70+S70*K70</f>
        <v/>
      </c>
      <c r="W70" s="100">
        <f>U70-T70</f>
        <v/>
      </c>
      <c r="X70" s="100">
        <f>V70-T70</f>
        <v/>
      </c>
      <c r="Y70" s="100">
        <f>V70-U70</f>
        <v/>
      </c>
      <c r="Z70" s="26" t="n"/>
    </row>
    <row r="71" ht="20" customHeight="1" s="1">
      <c r="A71" s="26" t="n">
        <v>63</v>
      </c>
      <c r="B71" s="26" t="inlineStr">
        <is>
          <t>011303001001</t>
        </is>
      </c>
      <c r="C71" s="26" t="inlineStr">
        <is>
          <t>采光窗</t>
        </is>
      </c>
      <c r="D71" s="26" t="inlineStr">
        <is>
          <t>1.low-E中空玻璃（6+12A+6）+0.76PVB+6mm夹胶玻璃采光窗
2.铝合金骨架、铁丝网防护
3.其他详见施工设计图</t>
        </is>
      </c>
      <c r="E71" s="26" t="inlineStr">
        <is>
          <t>m2</t>
        </is>
      </c>
      <c r="F71" s="100" t="n">
        <v>36.82</v>
      </c>
      <c r="G71" s="100" t="n">
        <v>37.24</v>
      </c>
      <c r="H71" s="100" t="n">
        <v>37.24</v>
      </c>
      <c r="I71" s="100" t="n"/>
      <c r="J71" s="100">
        <f>G71-F71</f>
        <v/>
      </c>
      <c r="K71" s="100">
        <f>H71-F71</f>
        <v/>
      </c>
      <c r="L71" s="100">
        <f>H71-G71</f>
        <v/>
      </c>
      <c r="M71" s="37">
        <f>J71/F71</f>
        <v/>
      </c>
      <c r="N71" s="27" t="n">
        <v>812.1900000000001</v>
      </c>
      <c r="O71" s="27" t="n">
        <v>537.8099999999999</v>
      </c>
      <c r="P71" s="37">
        <f>(N71-O71)/O71</f>
        <v/>
      </c>
      <c r="Q71" s="100">
        <f>O71*0.9056*0.85</f>
        <v/>
      </c>
      <c r="R71" s="100">
        <f>O71*1.15</f>
        <v/>
      </c>
      <c r="S71" s="100">
        <f>IF(N71&lt;O71*0.9056*0.85,O71*0.9056*0.85,IF(N71&gt;O71*1.15,O71*1.15,N71))</f>
        <v/>
      </c>
      <c r="T71" s="100" t="n">
        <v>29904.84</v>
      </c>
      <c r="U71" s="100" t="n">
        <v>30166.21</v>
      </c>
      <c r="V71" s="100">
        <f>T71+S71*K71</f>
        <v/>
      </c>
      <c r="W71" s="100">
        <f>U71-T71</f>
        <v/>
      </c>
      <c r="X71" s="100">
        <f>V71-T71</f>
        <v/>
      </c>
      <c r="Y71" s="100">
        <f>V71-U71</f>
        <v/>
      </c>
      <c r="Z71" s="26" t="n"/>
    </row>
    <row r="72" ht="20" customHeight="1" s="1">
      <c r="A72" s="26" t="n"/>
      <c r="B72" s="26" t="n"/>
      <c r="C72" s="26" t="inlineStr">
        <is>
          <t>门窗工程</t>
        </is>
      </c>
      <c r="D72" s="26" t="n"/>
      <c r="E72" s="26" t="n"/>
      <c r="F72" s="100" t="n"/>
      <c r="G72" s="100" t="n"/>
      <c r="H72" s="100" t="n"/>
      <c r="I72" s="100" t="n"/>
      <c r="J72" s="100" t="n"/>
      <c r="K72" s="100" t="n"/>
      <c r="L72" s="100" t="n"/>
      <c r="M72" s="37" t="n"/>
      <c r="N72" s="27" t="n"/>
      <c r="O72" s="27" t="n"/>
      <c r="P72" s="37" t="n"/>
      <c r="Q72" s="100" t="n"/>
      <c r="R72" s="100" t="n"/>
      <c r="S72" s="100" t="n"/>
      <c r="T72" s="100" t="n">
        <v>954137.67</v>
      </c>
      <c r="U72" s="100" t="n">
        <v>998562.1899999999</v>
      </c>
      <c r="V72" s="100">
        <f>+SUM(V73:V93)</f>
        <v/>
      </c>
      <c r="W72" s="100">
        <f>U72-T72</f>
        <v/>
      </c>
      <c r="X72" s="100">
        <f>V72-T72</f>
        <v/>
      </c>
      <c r="Y72" s="100">
        <f>V72-U72</f>
        <v/>
      </c>
      <c r="Z72" s="26" t="n"/>
      <c r="AA72" s="42" t="n"/>
    </row>
    <row r="73" ht="20" customHeight="1" s="1">
      <c r="A73" s="26" t="n">
        <v>64</v>
      </c>
      <c r="B73" s="26" t="inlineStr">
        <is>
          <t>010802003001</t>
        </is>
      </c>
      <c r="C73" s="26" t="inlineStr">
        <is>
          <t>钢质防火门</t>
        </is>
      </c>
      <c r="D73" s="26" t="inlineStr">
        <is>
          <t>1.门类型:钢质防火门单扇(甲级）
2.闭门器安装
3.其他详见施工设计图</t>
        </is>
      </c>
      <c r="E73" s="26" t="inlineStr">
        <is>
          <t>m2</t>
        </is>
      </c>
      <c r="F73" s="100" t="n">
        <v>2.3</v>
      </c>
      <c r="G73" s="100" t="n">
        <v>3.85</v>
      </c>
      <c r="H73" s="100" t="n">
        <v>3.85</v>
      </c>
      <c r="I73" s="100" t="n"/>
      <c r="J73" s="100">
        <f>G73-F73</f>
        <v/>
      </c>
      <c r="K73" s="100">
        <f>H73-F73</f>
        <v/>
      </c>
      <c r="L73" s="100">
        <f>H73-G73</f>
        <v/>
      </c>
      <c r="M73" s="37">
        <f>J73/F73</f>
        <v/>
      </c>
      <c r="N73" s="27" t="n">
        <v>569.8099999999999</v>
      </c>
      <c r="O73" s="27" t="n">
        <v>650.54</v>
      </c>
      <c r="P73" s="37">
        <f>(N73-O73)/O73</f>
        <v/>
      </c>
      <c r="Q73" s="100">
        <f>O73*0.9056*0.85</f>
        <v/>
      </c>
      <c r="R73" s="100">
        <f>O73*1.15</f>
        <v/>
      </c>
      <c r="S73" s="100">
        <f>IF(N73&lt;O73*0.9056*0.85,O73*0.9056*0.85,IF(N73&gt;O73*1.15,O73*1.15,N73))</f>
        <v/>
      </c>
      <c r="T73" s="100" t="n">
        <v>1310.56</v>
      </c>
      <c r="U73" s="100" t="n">
        <v>2193.77</v>
      </c>
      <c r="V73" s="100">
        <f>T73+S73*K73</f>
        <v/>
      </c>
      <c r="W73" s="100">
        <f>U73-T73</f>
        <v/>
      </c>
      <c r="X73" s="100">
        <f>V73-T73</f>
        <v/>
      </c>
      <c r="Y73" s="100">
        <f>V73-U73</f>
        <v/>
      </c>
      <c r="Z73" s="26" t="n"/>
    </row>
    <row r="74" ht="20" customFormat="1" customHeight="1" s="7">
      <c r="A74" s="26" t="n">
        <v>65</v>
      </c>
      <c r="B74" s="26" t="inlineStr">
        <is>
          <t>010802003002</t>
        </is>
      </c>
      <c r="C74" s="26" t="inlineStr">
        <is>
          <t>钢质防火门</t>
        </is>
      </c>
      <c r="D74" s="26" t="inlineStr">
        <is>
          <t>1.门类型:钢质防火门单扇(乙级）
2.闭门器安装
3.其他详见施工设计图</t>
        </is>
      </c>
      <c r="E74" s="26" t="inlineStr">
        <is>
          <t>m2</t>
        </is>
      </c>
      <c r="F74" s="100" t="n">
        <v>7.25</v>
      </c>
      <c r="G74" s="100" t="n">
        <v>11.15</v>
      </c>
      <c r="H74" s="100" t="n">
        <v>11.15</v>
      </c>
      <c r="I74" s="100" t="n"/>
      <c r="J74" s="100">
        <f>G74-F74</f>
        <v/>
      </c>
      <c r="K74" s="100">
        <f>H74-F74</f>
        <v/>
      </c>
      <c r="L74" s="100">
        <f>H74-G74</f>
        <v/>
      </c>
      <c r="M74" s="37">
        <f>J74/F74</f>
        <v/>
      </c>
      <c r="N74" s="27" t="n">
        <v>547.91</v>
      </c>
      <c r="O74" s="27" t="n">
        <v>602.37</v>
      </c>
      <c r="P74" s="37">
        <f>(N74-O74)/O74</f>
        <v/>
      </c>
      <c r="Q74" s="100">
        <f>O74*0.9056*0.85</f>
        <v/>
      </c>
      <c r="R74" s="100">
        <f>O74*1.15</f>
        <v/>
      </c>
      <c r="S74" s="100">
        <f>IF(N74&lt;O74*0.9056*0.85,O74*0.9056*0.85,IF(N74&gt;O74*1.15,O74*1.15,N74))</f>
        <v/>
      </c>
      <c r="T74" s="100" t="n">
        <v>3969.61</v>
      </c>
      <c r="U74" s="100" t="n">
        <v>6106.46</v>
      </c>
      <c r="V74" s="100">
        <f>T74+S74*K74</f>
        <v/>
      </c>
      <c r="W74" s="100">
        <f>U74-T74</f>
        <v/>
      </c>
      <c r="X74" s="100">
        <f>V74-T74</f>
        <v/>
      </c>
      <c r="Y74" s="100">
        <f>V74-U74</f>
        <v/>
      </c>
      <c r="Z74" s="26" t="n"/>
    </row>
    <row r="75" ht="20" customHeight="1" s="1">
      <c r="A75" s="26" t="n">
        <v>66</v>
      </c>
      <c r="B75" s="26" t="inlineStr">
        <is>
          <t>010802003003</t>
        </is>
      </c>
      <c r="C75" s="26" t="inlineStr">
        <is>
          <t>钢质防火门</t>
        </is>
      </c>
      <c r="D75" s="26" t="inlineStr">
        <is>
          <t>1.门类型:钢质防火门单扇(丙级）
2.闭门器安装
3.其他详见施工设计图</t>
        </is>
      </c>
      <c r="E75" s="26" t="inlineStr">
        <is>
          <t>m2</t>
        </is>
      </c>
      <c r="F75" s="100" t="n">
        <v>9.6</v>
      </c>
      <c r="G75" s="100" t="n">
        <v>17.6</v>
      </c>
      <c r="H75" s="100">
        <f>14.4+3.2</f>
        <v/>
      </c>
      <c r="I75" s="100" t="n"/>
      <c r="J75" s="100">
        <f>G75-F75</f>
        <v/>
      </c>
      <c r="K75" s="100">
        <f>H75-F75</f>
        <v/>
      </c>
      <c r="L75" s="100">
        <f>H75-G75</f>
        <v/>
      </c>
      <c r="M75" s="37">
        <f>J75/F75</f>
        <v/>
      </c>
      <c r="N75" s="27" t="n">
        <v>585.85</v>
      </c>
      <c r="O75" s="27" t="n">
        <v>565.65</v>
      </c>
      <c r="P75" s="37">
        <f>(N75-O75)/O75</f>
        <v/>
      </c>
      <c r="Q75" s="100">
        <f>O75*0.9056*0.85</f>
        <v/>
      </c>
      <c r="R75" s="100">
        <f>O75*1.15</f>
        <v/>
      </c>
      <c r="S75" s="100">
        <f>IF(N75&lt;O75*0.9056*0.85,O75*0.9056*0.85,IF(N75&gt;O75*1.15,O75*1.15,N75))</f>
        <v/>
      </c>
      <c r="T75" s="100" t="n">
        <v>5624.16</v>
      </c>
      <c r="U75" s="100" t="n">
        <v>10310.96</v>
      </c>
      <c r="V75" s="100">
        <f>T75+S75*K75</f>
        <v/>
      </c>
      <c r="W75" s="100">
        <f>U75-T75</f>
        <v/>
      </c>
      <c r="X75" s="100">
        <f>V75-T75</f>
        <v/>
      </c>
      <c r="Y75" s="100">
        <f>V75-U75</f>
        <v/>
      </c>
      <c r="Z75" s="26" t="n"/>
    </row>
    <row r="76" ht="20" customHeight="1" s="1">
      <c r="A76" s="26" t="n">
        <v>67</v>
      </c>
      <c r="B76" s="26" t="inlineStr">
        <is>
          <t>010802003004</t>
        </is>
      </c>
      <c r="C76" s="26" t="inlineStr">
        <is>
          <t>钢质防火门</t>
        </is>
      </c>
      <c r="D76" s="26" t="inlineStr">
        <is>
          <t>1.门类型:钢质防火门双扇(甲级）
2.闭门器安装
3.其他详见施工设计图</t>
        </is>
      </c>
      <c r="E76" s="26" t="inlineStr">
        <is>
          <t>m2</t>
        </is>
      </c>
      <c r="F76" s="100" t="n">
        <v>16.4</v>
      </c>
      <c r="G76" s="100" t="n">
        <v>16.4</v>
      </c>
      <c r="H76" s="100" t="n">
        <v>16.4</v>
      </c>
      <c r="I76" s="100" t="n"/>
      <c r="J76" s="100">
        <f>G76-F76</f>
        <v/>
      </c>
      <c r="K76" s="100">
        <f>H76-F76</f>
        <v/>
      </c>
      <c r="L76" s="100">
        <f>H76-G76</f>
        <v/>
      </c>
      <c r="M76" s="37">
        <f>J76/F76</f>
        <v/>
      </c>
      <c r="N76" s="27" t="n">
        <v>585.83</v>
      </c>
      <c r="O76" s="27" t="n">
        <v>686.35</v>
      </c>
      <c r="P76" s="37">
        <f>(N76-O76)/O76</f>
        <v/>
      </c>
      <c r="Q76" s="100">
        <f>O76*0.9056*0.85</f>
        <v/>
      </c>
      <c r="R76" s="100">
        <f>O76*1.15</f>
        <v/>
      </c>
      <c r="S76" s="100">
        <f>IF(N76&lt;O76*0.9056*0.85,O76*0.9056*0.85,IF(N76&gt;O76*1.15,O76*1.15,N76))</f>
        <v/>
      </c>
      <c r="T76" s="100" t="n">
        <v>9607.610000000001</v>
      </c>
      <c r="U76" s="100" t="n">
        <v>9607.610000000001</v>
      </c>
      <c r="V76" s="100">
        <f>T76+S76*K76</f>
        <v/>
      </c>
      <c r="W76" s="100">
        <f>U76-T76</f>
        <v/>
      </c>
      <c r="X76" s="100">
        <f>V76-T76</f>
        <v/>
      </c>
      <c r="Y76" s="100">
        <f>V76-U76</f>
        <v/>
      </c>
      <c r="Z76" s="26" t="n"/>
    </row>
    <row r="77" ht="20" customHeight="1" s="1">
      <c r="A77" s="26" t="n">
        <v>68</v>
      </c>
      <c r="B77" s="26" t="inlineStr">
        <is>
          <t>010802003005</t>
        </is>
      </c>
      <c r="C77" s="26" t="inlineStr">
        <is>
          <t>钢质防火门</t>
        </is>
      </c>
      <c r="D77" s="26" t="inlineStr">
        <is>
          <t>1.门类型:钢质防火门双扇(乙级）
2.闭门器安装
3.其他详见施工设计图</t>
        </is>
      </c>
      <c r="E77" s="26" t="inlineStr">
        <is>
          <t>m2</t>
        </is>
      </c>
      <c r="F77" s="100" t="n">
        <v>38.87</v>
      </c>
      <c r="G77" s="100" t="n">
        <v>52.67</v>
      </c>
      <c r="H77" s="100">
        <f>3.68+40.71+8.28</f>
        <v/>
      </c>
      <c r="I77" s="100" t="n"/>
      <c r="J77" s="100">
        <f>G77-F77</f>
        <v/>
      </c>
      <c r="K77" s="100">
        <f>H77-F77</f>
        <v/>
      </c>
      <c r="L77" s="100">
        <f>H77-G77</f>
        <v/>
      </c>
      <c r="M77" s="37">
        <f>J77/F77</f>
        <v/>
      </c>
      <c r="N77" s="27" t="n">
        <v>514.6900000000001</v>
      </c>
      <c r="O77" s="27" t="n">
        <v>636.8</v>
      </c>
      <c r="P77" s="37">
        <f>(N77-O77)/O77</f>
        <v/>
      </c>
      <c r="Q77" s="100">
        <f>O77*0.9056*0.85</f>
        <v/>
      </c>
      <c r="R77" s="100">
        <f>O77*1.15</f>
        <v/>
      </c>
      <c r="S77" s="100">
        <f>IF(N77&lt;O77*0.9056*0.85,O77*0.9056*0.85,IF(N77&gt;O77*1.15,O77*1.15,N77))</f>
        <v/>
      </c>
      <c r="T77" s="100" t="n">
        <v>20006</v>
      </c>
      <c r="U77" s="100" t="n">
        <v>27108.72</v>
      </c>
      <c r="V77" s="100">
        <f>T77+S77*K77</f>
        <v/>
      </c>
      <c r="W77" s="100">
        <f>U77-T77</f>
        <v/>
      </c>
      <c r="X77" s="100">
        <f>V77-T77</f>
        <v/>
      </c>
      <c r="Y77" s="100">
        <f>V77-U77</f>
        <v/>
      </c>
      <c r="Z77" s="26" t="n"/>
    </row>
    <row r="78" ht="20" customHeight="1" s="1">
      <c r="A78" s="26" t="n">
        <v>69</v>
      </c>
      <c r="B78" s="26" t="inlineStr">
        <is>
          <t>010802003006</t>
        </is>
      </c>
      <c r="C78" s="26" t="inlineStr">
        <is>
          <t>钢质防火门</t>
        </is>
      </c>
      <c r="D78" s="26" t="inlineStr">
        <is>
          <t>1.门类型:钢质防火门四扇(乙级）
2.闭门器安装
3.其他详见施工设计图</t>
        </is>
      </c>
      <c r="E78" s="26" t="inlineStr">
        <is>
          <t>m2</t>
        </is>
      </c>
      <c r="F78" s="100" t="n">
        <v>8.279999999999999</v>
      </c>
      <c r="G78" s="100" t="n">
        <v>8.279999999999999</v>
      </c>
      <c r="H78" s="100" t="n">
        <v>8.279999999999999</v>
      </c>
      <c r="I78" s="100" t="n"/>
      <c r="J78" s="100">
        <f>G78-F78</f>
        <v/>
      </c>
      <c r="K78" s="100">
        <f>H78-F78</f>
        <v/>
      </c>
      <c r="L78" s="100">
        <f>H78-G78</f>
        <v/>
      </c>
      <c r="M78" s="37">
        <f>J78/F78</f>
        <v/>
      </c>
      <c r="N78" s="27" t="n">
        <v>554.23</v>
      </c>
      <c r="O78" s="27" t="n">
        <v>636.9400000000001</v>
      </c>
      <c r="P78" s="37">
        <f>(N78-O78)/O78</f>
        <v/>
      </c>
      <c r="Q78" s="100">
        <f>O78*0.9056*0.85</f>
        <v/>
      </c>
      <c r="R78" s="100">
        <f>O78*1.15</f>
        <v/>
      </c>
      <c r="S78" s="100">
        <f>IF(N78&lt;O78*0.9056*0.85,O78*0.9056*0.85,IF(N78&gt;O78*1.15,O78*1.15,N78))</f>
        <v/>
      </c>
      <c r="T78" s="100" t="n">
        <v>4589.02</v>
      </c>
      <c r="U78" s="100" t="n">
        <v>4589.02</v>
      </c>
      <c r="V78" s="100">
        <f>T78+S78*K78</f>
        <v/>
      </c>
      <c r="W78" s="100">
        <f>U78-T78</f>
        <v/>
      </c>
      <c r="X78" s="100">
        <f>V78-T78</f>
        <v/>
      </c>
      <c r="Y78" s="100">
        <f>V78-U78</f>
        <v/>
      </c>
      <c r="Z78" s="26" t="n"/>
    </row>
    <row r="79" ht="20" customHeight="1" s="1">
      <c r="A79" s="26" t="n">
        <v>70</v>
      </c>
      <c r="B79" s="26" t="inlineStr">
        <is>
          <t>010802001001</t>
        </is>
      </c>
      <c r="C79" s="26" t="inlineStr">
        <is>
          <t>金属(塑钢)门</t>
        </is>
      </c>
      <c r="D79" s="26" t="inlineStr">
        <is>
          <t>1.门类型:钢质平开门单扇
2.闭门器安装
3.其他详见施工设计图</t>
        </is>
      </c>
      <c r="E79" s="26" t="inlineStr">
        <is>
          <t>m2</t>
        </is>
      </c>
      <c r="F79" s="100" t="n">
        <v>33.81</v>
      </c>
      <c r="G79" s="100" t="n">
        <v>33.81</v>
      </c>
      <c r="H79" s="100">
        <f>28.98+4.83</f>
        <v/>
      </c>
      <c r="I79" s="100" t="n"/>
      <c r="J79" s="100">
        <f>G79-F79</f>
        <v/>
      </c>
      <c r="K79" s="100">
        <f>H79-F79</f>
        <v/>
      </c>
      <c r="L79" s="100">
        <f>H79-G79</f>
        <v/>
      </c>
      <c r="M79" s="37">
        <f>J79/F79</f>
        <v/>
      </c>
      <c r="N79" s="27" t="n">
        <v>767.13</v>
      </c>
      <c r="O79" s="27" t="n">
        <v>592.75</v>
      </c>
      <c r="P79" s="37">
        <f>(N79-O79)/O79</f>
        <v/>
      </c>
      <c r="Q79" s="100">
        <f>O79*0.9056*0.85</f>
        <v/>
      </c>
      <c r="R79" s="100">
        <f>O79*1.15</f>
        <v/>
      </c>
      <c r="S79" s="100">
        <f>IF(N79&lt;O79*0.9056*0.85,O79*0.9056*0.85,IF(N79&gt;O79*1.15,O79*1.15,N79))</f>
        <v/>
      </c>
      <c r="T79" s="100" t="n">
        <v>25936.67</v>
      </c>
      <c r="U79" s="100" t="n">
        <v>25936.67</v>
      </c>
      <c r="V79" s="100">
        <f>T79+S79*K79</f>
        <v/>
      </c>
      <c r="W79" s="100">
        <f>U79-T79</f>
        <v/>
      </c>
      <c r="X79" s="100">
        <f>V79-T79</f>
        <v/>
      </c>
      <c r="Y79" s="100">
        <f>V79-U79</f>
        <v/>
      </c>
      <c r="Z79" s="26" t="n"/>
    </row>
    <row r="80" ht="20" customHeight="1" s="1">
      <c r="A80" s="26" t="n">
        <v>71</v>
      </c>
      <c r="B80" s="26" t="inlineStr">
        <is>
          <t>010802001002</t>
        </is>
      </c>
      <c r="C80" s="26" t="inlineStr">
        <is>
          <t>金属(塑钢)门</t>
        </is>
      </c>
      <c r="D80" s="26" t="inlineStr">
        <is>
          <t>1.门类型:钢质平开门双扇
2.闭门器安装
3.其他详见施工设计图</t>
        </is>
      </c>
      <c r="E80" s="26" t="inlineStr">
        <is>
          <t>m2</t>
        </is>
      </c>
      <c r="F80" s="100" t="n">
        <v>77.73999999999999</v>
      </c>
      <c r="G80" s="100" t="n">
        <v>77.73999999999999</v>
      </c>
      <c r="H80" s="100">
        <f>10.35+57.04</f>
        <v/>
      </c>
      <c r="I80" s="100" t="n"/>
      <c r="J80" s="100">
        <f>G80-F80</f>
        <v/>
      </c>
      <c r="K80" s="100">
        <f>H80-F80</f>
        <v/>
      </c>
      <c r="L80" s="100">
        <f>H80-G80</f>
        <v/>
      </c>
      <c r="M80" s="37">
        <f>J80/F80</f>
        <v/>
      </c>
      <c r="N80" s="27" t="n">
        <v>818.97</v>
      </c>
      <c r="O80" s="27" t="n">
        <v>638.3099999999999</v>
      </c>
      <c r="P80" s="37">
        <f>(N80-O80)/O80</f>
        <v/>
      </c>
      <c r="Q80" s="100">
        <f>O80*0.9056*0.85</f>
        <v/>
      </c>
      <c r="R80" s="100">
        <f>O80*1.15</f>
        <v/>
      </c>
      <c r="S80" s="100">
        <f>IF(N80&lt;O80*0.9056*0.85,O80*0.9056*0.85,IF(N80&gt;O80*1.15,O80*1.15,N80))</f>
        <v/>
      </c>
      <c r="T80" s="100" t="n">
        <v>63666.73</v>
      </c>
      <c r="U80" s="100" t="n">
        <v>63666.73</v>
      </c>
      <c r="V80" s="100">
        <f>T80+S80*K80</f>
        <v/>
      </c>
      <c r="W80" s="100">
        <f>U80-T80</f>
        <v/>
      </c>
      <c r="X80" s="100">
        <f>V80-T80</f>
        <v/>
      </c>
      <c r="Y80" s="100">
        <f>V80-U80</f>
        <v/>
      </c>
      <c r="Z80" s="26" t="n"/>
    </row>
    <row r="81" ht="20" customHeight="1" s="1">
      <c r="A81" s="26" t="n">
        <v>72</v>
      </c>
      <c r="B81" s="26" t="inlineStr">
        <is>
          <t>010802001003</t>
        </is>
      </c>
      <c r="C81" s="26" t="inlineStr">
        <is>
          <t>金属(塑钢)门</t>
        </is>
      </c>
      <c r="D81" s="26" t="inlineStr">
        <is>
          <t>1.门类型:钢质平开门四扇
2.闭门器安装
3.其他详见施工设计图</t>
        </is>
      </c>
      <c r="E81" s="26" t="inlineStr">
        <is>
          <t>m2</t>
        </is>
      </c>
      <c r="F81" s="100" t="n">
        <v>8.279999999999999</v>
      </c>
      <c r="G81" s="100" t="n">
        <v>13.32</v>
      </c>
      <c r="H81" s="100" t="n">
        <v>8.279999999999999</v>
      </c>
      <c r="I81" s="100" t="n"/>
      <c r="J81" s="100">
        <f>G81-F81</f>
        <v/>
      </c>
      <c r="K81" s="100">
        <f>H81-F81</f>
        <v/>
      </c>
      <c r="L81" s="100">
        <f>H81-G81</f>
        <v/>
      </c>
      <c r="M81" s="37">
        <f>J81/F81</f>
        <v/>
      </c>
      <c r="N81" s="27" t="n">
        <v>880.74</v>
      </c>
      <c r="O81" s="27" t="n">
        <v>636.9400000000001</v>
      </c>
      <c r="P81" s="37">
        <f>(N81-O81)/O81</f>
        <v/>
      </c>
      <c r="Q81" s="100">
        <f>O81*0.9056*0.85</f>
        <v/>
      </c>
      <c r="R81" s="100">
        <f>O81*1.15</f>
        <v/>
      </c>
      <c r="S81" s="100">
        <f>IF(N81&lt;O81*0.9056*0.85,O81*0.9056*0.85,IF(N81&gt;O81*1.15,O81*1.15,N81))</f>
        <v/>
      </c>
      <c r="T81" s="100" t="n">
        <v>7292.53</v>
      </c>
      <c r="U81" s="100" t="n">
        <v>10984.23</v>
      </c>
      <c r="V81" s="100">
        <f>T81+S81*K81</f>
        <v/>
      </c>
      <c r="W81" s="100">
        <f>U81-T81</f>
        <v/>
      </c>
      <c r="X81" s="100">
        <f>V81-T81</f>
        <v/>
      </c>
      <c r="Y81" s="100">
        <f>V81-U81</f>
        <v/>
      </c>
      <c r="Z81" s="26" t="n"/>
    </row>
    <row r="82" ht="20" customHeight="1" s="1">
      <c r="A82" s="26" t="n">
        <v>73</v>
      </c>
      <c r="B82" s="26" t="inlineStr">
        <is>
          <t>010802001004</t>
        </is>
      </c>
      <c r="C82" s="26" t="inlineStr">
        <is>
          <t>金属(塑钢)门</t>
        </is>
      </c>
      <c r="D82" s="26" t="inlineStr">
        <is>
          <t>1.门类型:铝合金门联窗
2.铝材厚度:1.8mm
3.玻璃品种、厚度:Low-E中空玻璃(6+12A+6)
4.门拉手安装
5.其他详见施工设计图</t>
        </is>
      </c>
      <c r="E82" s="26" t="inlineStr">
        <is>
          <t>m2</t>
        </is>
      </c>
      <c r="F82" s="100" t="n">
        <v>95.98</v>
      </c>
      <c r="G82" s="100" t="n">
        <v>95.98</v>
      </c>
      <c r="H82" s="100">
        <f>67.76+27.9</f>
        <v/>
      </c>
      <c r="I82" s="100" t="n"/>
      <c r="J82" s="100">
        <f>G82-F82</f>
        <v/>
      </c>
      <c r="K82" s="100">
        <f>H82-F82</f>
        <v/>
      </c>
      <c r="L82" s="100">
        <f>H82-G82</f>
        <v/>
      </c>
      <c r="M82" s="37">
        <f>J82/F82</f>
        <v/>
      </c>
      <c r="N82" s="27" t="n">
        <v>735.1</v>
      </c>
      <c r="O82" s="27" t="n">
        <v>686.26</v>
      </c>
      <c r="P82" s="37">
        <f>(N82-O82)/O82</f>
        <v/>
      </c>
      <c r="Q82" s="100">
        <f>O82*0.9056*0.85</f>
        <v/>
      </c>
      <c r="R82" s="100">
        <f>O82*1.15</f>
        <v/>
      </c>
      <c r="S82" s="100">
        <f>IF(N82&lt;O82*0.9056*0.85,O82*0.9056*0.85,IF(N82&gt;O82*1.15,O82*1.15,N82))</f>
        <v/>
      </c>
      <c r="T82" s="100" t="n">
        <v>70554.89999999999</v>
      </c>
      <c r="U82" s="100" t="n">
        <v>70554.89999999999</v>
      </c>
      <c r="V82" s="100">
        <f>T82+S82*K82</f>
        <v/>
      </c>
      <c r="W82" s="100">
        <f>U82-T82</f>
        <v/>
      </c>
      <c r="X82" s="100">
        <f>V82-T82</f>
        <v/>
      </c>
      <c r="Y82" s="100">
        <f>V82-U82</f>
        <v/>
      </c>
      <c r="Z82" s="26" t="n"/>
    </row>
    <row r="83" ht="20" customHeight="1" s="1">
      <c r="A83" s="26" t="n">
        <v>74</v>
      </c>
      <c r="B83" s="26" t="inlineStr">
        <is>
          <t>010807006001</t>
        </is>
      </c>
      <c r="C83" s="26" t="inlineStr">
        <is>
          <t>配餐间售卖窗</t>
        </is>
      </c>
      <c r="D83" s="26" t="inlineStr">
        <is>
          <t>1.配餐间售卖窗
2.立杆：1.0mm304原色磨砂不锈钢
3.横杆：1.0mm304原色哑光不锈钢
4.上部8mm钢化清玻璃
5.下部15mm活动透明亚克力板
6.其他详见施工设计图</t>
        </is>
      </c>
      <c r="E83" s="26" t="inlineStr">
        <is>
          <t>m2</t>
        </is>
      </c>
      <c r="F83" s="100" t="n">
        <v>42.28</v>
      </c>
      <c r="G83" s="100" t="n">
        <v>43.08</v>
      </c>
      <c r="H83" s="100" t="n">
        <v>43.08</v>
      </c>
      <c r="I83" s="100" t="n"/>
      <c r="J83" s="100">
        <f>G83-F83</f>
        <v/>
      </c>
      <c r="K83" s="100">
        <f>H83-F83</f>
        <v/>
      </c>
      <c r="L83" s="100">
        <f>H83-G83</f>
        <v/>
      </c>
      <c r="M83" s="37">
        <f>J83/F83</f>
        <v/>
      </c>
      <c r="N83" s="27" t="n">
        <v>543</v>
      </c>
      <c r="O83" s="27" t="n">
        <v>450</v>
      </c>
      <c r="P83" s="37">
        <f>(N83-O83)/O83</f>
        <v/>
      </c>
      <c r="Q83" s="100">
        <f>O83*0.9056*0.85</f>
        <v/>
      </c>
      <c r="R83" s="100">
        <f>O83*1.15</f>
        <v/>
      </c>
      <c r="S83" s="100">
        <f>IF(N83&lt;O83*0.9056*0.85,O83*0.9056*0.85,IF(N83&gt;O83*1.15,O83*1.15,N83))</f>
        <v/>
      </c>
      <c r="T83" s="100" t="n">
        <v>22958.04</v>
      </c>
      <c r="U83" s="100" t="n">
        <v>23372.04</v>
      </c>
      <c r="V83" s="100">
        <f>T83+S83*K83</f>
        <v/>
      </c>
      <c r="W83" s="100">
        <f>U83-T83</f>
        <v/>
      </c>
      <c r="X83" s="100">
        <f>V83-T83</f>
        <v/>
      </c>
      <c r="Y83" s="100">
        <f>V83-U83</f>
        <v/>
      </c>
      <c r="Z83" s="26" t="n"/>
      <c r="AA83" s="42" t="inlineStr">
        <is>
          <t>图纸手算</t>
        </is>
      </c>
    </row>
    <row r="84" ht="20" customHeight="1" s="1">
      <c r="A84" s="26" t="n">
        <v>75</v>
      </c>
      <c r="B84" s="26" t="inlineStr">
        <is>
          <t>010807001001</t>
        </is>
      </c>
      <c r="C84" s="26" t="inlineStr">
        <is>
          <t>金属(塑钢、断桥)窗</t>
        </is>
      </c>
      <c r="D84" s="26" t="inlineStr">
        <is>
          <t>1.窗类型:外墙铝合金玻璃窗（编号MQ）
2.铝材厚度:1.8mm
3.玻璃品种、厚度:Low-E中空玻璃(6+12A+6)
4.排烟窗、新风防雨百叶做法详见图纸
5.其他详见施工设计图</t>
        </is>
      </c>
      <c r="E84" s="26" t="inlineStr">
        <is>
          <t>m2</t>
        </is>
      </c>
      <c r="F84" s="100" t="n">
        <v>673.01</v>
      </c>
      <c r="G84" s="100" t="n">
        <v>673.25</v>
      </c>
      <c r="H84" s="100" t="n">
        <v>673.25</v>
      </c>
      <c r="I84" s="100" t="n"/>
      <c r="J84" s="100">
        <f>G84-F84</f>
        <v/>
      </c>
      <c r="K84" s="100">
        <f>H84-F84</f>
        <v/>
      </c>
      <c r="L84" s="100">
        <f>H84-G84</f>
        <v/>
      </c>
      <c r="M84" s="37">
        <f>J84/F84</f>
        <v/>
      </c>
      <c r="N84" s="27" t="n">
        <v>803.79</v>
      </c>
      <c r="O84" s="27" t="n">
        <v>591.27</v>
      </c>
      <c r="P84" s="37">
        <f>(N84-O84)/O84</f>
        <v/>
      </c>
      <c r="Q84" s="100">
        <f>O84*0.9056*0.85</f>
        <v/>
      </c>
      <c r="R84" s="100">
        <f>O84*1.15</f>
        <v/>
      </c>
      <c r="S84" s="100">
        <f>IF(N84&lt;O84*0.9056*0.85,O84*0.9056*0.85,IF(N84&gt;O84*1.15,O84*1.15,N84))</f>
        <v/>
      </c>
      <c r="T84" s="100" t="n">
        <v>540958.71</v>
      </c>
      <c r="U84" s="100" t="n">
        <v>541121.9</v>
      </c>
      <c r="V84" s="100">
        <f>T84+S84*K84</f>
        <v/>
      </c>
      <c r="W84" s="100">
        <f>U84-T84</f>
        <v/>
      </c>
      <c r="X84" s="100">
        <f>V84-T84</f>
        <v/>
      </c>
      <c r="Y84" s="100">
        <f>V84-U84</f>
        <v/>
      </c>
      <c r="Z84" s="26" t="n"/>
    </row>
    <row r="85" ht="20" customHeight="1" s="1">
      <c r="A85" s="26" t="n">
        <v>76</v>
      </c>
      <c r="B85" s="26" t="inlineStr">
        <is>
          <t>010807001002</t>
        </is>
      </c>
      <c r="C85" s="26" t="inlineStr">
        <is>
          <t>金属(塑钢、断桥)窗</t>
        </is>
      </c>
      <c r="D85" s="26" t="inlineStr">
        <is>
          <t>1.厨房钢质传递窗
2.其他详见施工设计图</t>
        </is>
      </c>
      <c r="E85" s="26" t="inlineStr">
        <is>
          <t>m2</t>
        </is>
      </c>
      <c r="F85" s="100" t="n">
        <v>0.96</v>
      </c>
      <c r="G85" s="100" t="n">
        <v>0.96</v>
      </c>
      <c r="H85" s="100">
        <f>0.8*1.2</f>
        <v/>
      </c>
      <c r="I85" s="100" t="n"/>
      <c r="J85" s="100">
        <f>G85-F85</f>
        <v/>
      </c>
      <c r="K85" s="100">
        <f>H85-F85</f>
        <v/>
      </c>
      <c r="L85" s="100">
        <f>H85-G85</f>
        <v/>
      </c>
      <c r="M85" s="37">
        <f>J85/F85</f>
        <v/>
      </c>
      <c r="N85" s="27" t="n">
        <v>582</v>
      </c>
      <c r="O85" s="27" t="n">
        <v>428.75</v>
      </c>
      <c r="P85" s="37">
        <f>(N85-O85)/O85</f>
        <v/>
      </c>
      <c r="Q85" s="100">
        <f>O85*0.9056*0.85</f>
        <v/>
      </c>
      <c r="R85" s="100">
        <f>O85*1.15</f>
        <v/>
      </c>
      <c r="S85" s="100">
        <f>IF(N85&lt;O85*0.9056*0.85,O85*0.9056*0.85,IF(N85&gt;O85*1.15,O85*1.15,N85))</f>
        <v/>
      </c>
      <c r="T85" s="100" t="n">
        <v>558.72</v>
      </c>
      <c r="U85" s="100" t="n">
        <v>558.72</v>
      </c>
      <c r="V85" s="100">
        <f>T85+S85*K85</f>
        <v/>
      </c>
      <c r="W85" s="100">
        <f>U85-T85</f>
        <v/>
      </c>
      <c r="X85" s="100">
        <f>V85-T85</f>
        <v/>
      </c>
      <c r="Y85" s="100">
        <f>V85-U85</f>
        <v/>
      </c>
      <c r="Z85" s="26" t="n"/>
    </row>
    <row r="86" ht="20" customHeight="1" s="1">
      <c r="A86" s="26" t="n">
        <v>77</v>
      </c>
      <c r="B86" s="26" t="inlineStr">
        <is>
          <t>010807001003</t>
        </is>
      </c>
      <c r="C86" s="26" t="inlineStr">
        <is>
          <t>金属(塑钢、断桥)窗</t>
        </is>
      </c>
      <c r="D86" s="26" t="inlineStr">
        <is>
          <t>1.窗类型:90系列推拉窗
2.铝材厚度:1.8mm
3.玻璃品种、厚度:Low-E中空玻璃(6+12A+6)
4.排烟窗、新风防雨百叶做法详见图纸
5.其他详见施工设计图</t>
        </is>
      </c>
      <c r="E86" s="26" t="inlineStr">
        <is>
          <t>m2</t>
        </is>
      </c>
      <c r="F86" s="100" t="n">
        <v>101.88</v>
      </c>
      <c r="G86" s="100" t="n">
        <v>101.88</v>
      </c>
      <c r="H86" s="100">
        <f>91.82</f>
        <v/>
      </c>
      <c r="I86" s="100" t="n"/>
      <c r="J86" s="100">
        <f>G86-F86</f>
        <v/>
      </c>
      <c r="K86" s="100">
        <f>H86-F86</f>
        <v/>
      </c>
      <c r="L86" s="100">
        <f>H86-G86</f>
        <v/>
      </c>
      <c r="M86" s="37">
        <f>J86/F86</f>
        <v/>
      </c>
      <c r="N86" s="27" t="n">
        <v>565.96</v>
      </c>
      <c r="O86" s="27" t="n">
        <v>604.01</v>
      </c>
      <c r="P86" s="37">
        <f>(N86-O86)/O86</f>
        <v/>
      </c>
      <c r="Q86" s="100">
        <f>O86*0.9056*0.85</f>
        <v/>
      </c>
      <c r="R86" s="100">
        <f>O86*1.15</f>
        <v/>
      </c>
      <c r="S86" s="100">
        <f>IF(N86&lt;O86*0.9056*0.85,O86*0.9056*0.85,IF(N86&gt;O86*1.15,O86*1.15,N86))</f>
        <v/>
      </c>
      <c r="T86" s="100" t="n">
        <v>57660</v>
      </c>
      <c r="U86" s="100" t="n">
        <v>57660</v>
      </c>
      <c r="V86" s="100">
        <f>T86+S86*K86</f>
        <v/>
      </c>
      <c r="W86" s="100">
        <f>U86-T86</f>
        <v/>
      </c>
      <c r="X86" s="100">
        <f>V86-T86</f>
        <v/>
      </c>
      <c r="Y86" s="100">
        <f>V86-U86</f>
        <v/>
      </c>
      <c r="Z86" s="26" t="n"/>
    </row>
    <row r="87" ht="20" customHeight="1" s="1">
      <c r="A87" s="26" t="n">
        <v>78</v>
      </c>
      <c r="B87" s="26" t="inlineStr">
        <is>
          <t>010807001004</t>
        </is>
      </c>
      <c r="C87" s="26" t="inlineStr">
        <is>
          <t>金属(塑钢、断桥)窗</t>
        </is>
      </c>
      <c r="D87" s="26" t="inlineStr">
        <is>
          <t>1.窗类型:70系列铝合金平开窗
2.铝材厚度:1.8mm
3.玻璃品种、厚度:Low-E中空玻璃(6+12A+6)
4.其他详见施工设计图</t>
        </is>
      </c>
      <c r="E87" s="26" t="inlineStr">
        <is>
          <t>m2</t>
        </is>
      </c>
      <c r="F87" s="100" t="n">
        <v>5.07</v>
      </c>
      <c r="G87" s="100" t="n">
        <v>5.85</v>
      </c>
      <c r="H87" s="100">
        <f>5.85</f>
        <v/>
      </c>
      <c r="I87" s="100" t="n"/>
      <c r="J87" s="100">
        <f>G87-F87</f>
        <v/>
      </c>
      <c r="K87" s="100">
        <f>H87-F87</f>
        <v/>
      </c>
      <c r="L87" s="100">
        <f>H87-G87</f>
        <v/>
      </c>
      <c r="M87" s="37">
        <f>J87/F87</f>
        <v/>
      </c>
      <c r="N87" s="27" t="n">
        <v>657.9299999999999</v>
      </c>
      <c r="O87" s="27" t="n">
        <v>574.3</v>
      </c>
      <c r="P87" s="37">
        <f>(N87-O87)/O87</f>
        <v/>
      </c>
      <c r="Q87" s="100">
        <f>O87*0.9056*0.85</f>
        <v/>
      </c>
      <c r="R87" s="100">
        <f>O87*1.15</f>
        <v/>
      </c>
      <c r="S87" s="100">
        <f>IF(N87&lt;O87*0.9056*0.85,O87*0.9056*0.85,IF(N87&gt;O87*1.15,O87*1.15,N87))</f>
        <v/>
      </c>
      <c r="T87" s="100" t="n">
        <v>3335.71</v>
      </c>
      <c r="U87" s="100" t="n">
        <v>3848.89</v>
      </c>
      <c r="V87" s="100" t="n">
        <v>3848.89</v>
      </c>
      <c r="W87" s="100">
        <f>U87-T87</f>
        <v/>
      </c>
      <c r="X87" s="100">
        <f>V87-T87</f>
        <v/>
      </c>
      <c r="Y87" s="100">
        <f>V87-U87</f>
        <v/>
      </c>
      <c r="Z87" s="26" t="n"/>
    </row>
    <row r="88" ht="20" customHeight="1" s="1">
      <c r="A88" s="26" t="n">
        <v>79</v>
      </c>
      <c r="B88" s="26" t="inlineStr">
        <is>
          <t>010807001005</t>
        </is>
      </c>
      <c r="C88" s="26" t="inlineStr">
        <is>
          <t>金属(塑钢、断桥)窗</t>
        </is>
      </c>
      <c r="D88" s="26" t="inlineStr">
        <is>
          <t>1.窗类型:铝合金固定窗
2.铝材厚度:1.8mm
3.玻璃品种、厚度:Low-E中空玻璃(6+12A+6)
4.其他详见施工设计图</t>
        </is>
      </c>
      <c r="E88" s="26" t="inlineStr">
        <is>
          <t>m2</t>
        </is>
      </c>
      <c r="F88" s="100" t="n">
        <v>48.24</v>
      </c>
      <c r="G88" s="100" t="n">
        <v>79.29000000000001</v>
      </c>
      <c r="H88" s="100">
        <f>16.29+38.88</f>
        <v/>
      </c>
      <c r="I88" s="100" t="n"/>
      <c r="J88" s="100">
        <f>G88-F88</f>
        <v/>
      </c>
      <c r="K88" s="100">
        <f>H88-F88</f>
        <v/>
      </c>
      <c r="L88" s="100">
        <f>H88-G88</f>
        <v/>
      </c>
      <c r="M88" s="37">
        <f>J88/F88</f>
        <v/>
      </c>
      <c r="N88" s="27" t="n">
        <v>568.25</v>
      </c>
      <c r="O88" s="27" t="n">
        <v>523.72</v>
      </c>
      <c r="P88" s="37">
        <f>(N88-O88)/O88</f>
        <v/>
      </c>
      <c r="Q88" s="100">
        <f>O88*0.9056*0.85</f>
        <v/>
      </c>
      <c r="R88" s="100">
        <f>O88*1.15</f>
        <v/>
      </c>
      <c r="S88" s="100">
        <f>IF(N88&lt;O88*0.9056*0.85,O88*0.9056*0.85,IF(N88&gt;O88*1.15,O88*1.15,N88))</f>
        <v/>
      </c>
      <c r="T88" s="100" t="n">
        <v>27412.38</v>
      </c>
      <c r="U88" s="100" t="n">
        <v>45053.7</v>
      </c>
      <c r="V88" s="100">
        <f>T88+S88*K88</f>
        <v/>
      </c>
      <c r="W88" s="100">
        <f>U88-T88</f>
        <v/>
      </c>
      <c r="X88" s="100">
        <f>V88-T88</f>
        <v/>
      </c>
      <c r="Y88" s="100">
        <f>V88-U88</f>
        <v/>
      </c>
      <c r="Z88" s="26" t="n"/>
    </row>
    <row r="89" ht="20" customHeight="1" s="1">
      <c r="A89" s="26" t="n">
        <v>80</v>
      </c>
      <c r="B89" s="26" t="inlineStr">
        <is>
          <t>010807003001</t>
        </is>
      </c>
      <c r="C89" s="26" t="inlineStr">
        <is>
          <t>金属百叶窗</t>
        </is>
      </c>
      <c r="D89" s="26" t="inlineStr">
        <is>
          <t>1.铝合金百叶窗
2.其他详见施工设计图</t>
        </is>
      </c>
      <c r="E89" s="26" t="inlineStr">
        <is>
          <t>m2</t>
        </is>
      </c>
      <c r="F89" s="100" t="n">
        <v>13.44</v>
      </c>
      <c r="G89" s="100" t="n">
        <v>36.73</v>
      </c>
      <c r="H89" s="100">
        <f>15.63</f>
        <v/>
      </c>
      <c r="I89" s="100" t="n"/>
      <c r="J89" s="100">
        <f>G89-F89</f>
        <v/>
      </c>
      <c r="K89" s="100">
        <f>H89-F89</f>
        <v/>
      </c>
      <c r="L89" s="100">
        <f>H89-G89</f>
        <v/>
      </c>
      <c r="M89" s="37">
        <f>J89/F89</f>
        <v/>
      </c>
      <c r="N89" s="27" t="n">
        <v>301.24</v>
      </c>
      <c r="O89" s="27" t="n">
        <v>401</v>
      </c>
      <c r="P89" s="37">
        <f>(N89-O89)/O89</f>
        <v/>
      </c>
      <c r="Q89" s="100">
        <f>O89*0.9056*0.85</f>
        <v/>
      </c>
      <c r="R89" s="100">
        <f>O89*1.15</f>
        <v/>
      </c>
      <c r="S89" s="100">
        <f>IF(N89&lt;O89*0.9056*0.85,O89*0.9056*0.85,IF(N89&gt;O89*1.15,O89*1.15,N89))</f>
        <v/>
      </c>
      <c r="T89" s="100" t="n">
        <v>4047.16</v>
      </c>
      <c r="U89" s="100" t="n">
        <v>11238.7</v>
      </c>
      <c r="V89" s="100">
        <f>T89+S89*K89</f>
        <v/>
      </c>
      <c r="W89" s="100">
        <f>U89-T89</f>
        <v/>
      </c>
      <c r="X89" s="100">
        <f>V89-T89</f>
        <v/>
      </c>
      <c r="Y89" s="100">
        <f>V89-U89</f>
        <v/>
      </c>
      <c r="Z89" s="26" t="n"/>
    </row>
    <row r="90" ht="20" customHeight="1" s="1">
      <c r="A90" s="26" t="n">
        <v>81</v>
      </c>
      <c r="B90" s="26" t="inlineStr">
        <is>
          <t>010807003004</t>
        </is>
      </c>
      <c r="C90" s="26" t="inlineStr">
        <is>
          <t>金属百叶窗</t>
        </is>
      </c>
      <c r="D90" s="26" t="inlineStr">
        <is>
          <t>1.铝合金空调百叶
2.30*30*2.0灰色铝方通
3.25*50*1.5灰色铝方通
4.其他详见施工设计图</t>
        </is>
      </c>
      <c r="E90" s="26" t="inlineStr">
        <is>
          <t>m2</t>
        </is>
      </c>
      <c r="F90" s="100" t="n">
        <v>21</v>
      </c>
      <c r="G90" s="100" t="n">
        <v>21</v>
      </c>
      <c r="H90" s="100" t="n">
        <v>21</v>
      </c>
      <c r="I90" s="100" t="n"/>
      <c r="J90" s="100">
        <f>G90-F90</f>
        <v/>
      </c>
      <c r="K90" s="100">
        <f>H90-F90</f>
        <v/>
      </c>
      <c r="L90" s="100">
        <f>H90-G90</f>
        <v/>
      </c>
      <c r="M90" s="37">
        <f>J90/F90</f>
        <v/>
      </c>
      <c r="N90" s="27" t="n">
        <v>301.24</v>
      </c>
      <c r="O90" s="27" t="n">
        <v>428.94</v>
      </c>
      <c r="P90" s="37">
        <f>(N90-O90)/O90</f>
        <v/>
      </c>
      <c r="Q90" s="100">
        <f>O90*0.9056*0.85</f>
        <v/>
      </c>
      <c r="R90" s="100">
        <f>O90*1.15</f>
        <v/>
      </c>
      <c r="S90" s="100">
        <f>IF(N90&lt;O90*0.9056*0.85,O90*0.9056*0.85,IF(N90&gt;O90*1.15,O90*1.15,N90))</f>
        <v/>
      </c>
      <c r="T90" s="100" t="n">
        <v>6326.04</v>
      </c>
      <c r="U90" s="100" t="n">
        <v>6326.04</v>
      </c>
      <c r="V90" s="100">
        <f>T90+S90*K90</f>
        <v/>
      </c>
      <c r="W90" s="100">
        <f>U90-T90</f>
        <v/>
      </c>
      <c r="X90" s="100">
        <f>V90-T90</f>
        <v/>
      </c>
      <c r="Y90" s="100">
        <f>V90-U90</f>
        <v/>
      </c>
      <c r="Z90" s="26" t="n"/>
    </row>
    <row r="91" ht="20" customHeight="1" s="1">
      <c r="A91" s="26" t="n">
        <v>82</v>
      </c>
      <c r="B91" s="26" t="inlineStr">
        <is>
          <t>010807005001</t>
        </is>
      </c>
      <c r="C91" s="26" t="inlineStr">
        <is>
          <t>封窗铁丝网</t>
        </is>
      </c>
      <c r="D91" s="26" t="inlineStr">
        <is>
          <t>1.室内篮球场窗内封定制铁丝网
2.其他详见施工设计图</t>
        </is>
      </c>
      <c r="E91" s="26" t="inlineStr">
        <is>
          <t>m2</t>
        </is>
      </c>
      <c r="F91" s="100" t="n">
        <v>324.72</v>
      </c>
      <c r="G91" s="100" t="n">
        <v>324.72</v>
      </c>
      <c r="H91" s="100" t="n">
        <v>324.72</v>
      </c>
      <c r="I91" s="100" t="n"/>
      <c r="J91" s="100">
        <f>G91-F91</f>
        <v/>
      </c>
      <c r="K91" s="100">
        <f>H91-F91</f>
        <v/>
      </c>
      <c r="L91" s="100">
        <f>H91-G91</f>
        <v/>
      </c>
      <c r="M91" s="37">
        <f>J91/F91</f>
        <v/>
      </c>
      <c r="N91" s="27" t="n">
        <v>200</v>
      </c>
      <c r="O91" s="27" t="n">
        <v>227.64</v>
      </c>
      <c r="P91" s="37">
        <f>(N91-O91)/O91</f>
        <v/>
      </c>
      <c r="Q91" s="100">
        <f>O91*0.9056*0.85</f>
        <v/>
      </c>
      <c r="R91" s="100">
        <f>O91*1.15</f>
        <v/>
      </c>
      <c r="S91" s="100">
        <f>IF(N91&lt;O91*0.9056*0.85,O91*0.9056*0.85,IF(N91&gt;O91*1.15,O91*1.15,N91))</f>
        <v/>
      </c>
      <c r="T91" s="100" t="n">
        <v>64944</v>
      </c>
      <c r="U91" s="100" t="n">
        <v>64944</v>
      </c>
      <c r="V91" s="100">
        <f>T91+S91*K91</f>
        <v/>
      </c>
      <c r="W91" s="100">
        <f>U91-T91</f>
        <v/>
      </c>
      <c r="X91" s="100">
        <f>V91-T91</f>
        <v/>
      </c>
      <c r="Y91" s="100">
        <f>V91-U91</f>
        <v/>
      </c>
      <c r="Z91" s="26" t="n"/>
    </row>
    <row r="92" ht="20" customHeight="1" s="1">
      <c r="A92" s="26" t="n">
        <v>83</v>
      </c>
      <c r="B92" s="26" t="inlineStr">
        <is>
          <t>010808004001</t>
        </is>
      </c>
      <c r="C92" s="26" t="inlineStr">
        <is>
          <t>金属门窗套</t>
        </is>
      </c>
      <c r="D92" s="26" t="inlineStr">
        <is>
          <t>1.基层材料种类:30*30阻燃木龙骨底架
2.面层材料品种、规格:2.5mm厚黄色铝单板
3.其他详见施工设计图</t>
        </is>
      </c>
      <c r="E92" s="26" t="inlineStr">
        <is>
          <t>m2</t>
        </is>
      </c>
      <c r="F92" s="100" t="n">
        <v>12.97</v>
      </c>
      <c r="G92" s="100" t="n">
        <v>12.97</v>
      </c>
      <c r="H92" s="100" t="n">
        <v>12.97</v>
      </c>
      <c r="I92" s="100" t="n"/>
      <c r="J92" s="100">
        <f>G92-F92</f>
        <v/>
      </c>
      <c r="K92" s="100">
        <f>H92-F92</f>
        <v/>
      </c>
      <c r="L92" s="100">
        <f>H92-G92</f>
        <v/>
      </c>
      <c r="M92" s="37">
        <f>J92/F92</f>
        <v/>
      </c>
      <c r="N92" s="27" t="n">
        <v>583.16</v>
      </c>
      <c r="O92" s="27" t="n">
        <v>890.22</v>
      </c>
      <c r="P92" s="37">
        <f>(N92-O92)/O92</f>
        <v/>
      </c>
      <c r="Q92" s="100">
        <f>O92*0.9056*0.85</f>
        <v/>
      </c>
      <c r="R92" s="100">
        <f>O92*1.15</f>
        <v/>
      </c>
      <c r="S92" s="100">
        <f>IF(N92&lt;O92*0.9056*0.85,O92*0.9056*0.85,IF(N92&gt;O92*1.15,O92*1.15,N92))</f>
        <v/>
      </c>
      <c r="T92" s="100" t="n">
        <v>7563.59</v>
      </c>
      <c r="U92" s="100" t="n">
        <v>7563.59</v>
      </c>
      <c r="V92" s="100">
        <f>T92+S92*K92</f>
        <v/>
      </c>
      <c r="W92" s="100">
        <f>U92-T92</f>
        <v/>
      </c>
      <c r="X92" s="100">
        <f>V92-T92</f>
        <v/>
      </c>
      <c r="Y92" s="100">
        <f>V92-U92</f>
        <v/>
      </c>
      <c r="Z92" s="26" t="n"/>
    </row>
    <row r="93" ht="20" customHeight="1" s="1">
      <c r="A93" s="26" t="n">
        <v>84</v>
      </c>
      <c r="B93" s="26" t="inlineStr">
        <is>
          <t>010808005001</t>
        </is>
      </c>
      <c r="C93" s="26" t="inlineStr">
        <is>
          <t>石材门窗套</t>
        </is>
      </c>
      <c r="D93" s="26" t="inlineStr">
        <is>
          <t>1.成品石材门窗套</t>
        </is>
      </c>
      <c r="E93" s="26" t="inlineStr">
        <is>
          <t>m2</t>
        </is>
      </c>
      <c r="F93" s="100" t="n">
        <v>4.49</v>
      </c>
      <c r="G93" s="100" t="n">
        <v>4.49</v>
      </c>
      <c r="H93" s="100" t="n">
        <v>4.49</v>
      </c>
      <c r="I93" s="100" t="n"/>
      <c r="J93" s="100">
        <f>G93-F93</f>
        <v/>
      </c>
      <c r="K93" s="100">
        <f>H93-F93</f>
        <v/>
      </c>
      <c r="L93" s="100">
        <f>H93-G93</f>
        <v/>
      </c>
      <c r="M93" s="37">
        <f>J93/F93</f>
        <v/>
      </c>
      <c r="N93" s="27" t="n">
        <v>1295.22</v>
      </c>
      <c r="O93" s="27" t="n">
        <v>410.19</v>
      </c>
      <c r="P93" s="37">
        <f>(N93-O93)/O93</f>
        <v/>
      </c>
      <c r="Q93" s="100">
        <f>O93*0.9056*0.85</f>
        <v/>
      </c>
      <c r="R93" s="100">
        <f>O93*1.15</f>
        <v/>
      </c>
      <c r="S93" s="100">
        <f>IF(N93&lt;O93*0.9056*0.85,O93*0.9056*0.85,IF(N93&gt;O93*1.15,O93*1.15,N93))</f>
        <v/>
      </c>
      <c r="T93" s="100" t="n">
        <v>5815.54</v>
      </c>
      <c r="U93" s="100" t="n">
        <v>5815.54</v>
      </c>
      <c r="V93" s="100">
        <f>T93+S93*K93</f>
        <v/>
      </c>
      <c r="W93" s="100">
        <f>U93-T93</f>
        <v/>
      </c>
      <c r="X93" s="100">
        <f>V93-T93</f>
        <v/>
      </c>
      <c r="Y93" s="100">
        <f>V93-U93</f>
        <v/>
      </c>
      <c r="Z93" s="26" t="n"/>
      <c r="AA93" s="42" t="inlineStr">
        <is>
          <t>在变更23扣减，变更23的投标单价有误，需修改</t>
        </is>
      </c>
    </row>
    <row r="94" ht="20" customHeight="1" s="1">
      <c r="A94" s="26" t="n"/>
      <c r="B94" s="26" t="n"/>
      <c r="C94" s="26" t="inlineStr">
        <is>
          <t>屋面及防水工程</t>
        </is>
      </c>
      <c r="D94" s="26" t="n"/>
      <c r="E94" s="26" t="n"/>
      <c r="F94" s="100" t="n"/>
      <c r="G94" s="100" t="n"/>
      <c r="H94" s="100" t="n"/>
      <c r="I94" s="100" t="n"/>
      <c r="J94" s="100" t="n"/>
      <c r="K94" s="100" t="n"/>
      <c r="L94" s="100" t="n"/>
      <c r="M94" s="37" t="n"/>
      <c r="N94" s="27" t="n"/>
      <c r="O94" s="27" t="n"/>
      <c r="P94" s="37" t="n"/>
      <c r="Q94" s="100" t="n"/>
      <c r="R94" s="100" t="n"/>
      <c r="S94" s="100" t="n"/>
      <c r="T94" s="100" t="n">
        <v>789275.49</v>
      </c>
      <c r="U94" s="100" t="n">
        <v>880995.26</v>
      </c>
      <c r="V94" s="100">
        <f>+SUM(V95:V107)</f>
        <v/>
      </c>
      <c r="W94" s="100">
        <f>U94-T94</f>
        <v/>
      </c>
      <c r="X94" s="100">
        <f>V94-T94</f>
        <v/>
      </c>
      <c r="Y94" s="100">
        <f>V94-U94</f>
        <v/>
      </c>
      <c r="Z94" s="26" t="n"/>
      <c r="AA94" s="42" t="n"/>
    </row>
    <row r="95" ht="20" customHeight="1" s="1">
      <c r="A95" s="26" t="n">
        <v>85</v>
      </c>
      <c r="B95" s="26" t="inlineStr">
        <is>
          <t>010903002002</t>
        </is>
      </c>
      <c r="C95" s="26" t="inlineStr">
        <is>
          <t>墙面涂膜防水（墙4）</t>
        </is>
      </c>
      <c r="D95" s="26" t="inlineStr">
        <is>
          <t>1.1.5厚聚合物水泥防水涂料分3遍成活，遇门洞反入梁面不少于50mm（本防水层与地面反起防水层为同一道防水层）
2.15厚WPM20水泥砂浆找平,分两遍成活，底层抹灰应压实搓毛</t>
        </is>
      </c>
      <c r="E95" s="26" t="inlineStr">
        <is>
          <t>m2</t>
        </is>
      </c>
      <c r="F95" s="100" t="n">
        <v>1624.08</v>
      </c>
      <c r="G95" s="100" t="n">
        <v>1764.22</v>
      </c>
      <c r="H95" s="100" t="n">
        <v>1764.22</v>
      </c>
      <c r="I95" s="100" t="n"/>
      <c r="J95" s="100">
        <f>G95-F95</f>
        <v/>
      </c>
      <c r="K95" s="100">
        <f>H95-F95</f>
        <v/>
      </c>
      <c r="L95" s="100">
        <f>H95-G95</f>
        <v/>
      </c>
      <c r="M95" s="37">
        <f>J95/F95</f>
        <v/>
      </c>
      <c r="N95" s="27" t="n">
        <v>52.26</v>
      </c>
      <c r="O95" s="27" t="n">
        <v>81.34999999999999</v>
      </c>
      <c r="P95" s="37">
        <f>(N95-O95)/O95</f>
        <v/>
      </c>
      <c r="Q95" s="100">
        <f>O95*0.9056*0.85</f>
        <v/>
      </c>
      <c r="R95" s="100">
        <f>O95*1.15</f>
        <v/>
      </c>
      <c r="S95" s="100">
        <f>IF(N95&lt;O95*0.9056*0.85,O95*0.9056*0.85,IF(N95&gt;O95*1.15,O95*1.15,N95))</f>
        <v/>
      </c>
      <c r="T95" s="100" t="n">
        <v>84874.62</v>
      </c>
      <c r="U95" s="100" t="n">
        <v>93650.00999999999</v>
      </c>
      <c r="V95" s="100" t="n">
        <v>93650.00999999999</v>
      </c>
      <c r="W95" s="100">
        <f>U95-T95</f>
        <v/>
      </c>
      <c r="X95" s="100">
        <f>V95-T95</f>
        <v/>
      </c>
      <c r="Y95" s="100">
        <f>V95-U95</f>
        <v/>
      </c>
      <c r="Z95" s="26" t="n"/>
    </row>
    <row r="96" ht="20" customFormat="1" customHeight="1" s="7">
      <c r="A96" s="26" t="n">
        <v>86</v>
      </c>
      <c r="B96" s="26" t="inlineStr">
        <is>
          <t>010904002001</t>
        </is>
      </c>
      <c r="C96" s="26" t="inlineStr">
        <is>
          <t>楼(地)面涂膜防水（沉池）</t>
        </is>
      </c>
      <c r="D96" s="26" t="inlineStr">
        <is>
          <t>1.1.5厚聚合物水泥防水涂料
2.20厚M20水泥砂浆找平找坡层</t>
        </is>
      </c>
      <c r="E96" s="26" t="inlineStr">
        <is>
          <t>m2</t>
        </is>
      </c>
      <c r="F96" s="100" t="n">
        <v>108.07</v>
      </c>
      <c r="G96" s="100" t="n">
        <v>108.07</v>
      </c>
      <c r="H96" s="100">
        <f>10.44</f>
        <v/>
      </c>
      <c r="I96" s="100" t="n"/>
      <c r="J96" s="100">
        <f>G96-F96</f>
        <v/>
      </c>
      <c r="K96" s="100">
        <f>H96-F96</f>
        <v/>
      </c>
      <c r="L96" s="100">
        <f>H96-G96</f>
        <v/>
      </c>
      <c r="M96" s="37">
        <f>J96/F96</f>
        <v/>
      </c>
      <c r="N96" s="27" t="n">
        <v>63.95</v>
      </c>
      <c r="O96" s="27" t="n">
        <v>70.44</v>
      </c>
      <c r="P96" s="37">
        <f>(N96-O96)/O96</f>
        <v/>
      </c>
      <c r="Q96" s="100">
        <f>O96*0.9056*0.85</f>
        <v/>
      </c>
      <c r="R96" s="100">
        <f>O96*1.15</f>
        <v/>
      </c>
      <c r="S96" s="100">
        <f>IF(N96&lt;O96*0.9056*0.85,O96*0.9056*0.85,IF(N96&gt;O96*1.15,O96*1.15,N96))</f>
        <v/>
      </c>
      <c r="T96" s="100" t="n">
        <v>6911.22</v>
      </c>
      <c r="U96" s="100" t="n">
        <v>6911.22</v>
      </c>
      <c r="V96" s="100">
        <f>T96+S96*K96</f>
        <v/>
      </c>
      <c r="W96" s="100">
        <f>U96-T96</f>
        <v/>
      </c>
      <c r="X96" s="100">
        <f>V96-T96</f>
        <v/>
      </c>
      <c r="Y96" s="100">
        <f>V96-U96</f>
        <v/>
      </c>
      <c r="Z96" s="26" t="n"/>
    </row>
    <row r="97" ht="20" customHeight="1" s="1">
      <c r="A97" s="26" t="n">
        <v>87</v>
      </c>
      <c r="B97" s="26" t="inlineStr">
        <is>
          <t>010904002002</t>
        </is>
      </c>
      <c r="C97" s="26" t="inlineStr">
        <is>
          <t>楼(地)面涂膜防水（卫生间）</t>
        </is>
      </c>
      <c r="D97" s="26" t="inlineStr">
        <is>
          <t>1.1.5厚聚合物水泥防水涂料</t>
        </is>
      </c>
      <c r="E97" s="26" t="inlineStr">
        <is>
          <t>m2</t>
        </is>
      </c>
      <c r="F97" s="100" t="n">
        <v>78.15000000000001</v>
      </c>
      <c r="G97" s="100" t="n">
        <v>0</v>
      </c>
      <c r="H97" s="100" t="n">
        <v>78.42</v>
      </c>
      <c r="I97" s="100" t="n"/>
      <c r="J97" s="100">
        <f>G97-F97</f>
        <v/>
      </c>
      <c r="K97" s="100">
        <f>H97-F97</f>
        <v/>
      </c>
      <c r="L97" s="100">
        <f>H97-G97</f>
        <v/>
      </c>
      <c r="M97" s="37">
        <f>J97/F97</f>
        <v/>
      </c>
      <c r="N97" s="27" t="n">
        <v>42.91</v>
      </c>
      <c r="O97" s="27" t="n">
        <v>46.07</v>
      </c>
      <c r="P97" s="37">
        <f>(N97-O97)/O97</f>
        <v/>
      </c>
      <c r="Q97" s="100">
        <f>O97*0.9056*0.85</f>
        <v/>
      </c>
      <c r="R97" s="100">
        <f>O97*1.15</f>
        <v/>
      </c>
      <c r="S97" s="100">
        <f>IF(N97&lt;O97*0.9056*0.85,O97*0.9056*0.85,IF(N97&gt;O97*1.15,O97*1.15,N97))</f>
        <v/>
      </c>
      <c r="T97" s="100" t="n">
        <v>3353.3</v>
      </c>
      <c r="U97" s="100" t="n">
        <v>0</v>
      </c>
      <c r="V97" s="100">
        <f>T97+S97*K97</f>
        <v/>
      </c>
      <c r="W97" s="100">
        <f>U97-T97</f>
        <v/>
      </c>
      <c r="X97" s="100">
        <f>V97-T97</f>
        <v/>
      </c>
      <c r="Y97" s="100">
        <f>V97-U97</f>
        <v/>
      </c>
      <c r="Z97" s="26" t="n"/>
    </row>
    <row r="98" ht="20" customHeight="1" s="1">
      <c r="A98" s="26" t="n">
        <v>88</v>
      </c>
      <c r="B98" s="26" t="inlineStr">
        <is>
          <t>010903002003</t>
        </is>
      </c>
      <c r="C98" s="26" t="inlineStr">
        <is>
          <t>墙面涂膜防水（墙4）</t>
        </is>
      </c>
      <c r="D98" s="26" t="inlineStr">
        <is>
          <t>1.1.5厚聚合物水泥基防水涂料
2.15厚WPM20水泥砂浆找平,分两遍成活,底层抹灰应压实搓毛</t>
        </is>
      </c>
      <c r="E98" s="26" t="inlineStr">
        <is>
          <t>m2</t>
        </is>
      </c>
      <c r="F98" s="100" t="n">
        <v>1624.08</v>
      </c>
      <c r="G98" s="100" t="n">
        <v>0</v>
      </c>
      <c r="H98" s="100" t="n">
        <v>0</v>
      </c>
      <c r="I98" s="100" t="n"/>
      <c r="J98" s="100">
        <f>G98-F98</f>
        <v/>
      </c>
      <c r="K98" s="100">
        <f>H98-F98</f>
        <v/>
      </c>
      <c r="L98" s="100">
        <f>H98-G98</f>
        <v/>
      </c>
      <c r="M98" s="37">
        <f>J98/F98</f>
        <v/>
      </c>
      <c r="N98" s="27" t="n">
        <v>52.26</v>
      </c>
      <c r="O98" s="27" t="n">
        <v>80.23</v>
      </c>
      <c r="P98" s="37">
        <f>(N98-O98)/O98</f>
        <v/>
      </c>
      <c r="Q98" s="100">
        <f>O98*0.9056*0.85</f>
        <v/>
      </c>
      <c r="R98" s="100">
        <f>O98*1.15</f>
        <v/>
      </c>
      <c r="S98" s="100">
        <f>IF(N98&lt;O98*0.9056*0.85,O98*0.9056*0.85,IF(N98&gt;O98*1.15,O98*1.15,N98))</f>
        <v/>
      </c>
      <c r="T98" s="100" t="n">
        <v>84874.62</v>
      </c>
      <c r="U98" s="100" t="n">
        <v>-15425.3</v>
      </c>
      <c r="V98" s="100">
        <f>T98+S98*K98</f>
        <v/>
      </c>
      <c r="W98" s="100">
        <f>U98-T98</f>
        <v/>
      </c>
      <c r="X98" s="100">
        <f>V98-T98</f>
        <v/>
      </c>
      <c r="Y98" s="100">
        <f>V98-U98</f>
        <v/>
      </c>
      <c r="Z98" s="26" t="n"/>
    </row>
    <row r="99" ht="20" customHeight="1" s="1">
      <c r="A99" s="26" t="n">
        <v>89</v>
      </c>
      <c r="B99" s="26" t="inlineStr">
        <is>
          <t>011102003001</t>
        </is>
      </c>
      <c r="C99" s="26" t="inlineStr">
        <is>
          <t>块料楼地面（屋1）</t>
        </is>
      </c>
      <c r="D99" s="26" t="inlineStr">
        <is>
          <t>1.面层:8~10厚防滑地砖,缝宽5~8
2.20厚M15干硬性水泥沙浆</t>
        </is>
      </c>
      <c r="E99" s="26" t="inlineStr">
        <is>
          <t>m2</t>
        </is>
      </c>
      <c r="F99" s="100" t="n">
        <v>1372.8</v>
      </c>
      <c r="G99" s="100" t="n">
        <v>2337.08</v>
      </c>
      <c r="H99" s="100">
        <f>2118.46+161.94+56.68</f>
        <v/>
      </c>
      <c r="I99" s="100" t="n"/>
      <c r="J99" s="100">
        <f>G99-F99</f>
        <v/>
      </c>
      <c r="K99" s="100">
        <f>H99-F99</f>
        <v/>
      </c>
      <c r="L99" s="100">
        <f>H99-G99</f>
        <v/>
      </c>
      <c r="M99" s="37">
        <f>J99/F99</f>
        <v/>
      </c>
      <c r="N99" s="27" t="n">
        <v>117.09</v>
      </c>
      <c r="O99" s="27" t="n">
        <v>116.28</v>
      </c>
      <c r="P99" s="37">
        <f>(N99-O99)/O99</f>
        <v/>
      </c>
      <c r="Q99" s="100">
        <f>O99*0.9056*0.85</f>
        <v/>
      </c>
      <c r="R99" s="100">
        <f>O99*1.15</f>
        <v/>
      </c>
      <c r="S99" s="100">
        <f>IF(N99&lt;O99*0.9056*0.85,O99*0.9056*0.85,IF(N99&gt;O99*1.15,O99*1.15,N99))</f>
        <v/>
      </c>
      <c r="T99" s="100" t="n">
        <v>160741.15</v>
      </c>
      <c r="U99" s="100" t="n">
        <v>273648.33</v>
      </c>
      <c r="V99" s="100" t="n">
        <v>273648.33</v>
      </c>
      <c r="W99" s="100">
        <f>U99-T99</f>
        <v/>
      </c>
      <c r="X99" s="100">
        <f>V99-T99</f>
        <v/>
      </c>
      <c r="Y99" s="100">
        <f>V99-U99</f>
        <v/>
      </c>
      <c r="Z99" s="26" t="n"/>
    </row>
    <row r="100" ht="20" customHeight="1" s="1">
      <c r="A100" s="26" t="n">
        <v>90</v>
      </c>
      <c r="B100" s="26" t="inlineStr">
        <is>
          <t>010902003002</t>
        </is>
      </c>
      <c r="C100" s="26" t="inlineStr">
        <is>
          <t>屋面刚性层（屋1）</t>
        </is>
      </c>
      <c r="D100" s="26" t="inlineStr">
        <is>
          <t>1.40厚C20细石混凝土找平层,表面压光。(双向配筋ΦC4@150,每6米设缝,密封胶嵌缝。）</t>
        </is>
      </c>
      <c r="E100" s="26" t="inlineStr">
        <is>
          <t>m2</t>
        </is>
      </c>
      <c r="F100" s="100" t="n">
        <v>1943.37</v>
      </c>
      <c r="G100" s="100" t="n">
        <v>2337.08</v>
      </c>
      <c r="H100" s="100" t="n">
        <v>2337.08</v>
      </c>
      <c r="I100" s="100" t="n"/>
      <c r="J100" s="100">
        <f>G100-F100</f>
        <v/>
      </c>
      <c r="K100" s="100">
        <f>H100-F100</f>
        <v/>
      </c>
      <c r="L100" s="100">
        <f>H100-G100</f>
        <v/>
      </c>
      <c r="M100" s="37">
        <f>J100/F100</f>
        <v/>
      </c>
      <c r="N100" s="27" t="n">
        <v>59.04</v>
      </c>
      <c r="O100" s="27" t="n">
        <v>56.42</v>
      </c>
      <c r="P100" s="37">
        <f>(N100-O100)/O100</f>
        <v/>
      </c>
      <c r="Q100" s="100">
        <f>O100*0.9056*0.85</f>
        <v/>
      </c>
      <c r="R100" s="100">
        <f>O100*1.15</f>
        <v/>
      </c>
      <c r="S100" s="100">
        <f>IF(N100&lt;O100*0.9056*0.85,O100*0.9056*0.85,IF(N100&gt;O100*1.15,O100*1.15,N100))</f>
        <v/>
      </c>
      <c r="T100" s="100" t="n">
        <v>114736.56</v>
      </c>
      <c r="U100" s="100" t="n">
        <v>137981.02</v>
      </c>
      <c r="V100" s="100" t="n">
        <v>137981.02</v>
      </c>
      <c r="W100" s="100">
        <f>U100-T100</f>
        <v/>
      </c>
      <c r="X100" s="100">
        <f>V100-T100</f>
        <v/>
      </c>
      <c r="Y100" s="100">
        <f>V100-U100</f>
        <v/>
      </c>
      <c r="Z100" s="26" t="n"/>
    </row>
    <row r="101" ht="20" customHeight="1" s="1">
      <c r="A101" s="26" t="n">
        <v>91</v>
      </c>
      <c r="B101" s="26" t="inlineStr">
        <is>
          <t>010902001004</t>
        </is>
      </c>
      <c r="C101" s="26" t="inlineStr">
        <is>
          <t>屋面卷材防水（屋1、屋3、屋4）</t>
        </is>
      </c>
      <c r="D101" s="26" t="inlineStr">
        <is>
          <t>1.1.5厚自粘聚合物改性沥青防水卷材(无胎)</t>
        </is>
      </c>
      <c r="E101" s="26" t="inlineStr">
        <is>
          <t>m2</t>
        </is>
      </c>
      <c r="F101" s="100" t="n">
        <v>2533.72</v>
      </c>
      <c r="G101" s="100" t="n">
        <v>2890.84</v>
      </c>
      <c r="H101" s="100">
        <f>2275.39+196.6+61.15+30.24+237.67+89.79</f>
        <v/>
      </c>
      <c r="I101" s="100" t="n"/>
      <c r="J101" s="100">
        <f>G101-F101</f>
        <v/>
      </c>
      <c r="K101" s="100">
        <f>H101-F101</f>
        <v/>
      </c>
      <c r="L101" s="100">
        <f>H101-G101</f>
        <v/>
      </c>
      <c r="M101" s="37">
        <f>J101/F101</f>
        <v/>
      </c>
      <c r="N101" s="27" t="n">
        <v>38.75</v>
      </c>
      <c r="O101" s="27" t="n">
        <v>31.86</v>
      </c>
      <c r="P101" s="37">
        <f>(N101-O101)/O101</f>
        <v/>
      </c>
      <c r="Q101" s="100">
        <f>O101*0.9056*0.85</f>
        <v/>
      </c>
      <c r="R101" s="100">
        <f>O101*1.15</f>
        <v/>
      </c>
      <c r="S101" s="100">
        <f>IF(N101&lt;O101*0.9056*0.85,O101*0.9056*0.85,IF(N101&gt;O101*1.15,O101*1.15,N101))</f>
        <v/>
      </c>
      <c r="T101" s="100" t="n">
        <v>98181.75</v>
      </c>
      <c r="U101" s="100" t="n">
        <v>111266.07</v>
      </c>
      <c r="V101" s="100">
        <f>T101+S101*K101</f>
        <v/>
      </c>
      <c r="W101" s="100">
        <f>U101-T101</f>
        <v/>
      </c>
      <c r="X101" s="100">
        <f>V101-T101</f>
        <v/>
      </c>
      <c r="Y101" s="100">
        <f>V101-U101</f>
        <v/>
      </c>
      <c r="Z101" s="26" t="n"/>
    </row>
    <row r="102" ht="20" customHeight="1" s="1">
      <c r="A102" s="26" t="n">
        <v>92</v>
      </c>
      <c r="B102" s="26" t="inlineStr">
        <is>
          <t>010902003003</t>
        </is>
      </c>
      <c r="C102" s="26" t="inlineStr">
        <is>
          <t>屋面刚性层（屋1）</t>
        </is>
      </c>
      <c r="D102" s="26" t="inlineStr">
        <is>
          <t>1.40厚WSM20水泥浆找平层,纵横设置分格缝间距≤4000,缝宽15~20</t>
        </is>
      </c>
      <c r="E102" s="26" t="inlineStr">
        <is>
          <t>m2</t>
        </is>
      </c>
      <c r="F102" s="100" t="n">
        <v>1943.37</v>
      </c>
      <c r="G102" s="100" t="n">
        <v>2459.24</v>
      </c>
      <c r="H102" s="100">
        <f>2150.83+161.94+56.68+89.79</f>
        <v/>
      </c>
      <c r="I102" s="100" t="n"/>
      <c r="J102" s="100">
        <f>G102-F102</f>
        <v/>
      </c>
      <c r="K102" s="100">
        <f>H102-F102</f>
        <v/>
      </c>
      <c r="L102" s="100">
        <f>H102-G102</f>
        <v/>
      </c>
      <c r="M102" s="37">
        <f>J102/F102</f>
        <v/>
      </c>
      <c r="N102" s="27" t="n">
        <v>37.14</v>
      </c>
      <c r="O102" s="27" t="n">
        <v>55.93</v>
      </c>
      <c r="P102" s="37">
        <f>(N102-O102)/O102</f>
        <v/>
      </c>
      <c r="Q102" s="100">
        <f>O102*0.9056*0.85</f>
        <v/>
      </c>
      <c r="R102" s="100">
        <f>O102*1.15</f>
        <v/>
      </c>
      <c r="S102" s="100">
        <f>IF(N102&lt;O102*0.9056*0.85,O102*0.9056*0.85,IF(N102&gt;O102*1.15,O102*1.15,N102))</f>
        <v/>
      </c>
      <c r="T102" s="100" t="n">
        <v>72176.75999999999</v>
      </c>
      <c r="U102" s="100" t="n">
        <v>94386.21000000001</v>
      </c>
      <c r="V102" s="100">
        <f>T102+S102*K102</f>
        <v/>
      </c>
      <c r="W102" s="100">
        <f>U102-T102</f>
        <v/>
      </c>
      <c r="X102" s="100">
        <f>V102-T102</f>
        <v/>
      </c>
      <c r="Y102" s="100">
        <f>V102-U102</f>
        <v/>
      </c>
      <c r="Z102" s="26" t="n"/>
    </row>
    <row r="103" ht="20" customHeight="1" s="1">
      <c r="A103" s="26" t="n">
        <v>93</v>
      </c>
      <c r="B103" s="26" t="inlineStr">
        <is>
          <t>010902002001</t>
        </is>
      </c>
      <c r="C103" s="26" t="inlineStr">
        <is>
          <t>屋面涂膜防水（屋1、屋3、屋4）</t>
        </is>
      </c>
      <c r="D103" s="26" t="inlineStr">
        <is>
          <t>1.1.5厚聚氨酯防水涂膜</t>
        </is>
      </c>
      <c r="E103" s="26" t="inlineStr">
        <is>
          <t>m2</t>
        </is>
      </c>
      <c r="F103" s="100" t="n">
        <v>2449.13</v>
      </c>
      <c r="G103" s="100" t="n">
        <v>2890.84</v>
      </c>
      <c r="H103" s="100">
        <f>H101</f>
        <v/>
      </c>
      <c r="I103" s="100" t="n"/>
      <c r="J103" s="100">
        <f>G103-F103</f>
        <v/>
      </c>
      <c r="K103" s="100">
        <f>H103-F103</f>
        <v/>
      </c>
      <c r="L103" s="100">
        <f>H103-G103</f>
        <v/>
      </c>
      <c r="M103" s="37">
        <f>J103/F103</f>
        <v/>
      </c>
      <c r="N103" s="27" t="n">
        <v>33.79</v>
      </c>
      <c r="O103" s="27" t="n">
        <v>31.82</v>
      </c>
      <c r="P103" s="37">
        <f>(N103-O103)/O103</f>
        <v/>
      </c>
      <c r="Q103" s="100">
        <f>O103*0.9056*0.85</f>
        <v/>
      </c>
      <c r="R103" s="100">
        <f>O103*1.15</f>
        <v/>
      </c>
      <c r="S103" s="100">
        <f>IF(N103&lt;O103*0.9056*0.85,O103*0.9056*0.85,IF(N103&gt;O103*1.15,O103*1.15,N103))</f>
        <v/>
      </c>
      <c r="T103" s="100" t="n">
        <v>82756.10000000001</v>
      </c>
      <c r="U103" s="100" t="n">
        <v>97681.39</v>
      </c>
      <c r="V103" s="100">
        <f>T103+S103*K103</f>
        <v/>
      </c>
      <c r="W103" s="100">
        <f>U103-T103</f>
        <v/>
      </c>
      <c r="X103" s="100">
        <f>V103-T103</f>
        <v/>
      </c>
      <c r="Y103" s="100">
        <f>V103-U103</f>
        <v/>
      </c>
      <c r="Z103" s="26" t="n"/>
      <c r="AA103" s="42" t="inlineStr">
        <is>
          <t>建筑大样图有注明上翻</t>
        </is>
      </c>
    </row>
    <row r="104" ht="20" customHeight="1" s="1">
      <c r="A104" s="26" t="n">
        <v>94</v>
      </c>
      <c r="B104" s="26" t="inlineStr">
        <is>
          <t>010902003004</t>
        </is>
      </c>
      <c r="C104" s="26" t="inlineStr">
        <is>
          <t>屋面刚性层（屋3）</t>
        </is>
      </c>
      <c r="D104" s="26" t="inlineStr">
        <is>
          <t>1.20厚(最薄处)WSM20水泥浆找2%坡,纵横设置分格缝间距≤6000,缝宽10~20的分格缝</t>
        </is>
      </c>
      <c r="E104" s="26" t="inlineStr">
        <is>
          <t>m2</t>
        </is>
      </c>
      <c r="F104" s="100" t="n">
        <v>303.77</v>
      </c>
      <c r="G104" s="100" t="n">
        <v>303.77</v>
      </c>
      <c r="H104" s="100">
        <f>23.7</f>
        <v/>
      </c>
      <c r="I104" s="100" t="n"/>
      <c r="J104" s="100">
        <f>G104-F104</f>
        <v/>
      </c>
      <c r="K104" s="100">
        <f>H104-F104</f>
        <v/>
      </c>
      <c r="L104" s="100">
        <f>H104-G104</f>
        <v/>
      </c>
      <c r="M104" s="37">
        <f>J104/F104</f>
        <v/>
      </c>
      <c r="N104" s="27" t="n">
        <v>28.13</v>
      </c>
      <c r="O104" s="27" t="n">
        <v>21.75</v>
      </c>
      <c r="P104" s="37">
        <f>(N104-O104)/O104</f>
        <v/>
      </c>
      <c r="Q104" s="100">
        <f>O104*0.9056*0.85</f>
        <v/>
      </c>
      <c r="R104" s="100">
        <f>O104*1.15</f>
        <v/>
      </c>
      <c r="S104" s="100">
        <f>IF(N104&lt;O104*0.9056*0.85,O104*0.9056*0.85,IF(N104&gt;O104*1.15,O104*1.15,N104))</f>
        <v/>
      </c>
      <c r="T104" s="100" t="n">
        <v>8545.049999999999</v>
      </c>
      <c r="U104" s="100" t="n">
        <v>8545.049999999999</v>
      </c>
      <c r="V104" s="100">
        <f>T104+S104*K104</f>
        <v/>
      </c>
      <c r="W104" s="100">
        <f>U104-T104</f>
        <v/>
      </c>
      <c r="X104" s="100">
        <f>V104-T104</f>
        <v/>
      </c>
      <c r="Y104" s="100">
        <f>V104-U104</f>
        <v/>
      </c>
      <c r="Z104" s="26" t="n"/>
    </row>
    <row r="105" ht="20" customHeight="1" s="1">
      <c r="A105" s="26" t="n">
        <v>95</v>
      </c>
      <c r="B105" s="26" t="inlineStr">
        <is>
          <t>010902003005</t>
        </is>
      </c>
      <c r="C105" s="26" t="inlineStr">
        <is>
          <t>屋面刚性层（屋3）</t>
        </is>
      </c>
      <c r="D105" s="26" t="inlineStr">
        <is>
          <t>1.20厚(最薄处)WSM20水泥浆找平,纵横设置分格缝间距≤4000,缝宽10~20的分格缝</t>
        </is>
      </c>
      <c r="E105" s="26" t="inlineStr">
        <is>
          <t>m2</t>
        </is>
      </c>
      <c r="F105" s="100" t="n">
        <v>303.77</v>
      </c>
      <c r="G105" s="100" t="n">
        <v>303.77</v>
      </c>
      <c r="H105" s="100" t="n">
        <v>23.7</v>
      </c>
      <c r="I105" s="100" t="n"/>
      <c r="J105" s="100">
        <f>G105-F105</f>
        <v/>
      </c>
      <c r="K105" s="100">
        <f>H105-F105</f>
        <v/>
      </c>
      <c r="L105" s="100">
        <f>H105-G105</f>
        <v/>
      </c>
      <c r="M105" s="37">
        <f>J105/F105</f>
        <v/>
      </c>
      <c r="N105" s="27" t="n">
        <v>28.16</v>
      </c>
      <c r="O105" s="27" t="n">
        <v>21.75</v>
      </c>
      <c r="P105" s="37">
        <f>(N105-O105)/O105</f>
        <v/>
      </c>
      <c r="Q105" s="100">
        <f>O105*0.9056*0.85</f>
        <v/>
      </c>
      <c r="R105" s="100">
        <f>O105*1.15</f>
        <v/>
      </c>
      <c r="S105" s="100">
        <f>IF(N105&lt;O105*0.9056*0.85,O105*0.9056*0.85,IF(N105&gt;O105*1.15,O105*1.15,N105))</f>
        <v/>
      </c>
      <c r="T105" s="100" t="n">
        <v>8554.16</v>
      </c>
      <c r="U105" s="100" t="n">
        <v>8554.16</v>
      </c>
      <c r="V105" s="100">
        <f>T105+S105*K105</f>
        <v/>
      </c>
      <c r="W105" s="100">
        <f>U105-T105</f>
        <v/>
      </c>
      <c r="X105" s="100">
        <f>V105-T105</f>
        <v/>
      </c>
      <c r="Y105" s="100">
        <f>V105-U105</f>
        <v/>
      </c>
      <c r="Z105" s="26" t="n"/>
    </row>
    <row r="106" ht="20" customHeight="1" s="1">
      <c r="A106" s="26" t="n">
        <v>96</v>
      </c>
      <c r="B106" s="26" t="inlineStr">
        <is>
          <t>010902003006</t>
        </is>
      </c>
      <c r="C106" s="26" t="inlineStr">
        <is>
          <t>屋面刚性层（屋4）</t>
        </is>
      </c>
      <c r="D106" s="26" t="inlineStr">
        <is>
          <t>1.20厚(最薄处)DSM15水泥浆找平</t>
        </is>
      </c>
      <c r="E106" s="26" t="inlineStr">
        <is>
          <t>m2</t>
        </is>
      </c>
      <c r="F106" s="100" t="n">
        <v>242.44</v>
      </c>
      <c r="G106" s="100" t="n">
        <v>253.07</v>
      </c>
      <c r="H106" s="100">
        <f>229.37</f>
        <v/>
      </c>
      <c r="I106" s="100" t="n"/>
      <c r="J106" s="100">
        <f>G106-F106</f>
        <v/>
      </c>
      <c r="K106" s="100">
        <f>H106-F106</f>
        <v/>
      </c>
      <c r="L106" s="100">
        <f>H106-G106</f>
        <v/>
      </c>
      <c r="M106" s="37">
        <f>J106/F106</f>
        <v/>
      </c>
      <c r="N106" s="27" t="n">
        <v>21.35</v>
      </c>
      <c r="O106" s="27" t="n">
        <v>22.51</v>
      </c>
      <c r="P106" s="37">
        <f>(N106-O106)/O106</f>
        <v/>
      </c>
      <c r="Q106" s="100">
        <f>O106*0.9056*0.85</f>
        <v/>
      </c>
      <c r="R106" s="100">
        <f>O106*1.15</f>
        <v/>
      </c>
      <c r="S106" s="100">
        <f>IF(N106&lt;O106*0.9056*0.85,O106*0.9056*0.85,IF(N106&gt;O106*1.15,O106*1.15,N106))</f>
        <v/>
      </c>
      <c r="T106" s="100" t="n">
        <v>5176.09</v>
      </c>
      <c r="U106" s="100" t="n">
        <v>5402.99</v>
      </c>
      <c r="V106" s="100">
        <f>T106+S106*K106</f>
        <v/>
      </c>
      <c r="W106" s="100">
        <f>U106-T106</f>
        <v/>
      </c>
      <c r="X106" s="100">
        <f>V106-T106</f>
        <v/>
      </c>
      <c r="Y106" s="100">
        <f>V106-U106</f>
        <v/>
      </c>
      <c r="Z106" s="26" t="n"/>
    </row>
    <row r="107" ht="20" customHeight="1" s="1">
      <c r="A107" s="26" t="n">
        <v>97</v>
      </c>
      <c r="B107" s="26" t="inlineStr">
        <is>
          <t>010901001001</t>
        </is>
      </c>
      <c r="C107" s="26" t="inlineStr">
        <is>
          <t>瓦屋面（屋4、屋5）</t>
        </is>
      </c>
      <c r="D107" s="26" t="inlineStr">
        <is>
          <t>1.彩石金属瓦
2.冷弯型钢挂瓦条,中距按瓦材规格
3.其他详见施工设计图</t>
        </is>
      </c>
      <c r="E107" s="26" t="inlineStr">
        <is>
          <t>m2</t>
        </is>
      </c>
      <c r="F107" s="100" t="n">
        <v>242.44</v>
      </c>
      <c r="G107" s="100" t="n">
        <v>242.44</v>
      </c>
      <c r="H107" s="100">
        <f>229.37</f>
        <v/>
      </c>
      <c r="I107" s="100" t="n"/>
      <c r="J107" s="100">
        <f>G107-F107</f>
        <v/>
      </c>
      <c r="K107" s="100">
        <f>H107-F107</f>
        <v/>
      </c>
      <c r="L107" s="100">
        <f>H107-G107</f>
        <v/>
      </c>
      <c r="M107" s="37">
        <f>J107/F107</f>
        <v/>
      </c>
      <c r="N107" s="27" t="n">
        <v>240.86</v>
      </c>
      <c r="O107" s="27" t="n">
        <v>182.42</v>
      </c>
      <c r="P107" s="37">
        <f>(N107-O107)/O107</f>
        <v/>
      </c>
      <c r="Q107" s="100">
        <f>O107*0.9056*0.85</f>
        <v/>
      </c>
      <c r="R107" s="100">
        <f>O107*1.15</f>
        <v/>
      </c>
      <c r="S107" s="100">
        <f>IF(N107&lt;O107*0.9056*0.85,O107*0.9056*0.85,IF(N107&gt;O107*1.15,O107*1.15,N107))</f>
        <v/>
      </c>
      <c r="T107" s="100" t="n">
        <v>58394.1</v>
      </c>
      <c r="U107" s="100" t="n">
        <v>58394.1</v>
      </c>
      <c r="V107" s="100">
        <f>T107+S107*K107</f>
        <v/>
      </c>
      <c r="W107" s="100">
        <f>U107-T107</f>
        <v/>
      </c>
      <c r="X107" s="100">
        <f>V107-T107</f>
        <v/>
      </c>
      <c r="Y107" s="100">
        <f>V107-U107</f>
        <v/>
      </c>
      <c r="Z107" s="5" t="n"/>
    </row>
    <row r="108" ht="20" customHeight="1" s="1">
      <c r="A108" s="26" t="n"/>
      <c r="B108" s="26" t="n"/>
      <c r="C108" s="26" t="inlineStr">
        <is>
          <t>保温、隔热、防腐工程</t>
        </is>
      </c>
      <c r="D108" s="26" t="n"/>
      <c r="E108" s="26" t="n"/>
      <c r="F108" s="100" t="n"/>
      <c r="G108" s="100" t="n"/>
      <c r="H108" s="100" t="n"/>
      <c r="I108" s="100" t="n"/>
      <c r="J108" s="100" t="n"/>
      <c r="K108" s="100" t="n"/>
      <c r="L108" s="100" t="n"/>
      <c r="M108" s="37" t="n"/>
      <c r="N108" s="27" t="n"/>
      <c r="O108" s="27" t="n"/>
      <c r="P108" s="37" t="n"/>
      <c r="Q108" s="100" t="n"/>
      <c r="R108" s="100" t="n"/>
      <c r="S108" s="100" t="n"/>
      <c r="T108" s="100" t="n">
        <v>236978.02</v>
      </c>
      <c r="U108" s="100" t="n">
        <v>189955.02</v>
      </c>
      <c r="V108" s="100">
        <f>+SUM(V109:V112)</f>
        <v/>
      </c>
      <c r="W108" s="100">
        <f>U108-T108</f>
        <v/>
      </c>
      <c r="X108" s="100">
        <f>V108-T108</f>
        <v/>
      </c>
      <c r="Y108" s="100">
        <f>V108-U108</f>
        <v/>
      </c>
      <c r="Z108" s="26" t="n"/>
      <c r="AA108" s="42" t="n"/>
    </row>
    <row r="109" ht="20" customHeight="1" s="1">
      <c r="A109" s="26" t="n">
        <v>98</v>
      </c>
      <c r="B109" s="26" t="inlineStr">
        <is>
          <t>011001003002</t>
        </is>
      </c>
      <c r="C109" s="26" t="inlineStr">
        <is>
          <t>保温隔热墙面</t>
        </is>
      </c>
      <c r="D109" s="26" t="inlineStr">
        <is>
          <t>1.外墙内保温
2.15mm玻化微珠保温砂浆
3.5厚抗裂砂浆内置保温专用玻纤网(130g/m2)
4.做法详见图纸</t>
        </is>
      </c>
      <c r="E109" s="26" t="inlineStr">
        <is>
          <t>m2</t>
        </is>
      </c>
      <c r="F109" s="100" t="n">
        <v>1536.73</v>
      </c>
      <c r="G109" s="100" t="n">
        <v>1143.98</v>
      </c>
      <c r="H109" s="100" t="n">
        <v>798.76</v>
      </c>
      <c r="I109" s="100" t="n"/>
      <c r="J109" s="100">
        <f>G109-F109</f>
        <v/>
      </c>
      <c r="K109" s="100">
        <f>H109-F109</f>
        <v/>
      </c>
      <c r="L109" s="100">
        <f>H109-G109</f>
        <v/>
      </c>
      <c r="M109" s="37">
        <f>J109/F109</f>
        <v/>
      </c>
      <c r="N109" s="27" t="n">
        <v>95.23</v>
      </c>
      <c r="O109" s="27" t="n">
        <v>75.67</v>
      </c>
      <c r="P109" s="37">
        <f>(N109-O109)/O109</f>
        <v/>
      </c>
      <c r="Q109" s="100">
        <f>O109*0.9056*0.85</f>
        <v/>
      </c>
      <c r="R109" s="100">
        <f>O109*1.15</f>
        <v/>
      </c>
      <c r="S109" s="100">
        <f>IF(N109&lt;O109*0.9056*0.85,O109*0.9056*0.85,IF(N109&gt;O109*1.15,O109*1.15,N109))</f>
        <v/>
      </c>
      <c r="T109" s="100" t="n">
        <v>146342.32</v>
      </c>
      <c r="U109" s="100" t="n">
        <v>112165.59</v>
      </c>
      <c r="V109" s="100">
        <f>T109+S109*K109</f>
        <v/>
      </c>
      <c r="W109" s="100">
        <f>U109-T109</f>
        <v/>
      </c>
      <c r="X109" s="100">
        <f>V109-T109</f>
        <v/>
      </c>
      <c r="Y109" s="100">
        <f>V109-U109</f>
        <v/>
      </c>
      <c r="Z109" s="26" t="n"/>
      <c r="AA109" s="42" t="inlineStr">
        <is>
          <t>外墙东西方向</t>
        </is>
      </c>
    </row>
    <row r="110" ht="20" customFormat="1" customHeight="1" s="7">
      <c r="A110" s="26" t="n">
        <v>99</v>
      </c>
      <c r="B110" s="26" t="inlineStr">
        <is>
          <t>011407001001</t>
        </is>
      </c>
      <c r="C110" s="26" t="inlineStr">
        <is>
          <t>墙面喷刷涂料</t>
        </is>
      </c>
      <c r="D110" s="26" t="inlineStr">
        <is>
          <t>1.隔热反射涂料
2.外墙内保温处
3.其他详见施工设计图</t>
        </is>
      </c>
      <c r="E110" s="26" t="inlineStr">
        <is>
          <t>m2</t>
        </is>
      </c>
      <c r="F110" s="100" t="n">
        <v>2348.5</v>
      </c>
      <c r="G110" s="100" t="n">
        <v>1907.81</v>
      </c>
      <c r="H110" s="100" t="n">
        <v>1907.81</v>
      </c>
      <c r="I110" s="100" t="n"/>
      <c r="J110" s="100">
        <f>G110-F110</f>
        <v/>
      </c>
      <c r="K110" s="100">
        <f>H110-F110</f>
        <v/>
      </c>
      <c r="L110" s="100">
        <f>H110-G110</f>
        <v/>
      </c>
      <c r="M110" s="37">
        <f>J110/F110</f>
        <v/>
      </c>
      <c r="N110" s="27" t="n">
        <v>31.26</v>
      </c>
      <c r="O110" s="27" t="n">
        <v>31.36</v>
      </c>
      <c r="P110" s="37">
        <f>(N110-O110)/O110</f>
        <v/>
      </c>
      <c r="Q110" s="100">
        <f>O110*0.9056*0.85</f>
        <v/>
      </c>
      <c r="R110" s="100">
        <f>O110*1.15</f>
        <v/>
      </c>
      <c r="S110" s="100">
        <f>IF(N110&lt;O110*0.9056*0.85,O110*0.9056*0.85,IF(N110&gt;O110*1.15,O110*1.15,N110))</f>
        <v/>
      </c>
      <c r="T110" s="100" t="n">
        <v>73414.19</v>
      </c>
      <c r="U110" s="100" t="n">
        <v>59638.07</v>
      </c>
      <c r="V110" s="100">
        <f>T110+S110*K110</f>
        <v/>
      </c>
      <c r="W110" s="100">
        <f>U110-T110</f>
        <v/>
      </c>
      <c r="X110" s="100">
        <f>V110-T110</f>
        <v/>
      </c>
      <c r="Y110" s="100">
        <f>V110-U110</f>
        <v/>
      </c>
      <c r="Z110" s="26" t="n"/>
    </row>
    <row r="111" ht="20" customHeight="1" s="1">
      <c r="A111" s="26" t="n">
        <v>100</v>
      </c>
      <c r="B111" s="26" t="inlineStr">
        <is>
          <t>011003001002</t>
        </is>
      </c>
      <c r="C111" s="26" t="inlineStr">
        <is>
          <t>隔离层（屋1、屋2、屋3、屋4）</t>
        </is>
      </c>
      <c r="D111" s="26" t="inlineStr">
        <is>
          <t>1.0.4厚聚乙烯薄膜隔离层</t>
        </is>
      </c>
      <c r="E111" s="26" t="inlineStr">
        <is>
          <t>m2</t>
        </is>
      </c>
      <c r="F111" s="100" t="n">
        <v>2449.13</v>
      </c>
      <c r="G111" s="100" t="n">
        <v>2706.13</v>
      </c>
      <c r="H111" s="100">
        <f>2134.54+229.37+172.06+56.68+23.7+89.78</f>
        <v/>
      </c>
      <c r="I111" s="100" t="n"/>
      <c r="J111" s="100">
        <f>G111-F111</f>
        <v/>
      </c>
      <c r="K111" s="100">
        <f>H111-F111</f>
        <v/>
      </c>
      <c r="L111" s="100">
        <f>H111-G111</f>
        <v/>
      </c>
      <c r="M111" s="37">
        <f>J111/F111</f>
        <v/>
      </c>
      <c r="N111" s="27" t="n">
        <v>4.06</v>
      </c>
      <c r="O111" s="27" t="n">
        <v>7.24</v>
      </c>
      <c r="P111" s="37">
        <f>(N111-O111)/O111</f>
        <v/>
      </c>
      <c r="Q111" s="100">
        <f>O111*0.9056*0.85</f>
        <v/>
      </c>
      <c r="R111" s="100">
        <f>O111*1.15</f>
        <v/>
      </c>
      <c r="S111" s="100">
        <f>IF(N111&lt;O111*0.9056*0.85,O111*0.9056*0.85,IF(N111&gt;O111*1.15,O111*1.15,N111))</f>
        <v/>
      </c>
      <c r="T111" s="100" t="n">
        <v>9943.469999999999</v>
      </c>
      <c r="U111" s="100" t="n">
        <v>11375.75</v>
      </c>
      <c r="V111" s="100">
        <f>T111+S111*K111</f>
        <v/>
      </c>
      <c r="W111" s="100">
        <f>U111-T111</f>
        <v/>
      </c>
      <c r="X111" s="100">
        <f>V111-T111</f>
        <v/>
      </c>
      <c r="Y111" s="100">
        <f>V111-U111</f>
        <v/>
      </c>
      <c r="Z111" s="26" t="n"/>
    </row>
    <row r="112" ht="20" customHeight="1" s="1">
      <c r="A112" s="26" t="n">
        <v>101</v>
      </c>
      <c r="B112" s="26" t="inlineStr">
        <is>
          <t>011001001001</t>
        </is>
      </c>
      <c r="C112" s="26" t="inlineStr">
        <is>
          <t>保温隔热屋面（屋4）</t>
        </is>
      </c>
      <c r="D112" s="26" t="inlineStr">
        <is>
          <t>1.50厚RC型B2级挤塑聚苯乙烯泡沫塑料板</t>
        </is>
      </c>
      <c r="E112" s="26" t="inlineStr">
        <is>
          <t>m2</t>
        </is>
      </c>
      <c r="F112" s="100" t="n">
        <v>242.44</v>
      </c>
      <c r="G112" s="100" t="n">
        <v>229.37</v>
      </c>
      <c r="H112" s="100" t="n">
        <v>229.37</v>
      </c>
      <c r="I112" s="100" t="n"/>
      <c r="J112" s="100">
        <f>G112-F112</f>
        <v/>
      </c>
      <c r="K112" s="100">
        <f>H112-F112</f>
        <v/>
      </c>
      <c r="L112" s="100">
        <f>H112-G112</f>
        <v/>
      </c>
      <c r="M112" s="37">
        <f>J112/F112</f>
        <v/>
      </c>
      <c r="N112" s="27" t="n">
        <v>30.02</v>
      </c>
      <c r="O112" s="27" t="n">
        <v>49.93</v>
      </c>
      <c r="P112" s="37">
        <f>(N112-O112)/O112</f>
        <v/>
      </c>
      <c r="Q112" s="100">
        <f>O112*0.9056*0.85</f>
        <v/>
      </c>
      <c r="R112" s="100">
        <f>O112*1.15</f>
        <v/>
      </c>
      <c r="S112" s="100">
        <f>IF(N112&lt;O112*0.9056*0.85,O112*0.9056*0.85,IF(N112&gt;O112*1.15,O112*1.15,N112))</f>
        <v/>
      </c>
      <c r="T112" s="100" t="n">
        <v>7278.05</v>
      </c>
      <c r="U112" s="100" t="n">
        <v>6775.61</v>
      </c>
      <c r="V112" s="100" t="n">
        <v>6775.61</v>
      </c>
      <c r="W112" s="100">
        <f>U112-T112</f>
        <v/>
      </c>
      <c r="X112" s="100">
        <f>V112-T112</f>
        <v/>
      </c>
      <c r="Y112" s="100">
        <f>V112-U112</f>
        <v/>
      </c>
      <c r="Z112" s="26" t="n"/>
    </row>
    <row r="113" ht="20" customHeight="1" s="1">
      <c r="A113" s="26" t="n"/>
      <c r="B113" s="26" t="n"/>
      <c r="C113" s="26" t="inlineStr">
        <is>
          <t>楼地面装饰工程</t>
        </is>
      </c>
      <c r="D113" s="26" t="n"/>
      <c r="E113" s="26" t="n"/>
      <c r="F113" s="100" t="n"/>
      <c r="G113" s="100" t="n"/>
      <c r="H113" s="100" t="n"/>
      <c r="I113" s="100" t="n"/>
      <c r="J113" s="100" t="n"/>
      <c r="K113" s="100" t="n"/>
      <c r="L113" s="100" t="n"/>
      <c r="M113" s="37" t="n"/>
      <c r="N113" s="27" t="n"/>
      <c r="O113" s="27" t="n"/>
      <c r="P113" s="37" t="n"/>
      <c r="Q113" s="100" t="n"/>
      <c r="R113" s="100" t="n"/>
      <c r="S113" s="100" t="n"/>
      <c r="T113" s="100" t="n">
        <v>852794.73</v>
      </c>
      <c r="U113" s="100" t="n">
        <v>850302.36</v>
      </c>
      <c r="V113" s="100">
        <f>+SUM(V114:V130)</f>
        <v/>
      </c>
      <c r="W113" s="100">
        <f>U113-T113</f>
        <v/>
      </c>
      <c r="X113" s="100">
        <f>V113-T113</f>
        <v/>
      </c>
      <c r="Y113" s="100">
        <f>V113-U113</f>
        <v/>
      </c>
      <c r="Z113" s="26" t="n"/>
      <c r="AA113" s="42" t="n"/>
    </row>
    <row r="114" ht="20" customHeight="1" s="1">
      <c r="A114" s="26" t="n">
        <v>102</v>
      </c>
      <c r="B114" s="26" t="inlineStr">
        <is>
          <t>011101001001</t>
        </is>
      </c>
      <c r="C114" s="26" t="inlineStr">
        <is>
          <t>水泥砂浆楼地面（地1）</t>
        </is>
      </c>
      <c r="D114" s="26" t="inlineStr">
        <is>
          <t>1.20厚M20水泥砂浆打底,加水泥粉随手抹光向地漏找坡
2.20~40厚C15素混凝土找坡兼找平水</t>
        </is>
      </c>
      <c r="E114" s="26" t="inlineStr">
        <is>
          <t>m2</t>
        </is>
      </c>
      <c r="F114" s="100" t="n">
        <v>15.72</v>
      </c>
      <c r="G114" s="100" t="n">
        <v>69.78</v>
      </c>
      <c r="H114" s="100" t="n">
        <v>69.78</v>
      </c>
      <c r="I114" s="100" t="n"/>
      <c r="J114" s="100">
        <f>G114-F114</f>
        <v/>
      </c>
      <c r="K114" s="100">
        <f>H114-F114</f>
        <v/>
      </c>
      <c r="L114" s="100">
        <f>H114-G114</f>
        <v/>
      </c>
      <c r="M114" s="37">
        <f>J114/F114</f>
        <v/>
      </c>
      <c r="N114" s="27" t="n">
        <v>64.92</v>
      </c>
      <c r="O114" s="27" t="n">
        <v>48.18</v>
      </c>
      <c r="P114" s="37">
        <f>(N114-O114)/O114</f>
        <v/>
      </c>
      <c r="Q114" s="100">
        <f>O114*0.9056*0.85</f>
        <v/>
      </c>
      <c r="R114" s="100">
        <f>O114*1.15</f>
        <v/>
      </c>
      <c r="S114" s="100">
        <f>IF(N114&lt;O114*0.9056*0.85,O114*0.9056*0.85,IF(N114&gt;O114*1.15,O114*1.15,N114))</f>
        <v/>
      </c>
      <c r="T114" s="100" t="n">
        <v>1020.46</v>
      </c>
      <c r="U114" s="100" t="n">
        <v>4016.02</v>
      </c>
      <c r="V114" s="100">
        <f>T114+S114*K114</f>
        <v/>
      </c>
      <c r="W114" s="100">
        <f>U114-T114</f>
        <v/>
      </c>
      <c r="X114" s="100">
        <f>V114-T114</f>
        <v/>
      </c>
      <c r="Y114" s="100">
        <f>V114-U114</f>
        <v/>
      </c>
      <c r="Z114" s="26" t="n"/>
    </row>
    <row r="115" ht="20" customFormat="1" customHeight="1" s="7">
      <c r="A115" s="26" t="n">
        <v>103</v>
      </c>
      <c r="B115" s="26" t="inlineStr">
        <is>
          <t>011101001002</t>
        </is>
      </c>
      <c r="C115" s="26" t="inlineStr">
        <is>
          <t>水泥砂浆楼地面（地1）（水电井）</t>
        </is>
      </c>
      <c r="D115" s="26" t="inlineStr">
        <is>
          <t>1.20厚M20水泥砂浆打底,加水泥粉随手抹光向地漏找坡</t>
        </is>
      </c>
      <c r="E115" s="26" t="inlineStr">
        <is>
          <t>m2</t>
        </is>
      </c>
      <c r="F115" s="100" t="n">
        <v>13.26</v>
      </c>
      <c r="G115" s="100" t="n">
        <v>17.16</v>
      </c>
      <c r="H115" s="100" t="n">
        <v>17.16</v>
      </c>
      <c r="I115" s="100" t="n"/>
      <c r="J115" s="100">
        <f>G115-F115</f>
        <v/>
      </c>
      <c r="K115" s="100">
        <f>H115-F115</f>
        <v/>
      </c>
      <c r="L115" s="100">
        <f>H115-G115</f>
        <v/>
      </c>
      <c r="M115" s="37">
        <f>J115/F115</f>
        <v/>
      </c>
      <c r="N115" s="27" t="n">
        <v>29.28</v>
      </c>
      <c r="O115" s="27" t="n">
        <v>24.37</v>
      </c>
      <c r="P115" s="37">
        <f>(N115-O115)/O115</f>
        <v/>
      </c>
      <c r="Q115" s="100">
        <f>O115*0.9056*0.85</f>
        <v/>
      </c>
      <c r="R115" s="100">
        <f>O115*1.15</f>
        <v/>
      </c>
      <c r="S115" s="100">
        <f>IF(N115&lt;O115*0.9056*0.85,O115*0.9056*0.85,IF(N115&gt;O115*1.15,O115*1.15,N115))</f>
        <v/>
      </c>
      <c r="T115" s="100" t="n">
        <v>388.25</v>
      </c>
      <c r="U115" s="100" t="n">
        <v>497.55</v>
      </c>
      <c r="V115" s="100" t="n">
        <v>497.55</v>
      </c>
      <c r="W115" s="100">
        <f>U115-T115</f>
        <v/>
      </c>
      <c r="X115" s="100">
        <f>V115-T115</f>
        <v/>
      </c>
      <c r="Y115" s="100">
        <f>V115-U115</f>
        <v/>
      </c>
      <c r="Z115" s="26" t="n"/>
    </row>
    <row r="116" ht="20" customHeight="1" s="1">
      <c r="A116" s="26" t="n">
        <v>104</v>
      </c>
      <c r="B116" s="26" t="inlineStr">
        <is>
          <t>011102003002</t>
        </is>
      </c>
      <c r="C116" s="26" t="inlineStr">
        <is>
          <t>块料楼地面（地2）</t>
        </is>
      </c>
      <c r="D116" s="26" t="inlineStr">
        <is>
          <t>1.400*400mm防滑地砖铺平拍实,纯水泥浆擦缝
2.15厚DSM15水泥砂浆结合层</t>
        </is>
      </c>
      <c r="E116" s="26" t="inlineStr">
        <is>
          <t>m2</t>
        </is>
      </c>
      <c r="F116" s="100" t="n">
        <v>609.25</v>
      </c>
      <c r="G116" s="100" t="n">
        <v>727.13</v>
      </c>
      <c r="H116" s="100" t="n">
        <v>727.13</v>
      </c>
      <c r="I116" s="100" t="n"/>
      <c r="J116" s="100">
        <f>G116-F116</f>
        <v/>
      </c>
      <c r="K116" s="100">
        <f>H116-F116</f>
        <v/>
      </c>
      <c r="L116" s="100">
        <f>H116-G116</f>
        <v/>
      </c>
      <c r="M116" s="37">
        <f>J116/F116</f>
        <v/>
      </c>
      <c r="N116" s="27" t="n">
        <v>112.13</v>
      </c>
      <c r="O116" s="27" t="n">
        <v>74.23999999999999</v>
      </c>
      <c r="P116" s="37">
        <f>(N116-O116)/O116</f>
        <v/>
      </c>
      <c r="Q116" s="100">
        <f>O116*0.9056*0.85</f>
        <v/>
      </c>
      <c r="R116" s="100">
        <f>O116*1.15</f>
        <v/>
      </c>
      <c r="S116" s="100">
        <f>IF(N116&lt;O116*0.9056*0.85,O116*0.9056*0.85,IF(N116&gt;O116*1.15,O116*1.15,N116))</f>
        <v/>
      </c>
      <c r="T116" s="100" t="n">
        <v>68315.75</v>
      </c>
      <c r="U116" s="100" t="n">
        <v>78379.57000000001</v>
      </c>
      <c r="V116" s="100" t="n">
        <v>78379.57000000001</v>
      </c>
      <c r="W116" s="100">
        <f>U116-T116</f>
        <v/>
      </c>
      <c r="X116" s="100">
        <f>V116-T116</f>
        <v/>
      </c>
      <c r="Y116" s="100">
        <f>V116-U116</f>
        <v/>
      </c>
      <c r="Z116" s="26" t="n"/>
    </row>
    <row r="117" ht="20" customHeight="1" s="1">
      <c r="A117" s="26" t="n">
        <v>105</v>
      </c>
      <c r="B117" s="26" t="inlineStr">
        <is>
          <t>011103002001</t>
        </is>
      </c>
      <c r="C117" s="26" t="inlineStr">
        <is>
          <t>橡胶板卷材楼地面（地4）</t>
        </is>
      </c>
      <c r="D117" s="26" t="inlineStr">
        <is>
          <t>1.成品2厚UPVC卷材(同质透心)专用粘合剂粘贴
2.20~45厚M20水泥砂浆,压实赶光
3.做法详见图纸</t>
        </is>
      </c>
      <c r="E117" s="26" t="inlineStr">
        <is>
          <t>m2</t>
        </is>
      </c>
      <c r="F117" s="100" t="n">
        <v>312.05</v>
      </c>
      <c r="G117" s="100" t="n">
        <v>313.35</v>
      </c>
      <c r="H117" s="100" t="n">
        <v>313.35</v>
      </c>
      <c r="I117" s="100" t="n"/>
      <c r="J117" s="100">
        <f>G117-F117</f>
        <v/>
      </c>
      <c r="K117" s="100">
        <f>H117-F117</f>
        <v/>
      </c>
      <c r="L117" s="100">
        <f>H117-G117</f>
        <v/>
      </c>
      <c r="M117" s="37">
        <f>J117/F117</f>
        <v/>
      </c>
      <c r="N117" s="27" t="n">
        <v>142.46</v>
      </c>
      <c r="O117" s="27" t="n">
        <v>223.87</v>
      </c>
      <c r="P117" s="37">
        <f>(N117-O117)/O117</f>
        <v/>
      </c>
      <c r="Q117" s="100">
        <f>O117*0.9056*0.85</f>
        <v/>
      </c>
      <c r="R117" s="100">
        <f>O117*1.15</f>
        <v/>
      </c>
      <c r="S117" s="100">
        <f>IF(N117&lt;O117*0.9056*0.85,O117*0.9056*0.85,IF(N117&gt;O117*1.15,O117*1.15,N117))</f>
        <v/>
      </c>
      <c r="T117" s="100" t="n">
        <v>44454.93</v>
      </c>
      <c r="U117" s="100" t="n">
        <v>44679.33</v>
      </c>
      <c r="V117" s="100">
        <f>T117+S117*K117</f>
        <v/>
      </c>
      <c r="W117" s="100">
        <f>U117-T117</f>
        <v/>
      </c>
      <c r="X117" s="100">
        <f>V117-T117</f>
        <v/>
      </c>
      <c r="Y117" s="100">
        <f>V117-U117</f>
        <v/>
      </c>
      <c r="Z117" s="26" t="n"/>
    </row>
    <row r="118" ht="20" customHeight="1" s="1">
      <c r="A118" s="26" t="n">
        <v>106</v>
      </c>
      <c r="B118" s="26" t="inlineStr">
        <is>
          <t>010507004001</t>
        </is>
      </c>
      <c r="C118" s="26" t="inlineStr">
        <is>
          <t>台阶</t>
        </is>
      </c>
      <c r="D118" s="26" t="inlineStr">
        <is>
          <t>1.阶梯教室台阶地面
2.C15混凝土
3.具体详尽施工设计图</t>
        </is>
      </c>
      <c r="E118" s="26" t="inlineStr">
        <is>
          <t>m3</t>
        </is>
      </c>
      <c r="F118" s="100" t="n">
        <v>29.84</v>
      </c>
      <c r="G118" s="100" t="n">
        <v>31.74</v>
      </c>
      <c r="H118" s="100" t="n">
        <v>31.71</v>
      </c>
      <c r="I118" s="100" t="n"/>
      <c r="J118" s="100">
        <f>G118-F118</f>
        <v/>
      </c>
      <c r="K118" s="100">
        <f>H118-F118</f>
        <v/>
      </c>
      <c r="L118" s="100">
        <f>H118-G118</f>
        <v/>
      </c>
      <c r="M118" s="37">
        <f>J118/F118</f>
        <v/>
      </c>
      <c r="N118" s="27" t="n">
        <v>652.85</v>
      </c>
      <c r="O118" s="27" t="n">
        <v>856.45</v>
      </c>
      <c r="P118" s="37">
        <f>(N118-O118)/O118</f>
        <v/>
      </c>
      <c r="Q118" s="100">
        <f>O118*0.9056*0.85</f>
        <v/>
      </c>
      <c r="R118" s="100">
        <f>O118*1.15</f>
        <v/>
      </c>
      <c r="S118" s="100">
        <f>IF(N118&lt;O118*0.9056*0.85,O118*0.9056*0.85,IF(N118&gt;O118*1.15,O118*1.15,N118))</f>
        <v/>
      </c>
      <c r="T118" s="100" t="n">
        <v>19482.35</v>
      </c>
      <c r="U118" s="100" t="n">
        <v>20731.91</v>
      </c>
      <c r="V118" s="100">
        <f>T118+S118*K118</f>
        <v/>
      </c>
      <c r="W118" s="100">
        <f>U118-T118</f>
        <v/>
      </c>
      <c r="X118" s="100">
        <f>V118-T118</f>
        <v/>
      </c>
      <c r="Y118" s="100">
        <f>V118-U118</f>
        <v/>
      </c>
      <c r="Z118" s="26" t="n"/>
    </row>
    <row r="119" ht="20" customHeight="1" s="1">
      <c r="A119" s="26" t="n">
        <v>107</v>
      </c>
      <c r="B119" s="26" t="inlineStr">
        <is>
          <t>011104002001</t>
        </is>
      </c>
      <c r="C119" s="26" t="inlineStr">
        <is>
          <t>竹、木(复合)地板（地7）</t>
        </is>
      </c>
      <c r="D119" s="26" t="inlineStr">
        <is>
          <t>1.1200*150*20mm舞台专业木地板
2.24MM厚弹性龙骨，详见附图《T15R运动地板技术参数》
3.其他做法详见图纸</t>
        </is>
      </c>
      <c r="E119" s="26" t="inlineStr">
        <is>
          <t>m2</t>
        </is>
      </c>
      <c r="F119" s="100" t="n">
        <v>91.8</v>
      </c>
      <c r="G119" s="100" t="n">
        <v>114.81</v>
      </c>
      <c r="H119" s="100" t="n">
        <v>107.87</v>
      </c>
      <c r="I119" s="100" t="n"/>
      <c r="J119" s="100">
        <f>G119-F119</f>
        <v/>
      </c>
      <c r="K119" s="100">
        <f>H119-F119</f>
        <v/>
      </c>
      <c r="L119" s="100">
        <f>H119-G119</f>
        <v/>
      </c>
      <c r="M119" s="37">
        <f>J119/F119</f>
        <v/>
      </c>
      <c r="N119" s="27" t="n">
        <v>296.71</v>
      </c>
      <c r="O119" s="27" t="n">
        <v>528</v>
      </c>
      <c r="P119" s="37">
        <f>(N119-O119)/O119</f>
        <v/>
      </c>
      <c r="Q119" s="100">
        <f>O119*0.9056*0.85</f>
        <v/>
      </c>
      <c r="R119" s="100">
        <f>O119*1.15</f>
        <v/>
      </c>
      <c r="S119" s="100">
        <f>IF(N119&lt;O119*0.9056*0.85,O119*0.9056*0.85,IF(N119&gt;O119*1.15,O119*1.15,N119))</f>
        <v/>
      </c>
      <c r="T119" s="100" t="n">
        <v>27237.98</v>
      </c>
      <c r="U119" s="100" t="n">
        <v>36588.46</v>
      </c>
      <c r="V119" s="100">
        <f>T119+S119*K119</f>
        <v/>
      </c>
      <c r="W119" s="100">
        <f>U119-T119</f>
        <v/>
      </c>
      <c r="X119" s="100">
        <f>V119-T119</f>
        <v/>
      </c>
      <c r="Y119" s="100">
        <f>V119-U119</f>
        <v/>
      </c>
      <c r="Z119" s="26" t="n"/>
      <c r="AA119" s="42" t="inlineStr">
        <is>
          <t>复核室外阶梯是否做木地板</t>
        </is>
      </c>
    </row>
    <row r="120" ht="20" customHeight="1" s="1">
      <c r="A120" s="26" t="n">
        <v>108</v>
      </c>
      <c r="B120" s="26" t="inlineStr">
        <is>
          <t>011104002002</t>
        </is>
      </c>
      <c r="C120" s="26" t="inlineStr">
        <is>
          <t>运动木地板</t>
        </is>
      </c>
      <c r="D120" s="26" t="inlineStr">
        <is>
          <t>1.1800*62*22mm厚运动木地板
2.24MM厚弹性龙骨，详见附图《T15R运动地板技术参数》
3.含面层造型线
4.其他做法详见图纸</t>
        </is>
      </c>
      <c r="E120" s="26" t="inlineStr">
        <is>
          <t>m2</t>
        </is>
      </c>
      <c r="F120" s="100" t="n">
        <v>1026.02</v>
      </c>
      <c r="G120" s="100" t="n">
        <v>1025.87</v>
      </c>
      <c r="H120" s="100" t="n">
        <v>1025.87</v>
      </c>
      <c r="I120" s="100" t="n"/>
      <c r="J120" s="100">
        <f>G120-F120</f>
        <v/>
      </c>
      <c r="K120" s="100">
        <f>H120-F120</f>
        <v/>
      </c>
      <c r="L120" s="100">
        <f>H120-G120</f>
        <v/>
      </c>
      <c r="M120" s="37">
        <f>J120/F120</f>
        <v/>
      </c>
      <c r="N120" s="27" t="n">
        <v>296.71</v>
      </c>
      <c r="O120" s="27" t="n">
        <v>530.46</v>
      </c>
      <c r="P120" s="37">
        <f>(N120-O120)/O120</f>
        <v/>
      </c>
      <c r="Q120" s="100">
        <f>O120*0.9056*0.85</f>
        <v/>
      </c>
      <c r="R120" s="100">
        <f>O120*1.15</f>
        <v/>
      </c>
      <c r="S120" s="100">
        <f>IF(N120&lt;O120*0.9056*0.85,O120*0.9056*0.85,IF(N120&gt;O120*1.15,O120*1.15,N120))</f>
        <v/>
      </c>
      <c r="T120" s="100" t="n">
        <v>304430.39</v>
      </c>
      <c r="U120" s="100" t="n">
        <v>304368.12</v>
      </c>
      <c r="V120" s="100" t="n">
        <v>304368.12</v>
      </c>
      <c r="W120" s="100">
        <f>U120-T120</f>
        <v/>
      </c>
      <c r="X120" s="100">
        <f>V120-T120</f>
        <v/>
      </c>
      <c r="Y120" s="100">
        <f>V120-U120</f>
        <v/>
      </c>
      <c r="Z120" s="26" t="n"/>
    </row>
    <row r="121" ht="20" customHeight="1" s="1">
      <c r="A121" s="26" t="n">
        <v>109</v>
      </c>
      <c r="B121" s="26" t="inlineStr">
        <is>
          <t>011102003003</t>
        </is>
      </c>
      <c r="C121" s="26" t="inlineStr">
        <is>
          <t>块料楼地面（地8）</t>
        </is>
      </c>
      <c r="D121" s="26" t="inlineStr">
        <is>
          <t>1.楼地面铺贴800X800mm仿古地砖,面用白水泥擦缝
2.30厚1:3干硬性水泥砂浆结合层
3.3厚ALE隔声涂料
4.其他做法详见图纸</t>
        </is>
      </c>
      <c r="E121" s="26" t="inlineStr">
        <is>
          <t>m2</t>
        </is>
      </c>
      <c r="F121" s="100" t="n">
        <v>1293.78</v>
      </c>
      <c r="G121" s="100" t="n">
        <v>1285.93</v>
      </c>
      <c r="H121" s="100" t="n">
        <v>1283.96</v>
      </c>
      <c r="I121" s="100" t="n"/>
      <c r="J121" s="100">
        <f>G121-F121</f>
        <v/>
      </c>
      <c r="K121" s="100">
        <f>H121-F121</f>
        <v/>
      </c>
      <c r="L121" s="100">
        <f>H121-G121</f>
        <v/>
      </c>
      <c r="M121" s="37">
        <f>J121/F121</f>
        <v/>
      </c>
      <c r="N121" s="27" t="n">
        <v>167.91</v>
      </c>
      <c r="O121" s="27" t="n">
        <v>181.82</v>
      </c>
      <c r="P121" s="37">
        <f>(N121-O121)/O121</f>
        <v/>
      </c>
      <c r="Q121" s="100">
        <f>O121*0.9056*0.85</f>
        <v/>
      </c>
      <c r="R121" s="100">
        <f>O121*1.15</f>
        <v/>
      </c>
      <c r="S121" s="100">
        <f>IF(N121&lt;O121*0.9056*0.85,O121*0.9056*0.85,IF(N121&gt;O121*1.15,O121*1.15,N121))</f>
        <v/>
      </c>
      <c r="T121" s="100" t="n">
        <v>217238.1</v>
      </c>
      <c r="U121" s="100" t="n">
        <v>215920.94</v>
      </c>
      <c r="V121" s="100">
        <f>T121+S121*K121</f>
        <v/>
      </c>
      <c r="W121" s="100">
        <f>U121-T121</f>
        <v/>
      </c>
      <c r="X121" s="100">
        <f>V121-T121</f>
        <v/>
      </c>
      <c r="Y121" s="100">
        <f>V121-U121</f>
        <v/>
      </c>
      <c r="Z121" s="26" t="n"/>
    </row>
    <row r="122" ht="20" customHeight="1" s="1">
      <c r="A122" s="26" t="n">
        <v>110</v>
      </c>
      <c r="B122" s="26" t="inlineStr">
        <is>
          <t>011102003004</t>
        </is>
      </c>
      <c r="C122" s="26" t="inlineStr">
        <is>
          <t>块料楼地面</t>
        </is>
      </c>
      <c r="D122" s="26" t="inlineStr">
        <is>
          <t>1.仿古地砖门槛石
2.30厚1:3干硬性水泥砂浆结合层
3.3厚ALE隔声涂料
4.其他做法详见图纸</t>
        </is>
      </c>
      <c r="E122" s="26" t="inlineStr">
        <is>
          <t>m2</t>
        </is>
      </c>
      <c r="F122" s="100" t="n">
        <v>2.32</v>
      </c>
      <c r="G122" s="100" t="n">
        <v>2.32</v>
      </c>
      <c r="H122" s="100" t="n">
        <v>0.42</v>
      </c>
      <c r="I122" s="100" t="n"/>
      <c r="J122" s="100">
        <f>G122-F122</f>
        <v/>
      </c>
      <c r="K122" s="100">
        <f>H122-F122</f>
        <v/>
      </c>
      <c r="L122" s="100">
        <f>H122-G122</f>
        <v/>
      </c>
      <c r="M122" s="37">
        <f>J122/F122</f>
        <v/>
      </c>
      <c r="N122" s="27" t="n">
        <v>220.22</v>
      </c>
      <c r="O122" s="27" t="n">
        <v>249.18</v>
      </c>
      <c r="P122" s="37">
        <f>(N122-O122)/O122</f>
        <v/>
      </c>
      <c r="Q122" s="100">
        <f>O122*0.9056*0.85</f>
        <v/>
      </c>
      <c r="R122" s="100">
        <f>O122*1.15</f>
        <v/>
      </c>
      <c r="S122" s="100">
        <f>IF(N122&lt;O122*0.9056*0.85,O122*0.9056*0.85,IF(N122&gt;O122*1.15,O122*1.15,N122))</f>
        <v/>
      </c>
      <c r="T122" s="100" t="n">
        <v>510.91</v>
      </c>
      <c r="U122" s="100" t="n">
        <v>510.91</v>
      </c>
      <c r="V122" s="100">
        <f>T122+S122*K122</f>
        <v/>
      </c>
      <c r="W122" s="100">
        <f>U122-T122</f>
        <v/>
      </c>
      <c r="X122" s="100">
        <f>V122-T122</f>
        <v/>
      </c>
      <c r="Y122" s="100">
        <f>V122-U122</f>
        <v/>
      </c>
      <c r="Z122" s="26" t="n"/>
    </row>
    <row r="123" ht="20" customHeight="1" s="1">
      <c r="A123" s="26" t="n">
        <v>111</v>
      </c>
      <c r="B123" s="26" t="inlineStr">
        <is>
          <t>011102003005</t>
        </is>
      </c>
      <c r="C123" s="26" t="inlineStr">
        <is>
          <t>块料楼地面</t>
        </is>
      </c>
      <c r="D123" s="26" t="inlineStr">
        <is>
          <t>1.楼地面铺贴600X600mm仿古地砖,面用白水泥擦缝
2.30厚1:3干硬性水泥砂浆结合层
3.3厚ALE隔声涂料
4.做法详见图纸</t>
        </is>
      </c>
      <c r="E123" s="26" t="inlineStr">
        <is>
          <t>m2</t>
        </is>
      </c>
      <c r="F123" s="100" t="n">
        <v>23.76</v>
      </c>
      <c r="G123" s="100" t="n">
        <v>23.47</v>
      </c>
      <c r="H123" s="100" t="n">
        <v>23.47</v>
      </c>
      <c r="I123" s="100" t="n"/>
      <c r="J123" s="100">
        <f>G123-F123</f>
        <v/>
      </c>
      <c r="K123" s="100">
        <f>H123-F123</f>
        <v/>
      </c>
      <c r="L123" s="100">
        <f>H123-G123</f>
        <v/>
      </c>
      <c r="M123" s="37">
        <f>J123/F123</f>
        <v/>
      </c>
      <c r="N123" s="27" t="n">
        <v>139.46</v>
      </c>
      <c r="O123" s="27" t="n">
        <v>162.88</v>
      </c>
      <c r="P123" s="37">
        <f>(N123-O123)/O123</f>
        <v/>
      </c>
      <c r="Q123" s="100">
        <f>O123*0.9056*0.85</f>
        <v/>
      </c>
      <c r="R123" s="100">
        <f>O123*1.15</f>
        <v/>
      </c>
      <c r="S123" s="100">
        <f>IF(N123&lt;O123*0.9056*0.85,O123*0.9056*0.85,IF(N123&gt;O123*1.15,O123*1.15,N123))</f>
        <v/>
      </c>
      <c r="T123" s="100" t="n">
        <v>3313.47</v>
      </c>
      <c r="U123" s="100" t="n">
        <v>3272.54</v>
      </c>
      <c r="V123" s="100" t="n">
        <v>3272.54</v>
      </c>
      <c r="W123" s="100">
        <f>U123-T123</f>
        <v/>
      </c>
      <c r="X123" s="100">
        <f>V123-T123</f>
        <v/>
      </c>
      <c r="Y123" s="100">
        <f>V123-U123</f>
        <v/>
      </c>
      <c r="Z123" s="26" t="n"/>
    </row>
    <row r="124" ht="20" customHeight="1" s="1">
      <c r="A124" s="26" t="n">
        <v>112</v>
      </c>
      <c r="B124" s="26" t="inlineStr">
        <is>
          <t>011102003006</t>
        </is>
      </c>
      <c r="C124" s="26" t="inlineStr">
        <is>
          <t>块料楼地面（地10）</t>
        </is>
      </c>
      <c r="D124" s="26" t="inlineStr">
        <is>
          <t>1.8~10厚防滑地砖铺实拍平,水泥砂浆填缝
2.30厚1:3干硬性水泥砂浆结合层
3.做法详见图纸</t>
        </is>
      </c>
      <c r="E124" s="26" t="inlineStr">
        <is>
          <t>m2</t>
        </is>
      </c>
      <c r="F124" s="100" t="n">
        <v>860.3200000000001</v>
      </c>
      <c r="G124" s="100" t="n">
        <v>762.89</v>
      </c>
      <c r="H124" s="100" t="n">
        <v>762.5599999999999</v>
      </c>
      <c r="I124" s="100" t="n"/>
      <c r="J124" s="100">
        <f>G124-F124</f>
        <v/>
      </c>
      <c r="K124" s="100">
        <f>H124-F124</f>
        <v/>
      </c>
      <c r="L124" s="100">
        <f>H124-G124</f>
        <v/>
      </c>
      <c r="M124" s="37">
        <f>J124/F124</f>
        <v/>
      </c>
      <c r="N124" s="27" t="n">
        <v>129.21</v>
      </c>
      <c r="O124" s="27" t="n">
        <v>90.73</v>
      </c>
      <c r="P124" s="37">
        <f>(N124-O124)/O124</f>
        <v/>
      </c>
      <c r="Q124" s="100">
        <f>O124*0.9056*0.85</f>
        <v/>
      </c>
      <c r="R124" s="100">
        <f>O124*1.15</f>
        <v/>
      </c>
      <c r="S124" s="100">
        <f>IF(N124&lt;O124*0.9056*0.85,O124*0.9056*0.85,IF(N124&gt;O124*1.15,O124*1.15,N124))</f>
        <v/>
      </c>
      <c r="T124" s="100" t="n">
        <v>111162.35</v>
      </c>
      <c r="U124" s="100" t="n">
        <v>100996.22</v>
      </c>
      <c r="V124" s="100">
        <f>T124+S124*K124</f>
        <v/>
      </c>
      <c r="W124" s="100">
        <f>U124-T124</f>
        <v/>
      </c>
      <c r="X124" s="100">
        <f>V124-T124</f>
        <v/>
      </c>
      <c r="Y124" s="100">
        <f>V124-U124</f>
        <v/>
      </c>
      <c r="Z124" s="26" t="n"/>
    </row>
    <row r="125" ht="20" customHeight="1" s="1">
      <c r="A125" s="26" t="n">
        <v>113</v>
      </c>
      <c r="B125" s="26" t="inlineStr">
        <is>
          <t>011106002001</t>
        </is>
      </c>
      <c r="C125" s="26" t="inlineStr">
        <is>
          <t>块料楼梯面层（地10）</t>
        </is>
      </c>
      <c r="D125" s="26" t="inlineStr">
        <is>
          <t>1.楼梯面层
2.8~10厚防滑地砖铺实拍平,水泥砂浆填缝
3.30厚1:3干硬性水泥砂浆结合层
4.做法详见图纸</t>
        </is>
      </c>
      <c r="E125" s="26" t="inlineStr">
        <is>
          <t>m2</t>
        </is>
      </c>
      <c r="F125" s="100" t="n">
        <v>163.06</v>
      </c>
      <c r="G125" s="100" t="n">
        <v>60.62</v>
      </c>
      <c r="H125" s="100" t="n">
        <v>60.62</v>
      </c>
      <c r="I125" s="100" t="n"/>
      <c r="J125" s="100">
        <f>G125-F125</f>
        <v/>
      </c>
      <c r="K125" s="100">
        <f>H125-F125</f>
        <v/>
      </c>
      <c r="L125" s="100">
        <f>H125-G125</f>
        <v/>
      </c>
      <c r="M125" s="37">
        <f>J125/F125</f>
        <v/>
      </c>
      <c r="N125" s="27" t="n">
        <v>256.98</v>
      </c>
      <c r="O125" s="27" t="n">
        <v>212.4</v>
      </c>
      <c r="P125" s="37">
        <f>(N125-O125)/O125</f>
        <v/>
      </c>
      <c r="Q125" s="100">
        <f>O125*0.9056*0.85</f>
        <v/>
      </c>
      <c r="R125" s="100">
        <f>O125*1.15</f>
        <v/>
      </c>
      <c r="S125" s="100">
        <f>IF(N125&lt;O125*0.9056*0.85,O125*0.9056*0.85,IF(N125&gt;O125*1.15,O125*1.15,N125))</f>
        <v/>
      </c>
      <c r="T125" s="100" t="n">
        <v>41903.16</v>
      </c>
      <c r="U125" s="100" t="n">
        <v>16882.14</v>
      </c>
      <c r="V125" s="100">
        <f>T125+S125*K125</f>
        <v/>
      </c>
      <c r="W125" s="100">
        <f>U125-T125</f>
        <v/>
      </c>
      <c r="X125" s="100">
        <f>V125-T125</f>
        <v/>
      </c>
      <c r="Y125" s="100">
        <f>V125-U125</f>
        <v/>
      </c>
      <c r="Z125" s="5" t="n"/>
    </row>
    <row r="126" ht="20" customHeight="1" s="1">
      <c r="A126" s="26" t="n">
        <v>114</v>
      </c>
      <c r="B126" s="26" t="inlineStr">
        <is>
          <t>011105003001</t>
        </is>
      </c>
      <c r="C126" s="26" t="inlineStr">
        <is>
          <t>块料踢脚线</t>
        </is>
      </c>
      <c r="D126" s="26" t="inlineStr">
        <is>
          <t>1.5-10mm厚地砖踢脚线，稀水泥浆（或彩色水泥浆）擦缝
2.9mm厚M20水泥砂浆粘接层（内掺建筑胶）
3.高度:120mm</t>
        </is>
      </c>
      <c r="E126" s="26" t="inlineStr">
        <is>
          <t>m2</t>
        </is>
      </c>
      <c r="F126" s="100" t="n">
        <v>14.69</v>
      </c>
      <c r="G126" s="100" t="n">
        <v>27.2</v>
      </c>
      <c r="H126" s="100">
        <f>21.5+5.7</f>
        <v/>
      </c>
      <c r="I126" s="100" t="n"/>
      <c r="J126" s="100">
        <f>G126-F126</f>
        <v/>
      </c>
      <c r="K126" s="100">
        <f>H126-F126</f>
        <v/>
      </c>
      <c r="L126" s="100">
        <f>H126-G126</f>
        <v/>
      </c>
      <c r="M126" s="37">
        <f>J126/F126</f>
        <v/>
      </c>
      <c r="N126" s="27" t="n">
        <v>103.72</v>
      </c>
      <c r="O126" s="27" t="n">
        <v>127.05</v>
      </c>
      <c r="P126" s="37">
        <f>(N126-O126)/O126</f>
        <v/>
      </c>
      <c r="Q126" s="100">
        <f>O126*0.9056*0.85</f>
        <v/>
      </c>
      <c r="R126" s="100">
        <f>O126*1.15</f>
        <v/>
      </c>
      <c r="S126" s="100">
        <f>IF(N126&lt;O126*0.9056*0.85,O126*0.9056*0.85,IF(N126&gt;O126*1.15,O126*1.15,N126))</f>
        <v/>
      </c>
      <c r="T126" s="100" t="n">
        <v>1524.06</v>
      </c>
      <c r="U126" s="100" t="n">
        <v>2821.24</v>
      </c>
      <c r="V126" s="100" t="n">
        <v>2821.24</v>
      </c>
      <c r="W126" s="100">
        <f>U126-T126</f>
        <v/>
      </c>
      <c r="X126" s="100">
        <f>V126-T126</f>
        <v/>
      </c>
      <c r="Y126" s="100">
        <f>V126-U126</f>
        <v/>
      </c>
      <c r="Z126" s="26" t="n"/>
    </row>
    <row r="127" ht="20" customHeight="1" s="1">
      <c r="A127" s="26" t="n">
        <v>115</v>
      </c>
      <c r="B127" s="26" t="inlineStr">
        <is>
          <t>011105003002</t>
        </is>
      </c>
      <c r="C127" s="26" t="inlineStr">
        <is>
          <t>块料踢脚线</t>
        </is>
      </c>
      <c r="D127" s="26" t="inlineStr">
        <is>
          <t>1.木纹砖地脚线，稀水泥浆（或彩色水泥浆）擦缝
2.9mm厚M20水泥砂浆粘接层（内掺建筑胶）
3.高度:100mm</t>
        </is>
      </c>
      <c r="E127" s="26" t="inlineStr">
        <is>
          <t>m2</t>
        </is>
      </c>
      <c r="F127" s="100" t="n">
        <v>2.86</v>
      </c>
      <c r="G127" s="100" t="n">
        <v>8.83</v>
      </c>
      <c r="H127" s="100" t="n">
        <v>8.82</v>
      </c>
      <c r="I127" s="100" t="n"/>
      <c r="J127" s="100">
        <f>G127-F127</f>
        <v/>
      </c>
      <c r="K127" s="100">
        <f>H127-F127</f>
        <v/>
      </c>
      <c r="L127" s="100">
        <f>H127-G127</f>
        <v/>
      </c>
      <c r="M127" s="37">
        <f>J127/F127</f>
        <v/>
      </c>
      <c r="N127" s="27" t="n">
        <v>98.75</v>
      </c>
      <c r="O127" s="27" t="n">
        <v>116.9</v>
      </c>
      <c r="P127" s="37">
        <f>(N127-O127)/O127</f>
        <v/>
      </c>
      <c r="Q127" s="100">
        <f>O127*0.9056*0.85</f>
        <v/>
      </c>
      <c r="R127" s="100">
        <f>O127*1.15</f>
        <v/>
      </c>
      <c r="S127" s="100">
        <f>IF(N127&lt;O127*0.9056*0.85,O127*0.9056*0.85,IF(N127&gt;O127*1.15,O127*1.15,N127))</f>
        <v/>
      </c>
      <c r="T127" s="100" t="n">
        <v>282.83</v>
      </c>
      <c r="U127" s="100" t="n">
        <v>871.49</v>
      </c>
      <c r="V127" s="100">
        <f>T127+S127*K127</f>
        <v/>
      </c>
      <c r="W127" s="100">
        <f>U127-T127</f>
        <v/>
      </c>
      <c r="X127" s="100">
        <f>V127-T127</f>
        <v/>
      </c>
      <c r="Y127" s="100">
        <f>V127-U127</f>
        <v/>
      </c>
      <c r="Z127" s="26" t="n"/>
    </row>
    <row r="128" ht="20" customHeight="1" s="1">
      <c r="A128" s="26" t="n">
        <v>116</v>
      </c>
      <c r="B128" s="26" t="inlineStr">
        <is>
          <t>011105006001</t>
        </is>
      </c>
      <c r="C128" s="26" t="inlineStr">
        <is>
          <t>金属踢脚线</t>
        </is>
      </c>
      <c r="D128" s="26" t="inlineStr">
        <is>
          <t>1.100mm高1.0mm厚深灰色磨砂不锈钢踢脚线
2.其他详见施工设计图</t>
        </is>
      </c>
      <c r="E128" s="26" t="inlineStr">
        <is>
          <t>m2</t>
        </is>
      </c>
      <c r="F128" s="100" t="n">
        <v>19.35</v>
      </c>
      <c r="G128" s="100" t="n">
        <v>29.34</v>
      </c>
      <c r="H128" s="100">
        <f>29.31</f>
        <v/>
      </c>
      <c r="I128" s="100" t="n"/>
      <c r="J128" s="100">
        <f>G128-F128</f>
        <v/>
      </c>
      <c r="K128" s="100">
        <f>H128-F128</f>
        <v/>
      </c>
      <c r="L128" s="100">
        <f>H128-G128</f>
        <v/>
      </c>
      <c r="M128" s="37">
        <f>J128/F128</f>
        <v/>
      </c>
      <c r="N128" s="27" t="n">
        <v>392.29</v>
      </c>
      <c r="O128" s="27" t="n">
        <v>287.46</v>
      </c>
      <c r="P128" s="37">
        <f>(N128-O128)/O128</f>
        <v/>
      </c>
      <c r="Q128" s="100">
        <f>O128*0.9056*0.85</f>
        <v/>
      </c>
      <c r="R128" s="100">
        <f>O128*1.15</f>
        <v/>
      </c>
      <c r="S128" s="100">
        <f>IF(N128&lt;O128*0.9056*0.85,O128*0.9056*0.85,IF(N128&gt;O128*1.15,O128*1.15,N128))</f>
        <v/>
      </c>
      <c r="T128" s="100" t="n">
        <v>7591.2</v>
      </c>
      <c r="U128" s="100" t="n">
        <v>10893.26</v>
      </c>
      <c r="V128" s="100">
        <f>T128+S128*K128</f>
        <v/>
      </c>
      <c r="W128" s="100">
        <f>U128-T128</f>
        <v/>
      </c>
      <c r="X128" s="100">
        <f>V128-T128</f>
        <v/>
      </c>
      <c r="Y128" s="100">
        <f>V128-U128</f>
        <v/>
      </c>
      <c r="Z128" s="26" t="n"/>
    </row>
    <row r="129" ht="20" customHeight="1" s="1">
      <c r="A129" s="26" t="n">
        <v>117</v>
      </c>
      <c r="B129" s="26" t="inlineStr">
        <is>
          <t>011105006002</t>
        </is>
      </c>
      <c r="C129" s="26" t="inlineStr">
        <is>
          <t>金属踢脚线</t>
        </is>
      </c>
      <c r="D129" s="26" t="inlineStr">
        <is>
          <t>1.100mm高1.2mm厚原色拉丝不锈钢踢脚线
2.其他详见施工设计图</t>
        </is>
      </c>
      <c r="E129" s="26" t="inlineStr">
        <is>
          <t>m2</t>
        </is>
      </c>
      <c r="F129" s="100" t="n">
        <v>3.14</v>
      </c>
      <c r="G129" s="100" t="n">
        <v>16</v>
      </c>
      <c r="H129" s="100">
        <f>16</f>
        <v/>
      </c>
      <c r="I129" s="100" t="n"/>
      <c r="J129" s="100">
        <f>G129-F129</f>
        <v/>
      </c>
      <c r="K129" s="100">
        <f>H129-F129</f>
        <v/>
      </c>
      <c r="L129" s="100">
        <f>H129-G129</f>
        <v/>
      </c>
      <c r="M129" s="37">
        <f>J129/F129</f>
        <v/>
      </c>
      <c r="N129" s="27" t="n">
        <v>392.29</v>
      </c>
      <c r="O129" s="27" t="n">
        <v>333.66</v>
      </c>
      <c r="P129" s="37">
        <f>(N129-O129)/O129</f>
        <v/>
      </c>
      <c r="Q129" s="100">
        <f>O129*0.9056*0.85</f>
        <v/>
      </c>
      <c r="R129" s="100">
        <f>O129*1.15</f>
        <v/>
      </c>
      <c r="S129" s="100">
        <f>IF(N129&lt;O129*0.9056*0.85,O129*0.9056*0.85,IF(N129&gt;O129*1.15,O129*1.15,N129))</f>
        <v/>
      </c>
      <c r="T129" s="100" t="n">
        <v>1230.61</v>
      </c>
      <c r="U129" s="100" t="n">
        <v>6164.73</v>
      </c>
      <c r="V129" s="100" t="n">
        <v>6164.73</v>
      </c>
      <c r="W129" s="100">
        <f>U129-T129</f>
        <v/>
      </c>
      <c r="X129" s="100">
        <f>V129-T129</f>
        <v/>
      </c>
      <c r="Y129" s="100">
        <f>V129-U129</f>
        <v/>
      </c>
      <c r="Z129" s="26" t="n"/>
    </row>
    <row r="130" ht="20" customHeight="1" s="1">
      <c r="A130" s="26" t="n">
        <v>118</v>
      </c>
      <c r="B130" s="26" t="inlineStr">
        <is>
          <t>011105005001</t>
        </is>
      </c>
      <c r="C130" s="26" t="inlineStr">
        <is>
          <t>木质踢脚线</t>
        </is>
      </c>
      <c r="D130" s="26" t="inlineStr">
        <is>
          <t>1.100mm实木板踢脚线
2.其他详见施工设计图</t>
        </is>
      </c>
      <c r="E130" s="26" t="inlineStr">
        <is>
          <t>m2</t>
        </is>
      </c>
      <c r="F130" s="100" t="n">
        <v>9.960000000000001</v>
      </c>
      <c r="G130" s="100" t="n">
        <v>9.960000000000001</v>
      </c>
      <c r="H130" s="100" t="n">
        <v>2.51</v>
      </c>
      <c r="I130" s="100" t="n"/>
      <c r="J130" s="100">
        <f>G130-F130</f>
        <v/>
      </c>
      <c r="K130" s="100">
        <f>H130-F130</f>
        <v/>
      </c>
      <c r="L130" s="100">
        <f>H130-G130</f>
        <v/>
      </c>
      <c r="M130" s="37">
        <f>J130/F130</f>
        <v/>
      </c>
      <c r="N130" s="27" t="n">
        <v>271.88</v>
      </c>
      <c r="O130" s="27" t="n">
        <v>392.16</v>
      </c>
      <c r="P130" s="37">
        <f>(N130-O130)/O130</f>
        <v/>
      </c>
      <c r="Q130" s="100">
        <f>O130*0.9056*0.85</f>
        <v/>
      </c>
      <c r="R130" s="100">
        <f>O130*1.15</f>
        <v/>
      </c>
      <c r="S130" s="100">
        <f>IF(N130&lt;O130*0.9056*0.85,O130*0.9056*0.85,IF(N130&gt;O130*1.15,O130*1.15,N130))</f>
        <v/>
      </c>
      <c r="T130" s="100" t="n">
        <v>2707.92</v>
      </c>
      <c r="U130" s="100" t="n">
        <v>2707.92</v>
      </c>
      <c r="V130" s="100">
        <f>T130+S130*K130</f>
        <v/>
      </c>
      <c r="W130" s="100">
        <f>U130-T130</f>
        <v/>
      </c>
      <c r="X130" s="100">
        <f>V130-T130</f>
        <v/>
      </c>
      <c r="Y130" s="100">
        <f>V130-U130</f>
        <v/>
      </c>
      <c r="Z130" s="26" t="n"/>
    </row>
    <row r="131" ht="20" customHeight="1" s="1">
      <c r="A131" s="26" t="n"/>
      <c r="B131" s="26" t="n"/>
      <c r="C131" s="26" t="inlineStr">
        <is>
          <t>墙、柱面装饰与隔断、幕墙工程</t>
        </is>
      </c>
      <c r="D131" s="26" t="n"/>
      <c r="E131" s="26" t="n"/>
      <c r="F131" s="100" t="n"/>
      <c r="G131" s="100" t="n"/>
      <c r="H131" s="100" t="n"/>
      <c r="I131" s="100" t="n"/>
      <c r="J131" s="100" t="n"/>
      <c r="K131" s="100" t="n"/>
      <c r="L131" s="100" t="n"/>
      <c r="M131" s="37" t="n"/>
      <c r="N131" s="27" t="n"/>
      <c r="O131" s="27" t="n"/>
      <c r="P131" s="37" t="n"/>
      <c r="Q131" s="100" t="n"/>
      <c r="R131" s="100" t="n"/>
      <c r="S131" s="100" t="n"/>
      <c r="T131" s="100" t="n">
        <v>2850747.95</v>
      </c>
      <c r="U131" s="100" t="n">
        <v>3314824.03</v>
      </c>
      <c r="V131" s="100">
        <f>+SUM(V132:V158)</f>
        <v/>
      </c>
      <c r="W131" s="100">
        <f>U131-T131</f>
        <v/>
      </c>
      <c r="X131" s="100">
        <f>V131-T131</f>
        <v/>
      </c>
      <c r="Y131" s="100">
        <f>V131-U131</f>
        <v/>
      </c>
      <c r="Z131" s="26" t="n"/>
      <c r="AA131" s="42" t="n"/>
    </row>
    <row r="132" ht="20" customHeight="1" s="1">
      <c r="A132" s="26" t="n">
        <v>119</v>
      </c>
      <c r="B132" s="26" t="inlineStr">
        <is>
          <t>011204003001</t>
        </is>
      </c>
      <c r="C132" s="26" t="inlineStr">
        <is>
          <t>块料墙面(外墙2)</t>
        </is>
      </c>
      <c r="D132" s="26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132" s="26" t="inlineStr">
        <is>
          <t>m2</t>
        </is>
      </c>
      <c r="F132" s="100" t="n">
        <v>2787.83</v>
      </c>
      <c r="G132" s="100" t="n">
        <v>3039.21</v>
      </c>
      <c r="H132" s="100" t="n">
        <v>3037.23</v>
      </c>
      <c r="I132" s="100" t="n"/>
      <c r="J132" s="100">
        <f>G132-F132</f>
        <v/>
      </c>
      <c r="K132" s="100">
        <f>H132-F132</f>
        <v/>
      </c>
      <c r="L132" s="100">
        <f>H132-G132</f>
        <v/>
      </c>
      <c r="M132" s="37">
        <f>J132/F132</f>
        <v/>
      </c>
      <c r="N132" s="27" t="n">
        <v>188.2</v>
      </c>
      <c r="O132" s="27" t="n">
        <v>140.67</v>
      </c>
      <c r="P132" s="37">
        <f>(N132-O132)/O132</f>
        <v/>
      </c>
      <c r="Q132" s="100">
        <f>O132*0.9056*0.85</f>
        <v/>
      </c>
      <c r="R132" s="100">
        <f>O132*1.15</f>
        <v/>
      </c>
      <c r="S132" s="100">
        <f>IF(N132&lt;O132*0.9056*0.85,O132*0.9056*0.85,IF(N132&gt;O132*1.15,O132*1.15,N132))</f>
        <v/>
      </c>
      <c r="T132" s="100" t="n">
        <v>524669.61</v>
      </c>
      <c r="U132" s="100" t="n">
        <v>565335.38</v>
      </c>
      <c r="V132" s="100">
        <f>T132+S132*K132</f>
        <v/>
      </c>
      <c r="W132" s="100">
        <f>U132-T132</f>
        <v/>
      </c>
      <c r="X132" s="100">
        <f>V132-T132</f>
        <v/>
      </c>
      <c r="Y132" s="100">
        <f>V132-U132</f>
        <v/>
      </c>
      <c r="Z132" s="26" t="n"/>
    </row>
    <row r="133" ht="20" customFormat="1" customHeight="1" s="7">
      <c r="A133" s="26" t="n">
        <v>120</v>
      </c>
      <c r="B133" s="26" t="inlineStr">
        <is>
          <t>011407001002</t>
        </is>
      </c>
      <c r="C133" s="26" t="inlineStr">
        <is>
          <t>墙面喷刷涂料(外墙1)</t>
        </is>
      </c>
      <c r="D133" s="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33" s="26" t="inlineStr">
        <is>
          <t>m2</t>
        </is>
      </c>
      <c r="F133" s="100" t="n">
        <v>858.46</v>
      </c>
      <c r="G133" s="100" t="n">
        <v>1044.02</v>
      </c>
      <c r="H133" s="100" t="n">
        <v>1044.02</v>
      </c>
      <c r="I133" s="100" t="n"/>
      <c r="J133" s="100">
        <f>G133-F133</f>
        <v/>
      </c>
      <c r="K133" s="100">
        <f>H133-F133</f>
        <v/>
      </c>
      <c r="L133" s="100">
        <f>H133-G133</f>
        <v/>
      </c>
      <c r="M133" s="37">
        <f>J133/F133</f>
        <v/>
      </c>
      <c r="N133" s="27" t="n">
        <v>133.2</v>
      </c>
      <c r="O133" s="27" t="n">
        <v>98.47</v>
      </c>
      <c r="P133" s="37">
        <f>(N133-O133)/O133</f>
        <v/>
      </c>
      <c r="Q133" s="100">
        <f>O133*0.9056*0.85</f>
        <v/>
      </c>
      <c r="R133" s="100">
        <f>O133*1.15</f>
        <v/>
      </c>
      <c r="S133" s="100">
        <f>IF(N133&lt;O133*0.9056*0.85,O133*0.9056*0.85,IF(N133&gt;O133*1.15,O133*1.15,N133))</f>
        <v/>
      </c>
      <c r="T133" s="100" t="n">
        <v>114347.24</v>
      </c>
      <c r="U133" s="100" t="n">
        <v>135360.23</v>
      </c>
      <c r="V133" s="100">
        <f>T133+S133*K133</f>
        <v/>
      </c>
      <c r="W133" s="100">
        <f>U133-T133</f>
        <v/>
      </c>
      <c r="X133" s="100">
        <f>V133-T133</f>
        <v/>
      </c>
      <c r="Y133" s="100">
        <f>V133-U133</f>
        <v/>
      </c>
      <c r="Z133" s="26" t="n"/>
    </row>
    <row r="134" ht="20" customHeight="1" s="1">
      <c r="A134" s="26" t="n">
        <v>121</v>
      </c>
      <c r="B134" s="26" t="inlineStr">
        <is>
          <t>011407001003</t>
        </is>
      </c>
      <c r="C134" s="26" t="inlineStr">
        <is>
          <t>柱面喷刷涂料(外墙1)</t>
        </is>
      </c>
      <c r="D134" s="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34" s="26" t="inlineStr">
        <is>
          <t>m2</t>
        </is>
      </c>
      <c r="F134" s="100" t="n">
        <v>380.82</v>
      </c>
      <c r="G134" s="100" t="n">
        <v>431.67</v>
      </c>
      <c r="H134" s="100" t="n">
        <v>431.67</v>
      </c>
      <c r="I134" s="100" t="n"/>
      <c r="J134" s="100">
        <f>G134-F134</f>
        <v/>
      </c>
      <c r="K134" s="100">
        <f>H134-F134</f>
        <v/>
      </c>
      <c r="L134" s="100">
        <f>H134-G134</f>
        <v/>
      </c>
      <c r="M134" s="37">
        <f>J134/F134</f>
        <v/>
      </c>
      <c r="N134" s="27" t="n">
        <v>133.2</v>
      </c>
      <c r="O134" s="27" t="n">
        <v>105.64</v>
      </c>
      <c r="P134" s="37">
        <f>(N134-O134)/O134</f>
        <v/>
      </c>
      <c r="Q134" s="100">
        <f>O134*0.9056*0.85</f>
        <v/>
      </c>
      <c r="R134" s="100">
        <f>O134*1.15</f>
        <v/>
      </c>
      <c r="S134" s="100">
        <f>IF(N134&lt;O134*0.9056*0.85,O134*0.9056*0.85,IF(N134&gt;O134*1.15,O134*1.15,N134))</f>
        <v/>
      </c>
      <c r="T134" s="100" t="n">
        <v>50725.22</v>
      </c>
      <c r="U134" s="100" t="n">
        <v>56903.22</v>
      </c>
      <c r="V134" s="100">
        <f>T134+S134*K134</f>
        <v/>
      </c>
      <c r="W134" s="100">
        <f>U134-T134</f>
        <v/>
      </c>
      <c r="X134" s="100">
        <f>V134-T134</f>
        <v/>
      </c>
      <c r="Y134" s="100">
        <f>V134-U134</f>
        <v/>
      </c>
      <c r="Z134" s="26" t="n"/>
    </row>
    <row r="135" ht="20" customHeight="1" s="1">
      <c r="A135" s="26" t="n">
        <v>122</v>
      </c>
      <c r="B135" s="26" t="inlineStr">
        <is>
          <t>011201001001</t>
        </is>
      </c>
      <c r="C135" s="26" t="inlineStr">
        <is>
          <t>墙面一般抹灰（墙1、墙5）</t>
        </is>
      </c>
      <c r="D135" s="26" t="inlineStr">
        <is>
          <t>1.20厚M10水泥砂浆抹面压光
2.甩浆拉毛刷108胶素水泥浆一道(内掺水重8%的胶料)</t>
        </is>
      </c>
      <c r="E135" s="26" t="inlineStr">
        <is>
          <t>m2</t>
        </is>
      </c>
      <c r="F135" s="100" t="n">
        <v>680.54</v>
      </c>
      <c r="G135" s="100" t="n">
        <v>797.9</v>
      </c>
      <c r="H135" s="100">
        <f>300.48+107.1+390.25</f>
        <v/>
      </c>
      <c r="I135" s="100" t="n"/>
      <c r="J135" s="100">
        <f>G135-F135</f>
        <v/>
      </c>
      <c r="K135" s="100">
        <f>H135-F135</f>
        <v/>
      </c>
      <c r="L135" s="100">
        <f>H135-G135</f>
        <v/>
      </c>
      <c r="M135" s="37">
        <f>J135/F135</f>
        <v/>
      </c>
      <c r="N135" s="27" t="n">
        <v>30.33</v>
      </c>
      <c r="O135" s="27" t="n">
        <v>31.52</v>
      </c>
      <c r="P135" s="37">
        <f>(N135-O135)/O135</f>
        <v/>
      </c>
      <c r="Q135" s="100">
        <f>O135*0.9056*0.85</f>
        <v/>
      </c>
      <c r="R135" s="100">
        <f>O135*1.15</f>
        <v/>
      </c>
      <c r="S135" s="100">
        <f>IF(N135&lt;O135*0.9056*0.85,O135*0.9056*0.85,IF(N135&gt;O135*1.15,O135*1.15,N135))</f>
        <v/>
      </c>
      <c r="T135" s="100" t="n">
        <v>20640.63</v>
      </c>
      <c r="U135" s="100" t="n">
        <v>24200.2</v>
      </c>
      <c r="V135" s="100">
        <f>T135+S135*K135</f>
        <v/>
      </c>
      <c r="W135" s="100">
        <f>U135-T135</f>
        <v/>
      </c>
      <c r="X135" s="100">
        <f>V135-T135</f>
        <v/>
      </c>
      <c r="Y135" s="100">
        <f>V135-U135</f>
        <v/>
      </c>
      <c r="Z135" s="26" t="n"/>
    </row>
    <row r="136" ht="20" customHeight="1" s="1">
      <c r="A136" s="26" t="n">
        <v>123</v>
      </c>
      <c r="B136" s="26" t="inlineStr">
        <is>
          <t>011201001002</t>
        </is>
      </c>
      <c r="C136" s="26" t="inlineStr">
        <is>
          <t>墙面一般抹灰（墙3、4）</t>
        </is>
      </c>
      <c r="D136" s="26" t="inlineStr">
        <is>
          <t>1.15mm厚WPM20水泥砂浆找平，分两遍成活，底层抹灰应压实搓毛</t>
        </is>
      </c>
      <c r="E136" s="26" t="inlineStr">
        <is>
          <t>m2</t>
        </is>
      </c>
      <c r="F136" s="100" t="n">
        <v>5055.46</v>
      </c>
      <c r="G136" s="100" t="n">
        <v>5055.46</v>
      </c>
      <c r="H136" s="100">
        <f>142.99+1994.65+2130.5+88.7</f>
        <v/>
      </c>
      <c r="I136" s="100" t="n"/>
      <c r="J136" s="100">
        <f>G136-F136</f>
        <v/>
      </c>
      <c r="K136" s="100">
        <f>H136-F136</f>
        <v/>
      </c>
      <c r="L136" s="100">
        <f>H136-G136</f>
        <v/>
      </c>
      <c r="M136" s="37">
        <f>J136/F136</f>
        <v/>
      </c>
      <c r="N136" s="27" t="n">
        <v>22.12</v>
      </c>
      <c r="O136" s="27" t="n">
        <v>25.5</v>
      </c>
      <c r="P136" s="37">
        <f>(N136-O136)/O136</f>
        <v/>
      </c>
      <c r="Q136" s="100">
        <f>O136*0.9056*0.85</f>
        <v/>
      </c>
      <c r="R136" s="100">
        <f>O136*1.15</f>
        <v/>
      </c>
      <c r="S136" s="100">
        <f>IF(N136&lt;O136*0.9056*0.85,O136*0.9056*0.85,IF(N136&gt;O136*1.15,O136*1.15,N136))</f>
        <v/>
      </c>
      <c r="T136" s="100" t="n">
        <v>111826.78</v>
      </c>
      <c r="U136" s="100" t="n">
        <v>111826.78</v>
      </c>
      <c r="V136" s="100">
        <f>T136+S136*K136</f>
        <v/>
      </c>
      <c r="W136" s="100">
        <f>U136-T136</f>
        <v/>
      </c>
      <c r="X136" s="100">
        <f>V136-T136</f>
        <v/>
      </c>
      <c r="Y136" s="100">
        <f>V136-U136</f>
        <v/>
      </c>
      <c r="Z136" s="26" t="n"/>
    </row>
    <row r="137" ht="20" customHeight="1" s="1">
      <c r="A137" s="26" t="n">
        <v>124</v>
      </c>
      <c r="B137" s="26" t="inlineStr">
        <is>
          <t>011204003002</t>
        </is>
      </c>
      <c r="C137" s="26" t="inlineStr">
        <is>
          <t>块料墙面（墙4）</t>
        </is>
      </c>
      <c r="D137" s="26" t="inlineStr">
        <is>
          <t>1.镶贴400*400陶瓷面砖墙面建筑胶粘剂粘贴</t>
        </is>
      </c>
      <c r="E137" s="26" t="inlineStr">
        <is>
          <t>m2</t>
        </is>
      </c>
      <c r="F137" s="100" t="n">
        <v>1624.08</v>
      </c>
      <c r="G137" s="100" t="n">
        <v>2173.41</v>
      </c>
      <c r="H137" s="100">
        <f>2149.24+19.39</f>
        <v/>
      </c>
      <c r="I137" s="100" t="n"/>
      <c r="J137" s="100">
        <f>G137-F137</f>
        <v/>
      </c>
      <c r="K137" s="100">
        <f>H137-F137</f>
        <v/>
      </c>
      <c r="L137" s="100">
        <f>H137-G137</f>
        <v/>
      </c>
      <c r="M137" s="37">
        <f>J137/F137</f>
        <v/>
      </c>
      <c r="N137" s="27" t="n">
        <v>148.21</v>
      </c>
      <c r="O137" s="27" t="n">
        <v>117.46</v>
      </c>
      <c r="P137" s="37">
        <f>(N137-O137)/O137</f>
        <v/>
      </c>
      <c r="Q137" s="100">
        <f>O137*0.9056*0.85</f>
        <v/>
      </c>
      <c r="R137" s="100">
        <f>O137*1.15</f>
        <v/>
      </c>
      <c r="S137" s="100">
        <f>IF(N137&lt;O137*0.9056*0.85,O137*0.9056*0.85,IF(N137&gt;O137*1.15,O137*1.15,N137))</f>
        <v/>
      </c>
      <c r="T137" s="100" t="n">
        <v>240705.46</v>
      </c>
      <c r="U137" s="100" t="n">
        <v>314907.73</v>
      </c>
      <c r="V137" s="100">
        <f>T137+S137*K137</f>
        <v/>
      </c>
      <c r="W137" s="100">
        <f>U137-T137</f>
        <v/>
      </c>
      <c r="X137" s="100">
        <f>V137-T137</f>
        <v/>
      </c>
      <c r="Y137" s="100">
        <f>V137-U137</f>
        <v/>
      </c>
      <c r="Z137" s="26" t="n"/>
    </row>
    <row r="138" ht="20" customHeight="1" s="1">
      <c r="A138" s="26" t="n">
        <v>125</v>
      </c>
      <c r="B138" s="26" t="inlineStr">
        <is>
          <t>011406001001</t>
        </is>
      </c>
      <c r="C138" s="26" t="inlineStr">
        <is>
          <t>墙面喷刷涂料(墙3）</t>
        </is>
      </c>
      <c r="D138" s="26" t="inlineStr">
        <is>
          <t>1.满刮腻子二道
2.刷内墙无机涂料,底漆一道,面漆两道</t>
        </is>
      </c>
      <c r="E138" s="26" t="inlineStr">
        <is>
          <t>m2</t>
        </is>
      </c>
      <c r="F138" s="100" t="n">
        <v>3431.38</v>
      </c>
      <c r="G138" s="100" t="n">
        <v>3431.38</v>
      </c>
      <c r="H138" s="100">
        <f>59.79+139.19+2636.31</f>
        <v/>
      </c>
      <c r="I138" s="100" t="n"/>
      <c r="J138" s="100">
        <f>G138-F138</f>
        <v/>
      </c>
      <c r="K138" s="100">
        <f>H138-F138</f>
        <v/>
      </c>
      <c r="L138" s="100">
        <f>H138-G138</f>
        <v/>
      </c>
      <c r="M138" s="37">
        <f>J138/F138</f>
        <v/>
      </c>
      <c r="N138" s="27" t="n">
        <v>36.95</v>
      </c>
      <c r="O138" s="27" t="n">
        <v>50.6</v>
      </c>
      <c r="P138" s="37">
        <f>(N138-O138)/O138</f>
        <v/>
      </c>
      <c r="Q138" s="100">
        <f>O138*0.9056*0.85</f>
        <v/>
      </c>
      <c r="R138" s="100">
        <f>O138*1.15</f>
        <v/>
      </c>
      <c r="S138" s="100">
        <f>IF(N138&lt;O138*0.9056*0.85,O138*0.9056*0.85,IF(N138&gt;O138*1.15,O138*1.15,N138))</f>
        <v/>
      </c>
      <c r="T138" s="100" t="n">
        <v>126789.35</v>
      </c>
      <c r="U138" s="100" t="n">
        <v>126789.35</v>
      </c>
      <c r="V138" s="100">
        <f>T138+S138*K138</f>
        <v/>
      </c>
      <c r="W138" s="100">
        <f>U138-T138</f>
        <v/>
      </c>
      <c r="X138" s="100">
        <f>V138-T138</f>
        <v/>
      </c>
      <c r="Y138" s="100">
        <f>V138-U138</f>
        <v/>
      </c>
      <c r="Z138" s="26" t="n"/>
    </row>
    <row r="139" ht="20" customHeight="1" s="1">
      <c r="A139" s="26" t="n">
        <v>126</v>
      </c>
      <c r="B139" s="26" t="inlineStr">
        <is>
          <t>011406001002</t>
        </is>
      </c>
      <c r="C139" s="26" t="inlineStr">
        <is>
          <t>墙面喷刷涂料(墙5）</t>
        </is>
      </c>
      <c r="D139" s="26" t="inlineStr">
        <is>
          <t>1.满刮耐水防霉白色腻子</t>
        </is>
      </c>
      <c r="E139" s="26" t="inlineStr">
        <is>
          <t>m2</t>
        </is>
      </c>
      <c r="F139" s="100" t="n">
        <v>312.9</v>
      </c>
      <c r="G139" s="100" t="n">
        <v>437.02</v>
      </c>
      <c r="H139" s="100">
        <f>G139</f>
        <v/>
      </c>
      <c r="I139" s="100" t="n"/>
      <c r="J139" s="100">
        <f>G139-F139</f>
        <v/>
      </c>
      <c r="K139" s="100">
        <f>H139-F139</f>
        <v/>
      </c>
      <c r="L139" s="100">
        <f>H139-G139</f>
        <v/>
      </c>
      <c r="M139" s="37">
        <f>J139/F139</f>
        <v/>
      </c>
      <c r="N139" s="27" t="n">
        <v>17.13</v>
      </c>
      <c r="O139" s="27" t="n">
        <v>18.67</v>
      </c>
      <c r="P139" s="37">
        <f>(N139-O139)/O139</f>
        <v/>
      </c>
      <c r="Q139" s="100">
        <f>O139*0.9056*0.85</f>
        <v/>
      </c>
      <c r="R139" s="100">
        <f>O139*1.15</f>
        <v/>
      </c>
      <c r="S139" s="100">
        <f>IF(N139&lt;O139*0.9056*0.85,O139*0.9056*0.85,IF(N139&gt;O139*1.15,O139*1.15,N139))</f>
        <v/>
      </c>
      <c r="T139" s="100" t="n">
        <v>5359.91</v>
      </c>
      <c r="U139" s="100" t="n">
        <v>7486.18</v>
      </c>
      <c r="V139" s="100">
        <f>T139+S139*K139</f>
        <v/>
      </c>
      <c r="W139" s="100">
        <f>U139-T139</f>
        <v/>
      </c>
      <c r="X139" s="100">
        <f>V139-T139</f>
        <v/>
      </c>
      <c r="Y139" s="100">
        <f>V139-U139</f>
        <v/>
      </c>
      <c r="Z139" s="26" t="n"/>
      <c r="AA139" s="42" t="inlineStr">
        <is>
          <t>复核首层车道墙5是否在地下室计算</t>
        </is>
      </c>
    </row>
    <row r="140" ht="20" customHeight="1" s="1">
      <c r="A140" s="26" t="n">
        <v>127</v>
      </c>
      <c r="B140" s="26" t="inlineStr">
        <is>
          <t>011204003005</t>
        </is>
      </c>
      <c r="C140" s="26" t="inlineStr">
        <is>
          <t>块料墙面（墙8）</t>
        </is>
      </c>
      <c r="D140" s="26" t="inlineStr">
        <is>
          <t>1.镶贴300*600陶瓷面砖墙面建筑胶粘剂粘贴
2.15厚WPM20水泥砂浆找平</t>
        </is>
      </c>
      <c r="E140" s="26" t="inlineStr">
        <is>
          <t>m2</t>
        </is>
      </c>
      <c r="F140" s="100" t="n">
        <v>977.1900000000001</v>
      </c>
      <c r="G140" s="100" t="n">
        <v>977.1900000000001</v>
      </c>
      <c r="H140" s="100">
        <f>25.44+549.77</f>
        <v/>
      </c>
      <c r="I140" s="100" t="n"/>
      <c r="J140" s="100">
        <f>G140-F140</f>
        <v/>
      </c>
      <c r="K140" s="100">
        <f>H140-F140</f>
        <v/>
      </c>
      <c r="L140" s="100">
        <f>H140-G140</f>
        <v/>
      </c>
      <c r="M140" s="37">
        <f>J140/F140</f>
        <v/>
      </c>
      <c r="N140" s="27" t="n">
        <v>162.51</v>
      </c>
      <c r="O140" s="27" t="n">
        <v>147.48</v>
      </c>
      <c r="P140" s="37">
        <f>(N140-O140)/O140</f>
        <v/>
      </c>
      <c r="Q140" s="100">
        <f>O140*0.9056*0.85</f>
        <v/>
      </c>
      <c r="R140" s="100">
        <f>O140*1.15</f>
        <v/>
      </c>
      <c r="S140" s="100">
        <f>IF(N140&lt;O140*0.9056*0.85,O140*0.9056*0.85,IF(N140&gt;O140*1.15,O140*1.15,N140))</f>
        <v/>
      </c>
      <c r="T140" s="100" t="n">
        <v>158803.15</v>
      </c>
      <c r="U140" s="100" t="n">
        <v>158803.15</v>
      </c>
      <c r="V140" s="100">
        <f>T140+S140*K140</f>
        <v/>
      </c>
      <c r="W140" s="100">
        <f>U140-T140</f>
        <v/>
      </c>
      <c r="X140" s="100">
        <f>V140-T140</f>
        <v/>
      </c>
      <c r="Y140" s="100">
        <f>V140-U140</f>
        <v/>
      </c>
      <c r="Z140" s="26" t="n"/>
    </row>
    <row r="141" ht="20" customHeight="1" s="1">
      <c r="A141" s="26" t="n">
        <v>128</v>
      </c>
      <c r="B141" s="26" t="inlineStr">
        <is>
          <t>011205001001</t>
        </is>
      </c>
      <c r="C141" s="26" t="inlineStr">
        <is>
          <t>石材柱面</t>
        </is>
      </c>
      <c r="D141" s="26" t="inlineStr">
        <is>
          <t>1.石材柱面
2.安装方式:挂贴米色大理石
3.其他详见施工设计图</t>
        </is>
      </c>
      <c r="E141" s="26" t="inlineStr">
        <is>
          <t>m2</t>
        </is>
      </c>
      <c r="F141" s="100" t="n">
        <v>186.44</v>
      </c>
      <c r="G141" s="100" t="n">
        <v>186.44</v>
      </c>
      <c r="H141" s="100">
        <f>98.24</f>
        <v/>
      </c>
      <c r="I141" s="100" t="n"/>
      <c r="J141" s="100">
        <f>G141-F141</f>
        <v/>
      </c>
      <c r="K141" s="100">
        <f>H141-F141</f>
        <v/>
      </c>
      <c r="L141" s="100">
        <f>H141-G141</f>
        <v/>
      </c>
      <c r="M141" s="37">
        <f>J141/F141</f>
        <v/>
      </c>
      <c r="N141" s="27" t="n">
        <v>682.21</v>
      </c>
      <c r="O141" s="27" t="n">
        <v>453.37</v>
      </c>
      <c r="P141" s="37">
        <f>(N141-O141)/O141</f>
        <v/>
      </c>
      <c r="Q141" s="100">
        <f>O141*0.9056*0.85</f>
        <v/>
      </c>
      <c r="R141" s="100">
        <f>O141*1.15</f>
        <v/>
      </c>
      <c r="S141" s="100">
        <f>IF(N141&lt;O141*0.9056*0.85,O141*0.9056*0.85,IF(N141&gt;O141*1.15,O141*1.15,N141))</f>
        <v/>
      </c>
      <c r="T141" s="100" t="n">
        <v>127191.23</v>
      </c>
      <c r="U141" s="100" t="n">
        <v>127191.23</v>
      </c>
      <c r="V141" s="100">
        <f>T141+S141*K141</f>
        <v/>
      </c>
      <c r="W141" s="100">
        <f>U141-T141</f>
        <v/>
      </c>
      <c r="X141" s="100">
        <f>V141-T141</f>
        <v/>
      </c>
      <c r="Y141" s="100">
        <f>V141-U141</f>
        <v/>
      </c>
      <c r="Z141" s="26" t="n"/>
    </row>
    <row r="142" ht="20" customHeight="1" s="1">
      <c r="A142" s="26" t="n">
        <v>129</v>
      </c>
      <c r="B142" s="26" t="inlineStr">
        <is>
          <t>011502001001</t>
        </is>
      </c>
      <c r="C142" s="26" t="inlineStr">
        <is>
          <t>金属装饰线</t>
        </is>
      </c>
      <c r="D142" s="26" t="inlineStr">
        <is>
          <t>1.外墙装饰线
2.200*200*2.5mm厚铝通
3.其他详见施工设计图</t>
        </is>
      </c>
      <c r="E142" s="26" t="inlineStr">
        <is>
          <t>m</t>
        </is>
      </c>
      <c r="F142" s="100" t="n">
        <v>379.9</v>
      </c>
      <c r="G142" s="100" t="n">
        <v>404.6</v>
      </c>
      <c r="H142" s="100">
        <f>404.6</f>
        <v/>
      </c>
      <c r="I142" s="100" t="n"/>
      <c r="J142" s="100">
        <f>G142-F142</f>
        <v/>
      </c>
      <c r="K142" s="100">
        <f>H142-F142</f>
        <v/>
      </c>
      <c r="L142" s="100">
        <f>H142-G142</f>
        <v/>
      </c>
      <c r="M142" s="37">
        <f>J142/F142</f>
        <v/>
      </c>
      <c r="N142" s="27" t="n">
        <v>217.73</v>
      </c>
      <c r="O142" s="27" t="n">
        <v>207.95</v>
      </c>
      <c r="P142" s="37">
        <f>(N142-O142)/O142</f>
        <v/>
      </c>
      <c r="Q142" s="100">
        <f>O142*0.9056*0.85</f>
        <v/>
      </c>
      <c r="R142" s="100">
        <f>O142*1.15</f>
        <v/>
      </c>
      <c r="S142" s="100">
        <f>IF(N142&lt;O142*0.9056*0.85,O142*0.9056*0.85,IF(N142&gt;O142*1.15,O142*1.15,N142))</f>
        <v/>
      </c>
      <c r="T142" s="100" t="n">
        <v>82715.63</v>
      </c>
      <c r="U142" s="100" t="n">
        <v>88093.56</v>
      </c>
      <c r="V142" s="100">
        <f>T142+S142*K142</f>
        <v/>
      </c>
      <c r="W142" s="100">
        <f>U142-T142</f>
        <v/>
      </c>
      <c r="X142" s="100">
        <f>V142-T142</f>
        <v/>
      </c>
      <c r="Y142" s="100">
        <f>V142-U142</f>
        <v/>
      </c>
      <c r="Z142" s="26" t="n"/>
    </row>
    <row r="143" ht="20" customHeight="1" s="1">
      <c r="A143" s="26" t="n">
        <v>130</v>
      </c>
      <c r="B143" s="26" t="inlineStr">
        <is>
          <t>011208001001</t>
        </is>
      </c>
      <c r="C143" s="26" t="inlineStr">
        <is>
          <t>柱(梁)面装饰</t>
        </is>
      </c>
      <c r="D143" s="26" t="inlineStr">
        <is>
          <t>1.外墙装饰造型
2.2.5mm铝单板
3.L50*5角钢龙骨@1200
4.其他详见施工设计图</t>
        </is>
      </c>
      <c r="E143" s="26" t="inlineStr">
        <is>
          <t>m2</t>
        </is>
      </c>
      <c r="F143" s="100" t="n">
        <v>791.39</v>
      </c>
      <c r="G143" s="100" t="n">
        <v>791.39</v>
      </c>
      <c r="H143" s="100" t="n">
        <v>791.39</v>
      </c>
      <c r="I143" s="100" t="n"/>
      <c r="J143" s="100">
        <f>G143-F143</f>
        <v/>
      </c>
      <c r="K143" s="100">
        <f>H143-F143</f>
        <v/>
      </c>
      <c r="L143" s="100">
        <f>H143-G143</f>
        <v/>
      </c>
      <c r="M143" s="37">
        <f>J143/F143</f>
        <v/>
      </c>
      <c r="N143" s="27" t="n">
        <v>588.26</v>
      </c>
      <c r="O143" s="27" t="n">
        <v>621.97</v>
      </c>
      <c r="P143" s="37">
        <f>(N143-O143)/O143</f>
        <v/>
      </c>
      <c r="Q143" s="100">
        <f>O143*0.9056*0.85</f>
        <v/>
      </c>
      <c r="R143" s="100">
        <f>O143*1.15</f>
        <v/>
      </c>
      <c r="S143" s="100">
        <f>IF(N143&lt;O143*0.9056*0.85,O143*0.9056*0.85,IF(N143&gt;O143*1.15,O143*1.15,N143))</f>
        <v/>
      </c>
      <c r="T143" s="100" t="n">
        <v>465543.08</v>
      </c>
      <c r="U143" s="100" t="n">
        <v>465543.08</v>
      </c>
      <c r="V143" s="100">
        <f>T143+S143*K143</f>
        <v/>
      </c>
      <c r="W143" s="100">
        <f>U143-T143</f>
        <v/>
      </c>
      <c r="X143" s="100">
        <f>V143-T143</f>
        <v/>
      </c>
      <c r="Y143" s="100">
        <f>V143-U143</f>
        <v/>
      </c>
      <c r="Z143" s="26" t="n"/>
    </row>
    <row r="144" ht="20" customHeight="1" s="1">
      <c r="A144" s="26" t="n">
        <v>131</v>
      </c>
      <c r="B144" s="26" t="inlineStr">
        <is>
          <t>011207001001</t>
        </is>
      </c>
      <c r="C144" s="26" t="inlineStr">
        <is>
          <t>墙面装饰板</t>
        </is>
      </c>
      <c r="D144" s="26" t="inlineStr">
        <is>
          <t>1.外墙窗侧异性铝通造型
2.2.5mm铝单板
3.其他详见施工设计图</t>
        </is>
      </c>
      <c r="E144" s="26" t="inlineStr">
        <is>
          <t>m2</t>
        </is>
      </c>
      <c r="F144" s="100" t="n">
        <v>683.02</v>
      </c>
      <c r="G144" s="100" t="n">
        <v>950.67</v>
      </c>
      <c r="H144" s="100">
        <f>19.25+877.43</f>
        <v/>
      </c>
      <c r="I144" s="100" t="n"/>
      <c r="J144" s="100">
        <f>G144-F144</f>
        <v/>
      </c>
      <c r="K144" s="100">
        <f>H144-F144</f>
        <v/>
      </c>
      <c r="L144" s="100">
        <f>H144-G144</f>
        <v/>
      </c>
      <c r="M144" s="37">
        <f>J144/F144</f>
        <v/>
      </c>
      <c r="N144" s="27" t="n">
        <v>604.05</v>
      </c>
      <c r="O144" s="27" t="n">
        <v>569.7</v>
      </c>
      <c r="P144" s="37">
        <f>(N144-O144)/O144</f>
        <v/>
      </c>
      <c r="Q144" s="100">
        <f>O144*0.9056*0.85</f>
        <v/>
      </c>
      <c r="R144" s="100">
        <f>O144*1.15</f>
        <v/>
      </c>
      <c r="S144" s="100">
        <f>IF(N144&lt;O144*0.9056*0.85,O144*0.9056*0.85,IF(N144&gt;O144*1.15,O144*1.15,N144))</f>
        <v/>
      </c>
      <c r="T144" s="100" t="n">
        <v>412578.23</v>
      </c>
      <c r="U144" s="100" t="n">
        <v>574252.15</v>
      </c>
      <c r="V144" s="100">
        <f>T144+S144*K144</f>
        <v/>
      </c>
      <c r="W144" s="100">
        <f>U144-T144</f>
        <v/>
      </c>
      <c r="X144" s="100">
        <f>V144-T144</f>
        <v/>
      </c>
      <c r="Y144" s="100">
        <f>V144-U144</f>
        <v/>
      </c>
      <c r="Z144" s="26" t="n"/>
    </row>
    <row r="145" ht="20" customHeight="1" s="1">
      <c r="A145" s="26" t="n">
        <v>132</v>
      </c>
      <c r="B145" s="26" t="inlineStr">
        <is>
          <t>011207001002</t>
        </is>
      </c>
      <c r="C145" s="26" t="inlineStr">
        <is>
          <t>墙面装饰板</t>
        </is>
      </c>
      <c r="D145" s="26" t="inlineStr">
        <is>
          <t>1.9mm阻燃夹板
2.30*30阻燃木龙骨
3.其他详见施工设计图纸</t>
        </is>
      </c>
      <c r="E145" s="26" t="inlineStr">
        <is>
          <t>m2</t>
        </is>
      </c>
      <c r="F145" s="100" t="n">
        <v>8.19</v>
      </c>
      <c r="G145" s="100" t="n">
        <v>18.98</v>
      </c>
      <c r="H145" s="100" t="n">
        <v>0</v>
      </c>
      <c r="I145" s="100" t="n"/>
      <c r="J145" s="100">
        <f>G145-F145</f>
        <v/>
      </c>
      <c r="K145" s="100">
        <f>H145-F145</f>
        <v/>
      </c>
      <c r="L145" s="100">
        <f>H145-G145</f>
        <v/>
      </c>
      <c r="M145" s="37">
        <f>J145/F145</f>
        <v/>
      </c>
      <c r="N145" s="27" t="n">
        <v>95.98</v>
      </c>
      <c r="O145" s="27" t="n">
        <v>97.03</v>
      </c>
      <c r="P145" s="37">
        <f>(N145-O145)/O145</f>
        <v/>
      </c>
      <c r="Q145" s="100">
        <f>O145*0.9056*0.85</f>
        <v/>
      </c>
      <c r="R145" s="100">
        <f>O145*1.15</f>
        <v/>
      </c>
      <c r="S145" s="100">
        <f>IF(N145&lt;O145*0.9056*0.85,O145*0.9056*0.85,IF(N145&gt;O145*1.15,O145*1.15,N145))</f>
        <v/>
      </c>
      <c r="T145" s="100" t="n">
        <v>786.08</v>
      </c>
      <c r="U145" s="100" t="n">
        <v>1822.11</v>
      </c>
      <c r="V145" s="100">
        <f>T145+S145*K145</f>
        <v/>
      </c>
      <c r="W145" s="100">
        <f>U145-T145</f>
        <v/>
      </c>
      <c r="X145" s="100">
        <f>V145-T145</f>
        <v/>
      </c>
      <c r="Y145" s="100">
        <f>V145-U145</f>
        <v/>
      </c>
      <c r="Z145" s="26" t="n"/>
    </row>
    <row r="146" ht="20" customHeight="1" s="1">
      <c r="A146" s="26" t="n">
        <v>133</v>
      </c>
      <c r="B146" s="26" t="inlineStr">
        <is>
          <t>011207001003</t>
        </is>
      </c>
      <c r="C146" s="26" t="inlineStr">
        <is>
          <t>墙面装饰板</t>
        </is>
      </c>
      <c r="D146" s="26" t="inlineStr">
        <is>
          <t>1.1mm厚304原色磨砂不锈钢
2.9mm阻燃夹板
3.30*30阻燃木龙骨
4.其他详见施工设计图纸</t>
        </is>
      </c>
      <c r="E146" s="26" t="inlineStr">
        <is>
          <t>m2</t>
        </is>
      </c>
      <c r="F146" s="100" t="n">
        <v>18.65</v>
      </c>
      <c r="G146" s="100" t="n">
        <v>18.98</v>
      </c>
      <c r="H146" s="100" t="n">
        <v>18.98</v>
      </c>
      <c r="I146" s="100" t="n"/>
      <c r="J146" s="100">
        <f>G146-F146</f>
        <v/>
      </c>
      <c r="K146" s="100">
        <f>H146-F146</f>
        <v/>
      </c>
      <c r="L146" s="100">
        <f>H146-G146</f>
        <v/>
      </c>
      <c r="M146" s="37">
        <f>J146/F146</f>
        <v/>
      </c>
      <c r="N146" s="27" t="n">
        <v>585.51</v>
      </c>
      <c r="O146" s="27" t="n">
        <v>329.74</v>
      </c>
      <c r="P146" s="37">
        <f>(N146-O146)/O146</f>
        <v/>
      </c>
      <c r="Q146" s="100">
        <f>O146*0.9056*0.85</f>
        <v/>
      </c>
      <c r="R146" s="100">
        <f>O146*1.15</f>
        <v/>
      </c>
      <c r="S146" s="100">
        <f>IF(N146&lt;O146*0.9056*0.85,O146*0.9056*0.85,IF(N146&gt;O146*1.15,O146*1.15,N146))</f>
        <v/>
      </c>
      <c r="T146" s="100" t="n">
        <v>10919.76</v>
      </c>
      <c r="U146" s="100" t="n">
        <v>11046.53</v>
      </c>
      <c r="V146" s="100">
        <f>T146+S146*K146</f>
        <v/>
      </c>
      <c r="W146" s="100">
        <f>U146-T146</f>
        <v/>
      </c>
      <c r="X146" s="100">
        <f>V146-T146</f>
        <v/>
      </c>
      <c r="Y146" s="100">
        <f>V146-U146</f>
        <v/>
      </c>
      <c r="Z146" s="26" t="n"/>
    </row>
    <row r="147" ht="20" customHeight="1" s="1">
      <c r="A147" s="26" t="n">
        <v>134</v>
      </c>
      <c r="B147" s="26" t="inlineStr">
        <is>
          <t>011207001004</t>
        </is>
      </c>
      <c r="C147" s="26" t="inlineStr">
        <is>
          <t>墙面装饰板</t>
        </is>
      </c>
      <c r="D147" s="26" t="inlineStr">
        <is>
          <t>1.18mm厚A级防火吸音板
2.15mm阻燃夹板
3.双层50*50阻燃木龙骨底架
4.整体厚度233mm
5.其他详见施工设计图纸</t>
        </is>
      </c>
      <c r="E147" s="26" t="inlineStr">
        <is>
          <t>m2</t>
        </is>
      </c>
      <c r="F147" s="100" t="n">
        <v>132.14</v>
      </c>
      <c r="G147" s="100" t="n">
        <v>132.14</v>
      </c>
      <c r="H147" s="100">
        <f>104.64</f>
        <v/>
      </c>
      <c r="I147" s="100" t="n"/>
      <c r="J147" s="100">
        <f>G147-F147</f>
        <v/>
      </c>
      <c r="K147" s="100">
        <f>H147-F147</f>
        <v/>
      </c>
      <c r="L147" s="100">
        <f>H147-G147</f>
        <v/>
      </c>
      <c r="M147" s="37">
        <f>J147/F147</f>
        <v/>
      </c>
      <c r="N147" s="27" t="n">
        <v>249.83</v>
      </c>
      <c r="O147" s="27" t="n">
        <v>239.51</v>
      </c>
      <c r="P147" s="37">
        <f>(N147-O147)/O147</f>
        <v/>
      </c>
      <c r="Q147" s="100">
        <f>O147*0.9056*0.85</f>
        <v/>
      </c>
      <c r="R147" s="100">
        <f>O147*1.15</f>
        <v/>
      </c>
      <c r="S147" s="100">
        <f>IF(N147&lt;O147*0.9056*0.85,O147*0.9056*0.85,IF(N147&gt;O147*1.15,O147*1.15,N147))</f>
        <v/>
      </c>
      <c r="T147" s="100" t="n">
        <v>33012.54</v>
      </c>
      <c r="U147" s="100" t="n">
        <v>33012.54</v>
      </c>
      <c r="V147" s="100">
        <f>T147+S147*K147</f>
        <v/>
      </c>
      <c r="W147" s="100">
        <f>U147-T147</f>
        <v/>
      </c>
      <c r="X147" s="100">
        <f>V147-T147</f>
        <v/>
      </c>
      <c r="Y147" s="100">
        <f>V147-U147</f>
        <v/>
      </c>
      <c r="Z147" s="26" t="n"/>
    </row>
    <row r="148" ht="20" customHeight="1" s="1">
      <c r="A148" s="26" t="n">
        <v>135</v>
      </c>
      <c r="B148" s="26" t="inlineStr">
        <is>
          <t>011207001005</t>
        </is>
      </c>
      <c r="C148" s="26" t="inlineStr">
        <is>
          <t>墙面装饰板</t>
        </is>
      </c>
      <c r="D148" s="26" t="inlineStr">
        <is>
          <t>1.18mm厚A级防火吸音板
2.15mm阻燃夹板
3.50*50阻燃木龙骨底架
4.50mm厚超细玻璃棉（容重32kg/m3）
5.外包吸声无纺布
6.30mm黑缝（黑色填缝剂）
7.其他详见施工设计图纸</t>
        </is>
      </c>
      <c r="E148" s="26" t="inlineStr">
        <is>
          <t>m2</t>
        </is>
      </c>
      <c r="F148" s="100" t="n">
        <v>252.81</v>
      </c>
      <c r="G148" s="100" t="n">
        <v>252.81</v>
      </c>
      <c r="H148" s="100">
        <f>45.48</f>
        <v/>
      </c>
      <c r="I148" s="100" t="n"/>
      <c r="J148" s="100">
        <f>G148-F148</f>
        <v/>
      </c>
      <c r="K148" s="100">
        <f>H148-F148</f>
        <v/>
      </c>
      <c r="L148" s="100">
        <f>H148-G148</f>
        <v/>
      </c>
      <c r="M148" s="37">
        <f>J148/F148</f>
        <v/>
      </c>
      <c r="N148" s="27" t="n">
        <v>295.33</v>
      </c>
      <c r="O148" s="27" t="n">
        <v>275.9</v>
      </c>
      <c r="P148" s="37">
        <f>(N148-O148)/O148</f>
        <v/>
      </c>
      <c r="Q148" s="100">
        <f>O148*0.9056*0.85</f>
        <v/>
      </c>
      <c r="R148" s="100">
        <f>O148*1.15</f>
        <v/>
      </c>
      <c r="S148" s="100">
        <f>IF(N148&lt;O148*0.9056*0.85,O148*0.9056*0.85,IF(N148&gt;O148*1.15,O148*1.15,N148))</f>
        <v/>
      </c>
      <c r="T148" s="100" t="n">
        <v>74662.38</v>
      </c>
      <c r="U148" s="100" t="n">
        <v>74662.38</v>
      </c>
      <c r="V148" s="100">
        <f>T148+S148*K148</f>
        <v/>
      </c>
      <c r="W148" s="100">
        <f>U148-T148</f>
        <v/>
      </c>
      <c r="X148" s="100">
        <f>V148-T148</f>
        <v/>
      </c>
      <c r="Y148" s="100">
        <f>V148-U148</f>
        <v/>
      </c>
      <c r="Z148" s="26" t="n"/>
    </row>
    <row r="149" ht="20" customHeight="1" s="1">
      <c r="A149" s="26" t="n">
        <v>136</v>
      </c>
      <c r="B149" s="26" t="inlineStr">
        <is>
          <t>011207001011</t>
        </is>
      </c>
      <c r="C149" s="26" t="inlineStr">
        <is>
          <t>墙面装饰板</t>
        </is>
      </c>
      <c r="D149" s="26" t="inlineStr">
        <is>
          <t>1.18mm厚A级防火吸音板（条形木纹）
2.15mm阻燃夹板
3.50*50阻燃木龙骨底架
4.50mm厚超细玻璃棉（容重32kg/m3）
5.外包吸声无纺布
6.30mm黑缝（黑色填缝剂）
7.其他详见施工设计图纸</t>
        </is>
      </c>
      <c r="E149" s="26" t="inlineStr">
        <is>
          <t>m2</t>
        </is>
      </c>
      <c r="F149" s="100" t="n">
        <v>52</v>
      </c>
      <c r="G149" s="100" t="n">
        <v>52.75</v>
      </c>
      <c r="H149" s="100">
        <f>52.41</f>
        <v/>
      </c>
      <c r="I149" s="100" t="n"/>
      <c r="J149" s="100">
        <f>G149-F149</f>
        <v/>
      </c>
      <c r="K149" s="100">
        <f>H149-F149</f>
        <v/>
      </c>
      <c r="L149" s="100">
        <f>H149-G149</f>
        <v/>
      </c>
      <c r="M149" s="37">
        <f>J149/F149</f>
        <v/>
      </c>
      <c r="N149" s="27" t="n">
        <v>295.33</v>
      </c>
      <c r="O149" s="27" t="n">
        <v>272.31</v>
      </c>
      <c r="P149" s="37">
        <f>(N149-O149)/O149</f>
        <v/>
      </c>
      <c r="Q149" s="100">
        <f>O149*0.9056*0.85</f>
        <v/>
      </c>
      <c r="R149" s="100">
        <f>O149*1.15</f>
        <v/>
      </c>
      <c r="S149" s="100">
        <f>IF(N149&lt;O149*0.9056*0.85,O149*0.9056*0.85,IF(N149&gt;O149*1.15,O149*1.15,N149))</f>
        <v/>
      </c>
      <c r="T149" s="100" t="n">
        <v>15357.16</v>
      </c>
      <c r="U149" s="100" t="n">
        <v>15579.72</v>
      </c>
      <c r="V149" s="100">
        <f>T149+S149*K149</f>
        <v/>
      </c>
      <c r="W149" s="100">
        <f>U149-T149</f>
        <v/>
      </c>
      <c r="X149" s="100">
        <f>V149-T149</f>
        <v/>
      </c>
      <c r="Y149" s="100">
        <f>V149-U149</f>
        <v/>
      </c>
      <c r="Z149" s="26" t="n"/>
    </row>
    <row r="150" ht="20" customHeight="1" s="1">
      <c r="A150" s="26" t="n">
        <v>137</v>
      </c>
      <c r="B150" s="26" t="inlineStr">
        <is>
          <t>011207001006</t>
        </is>
      </c>
      <c r="C150" s="26" t="inlineStr">
        <is>
          <t>墙面装饰板</t>
        </is>
      </c>
      <c r="D150" s="26" t="inlineStr">
        <is>
          <t>1.18mm厚A级防火吸音板
2.15mm阻燃夹板
3.50*50*4mm+60*60*3mm镀锌钢管龙骨
4.35mm厚超细玻璃棉（容重32kg/m3）
5.外包吸声无纺布
6.30mm黑缝（黑色填缝剂）
7.其他详见施工设计图纸</t>
        </is>
      </c>
      <c r="E150" s="26" t="inlineStr">
        <is>
          <t>m2</t>
        </is>
      </c>
      <c r="F150" s="100" t="n">
        <v>216.53</v>
      </c>
      <c r="G150" s="100" t="n">
        <v>462.7</v>
      </c>
      <c r="H150" s="100">
        <f>462.7</f>
        <v/>
      </c>
      <c r="I150" s="100" t="n"/>
      <c r="J150" s="100">
        <f>G150-F150</f>
        <v/>
      </c>
      <c r="K150" s="100">
        <f>H150-F150</f>
        <v/>
      </c>
      <c r="L150" s="100">
        <f>H150-G150</f>
        <v/>
      </c>
      <c r="M150" s="37">
        <f>J150/F150</f>
        <v/>
      </c>
      <c r="N150" s="27" t="n">
        <v>283.46</v>
      </c>
      <c r="O150" s="27" t="n">
        <v>510.23</v>
      </c>
      <c r="P150" s="37">
        <f>(N150-O150)/O150</f>
        <v/>
      </c>
      <c r="Q150" s="100">
        <f>O150*0.9056*0.85</f>
        <v/>
      </c>
      <c r="R150" s="100">
        <f>O150*1.15</f>
        <v/>
      </c>
      <c r="S150" s="100">
        <f>IF(N150&lt;O150*0.9056*0.85,O150*0.9056*0.85,IF(N150&gt;O150*1.15,O150*1.15,N150))</f>
        <v/>
      </c>
      <c r="T150" s="100" t="n">
        <v>61377.59</v>
      </c>
      <c r="U150" s="100" t="n">
        <v>158063.22</v>
      </c>
      <c r="V150" s="100">
        <f>T150+S150*K150</f>
        <v/>
      </c>
      <c r="W150" s="100">
        <f>U150-T150</f>
        <v/>
      </c>
      <c r="X150" s="100">
        <f>V150-T150</f>
        <v/>
      </c>
      <c r="Y150" s="100">
        <f>V150-U150</f>
        <v/>
      </c>
      <c r="Z150" s="26" t="n"/>
    </row>
    <row r="151" ht="20" customHeight="1" s="1">
      <c r="A151" s="26" t="n">
        <v>138</v>
      </c>
      <c r="B151" s="26" t="inlineStr">
        <is>
          <t>011207001007</t>
        </is>
      </c>
      <c r="C151" s="26" t="inlineStr">
        <is>
          <t>墙面装饰板</t>
        </is>
      </c>
      <c r="D151" s="26" t="inlineStr">
        <is>
          <t>1.2.5mm厚氟碳冲孔铝单板
2.40*40*3mm镀锌方钢管+L40*3角钢骨架
3.50mm厚超细玻璃棉（容重32kg/m3）
4.外包吸声无纺布
5.侧边5mm木纹免漆板
6.其他详见施工设计图纸</t>
        </is>
      </c>
      <c r="E151" s="26" t="inlineStr">
        <is>
          <t>m2</t>
        </is>
      </c>
      <c r="F151" s="100" t="n">
        <v>48.48</v>
      </c>
      <c r="G151" s="100" t="n">
        <v>52.41</v>
      </c>
      <c r="H151" s="100" t="n">
        <v>52.41</v>
      </c>
      <c r="I151" s="100" t="n"/>
      <c r="J151" s="100">
        <f>G151-F151</f>
        <v/>
      </c>
      <c r="K151" s="100">
        <f>H151-F151</f>
        <v/>
      </c>
      <c r="L151" s="100">
        <f>H151-G151</f>
        <v/>
      </c>
      <c r="M151" s="37">
        <f>J151/F151</f>
        <v/>
      </c>
      <c r="N151" s="27" t="n">
        <v>696.1900000000001</v>
      </c>
      <c r="O151" s="27" t="n">
        <v>632.95</v>
      </c>
      <c r="P151" s="37">
        <f>(N151-O151)/O151</f>
        <v/>
      </c>
      <c r="Q151" s="100">
        <f>O151*0.9056*0.85</f>
        <v/>
      </c>
      <c r="R151" s="100">
        <f>O151*1.15</f>
        <v/>
      </c>
      <c r="S151" s="100">
        <f>IF(N151&lt;O151*0.9056*0.85,O151*0.9056*0.85,IF(N151&gt;O151*1.15,O151*1.15,N151))</f>
        <v/>
      </c>
      <c r="T151" s="100" t="n">
        <v>33750.25</v>
      </c>
      <c r="U151" s="100" t="n">
        <v>36487.87</v>
      </c>
      <c r="V151" s="100">
        <f>T151+S151*K151</f>
        <v/>
      </c>
      <c r="W151" s="100">
        <f>U151-T151</f>
        <v/>
      </c>
      <c r="X151" s="100">
        <f>V151-T151</f>
        <v/>
      </c>
      <c r="Y151" s="100">
        <f>V151-U151</f>
        <v/>
      </c>
      <c r="Z151" s="26" t="n"/>
    </row>
    <row r="152" ht="20" customHeight="1" s="1">
      <c r="A152" s="26" t="n">
        <v>139</v>
      </c>
      <c r="B152" s="26" t="inlineStr">
        <is>
          <t>011207001008</t>
        </is>
      </c>
      <c r="C152" s="26" t="inlineStr">
        <is>
          <t>墙面装饰板</t>
        </is>
      </c>
      <c r="D152" s="26" t="inlineStr">
        <is>
      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      </is>
      </c>
      <c r="E152" s="26" t="inlineStr">
        <is>
          <t>m2</t>
        </is>
      </c>
      <c r="F152" s="100" t="n">
        <v>83.45</v>
      </c>
      <c r="G152" s="100" t="n">
        <v>103</v>
      </c>
      <c r="H152" s="100" t="n">
        <v>102.89</v>
      </c>
      <c r="I152" s="100" t="n"/>
      <c r="J152" s="100">
        <f>G152-F152</f>
        <v/>
      </c>
      <c r="K152" s="100">
        <f>H152-F152</f>
        <v/>
      </c>
      <c r="L152" s="100">
        <f>H152-G152</f>
        <v/>
      </c>
      <c r="M152" s="37">
        <f>J152/F152</f>
        <v/>
      </c>
      <c r="N152" s="27" t="n">
        <v>823.85</v>
      </c>
      <c r="O152" s="27" t="n">
        <v>632.95</v>
      </c>
      <c r="P152" s="37">
        <f>(N152-O152)/O152</f>
        <v/>
      </c>
      <c r="Q152" s="100">
        <f>O152*0.9056*0.85</f>
        <v/>
      </c>
      <c r="R152" s="100">
        <f>O152*1.15</f>
        <v/>
      </c>
      <c r="S152" s="100">
        <f>IF(N152&lt;O152*0.9056*0.85,O152*0.9056*0.85,IF(N152&gt;O152*1.15,O152*1.15,N152))</f>
        <v/>
      </c>
      <c r="T152" s="100" t="n">
        <v>68750.28</v>
      </c>
      <c r="U152" s="100" t="n">
        <v>82981.16</v>
      </c>
      <c r="V152" s="100">
        <f>T152+S152*K152</f>
        <v/>
      </c>
      <c r="W152" s="100">
        <f>U152-T152</f>
        <v/>
      </c>
      <c r="X152" s="100">
        <f>V152-T152</f>
        <v/>
      </c>
      <c r="Y152" s="100">
        <f>V152-U152</f>
        <v/>
      </c>
      <c r="Z152" s="26" t="n"/>
    </row>
    <row r="153" ht="20" customHeight="1" s="1">
      <c r="A153" s="26" t="n">
        <v>140</v>
      </c>
      <c r="B153" s="26" t="inlineStr">
        <is>
          <t>011207001009</t>
        </is>
      </c>
      <c r="C153" s="26" t="inlineStr">
        <is>
          <t>墙面装饰板</t>
        </is>
      </c>
      <c r="D153" s="26" t="inlineStr">
        <is>
          <t>1.25mm厚灰色吸音软包
2.50*50阻燃木龙骨
3.50mm厚超细玻璃棉（容重32kg/m3）
4.外包吸声无纺布
5.15mm阻燃夹板
6.其他详见施工设计图纸</t>
        </is>
      </c>
      <c r="E153" s="26" t="inlineStr">
        <is>
          <t>m2</t>
        </is>
      </c>
      <c r="F153" s="100" t="n">
        <v>9.19</v>
      </c>
      <c r="G153" s="100" t="n">
        <v>9.31</v>
      </c>
      <c r="H153" s="100">
        <f>9.31</f>
        <v/>
      </c>
      <c r="I153" s="100" t="n"/>
      <c r="J153" s="100">
        <f>G153-F153</f>
        <v/>
      </c>
      <c r="K153" s="100">
        <f>H153-F153</f>
        <v/>
      </c>
      <c r="L153" s="100">
        <f>H153-G153</f>
        <v/>
      </c>
      <c r="M153" s="37">
        <f>J153/F153</f>
        <v/>
      </c>
      <c r="N153" s="27" t="n">
        <v>442.56</v>
      </c>
      <c r="O153" s="27" t="n">
        <v>211.74</v>
      </c>
      <c r="P153" s="37">
        <f>(N153-O153)/O153</f>
        <v/>
      </c>
      <c r="Q153" s="100">
        <f>O153*0.9056*0.85</f>
        <v/>
      </c>
      <c r="R153" s="100">
        <f>O153*1.15</f>
        <v/>
      </c>
      <c r="S153" s="100">
        <f>IF(N153&lt;O153*0.9056*0.85,O153*0.9056*0.85,IF(N153&gt;O153*1.15,O153*1.15,N153))</f>
        <v/>
      </c>
      <c r="T153" s="100" t="n">
        <v>4065.09</v>
      </c>
      <c r="U153" s="100" t="n">
        <v>4095.77</v>
      </c>
      <c r="V153" s="100">
        <f>T153+S153*K153</f>
        <v/>
      </c>
      <c r="W153" s="100">
        <f>U153-T153</f>
        <v/>
      </c>
      <c r="X153" s="100">
        <f>V153-T153</f>
        <v/>
      </c>
      <c r="Y153" s="100">
        <f>V153-U153</f>
        <v/>
      </c>
      <c r="Z153" s="26" t="n"/>
    </row>
    <row r="154" ht="20" customHeight="1" s="1">
      <c r="A154" s="26" t="n">
        <v>141</v>
      </c>
      <c r="B154" s="26" t="inlineStr">
        <is>
          <t>011207001010</t>
        </is>
      </c>
      <c r="C154" s="26" t="inlineStr">
        <is>
          <t>墙面装饰板</t>
        </is>
      </c>
      <c r="D154" s="26" t="inlineStr">
        <is>
          <t>1.采光窗装饰墙面
2.22*22*1.0不锈钢方形管龙骨
3.8mm硅钙板
4.无机装修涂料
5.其他详见施工设计图</t>
        </is>
      </c>
      <c r="E154" s="26" t="inlineStr">
        <is>
          <t>m2</t>
        </is>
      </c>
      <c r="F154" s="100" t="n">
        <v>42.33</v>
      </c>
      <c r="G154" s="100" t="n">
        <v>137.8</v>
      </c>
      <c r="H154" s="100">
        <f>137.8</f>
        <v/>
      </c>
      <c r="I154" s="100" t="n"/>
      <c r="J154" s="100">
        <f>G154-F154</f>
        <v/>
      </c>
      <c r="K154" s="100">
        <f>H154-F154</f>
        <v/>
      </c>
      <c r="L154" s="100">
        <f>H154-G154</f>
        <v/>
      </c>
      <c r="M154" s="37">
        <f>J154/F154</f>
        <v/>
      </c>
      <c r="N154" s="27" t="n">
        <v>423.33</v>
      </c>
      <c r="O154" s="27" t="n">
        <v>160.16</v>
      </c>
      <c r="P154" s="37">
        <f>(N154-O154)/O154</f>
        <v/>
      </c>
      <c r="Q154" s="100">
        <f>O154*0.9056*0.85</f>
        <v/>
      </c>
      <c r="R154" s="100">
        <f>O154*1.15</f>
        <v/>
      </c>
      <c r="S154" s="100">
        <f>IF(N154&lt;O154*0.9056*0.85,O154*0.9056*0.85,IF(N154&gt;O154*1.15,O154*1.15,N154))</f>
        <v/>
      </c>
      <c r="T154" s="100" t="n">
        <v>17920.83</v>
      </c>
      <c r="U154" s="100" t="n">
        <v>35504.91</v>
      </c>
      <c r="V154" s="100">
        <f>T154+S154*K154</f>
        <v/>
      </c>
      <c r="W154" s="100">
        <f>U154-T154</f>
        <v/>
      </c>
      <c r="X154" s="100">
        <f>V154-T154</f>
        <v/>
      </c>
      <c r="Y154" s="100">
        <f>V154-U154</f>
        <v/>
      </c>
      <c r="Z154" s="26" t="n"/>
    </row>
    <row r="155" ht="20" customHeight="1" s="1">
      <c r="A155" s="26" t="n">
        <v>142</v>
      </c>
      <c r="B155" s="26" t="inlineStr">
        <is>
          <t>010809004001</t>
        </is>
      </c>
      <c r="C155" s="26" t="inlineStr">
        <is>
          <t>石材窗台板</t>
        </is>
      </c>
      <c r="D155" s="26" t="inlineStr">
        <is>
          <t>1.15mm深褐色人造石
2.位置：售卖窗窗台
3.其他详见施工设计图</t>
        </is>
      </c>
      <c r="E155" s="26" t="inlineStr">
        <is>
          <t>m2</t>
        </is>
      </c>
      <c r="F155" s="100" t="n">
        <v>25.43</v>
      </c>
      <c r="G155" s="100" t="n">
        <v>29.82</v>
      </c>
      <c r="H155" s="100">
        <f>29.82</f>
        <v/>
      </c>
      <c r="I155" s="100" t="n"/>
      <c r="J155" s="100">
        <f>G155-F155</f>
        <v/>
      </c>
      <c r="K155" s="100">
        <f>H155-F155</f>
        <v/>
      </c>
      <c r="L155" s="100">
        <f>H155-G155</f>
        <v/>
      </c>
      <c r="M155" s="37">
        <f>J155/F155</f>
        <v/>
      </c>
      <c r="N155" s="27" t="n">
        <v>430.56</v>
      </c>
      <c r="O155" s="27" t="n">
        <v>300.56</v>
      </c>
      <c r="P155" s="37">
        <f>(N155-O155)/O155</f>
        <v/>
      </c>
      <c r="Q155" s="100">
        <f>O155*0.9056*0.85</f>
        <v/>
      </c>
      <c r="R155" s="100">
        <f>O155*1.15</f>
        <v/>
      </c>
      <c r="S155" s="100">
        <f>IF(N155&lt;O155*0.9056*0.85,O155*0.9056*0.85,IF(N155&gt;O155*1.15,O155*1.15,N155))</f>
        <v/>
      </c>
      <c r="T155" s="100" t="n">
        <v>10949.14</v>
      </c>
      <c r="U155" s="100" t="n">
        <v>12466.24</v>
      </c>
      <c r="V155" s="100" t="n">
        <v>12466.24</v>
      </c>
      <c r="W155" s="100">
        <f>U155-T155</f>
        <v/>
      </c>
      <c r="X155" s="100">
        <f>V155-T155</f>
        <v/>
      </c>
      <c r="Y155" s="100">
        <f>V155-U155</f>
        <v/>
      </c>
      <c r="Z155" s="26" t="n"/>
    </row>
    <row r="156" ht="20" customHeight="1" s="1">
      <c r="A156" s="26" t="n">
        <v>143</v>
      </c>
      <c r="B156" s="26" t="inlineStr">
        <is>
          <t>011502002001</t>
        </is>
      </c>
      <c r="C156" s="26" t="inlineStr">
        <is>
          <t>墙面装饰线</t>
        </is>
      </c>
      <c r="D156" s="26" t="inlineStr">
        <is>
          <t>1.阶梯教室墙面装饰线
2.20*20阻燃木龙骨底架
3.8mm硅钙板
4.无机装修涂料
5.其他详见施工设计图</t>
        </is>
      </c>
      <c r="E156" s="26" t="inlineStr">
        <is>
          <t>m</t>
        </is>
      </c>
      <c r="F156" s="100" t="n">
        <v>56.07</v>
      </c>
      <c r="G156" s="100" t="n">
        <v>336.58</v>
      </c>
      <c r="H156" s="100">
        <f>55.73+280.84</f>
        <v/>
      </c>
      <c r="I156" s="100" t="n"/>
      <c r="J156" s="100">
        <f>G156-F156</f>
        <v/>
      </c>
      <c r="K156" s="100">
        <f>H156-F156</f>
        <v/>
      </c>
      <c r="L156" s="100">
        <f>H156-G156</f>
        <v/>
      </c>
      <c r="M156" s="37">
        <f>J156/F156</f>
        <v/>
      </c>
      <c r="N156" s="27" t="n">
        <v>103.69</v>
      </c>
      <c r="O156" s="27" t="n">
        <v>30.94</v>
      </c>
      <c r="P156" s="37">
        <f>(N156-O156)/O156</f>
        <v/>
      </c>
      <c r="Q156" s="100">
        <f>O156*0.9056*0.85</f>
        <v/>
      </c>
      <c r="R156" s="100">
        <f>O156*1.15</f>
        <v/>
      </c>
      <c r="S156" s="100">
        <f>IF(N156&lt;O156*0.9056*0.85,O156*0.9056*0.85,IF(N156&gt;O156*1.15,O156*1.15,N156))</f>
        <v/>
      </c>
      <c r="T156" s="100" t="n">
        <v>5813.9</v>
      </c>
      <c r="U156" s="100" t="n">
        <v>15794.6</v>
      </c>
      <c r="V156" s="100">
        <f>T156+S156*K156</f>
        <v/>
      </c>
      <c r="W156" s="100">
        <f>U156-T156</f>
        <v/>
      </c>
      <c r="X156" s="100">
        <f>V156-T156</f>
        <v/>
      </c>
      <c r="Y156" s="100">
        <f>V156-U156</f>
        <v/>
      </c>
      <c r="Z156" s="26" t="n"/>
    </row>
    <row r="157" ht="20" customHeight="1" s="1">
      <c r="A157" s="26" t="n">
        <v>144</v>
      </c>
      <c r="B157" s="26" t="inlineStr">
        <is>
          <t>011210001001</t>
        </is>
      </c>
      <c r="C157" s="26" t="inlineStr">
        <is>
          <t>轻钢龙骨隔墙</t>
        </is>
      </c>
      <c r="D157" s="26" t="inlineStr">
        <is>
      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      </is>
      </c>
      <c r="E157" s="26" t="inlineStr">
        <is>
          <t>m2</t>
        </is>
      </c>
      <c r="F157" s="100" t="n">
        <v>80.95</v>
      </c>
      <c r="G157" s="100" t="n">
        <v>89.22</v>
      </c>
      <c r="H157" s="100">
        <f>89.22</f>
        <v/>
      </c>
      <c r="I157" s="100" t="n"/>
      <c r="J157" s="100">
        <f>G157-F157</f>
        <v/>
      </c>
      <c r="K157" s="100">
        <f>H157-F157</f>
        <v/>
      </c>
      <c r="L157" s="100">
        <f>H157-G157</f>
        <v/>
      </c>
      <c r="M157" s="37">
        <f>J157/F157</f>
        <v/>
      </c>
      <c r="N157" s="27" t="n">
        <v>730.8099999999999</v>
      </c>
      <c r="O157" s="27" t="n">
        <v>456.55</v>
      </c>
      <c r="P157" s="37">
        <f>(N157-O157)/O157</f>
        <v/>
      </c>
      <c r="Q157" s="100">
        <f>O157*0.9056*0.85</f>
        <v/>
      </c>
      <c r="R157" s="100">
        <f>O157*1.15</f>
        <v/>
      </c>
      <c r="S157" s="100">
        <f>IF(N157&lt;O157*0.9056*0.85,O157*0.9056*0.85,IF(N157&gt;O157*1.15,O157*1.15,N157))</f>
        <v/>
      </c>
      <c r="T157" s="100" t="n">
        <v>59155.42</v>
      </c>
      <c r="U157" s="100" t="n">
        <v>63497.8</v>
      </c>
      <c r="V157" s="100">
        <f>T157+S157*K157</f>
        <v/>
      </c>
      <c r="W157" s="100">
        <f>U157-T157</f>
        <v/>
      </c>
      <c r="X157" s="100">
        <f>V157-T157</f>
        <v/>
      </c>
      <c r="Y157" s="100">
        <f>V157-U157</f>
        <v/>
      </c>
      <c r="Z157" s="26" t="n"/>
    </row>
    <row r="158" ht="20" customHeight="1" s="1">
      <c r="A158" s="26" t="n">
        <v>145</v>
      </c>
      <c r="B158" s="26" t="inlineStr">
        <is>
          <t>011507003001</t>
        </is>
      </c>
      <c r="C158" s="26" t="inlineStr">
        <is>
          <t>灯箱</t>
        </is>
      </c>
      <c r="D158" s="26" t="inlineStr">
        <is>
          <t>1.广告牌灯箱
2.位置：售卖窗
3.其他详见施工设计图</t>
        </is>
      </c>
      <c r="E158" s="26" t="inlineStr">
        <is>
          <t>m2</t>
        </is>
      </c>
      <c r="F158" s="100" t="n">
        <v>17.63</v>
      </c>
      <c r="G158" s="100" t="n">
        <v>20.27</v>
      </c>
      <c r="H158" s="100">
        <f>20.27</f>
        <v/>
      </c>
      <c r="I158" s="100" t="n"/>
      <c r="J158" s="100">
        <f>G158-F158</f>
        <v/>
      </c>
      <c r="K158" s="100">
        <f>H158-F158</f>
        <v/>
      </c>
      <c r="L158" s="100">
        <f>H158-G158</f>
        <v/>
      </c>
      <c r="M158" s="37">
        <f>J158/F158</f>
        <v/>
      </c>
      <c r="N158" s="27" t="n">
        <v>699.5700000000001</v>
      </c>
      <c r="O158" s="27" t="n">
        <v>258.08</v>
      </c>
      <c r="P158" s="37">
        <f>(N158-O158)/O158</f>
        <v/>
      </c>
      <c r="Q158" s="100">
        <f>O158*0.9056*0.85</f>
        <v/>
      </c>
      <c r="R158" s="100">
        <f>O158*1.15</f>
        <v/>
      </c>
      <c r="S158" s="100">
        <f>IF(N158&lt;O158*0.9056*0.85,O158*0.9056*0.85,IF(N158&gt;O158*1.15,O158*1.15,N158))</f>
        <v/>
      </c>
      <c r="T158" s="100" t="n">
        <v>12332.02</v>
      </c>
      <c r="U158" s="100" t="n">
        <v>13116.92</v>
      </c>
      <c r="V158" s="100">
        <f>T158+S158*K158</f>
        <v/>
      </c>
      <c r="W158" s="100">
        <f>U158-T158</f>
        <v/>
      </c>
      <c r="X158" s="100">
        <f>V158-T158</f>
        <v/>
      </c>
      <c r="Y158" s="100">
        <f>V158-U158</f>
        <v/>
      </c>
      <c r="Z158" s="26" t="n"/>
    </row>
    <row r="159" ht="20" customHeight="1" s="1">
      <c r="A159" s="26" t="n"/>
      <c r="B159" s="26" t="n"/>
      <c r="C159" s="26" t="inlineStr">
        <is>
          <t>天棚工程</t>
        </is>
      </c>
      <c r="D159" s="26" t="n"/>
      <c r="E159" s="26" t="n"/>
      <c r="F159" s="100" t="n"/>
      <c r="G159" s="100" t="n"/>
      <c r="H159" s="100" t="n"/>
      <c r="I159" s="100" t="n"/>
      <c r="J159" s="100" t="n"/>
      <c r="K159" s="100" t="n"/>
      <c r="L159" s="100" t="n"/>
      <c r="M159" s="37" t="n"/>
      <c r="N159" s="27" t="n"/>
      <c r="O159" s="27" t="n"/>
      <c r="P159" s="37" t="n"/>
      <c r="Q159" s="100" t="n"/>
      <c r="R159" s="100" t="n"/>
      <c r="S159" s="100" t="n"/>
      <c r="T159" s="100" t="n">
        <v>1110460.07</v>
      </c>
      <c r="U159" s="100" t="n">
        <v>1163442.67</v>
      </c>
      <c r="V159" s="100">
        <f>+SUM(V160:V168)</f>
        <v/>
      </c>
      <c r="W159" s="100">
        <f>U159-T159</f>
        <v/>
      </c>
      <c r="X159" s="100">
        <f>V159-T159</f>
        <v/>
      </c>
      <c r="Y159" s="100">
        <f>V159-U159</f>
        <v/>
      </c>
      <c r="Z159" s="26" t="n"/>
      <c r="AA159" s="42" t="n"/>
    </row>
    <row r="160" ht="20" customHeight="1" s="1">
      <c r="A160" s="26" t="n">
        <v>146</v>
      </c>
      <c r="B160" s="26" t="inlineStr">
        <is>
          <t>011407002001</t>
        </is>
      </c>
      <c r="C160" s="26" t="inlineStr">
        <is>
          <t>天棚喷刷涂料（顶1）</t>
        </is>
      </c>
      <c r="D160" s="26" t="inlineStr">
        <is>
          <t>1.加强型腻子找平层5厚
2.无机涂料,三遍成活</t>
        </is>
      </c>
      <c r="E160" s="26" t="inlineStr">
        <is>
          <t>m2</t>
        </is>
      </c>
      <c r="F160" s="100" t="n">
        <v>3212.05</v>
      </c>
      <c r="G160" s="100" t="n">
        <v>3212.05</v>
      </c>
      <c r="H160" s="100">
        <f>82.91+611.77+2145.37+171.38</f>
        <v/>
      </c>
      <c r="I160" s="100" t="n"/>
      <c r="J160" s="100">
        <f>G160-F160</f>
        <v/>
      </c>
      <c r="K160" s="100">
        <f>H160-F160</f>
        <v/>
      </c>
      <c r="L160" s="100">
        <f>H160-G160</f>
        <v/>
      </c>
      <c r="M160" s="37">
        <f>J160/F160</f>
        <v/>
      </c>
      <c r="N160" s="27" t="n">
        <v>39.44</v>
      </c>
      <c r="O160" s="27" t="n">
        <v>48.24</v>
      </c>
      <c r="P160" s="37">
        <f>(N160-O160)/O160</f>
        <v/>
      </c>
      <c r="Q160" s="100">
        <f>O160*0.9056*0.85</f>
        <v/>
      </c>
      <c r="R160" s="100">
        <f>O160*1.15</f>
        <v/>
      </c>
      <c r="S160" s="100">
        <f>IF(N160&lt;O160*0.9056*0.85,O160*0.9056*0.85,IF(N160&gt;O160*1.15,O160*1.15,N160))</f>
        <v/>
      </c>
      <c r="T160" s="100" t="n">
        <v>126683.18</v>
      </c>
      <c r="U160" s="100" t="n">
        <v>126683.18</v>
      </c>
      <c r="V160" s="100">
        <f>T160+S160*K160</f>
        <v/>
      </c>
      <c r="W160" s="100">
        <f>U160-T160</f>
        <v/>
      </c>
      <c r="X160" s="100">
        <f>V160-T160</f>
        <v/>
      </c>
      <c r="Y160" s="100">
        <f>V160-U160</f>
        <v/>
      </c>
      <c r="Z160" s="26" t="inlineStr">
        <is>
          <t>复核车道顶棚是否在地下室计算</t>
        </is>
      </c>
    </row>
    <row r="161" ht="20" customFormat="1" customHeight="1" s="7">
      <c r="A161" s="26" t="n">
        <v>147</v>
      </c>
      <c r="B161" s="26" t="inlineStr">
        <is>
          <t>011406001006</t>
        </is>
      </c>
      <c r="C161" s="26" t="inlineStr">
        <is>
          <t>抹灰面油漆（顶2）</t>
        </is>
      </c>
      <c r="D161" s="26" t="inlineStr">
        <is>
          <t>1.扫白色灰水二道</t>
        </is>
      </c>
      <c r="E161" s="26" t="inlineStr">
        <is>
          <t>m2</t>
        </is>
      </c>
      <c r="F161" s="100" t="n">
        <v>16.56</v>
      </c>
      <c r="G161" s="100" t="n">
        <v>17.45</v>
      </c>
      <c r="H161" s="100" t="n">
        <v>16.56</v>
      </c>
      <c r="I161" s="100" t="n">
        <v>17.25</v>
      </c>
      <c r="J161" s="100">
        <f>G161-F161</f>
        <v/>
      </c>
      <c r="K161" s="100">
        <f>H161-F161</f>
        <v/>
      </c>
      <c r="L161" s="100">
        <f>H161-G161</f>
        <v/>
      </c>
      <c r="M161" s="37">
        <f>J161/F161</f>
        <v/>
      </c>
      <c r="N161" s="27" t="n">
        <v>19.62</v>
      </c>
      <c r="O161" s="27" t="n">
        <v>17.11</v>
      </c>
      <c r="P161" s="37">
        <f>(N161-O161)/O161</f>
        <v/>
      </c>
      <c r="Q161" s="100">
        <f>O161*0.9056*0.85</f>
        <v/>
      </c>
      <c r="R161" s="100">
        <f>O161*1.15</f>
        <v/>
      </c>
      <c r="S161" s="100">
        <f>IF(N161&lt;O161*0.9056*0.85,O161*0.9056*0.85,IF(N161&gt;O161*1.15,O161*1.15,N161))</f>
        <v/>
      </c>
      <c r="T161" s="100" t="n">
        <v>324.87</v>
      </c>
      <c r="U161" s="100" t="n">
        <v>342.27</v>
      </c>
      <c r="V161" s="100">
        <f>T161+S161*K161</f>
        <v/>
      </c>
      <c r="W161" s="100">
        <f>U161-T161</f>
        <v/>
      </c>
      <c r="X161" s="100">
        <f>V161-T161</f>
        <v/>
      </c>
      <c r="Y161" s="100">
        <f>V161-U161</f>
        <v/>
      </c>
      <c r="Z161" s="26" t="inlineStr">
        <is>
          <t>变更16修改做法，在变更扣减</t>
        </is>
      </c>
    </row>
    <row r="162" ht="20" customHeight="1" s="1">
      <c r="A162" s="26" t="n">
        <v>148</v>
      </c>
      <c r="B162" s="26" t="inlineStr">
        <is>
          <t>011302001001</t>
        </is>
      </c>
      <c r="C162" s="26" t="inlineStr">
        <is>
          <t>吊顶天棚（室外）</t>
        </is>
      </c>
      <c r="D162" s="26" t="inlineStr">
        <is>
          <t>1.2.5mm铝单板吊顶
2.L50*5角钢@1200
3.做法详见图纸</t>
        </is>
      </c>
      <c r="E162" s="26" t="inlineStr">
        <is>
          <t>m2</t>
        </is>
      </c>
      <c r="F162" s="100" t="n">
        <v>631.61</v>
      </c>
      <c r="G162" s="100" t="n">
        <v>631.61</v>
      </c>
      <c r="H162" s="100">
        <f>545.95</f>
        <v/>
      </c>
      <c r="I162" s="100">
        <f>363.825+153*2</f>
        <v/>
      </c>
      <c r="J162" s="100">
        <f>G162-F162</f>
        <v/>
      </c>
      <c r="K162" s="100">
        <f>H162-F162</f>
        <v/>
      </c>
      <c r="L162" s="100">
        <f>H162-G162</f>
        <v/>
      </c>
      <c r="M162" s="37">
        <f>J162/F162</f>
        <v/>
      </c>
      <c r="N162" s="27" t="n">
        <v>665.34</v>
      </c>
      <c r="O162" s="27" t="n">
        <v>645.25</v>
      </c>
      <c r="P162" s="37">
        <f>(N162-O162)/O162</f>
        <v/>
      </c>
      <c r="Q162" s="100">
        <f>O162*0.9056*0.85</f>
        <v/>
      </c>
      <c r="R162" s="100">
        <f>O162*1.15</f>
        <v/>
      </c>
      <c r="S162" s="100">
        <f>IF(N162&lt;O162*0.9056*0.85,O162*0.9056*0.85,IF(N162&gt;O162*1.15,O162*1.15,N162))</f>
        <v/>
      </c>
      <c r="T162" s="100" t="n">
        <v>420235.4</v>
      </c>
      <c r="U162" s="100" t="n">
        <v>420235.4</v>
      </c>
      <c r="V162" s="100">
        <f>T162+S162*K162</f>
        <v/>
      </c>
      <c r="W162" s="100">
        <f>U162-T162</f>
        <v/>
      </c>
      <c r="X162" s="100">
        <f>V162-T162</f>
        <v/>
      </c>
      <c r="Y162" s="100">
        <f>V162-U162</f>
        <v/>
      </c>
      <c r="Z162" s="26" t="inlineStr">
        <is>
          <t>此处还需再核对</t>
        </is>
      </c>
      <c r="AA162" s="48" t="inlineStr">
        <is>
          <t>此处详怡海小学
铝合金门窗深化图</t>
        </is>
      </c>
      <c r="AE162" s="7" t="inlineStr">
        <is>
          <t>补变更手续</t>
        </is>
      </c>
    </row>
    <row r="163" ht="20" customHeight="1" s="1">
      <c r="A163" s="26" t="n">
        <v>149</v>
      </c>
      <c r="B163" s="26" t="inlineStr">
        <is>
          <t>011406001007</t>
        </is>
      </c>
      <c r="C163" s="26" t="inlineStr">
        <is>
          <t>抹灰面油漆（顶5）</t>
        </is>
      </c>
      <c r="D163" s="26" t="inlineStr">
        <is>
          <t>1.耐水防霉白色腻子两遍</t>
        </is>
      </c>
      <c r="E163" s="26" t="inlineStr">
        <is>
          <t>m2</t>
        </is>
      </c>
      <c r="F163" s="100" t="n">
        <v>1449.08</v>
      </c>
      <c r="G163" s="100" t="n">
        <v>1624.99</v>
      </c>
      <c r="H163" s="100">
        <f>1623.18</f>
        <v/>
      </c>
      <c r="I163" s="100" t="n"/>
      <c r="J163" s="100">
        <f>G163-F163</f>
        <v/>
      </c>
      <c r="K163" s="100">
        <f>H163-F163</f>
        <v/>
      </c>
      <c r="L163" s="100">
        <f>H163-G163</f>
        <v/>
      </c>
      <c r="M163" s="37">
        <f>J163/F163</f>
        <v/>
      </c>
      <c r="N163" s="27" t="n">
        <v>19.62</v>
      </c>
      <c r="O163" s="27" t="n">
        <v>21.48</v>
      </c>
      <c r="P163" s="37">
        <f>(N163-O163)/O163</f>
        <v/>
      </c>
      <c r="Q163" s="100">
        <f>O163*0.9056*0.85</f>
        <v/>
      </c>
      <c r="R163" s="100">
        <f>O163*1.15</f>
        <v/>
      </c>
      <c r="S163" s="100">
        <f>IF(N163&lt;O163*0.9056*0.85,O163*0.9056*0.85,IF(N163&gt;O163*1.15,O163*1.15,N163))</f>
        <v/>
      </c>
      <c r="T163" s="100" t="n">
        <v>28430.92</v>
      </c>
      <c r="U163" s="100" t="n">
        <v>31882.38</v>
      </c>
      <c r="V163" s="100">
        <f>T163+S163*K163</f>
        <v/>
      </c>
      <c r="W163" s="100">
        <f>U163-T163</f>
        <v/>
      </c>
      <c r="X163" s="100">
        <f>V163-T163</f>
        <v/>
      </c>
      <c r="Y163" s="100">
        <f>V163-U163</f>
        <v/>
      </c>
      <c r="Z163" s="26" t="n"/>
    </row>
    <row r="164" ht="20" customHeight="1" s="1">
      <c r="A164" s="26" t="n">
        <v>150</v>
      </c>
      <c r="B164" s="26" t="inlineStr">
        <is>
          <t>011302001002</t>
        </is>
      </c>
      <c r="C164" s="26" t="inlineStr">
        <is>
          <t>吊顶天棚</t>
        </is>
      </c>
      <c r="D164" s="26" t="inlineStr">
        <is>
          <t>1.3mm厚穿孔铝板吊顶
2.龙骨：40*40*2mm厚不锈钢方管底架，金属吊杆
3.50厚超细玻璃棉（容重24kg/m3）
4.不燃黑色无妨布包裹800*800
5.其他详见施工设计图</t>
        </is>
      </c>
      <c r="E164" s="26" t="inlineStr">
        <is>
          <t>m2</t>
        </is>
      </c>
      <c r="F164" s="100" t="n">
        <v>485.21</v>
      </c>
      <c r="G164" s="100" t="n">
        <v>485.43</v>
      </c>
      <c r="H164" s="100">
        <f>485.24</f>
        <v/>
      </c>
      <c r="I164" s="100" t="n"/>
      <c r="J164" s="100">
        <f>G164-F164</f>
        <v/>
      </c>
      <c r="K164" s="100">
        <f>H164-F164</f>
        <v/>
      </c>
      <c r="L164" s="100">
        <f>H164-G164</f>
        <v/>
      </c>
      <c r="M164" s="37">
        <f>J164/F164</f>
        <v/>
      </c>
      <c r="N164" s="27" t="n">
        <v>685.63</v>
      </c>
      <c r="O164" s="27" t="n">
        <v>780.55</v>
      </c>
      <c r="P164" s="37">
        <f>(N164-O164)/O164</f>
        <v/>
      </c>
      <c r="Q164" s="100">
        <f>O164*0.9056*0.85</f>
        <v/>
      </c>
      <c r="R164" s="100">
        <f>O164*1.15</f>
        <v/>
      </c>
      <c r="S164" s="100">
        <f>IF(N164&lt;O164*0.9056*0.85,O164*0.9056*0.85,IF(N164&gt;O164*1.15,O164*1.15,N164))</f>
        <v/>
      </c>
      <c r="T164" s="100" t="n">
        <v>332674.53</v>
      </c>
      <c r="U164" s="100" t="n">
        <v>332824.75</v>
      </c>
      <c r="V164" s="100">
        <f>T164+S164*K164</f>
        <v/>
      </c>
      <c r="W164" s="100">
        <f>U164-T164</f>
        <v/>
      </c>
      <c r="X164" s="100">
        <f>V164-T164</f>
        <v/>
      </c>
      <c r="Y164" s="100">
        <f>V164-U164</f>
        <v/>
      </c>
      <c r="Z164" s="26" t="n"/>
    </row>
    <row r="165" ht="20" customHeight="1" s="1">
      <c r="A165" s="26" t="n">
        <v>151</v>
      </c>
      <c r="B165" s="26" t="inlineStr">
        <is>
          <t>011302001003</t>
        </is>
      </c>
      <c r="C165" s="26" t="inlineStr">
        <is>
          <t>吊顶天棚</t>
        </is>
      </c>
      <c r="D165" s="26" t="inlineStr">
        <is>
          <t>1.装配式U型轻钢天棚龙骨(不上人型)面层规格(mm)600×600跌级
2.9mm胶合板基层
3.8MM厚硅钙板天花面层
4.加强型腻子找平层5厚
5.无机涂料,三遍成活</t>
        </is>
      </c>
      <c r="E165" s="26" t="inlineStr">
        <is>
          <t>m2</t>
        </is>
      </c>
      <c r="F165" s="100" t="n">
        <v>116.4</v>
      </c>
      <c r="G165" s="100" t="n">
        <v>231.88</v>
      </c>
      <c r="H165" s="100">
        <f>217.67</f>
        <v/>
      </c>
      <c r="I165" s="100" t="n"/>
      <c r="J165" s="100">
        <f>G165-F165</f>
        <v/>
      </c>
      <c r="K165" s="100">
        <f>H165-F165</f>
        <v/>
      </c>
      <c r="L165" s="100">
        <f>H165-G165</f>
        <v/>
      </c>
      <c r="M165" s="37">
        <f>J165/F165</f>
        <v/>
      </c>
      <c r="N165" s="27" t="n">
        <v>170.61</v>
      </c>
      <c r="O165" s="27" t="n">
        <v>176.34</v>
      </c>
      <c r="P165" s="37">
        <f>(N165-O165)/O165</f>
        <v/>
      </c>
      <c r="Q165" s="100">
        <f>O165*0.9056*0.85</f>
        <v/>
      </c>
      <c r="R165" s="100">
        <f>O165*1.15</f>
        <v/>
      </c>
      <c r="S165" s="100">
        <f>IF(N165&lt;O165*0.9056*0.85,O165*0.9056*0.85,IF(N165&gt;O165*1.15,O165*1.15,N165))</f>
        <v/>
      </c>
      <c r="T165" s="100" t="n">
        <v>19859.46</v>
      </c>
      <c r="U165" s="100" t="n">
        <v>39561.59</v>
      </c>
      <c r="V165" s="100">
        <f>T165+S165*K165</f>
        <v/>
      </c>
      <c r="W165" s="100">
        <f>U165-T165</f>
        <v/>
      </c>
      <c r="X165" s="100">
        <f>V165-T165</f>
        <v/>
      </c>
      <c r="Y165" s="100">
        <f>V165-U165</f>
        <v/>
      </c>
      <c r="Z165" s="26" t="n"/>
    </row>
    <row r="166" ht="20" customHeight="1" s="1">
      <c r="A166" s="26" t="n">
        <v>152</v>
      </c>
      <c r="B166" s="26" t="inlineStr">
        <is>
          <t>011302001004</t>
        </is>
      </c>
      <c r="C166" s="26" t="inlineStr">
        <is>
          <t>吊顶天棚</t>
        </is>
      </c>
      <c r="D166" s="26" t="inlineStr">
        <is>
          <t>1.龙骨材料种类、规格、中距:轻钢龙骨
2.面层材料品种、规格:600*600*0.8mm铝扣板平面方板</t>
        </is>
      </c>
      <c r="E166" s="26" t="inlineStr">
        <is>
          <t>m2</t>
        </is>
      </c>
      <c r="F166" s="100" t="n">
        <v>194.8</v>
      </c>
      <c r="G166" s="100" t="n">
        <v>197.41</v>
      </c>
      <c r="H166" s="100">
        <f>97.33+100.08</f>
        <v/>
      </c>
      <c r="I166" s="100" t="n"/>
      <c r="J166" s="100">
        <f>G166-F166</f>
        <v/>
      </c>
      <c r="K166" s="100">
        <f>H166-F166</f>
        <v/>
      </c>
      <c r="L166" s="100">
        <f>H166-G166</f>
        <v/>
      </c>
      <c r="M166" s="37">
        <f>J166/F166</f>
        <v/>
      </c>
      <c r="N166" s="27" t="n">
        <v>167.7</v>
      </c>
      <c r="O166" s="27" t="n">
        <v>195.42</v>
      </c>
      <c r="P166" s="37">
        <f>(N166-O166)/O166</f>
        <v/>
      </c>
      <c r="Q166" s="100">
        <f>O166*0.9056*0.85</f>
        <v/>
      </c>
      <c r="R166" s="100">
        <f>O166*1.15</f>
        <v/>
      </c>
      <c r="S166" s="100">
        <f>IF(N166&lt;O166*0.9056*0.85,O166*0.9056*0.85,IF(N166&gt;O166*1.15,O166*1.15,N166))</f>
        <v/>
      </c>
      <c r="T166" s="100" t="n">
        <v>32668.71</v>
      </c>
      <c r="U166" s="100" t="n">
        <v>33105.66</v>
      </c>
      <c r="V166" s="100" t="n">
        <v>33105.66</v>
      </c>
      <c r="W166" s="100">
        <f>U166-T166</f>
        <v/>
      </c>
      <c r="X166" s="100">
        <f>V166-T166</f>
        <v/>
      </c>
      <c r="Y166" s="100">
        <f>V166-U166</f>
        <v/>
      </c>
      <c r="Z166" s="26" t="n"/>
    </row>
    <row r="167" ht="20" customHeight="1" s="1">
      <c r="A167" s="26" t="n">
        <v>153</v>
      </c>
      <c r="B167" s="26" t="inlineStr">
        <is>
          <t>011302002001</t>
        </is>
      </c>
      <c r="C167" s="26" t="inlineStr">
        <is>
          <t>格栅吊顶</t>
        </is>
      </c>
      <c r="D167" s="26" t="inlineStr">
        <is>
          <t>1.50*100*1.0铝方管格栅天花(木纹转印)
2.做法详见图纸</t>
        </is>
      </c>
      <c r="E167" s="26" t="inlineStr">
        <is>
          <t>m2</t>
        </is>
      </c>
      <c r="F167" s="100" t="n">
        <v>81.70999999999999</v>
      </c>
      <c r="G167" s="100" t="n">
        <v>130.25</v>
      </c>
      <c r="H167" s="100" t="n">
        <v>130.25</v>
      </c>
      <c r="I167" s="100" t="n"/>
      <c r="J167" s="100">
        <f>G167-F167</f>
        <v/>
      </c>
      <c r="K167" s="100">
        <f>H167-F167</f>
        <v/>
      </c>
      <c r="L167" s="100">
        <f>H167-G167</f>
        <v/>
      </c>
      <c r="M167" s="37">
        <f>J167/F167</f>
        <v/>
      </c>
      <c r="N167" s="27" t="n">
        <v>203.6</v>
      </c>
      <c r="O167" s="27" t="n">
        <v>199.66</v>
      </c>
      <c r="P167" s="37">
        <f>(N167-O167)/O167</f>
        <v/>
      </c>
      <c r="Q167" s="100">
        <f>O167*0.9056*0.85</f>
        <v/>
      </c>
      <c r="R167" s="100">
        <f>O167*1.15</f>
        <v/>
      </c>
      <c r="S167" s="100">
        <f>IF(N167&lt;O167*0.9056*0.85,O167*0.9056*0.85,IF(N167&gt;O167*1.15,O167*1.15,N167))</f>
        <v/>
      </c>
      <c r="T167" s="100" t="n">
        <v>16635.85</v>
      </c>
      <c r="U167" s="100" t="n">
        <v>26519.65</v>
      </c>
      <c r="V167" s="100">
        <f>T167+S167*K167</f>
        <v/>
      </c>
      <c r="W167" s="100">
        <f>U167-T167</f>
        <v/>
      </c>
      <c r="X167" s="100">
        <f>V167-T167</f>
        <v/>
      </c>
      <c r="Y167" s="100">
        <f>V167-U167</f>
        <v/>
      </c>
      <c r="Z167" s="26" t="n"/>
    </row>
    <row r="168" ht="20" customHeight="1" s="1">
      <c r="A168" s="26" t="n">
        <v>154</v>
      </c>
      <c r="B168" s="26" t="inlineStr">
        <is>
          <t>011302001005</t>
        </is>
      </c>
      <c r="C168" s="26" t="inlineStr">
        <is>
          <t>吊顶天棚</t>
        </is>
      </c>
      <c r="D168" s="26" t="inlineStr">
        <is>
          <t>1.2.5mm厚氟碳冲孔铝单板
2.40*40*3镀锌角钢网架+底架
3.50mm厚超细玻璃棉（容重24KG/M3）
4.不燃黑色无纺布
5.其他详细施工设计图</t>
        </is>
      </c>
      <c r="E168" s="26" t="inlineStr">
        <is>
          <t>m2</t>
        </is>
      </c>
      <c r="F168" s="100" t="n">
        <v>219.24</v>
      </c>
      <c r="G168" s="100" t="n">
        <v>251.13</v>
      </c>
      <c r="H168" s="100" t="n">
        <v>251.13</v>
      </c>
      <c r="I168" s="100" t="n"/>
      <c r="J168" s="100">
        <f>G168-F168</f>
        <v/>
      </c>
      <c r="K168" s="100">
        <f>H168-F168</f>
        <v/>
      </c>
      <c r="L168" s="100">
        <f>H168-G168</f>
        <v/>
      </c>
      <c r="M168" s="37">
        <f>J168/F168</f>
        <v/>
      </c>
      <c r="N168" s="27" t="n">
        <v>606.4</v>
      </c>
      <c r="O168" s="27" t="n">
        <v>699.74</v>
      </c>
      <c r="P168" s="37">
        <f>(N168-O168)/O168</f>
        <v/>
      </c>
      <c r="Q168" s="100">
        <f>O168*0.9056*0.85</f>
        <v/>
      </c>
      <c r="R168" s="100">
        <f>O168*1.15</f>
        <v/>
      </c>
      <c r="S168" s="100">
        <f>IF(N168&lt;O168*0.9056*0.85,O168*0.9056*0.85,IF(N168&gt;O168*1.15,O168*1.15,N168))</f>
        <v/>
      </c>
      <c r="T168" s="100" t="n">
        <v>132947.14</v>
      </c>
      <c r="U168" s="100" t="n">
        <v>152287.78</v>
      </c>
      <c r="V168" s="100">
        <f>T168+S168*K168</f>
        <v/>
      </c>
      <c r="W168" s="100">
        <f>U168-T168</f>
        <v/>
      </c>
      <c r="X168" s="100">
        <f>V168-T168</f>
        <v/>
      </c>
      <c r="Y168" s="100">
        <f>V168-U168</f>
        <v/>
      </c>
      <c r="Z168" s="26" t="n"/>
    </row>
    <row r="169" ht="20" customHeight="1" s="1">
      <c r="A169" s="26" t="n"/>
      <c r="B169" s="26" t="n"/>
      <c r="C169" s="26" t="inlineStr">
        <is>
          <t>其他装饰工程</t>
        </is>
      </c>
      <c r="D169" s="26" t="n"/>
      <c r="E169" s="26" t="n"/>
      <c r="F169" s="100" t="n"/>
      <c r="G169" s="100" t="n"/>
      <c r="H169" s="100" t="n"/>
      <c r="I169" s="100" t="n"/>
      <c r="J169" s="100" t="n"/>
      <c r="K169" s="100" t="n"/>
      <c r="L169" s="100" t="n"/>
      <c r="M169" s="37" t="n"/>
      <c r="N169" s="27" t="n"/>
      <c r="O169" s="27" t="n"/>
      <c r="P169" s="37" t="n"/>
      <c r="Q169" s="100" t="n"/>
      <c r="R169" s="100" t="n"/>
      <c r="S169" s="100" t="n"/>
      <c r="T169" s="100" t="n">
        <v>181690.65</v>
      </c>
      <c r="U169" s="100" t="n">
        <v>214493.81</v>
      </c>
      <c r="V169" s="100">
        <f>+SUM(V170:V187)</f>
        <v/>
      </c>
      <c r="W169" s="100">
        <f>U169-T169</f>
        <v/>
      </c>
      <c r="X169" s="100">
        <f>V169-T169</f>
        <v/>
      </c>
      <c r="Y169" s="100">
        <f>V169-U169</f>
        <v/>
      </c>
      <c r="Z169" s="26" t="n"/>
      <c r="AA169" s="42" t="n"/>
    </row>
    <row r="170" ht="20" customHeight="1" s="1">
      <c r="A170" s="26" t="n">
        <v>155</v>
      </c>
      <c r="B170" s="67" t="inlineStr">
        <is>
          <t>010507001001</t>
        </is>
      </c>
      <c r="C170" s="26" t="inlineStr">
        <is>
          <t>室外坡道</t>
        </is>
      </c>
      <c r="D170" s="26" t="inlineStr">
        <is>
          <t>1.室外坡道（13ZJ301-5/19）
2.300mm厚3：7灰土垫层
3.100mm厚C15混凝土
4.25厚1：3干硬性水泥砂浆结合层
5.30mm厚花岗石板</t>
        </is>
      </c>
      <c r="E170" s="26" t="inlineStr">
        <is>
          <t>m2</t>
        </is>
      </c>
      <c r="F170" s="100" t="n">
        <v>62.43</v>
      </c>
      <c r="G170" s="100" t="n">
        <v>52.5</v>
      </c>
      <c r="H170" s="100" t="n">
        <v>52.5</v>
      </c>
      <c r="I170" s="100" t="n"/>
      <c r="J170" s="100">
        <f>G170-F170</f>
        <v/>
      </c>
      <c r="K170" s="100">
        <f>H170-F170</f>
        <v/>
      </c>
      <c r="L170" s="100">
        <f>H170-G170</f>
        <v/>
      </c>
      <c r="M170" s="37">
        <f>J170/F170</f>
        <v/>
      </c>
      <c r="N170" s="27" t="n">
        <v>373.22</v>
      </c>
      <c r="O170" s="27" t="n">
        <v>441.35</v>
      </c>
      <c r="P170" s="37">
        <f>(N170-O170)/O170</f>
        <v/>
      </c>
      <c r="Q170" s="100">
        <f>O170*0.9056*0.85</f>
        <v/>
      </c>
      <c r="R170" s="100">
        <f>O170*1.15</f>
        <v/>
      </c>
      <c r="S170" s="100">
        <f>IF(N170&lt;O170*0.9056*0.85,O170*0.9056*0.85,IF(N170&gt;O170*1.15,O170*1.15,N170))</f>
        <v/>
      </c>
      <c r="T170" s="100" t="n">
        <v>23300.12</v>
      </c>
      <c r="U170" s="100" t="n">
        <v>19592.59</v>
      </c>
      <c r="V170" s="100" t="n">
        <v>19592.59</v>
      </c>
      <c r="W170" s="100">
        <f>U170-T170</f>
        <v/>
      </c>
      <c r="X170" s="100">
        <f>V170-T170</f>
        <v/>
      </c>
      <c r="Y170" s="100">
        <f>V170-U170</f>
        <v/>
      </c>
      <c r="Z170" s="26" t="n"/>
    </row>
    <row r="171" ht="20" customFormat="1" customHeight="1" s="7">
      <c r="A171" s="26" t="n">
        <v>156</v>
      </c>
      <c r="B171" s="26" t="inlineStr">
        <is>
          <t>010507003002</t>
        </is>
      </c>
      <c r="C171" s="26" t="inlineStr">
        <is>
          <t>排水沟</t>
        </is>
      </c>
      <c r="D171" s="26" t="inlineStr">
        <is>
          <t>1.排水沟
2.沟深40mm
3.DWM20水泥砂浆
4.其他详见施工图</t>
        </is>
      </c>
      <c r="E171" s="26" t="inlineStr">
        <is>
          <t>m</t>
        </is>
      </c>
      <c r="F171" s="100" t="n">
        <v>179.57</v>
      </c>
      <c r="G171" s="100" t="n">
        <v>276.55</v>
      </c>
      <c r="H171" s="100">
        <f>272.35+4.2</f>
        <v/>
      </c>
      <c r="I171" s="100" t="n"/>
      <c r="J171" s="100">
        <f>G171-F171</f>
        <v/>
      </c>
      <c r="K171" s="100">
        <f>H171-F171</f>
        <v/>
      </c>
      <c r="L171" s="100">
        <f>H171-G171</f>
        <v/>
      </c>
      <c r="M171" s="37">
        <f>J171/F171</f>
        <v/>
      </c>
      <c r="N171" s="27" t="n">
        <v>27.17</v>
      </c>
      <c r="O171" s="27" t="n">
        <v>10.82</v>
      </c>
      <c r="P171" s="37">
        <f>(N171-O171)/O171</f>
        <v/>
      </c>
      <c r="Q171" s="100">
        <f>O171*0.9056*0.85</f>
        <v/>
      </c>
      <c r="R171" s="100">
        <f>O171*1.15</f>
        <v/>
      </c>
      <c r="S171" s="100">
        <f>IF(N171&lt;O171*0.9056*0.85,O171*0.9056*0.85,IF(N171&gt;O171*1.15,O171*1.15,N171))</f>
        <v/>
      </c>
      <c r="T171" s="100" t="n">
        <v>4878.92</v>
      </c>
      <c r="U171" s="100" t="n">
        <v>6085.65</v>
      </c>
      <c r="V171" s="100">
        <f>T171+S171*K171</f>
        <v/>
      </c>
      <c r="W171" s="100">
        <f>U171-T171</f>
        <v/>
      </c>
      <c r="X171" s="100">
        <f>V171-T171</f>
        <v/>
      </c>
      <c r="Y171" s="100">
        <f>V171-U171</f>
        <v/>
      </c>
      <c r="Z171" s="26" t="n"/>
    </row>
    <row r="172" ht="20" customHeight="1" s="1">
      <c r="A172" s="26" t="n">
        <v>157</v>
      </c>
      <c r="B172" s="26" t="inlineStr">
        <is>
          <t>010507003004</t>
        </is>
      </c>
      <c r="C172" s="26" t="inlineStr">
        <is>
          <t>截水沟</t>
        </is>
      </c>
      <c r="D172" s="26" t="inlineStr">
        <is>
          <t>1.截水沟
2.成品雨水格栅
3.底部：细石混凝土找坡层+20厚1：2.5水泥砂浆面层
4.侧边：20厚1：2.5水泥砂浆面层
5.其他详见中南标11ZJ9011/42</t>
        </is>
      </c>
      <c r="E172" s="26" t="inlineStr">
        <is>
          <t>m</t>
        </is>
      </c>
      <c r="F172" s="100" t="n">
        <v>63.9</v>
      </c>
      <c r="G172" s="100" t="n">
        <v>62.83</v>
      </c>
      <c r="H172" s="100">
        <f>55.43+3.9+3.5</f>
        <v/>
      </c>
      <c r="I172" s="100" t="n"/>
      <c r="J172" s="100">
        <f>G172-F172</f>
        <v/>
      </c>
      <c r="K172" s="100">
        <f>H172-F172</f>
        <v/>
      </c>
      <c r="L172" s="100">
        <f>H172-G172</f>
        <v/>
      </c>
      <c r="M172" s="37">
        <f>J172/F172</f>
        <v/>
      </c>
      <c r="N172" s="27" t="n">
        <v>252.01</v>
      </c>
      <c r="O172" s="27" t="n">
        <v>247.5</v>
      </c>
      <c r="P172" s="37">
        <f>(N172-O172)/O172</f>
        <v/>
      </c>
      <c r="Q172" s="100">
        <f>O172*0.9056*0.85</f>
        <v/>
      </c>
      <c r="R172" s="100">
        <f>O172*1.15</f>
        <v/>
      </c>
      <c r="S172" s="100">
        <f>IF(N172&lt;O172*0.9056*0.85,O172*0.9056*0.85,IF(N172&gt;O172*1.15,O172*1.15,N172))</f>
        <v/>
      </c>
      <c r="T172" s="100" t="n">
        <v>16103.44</v>
      </c>
      <c r="U172" s="100" t="n">
        <v>15834.75</v>
      </c>
      <c r="V172" s="100">
        <f>T172+S172*K172</f>
        <v/>
      </c>
      <c r="W172" s="100">
        <f>U172-T172</f>
        <v/>
      </c>
      <c r="X172" s="100">
        <f>V172-T172</f>
        <v/>
      </c>
      <c r="Y172" s="100">
        <f>V172-U172</f>
        <v/>
      </c>
      <c r="Z172" s="26" t="n"/>
    </row>
    <row r="173" ht="20" customHeight="1" s="1">
      <c r="A173" s="26" t="n">
        <v>158</v>
      </c>
      <c r="B173" s="26" t="inlineStr">
        <is>
          <t>011503001008</t>
        </is>
      </c>
      <c r="C173" s="26" t="inlineStr">
        <is>
          <t>金属扶手、栏杆、栏板</t>
        </is>
      </c>
      <c r="D173" s="26" t="inlineStr">
        <is>
          <t>1.名称:浅灰色拉丝不锈钢栏杆(H=1200MM)
2.上扶手:Φ60x3.0不锈钢管
3.栏杆:Φ28x1.2不锈钢管
4.含热镀锌预埋件及螺栓
5.做法参照国标15J403-1</t>
        </is>
      </c>
      <c r="E173" s="26" t="inlineStr">
        <is>
          <t>m</t>
        </is>
      </c>
      <c r="F173" s="100" t="n">
        <v>31.73</v>
      </c>
      <c r="G173" s="100" t="n">
        <v>31.8</v>
      </c>
      <c r="H173" s="100" t="n">
        <v>31.8</v>
      </c>
      <c r="I173" s="100" t="n"/>
      <c r="J173" s="100">
        <f>G173-F173</f>
        <v/>
      </c>
      <c r="K173" s="100">
        <f>H173-F173</f>
        <v/>
      </c>
      <c r="L173" s="100">
        <f>H173-G173</f>
        <v/>
      </c>
      <c r="M173" s="37">
        <f>J173/F173</f>
        <v/>
      </c>
      <c r="N173" s="27" t="n">
        <v>508.12</v>
      </c>
      <c r="O173" s="27" t="n">
        <v>816.95</v>
      </c>
      <c r="P173" s="37">
        <f>(N173-O173)/O173</f>
        <v/>
      </c>
      <c r="Q173" s="100">
        <f>O173*0.9056*0.85</f>
        <v/>
      </c>
      <c r="R173" s="100">
        <f>O173*1.15</f>
        <v/>
      </c>
      <c r="S173" s="100">
        <f>IF(N173&lt;O173*0.9056*0.85,O173*0.9056*0.85,IF(N173&gt;O173*1.15,O173*1.15,N173))</f>
        <v/>
      </c>
      <c r="T173" s="100" t="n">
        <v>16122.65</v>
      </c>
      <c r="U173" s="100" t="n">
        <v>16166.42</v>
      </c>
      <c r="V173" s="100" t="n">
        <v>16166.42</v>
      </c>
      <c r="W173" s="100">
        <f>U173-T173</f>
        <v/>
      </c>
      <c r="X173" s="100">
        <f>V173-T173</f>
        <v/>
      </c>
      <c r="Y173" s="100">
        <f>V173-U173</f>
        <v/>
      </c>
      <c r="Z173" s="26" t="n"/>
    </row>
    <row r="174" ht="20" customHeight="1" s="1">
      <c r="A174" s="26" t="n">
        <v>159</v>
      </c>
      <c r="B174" s="26" t="inlineStr">
        <is>
          <t>011503001009</t>
        </is>
      </c>
      <c r="C174" s="26" t="inlineStr">
        <is>
          <t>金属扶手、栏杆、栏板</t>
        </is>
      </c>
      <c r="D174" s="26" t="inlineStr">
        <is>
          <t>1.名称:浅灰色拉丝不锈钢栏杆(H=850MM)
2.上扶手:Φ60x3.0不锈钢管
3.栏杆:Φ28x1.2不锈钢管
4.含热镀锌预埋件及螺栓
5.做法参照国标15J403-1</t>
        </is>
      </c>
      <c r="E174" s="26" t="inlineStr">
        <is>
          <t>m</t>
        </is>
      </c>
      <c r="F174" s="100" t="n">
        <v>3.8</v>
      </c>
      <c r="G174" s="100" t="n">
        <v>3.8</v>
      </c>
      <c r="H174" s="100" t="n">
        <v>0</v>
      </c>
      <c r="I174" s="100" t="n"/>
      <c r="J174" s="100">
        <f>G174-F174</f>
        <v/>
      </c>
      <c r="K174" s="100">
        <f>H174-F174</f>
        <v/>
      </c>
      <c r="L174" s="100">
        <f>H174-G174</f>
        <v/>
      </c>
      <c r="M174" s="37">
        <f>J174/F174</f>
        <v/>
      </c>
      <c r="N174" s="27" t="n">
        <v>486.8</v>
      </c>
      <c r="O174" s="27" t="n">
        <v>721.6799999999999</v>
      </c>
      <c r="P174" s="37">
        <f>(N174-O174)/O174</f>
        <v/>
      </c>
      <c r="Q174" s="100">
        <f>O174*0.9056*0.85</f>
        <v/>
      </c>
      <c r="R174" s="100">
        <f>O174*1.15</f>
        <v/>
      </c>
      <c r="S174" s="100">
        <f>IF(N174&lt;O174*0.9056*0.85,O174*0.9056*0.85,IF(N174&gt;O174*1.15,O174*1.15,N174))</f>
        <v/>
      </c>
      <c r="T174" s="100" t="n">
        <v>1849.84</v>
      </c>
      <c r="U174" s="100" t="n">
        <v>1849.84</v>
      </c>
      <c r="V174" s="100">
        <f>T174+S174*K174</f>
        <v/>
      </c>
      <c r="W174" s="100">
        <f>U174-T174</f>
        <v/>
      </c>
      <c r="X174" s="100">
        <f>V174-T174</f>
        <v/>
      </c>
      <c r="Y174" s="100">
        <f>V174-U174</f>
        <v/>
      </c>
      <c r="Z174" s="26" t="n"/>
    </row>
    <row r="175" ht="20" customHeight="1" s="1">
      <c r="A175" s="26" t="n">
        <v>160</v>
      </c>
      <c r="B175" s="26" t="inlineStr">
        <is>
          <t>011503001010</t>
        </is>
      </c>
      <c r="C175" s="26" t="inlineStr">
        <is>
          <t>金属扶手、栏杆、栏板</t>
        </is>
      </c>
      <c r="D175" s="26" t="inlineStr">
        <is>
          <t>1.名称:浅灰色拉丝不锈钢栏杆(H=850-550MM)
2.上扶手:Φ60x3.0不锈钢管
3.栏杆:Φ28x1.2不锈钢管
4.含热镀锌预埋件及螺栓
5.做法参照国标15J403-1</t>
        </is>
      </c>
      <c r="E175" s="26" t="inlineStr">
        <is>
          <t>m</t>
        </is>
      </c>
      <c r="F175" s="100" t="n">
        <v>4.2</v>
      </c>
      <c r="G175" s="100" t="n">
        <v>4.2</v>
      </c>
      <c r="H175" s="100" t="n">
        <v>0</v>
      </c>
      <c r="I175" s="100" t="n"/>
      <c r="J175" s="100">
        <f>G175-F175</f>
        <v/>
      </c>
      <c r="K175" s="100">
        <f>H175-F175</f>
        <v/>
      </c>
      <c r="L175" s="100">
        <f>H175-G175</f>
        <v/>
      </c>
      <c r="M175" s="37">
        <f>J175/F175</f>
        <v/>
      </c>
      <c r="N175" s="27" t="n">
        <v>478.8</v>
      </c>
      <c r="O175" s="27" t="n">
        <v>680.89</v>
      </c>
      <c r="P175" s="37">
        <f>(N175-O175)/O175</f>
        <v/>
      </c>
      <c r="Q175" s="100">
        <f>O175*0.9056*0.85</f>
        <v/>
      </c>
      <c r="R175" s="100">
        <f>O175*1.15</f>
        <v/>
      </c>
      <c r="S175" s="100">
        <f>IF(N175&lt;O175*0.9056*0.85,O175*0.9056*0.85,IF(N175&gt;O175*1.15,O175*1.15,N175))</f>
        <v/>
      </c>
      <c r="T175" s="100" t="n">
        <v>2010.96</v>
      </c>
      <c r="U175" s="100" t="n">
        <v>2010.96</v>
      </c>
      <c r="V175" s="100">
        <f>T175+S175*K175</f>
        <v/>
      </c>
      <c r="W175" s="100">
        <f>U175-T175</f>
        <v/>
      </c>
      <c r="X175" s="100">
        <f>V175-T175</f>
        <v/>
      </c>
      <c r="Y175" s="100">
        <f>V175-U175</f>
        <v/>
      </c>
      <c r="Z175" s="26" t="n"/>
    </row>
    <row r="176" ht="20" customHeight="1" s="1">
      <c r="A176" s="26" t="n">
        <v>161</v>
      </c>
      <c r="B176" s="26" t="inlineStr">
        <is>
          <t>011503001011</t>
        </is>
      </c>
      <c r="C176" s="26" t="inlineStr">
        <is>
          <t>金属扶手、栏杆、栏板</t>
        </is>
      </c>
      <c r="D176" s="26" t="inlineStr">
        <is>
          <t>1.名称:浅灰色拉丝不锈钢栏杆(H=550MM)
2.上扶手:Φ60x3.0不锈钢管
3.栏杆:Φ28x1.2不锈钢管
4.含热镀锌预埋件及螺栓
5.做法参照国标15J403-1</t>
        </is>
      </c>
      <c r="E176" s="26" t="inlineStr">
        <is>
          <t>m</t>
        </is>
      </c>
      <c r="F176" s="100" t="n">
        <v>16.8</v>
      </c>
      <c r="G176" s="100" t="n">
        <v>28.1</v>
      </c>
      <c r="H176" s="100" t="n">
        <v>28.1</v>
      </c>
      <c r="I176" s="100" t="n"/>
      <c r="J176" s="100">
        <f>G176-F176</f>
        <v/>
      </c>
      <c r="K176" s="100">
        <f>H176-F176</f>
        <v/>
      </c>
      <c r="L176" s="100">
        <f>H176-G176</f>
        <v/>
      </c>
      <c r="M176" s="37">
        <f>J176/F176</f>
        <v/>
      </c>
      <c r="N176" s="27" t="n">
        <v>462.8</v>
      </c>
      <c r="O176" s="27" t="n">
        <v>640.1</v>
      </c>
      <c r="P176" s="37">
        <f>(N176-O176)/O176</f>
        <v/>
      </c>
      <c r="Q176" s="100">
        <f>O176*0.9056*0.85</f>
        <v/>
      </c>
      <c r="R176" s="100">
        <f>O176*1.15</f>
        <v/>
      </c>
      <c r="S176" s="100">
        <f>IF(N176&lt;O176*0.9056*0.85,O176*0.9056*0.85,IF(N176&gt;O176*1.15,O176*1.15,N176))</f>
        <v/>
      </c>
      <c r="T176" s="100" t="n">
        <v>7775.04</v>
      </c>
      <c r="U176" s="100" t="n">
        <v>13342.91</v>
      </c>
      <c r="V176" s="100">
        <f>T176+S176*K176</f>
        <v/>
      </c>
      <c r="W176" s="100">
        <f>U176-T176</f>
        <v/>
      </c>
      <c r="X176" s="100">
        <f>V176-T176</f>
        <v/>
      </c>
      <c r="Y176" s="100">
        <f>V176-U176</f>
        <v/>
      </c>
      <c r="Z176" s="26" t="n"/>
    </row>
    <row r="177" ht="20" customHeight="1" s="1">
      <c r="A177" s="26" t="n">
        <v>162</v>
      </c>
      <c r="B177" s="26" t="inlineStr">
        <is>
          <t>011503001006</t>
        </is>
      </c>
      <c r="C177" s="26" t="inlineStr">
        <is>
          <t>金属扶手、栏杆、栏板</t>
        </is>
      </c>
      <c r="D177" s="26" t="inlineStr">
        <is>
          <t>1.名称:不锈钢楼梯栏杆H=1200mm
2.上扶手:Φ60x3.0不锈钢管
3.栏杆:Φ28x1.2不锈钢管
4.含热镀锌预埋件及螺栓
5.做法参照国标15J403-1</t>
        </is>
      </c>
      <c r="E177" s="26" t="inlineStr">
        <is>
          <t>m</t>
        </is>
      </c>
      <c r="F177" s="100" t="n">
        <v>43.05</v>
      </c>
      <c r="G177" s="100" t="n">
        <v>43.05</v>
      </c>
      <c r="H177" s="100">
        <f>(21.44+9.19)/2</f>
        <v/>
      </c>
      <c r="I177" s="100">
        <f>23.56+1.86</f>
        <v/>
      </c>
      <c r="J177" s="100">
        <f>G177-F177</f>
        <v/>
      </c>
      <c r="K177" s="100">
        <f>H177-F177</f>
        <v/>
      </c>
      <c r="L177" s="100">
        <f>H177-G177</f>
        <v/>
      </c>
      <c r="M177" s="37">
        <f>J177/F177</f>
        <v/>
      </c>
      <c r="N177" s="27" t="n">
        <v>508.12</v>
      </c>
      <c r="O177" s="27" t="n">
        <v>816.95</v>
      </c>
      <c r="P177" s="37">
        <f>(N177-O177)/O177</f>
        <v/>
      </c>
      <c r="Q177" s="100">
        <f>O177*0.9056*0.85</f>
        <v/>
      </c>
      <c r="R177" s="100">
        <f>O177*1.15</f>
        <v/>
      </c>
      <c r="S177" s="100">
        <f>IF(N177&lt;O177*0.9056*0.85,O177*0.9056*0.85,IF(N177&gt;O177*1.15,O177*1.15,N177))</f>
        <v/>
      </c>
      <c r="T177" s="100" t="n">
        <v>21874.57</v>
      </c>
      <c r="U177" s="100" t="n">
        <v>21874.57</v>
      </c>
      <c r="V177" s="100">
        <f>T177+S177*K177</f>
        <v/>
      </c>
      <c r="W177" s="100">
        <f>U177-T177</f>
        <v/>
      </c>
      <c r="X177" s="100">
        <f>V177-T177</f>
        <v/>
      </c>
      <c r="Y177" s="100">
        <f>V177-U177</f>
        <v/>
      </c>
      <c r="Z177" s="26" t="n"/>
      <c r="AA177" s="48" t="inlineStr">
        <is>
          <t>1、LT1、LT2楼梯
栏杆模型未布置，漏计
2、阶梯教室侧边步级通道栏杆漏计</t>
        </is>
      </c>
      <c r="AI177" s="65" t="inlineStr">
        <is>
          <t>发函确认</t>
        </is>
      </c>
    </row>
    <row r="178" ht="20" customHeight="1" s="1">
      <c r="A178" s="26" t="n">
        <v>163</v>
      </c>
      <c r="B178" s="26" t="inlineStr">
        <is>
          <t>011503001007</t>
        </is>
      </c>
      <c r="C178" s="26" t="inlineStr">
        <is>
          <t>金属扶手、栏杆、栏板</t>
        </is>
      </c>
      <c r="D178" s="26" t="inlineStr">
        <is>
          <t>1.名称:不锈钢护窗栏杆H=1000mm
2.上扶手:Φ60x2.5不锈钢管
3.栏杆:Φ30x2.0不锈钢管
4.含热镀锌预埋件及螺栓</t>
        </is>
      </c>
      <c r="E178" s="26" t="inlineStr">
        <is>
          <t>m</t>
        </is>
      </c>
      <c r="F178" s="100" t="n">
        <v>47.9</v>
      </c>
      <c r="G178" s="100" t="n">
        <v>66.59</v>
      </c>
      <c r="H178" s="100" t="n">
        <v>26.59</v>
      </c>
      <c r="I178" s="100" t="n"/>
      <c r="J178" s="100">
        <f>G178-F178</f>
        <v/>
      </c>
      <c r="K178" s="100">
        <f>H178-F178</f>
        <v/>
      </c>
      <c r="L178" s="100">
        <f>H178-G178</f>
        <v/>
      </c>
      <c r="M178" s="37">
        <f>J178/F178</f>
        <v/>
      </c>
      <c r="N178" s="27" t="n">
        <v>497.52</v>
      </c>
      <c r="O178" s="27" t="n">
        <v>752.1900000000001</v>
      </c>
      <c r="P178" s="37">
        <f>(N178-O178)/O178</f>
        <v/>
      </c>
      <c r="Q178" s="100">
        <f>O178*0.9056*0.85</f>
        <v/>
      </c>
      <c r="R178" s="100">
        <f>O178*1.15</f>
        <v/>
      </c>
      <c r="S178" s="100">
        <f>IF(N178&lt;O178*0.9056*0.85,O178*0.9056*0.85,IF(N178&gt;O178*1.15,O178*1.15,N178))</f>
        <v/>
      </c>
      <c r="T178" s="100" t="n">
        <v>23831.21</v>
      </c>
      <c r="U178" s="100" t="n">
        <v>34650.51</v>
      </c>
      <c r="V178" s="100">
        <f>T178+S178*K178</f>
        <v/>
      </c>
      <c r="W178" s="100">
        <f>U178-T178</f>
        <v/>
      </c>
      <c r="X178" s="100">
        <f>V178-T178</f>
        <v/>
      </c>
      <c r="Y178" s="100">
        <f>V178-U178</f>
        <v/>
      </c>
      <c r="Z178" s="26" t="inlineStr">
        <is>
          <t>送审将此清单与165护窗栏杆工程量互掉了</t>
        </is>
      </c>
    </row>
    <row r="179" ht="20" customHeight="1" s="1">
      <c r="A179" s="26" t="n">
        <v>164</v>
      </c>
      <c r="B179" s="26" t="inlineStr">
        <is>
          <t>011503005001</t>
        </is>
      </c>
      <c r="C179" s="26" t="inlineStr">
        <is>
          <t>金属靠墙扶手</t>
        </is>
      </c>
      <c r="D179" s="26" t="inlineStr">
        <is>
          <t>1.卫生间无障碍扶手
2.Φ40x1.5不锈钢管靠墙扶手</t>
        </is>
      </c>
      <c r="E179" s="26" t="inlineStr">
        <is>
          <t>m</t>
        </is>
      </c>
      <c r="F179" s="100" t="n">
        <v>6.7</v>
      </c>
      <c r="G179" s="100" t="n">
        <v>6.7</v>
      </c>
      <c r="H179" s="100" t="n">
        <v>0</v>
      </c>
      <c r="I179" s="100" t="n"/>
      <c r="J179" s="100">
        <f>G179-F179</f>
        <v/>
      </c>
      <c r="K179" s="100">
        <f>H179-F179</f>
        <v/>
      </c>
      <c r="L179" s="100">
        <f>H179-G179</f>
        <v/>
      </c>
      <c r="M179" s="37">
        <f>J179/F179</f>
        <v/>
      </c>
      <c r="N179" s="27" t="n">
        <v>468.51</v>
      </c>
      <c r="O179" s="27" t="n">
        <v>272</v>
      </c>
      <c r="P179" s="37">
        <f>(N179-O179)/O179</f>
        <v/>
      </c>
      <c r="Q179" s="100">
        <f>O179*0.9056*0.85</f>
        <v/>
      </c>
      <c r="R179" s="100">
        <f>O179*1.15</f>
        <v/>
      </c>
      <c r="S179" s="100">
        <f>IF(N179&lt;O179*0.9056*0.85,O179*0.9056*0.85,IF(N179&gt;O179*1.15,O179*1.15,N179))</f>
        <v/>
      </c>
      <c r="T179" s="100" t="n">
        <v>3139.02</v>
      </c>
      <c r="U179" s="100" t="n">
        <v>3139.02</v>
      </c>
      <c r="V179" s="100">
        <f>T179+S179*K179</f>
        <v/>
      </c>
      <c r="W179" s="100">
        <f>U179-T179</f>
        <v/>
      </c>
      <c r="X179" s="100">
        <f>V179-T179</f>
        <v/>
      </c>
      <c r="Y179" s="100">
        <f>V179-U179</f>
        <v/>
      </c>
      <c r="Z179" s="26" t="n"/>
    </row>
    <row r="180" ht="20" customHeight="1" s="1">
      <c r="A180" s="26" t="n">
        <v>165</v>
      </c>
      <c r="B180" s="26" t="inlineStr">
        <is>
          <t>011503005002</t>
        </is>
      </c>
      <c r="C180" s="26" t="inlineStr">
        <is>
          <t>金属靠墙扶手</t>
        </is>
      </c>
      <c r="D180" s="26" t="inlineStr">
        <is>
          <t>1.楼梯靠墙扶手
2.Φ60x2不锈钢管靠墙扶手
3.做法参照国标15J403-1</t>
        </is>
      </c>
      <c r="E180" s="26" t="inlineStr">
        <is>
          <t>m</t>
        </is>
      </c>
      <c r="F180" s="100" t="n">
        <v>29.84</v>
      </c>
      <c r="G180" s="100" t="n">
        <v>29.84</v>
      </c>
      <c r="H180" s="100">
        <f>29.84+15.32</f>
        <v/>
      </c>
      <c r="I180" s="100" t="n">
        <v>59.61</v>
      </c>
      <c r="J180" s="100">
        <f>G180-F180</f>
        <v/>
      </c>
      <c r="K180" s="100">
        <f>H180-F180</f>
        <v/>
      </c>
      <c r="L180" s="100">
        <f>H180-G180</f>
        <v/>
      </c>
      <c r="M180" s="37">
        <f>J180/F180</f>
        <v/>
      </c>
      <c r="N180" s="27" t="n">
        <v>473.06</v>
      </c>
      <c r="O180" s="27" t="n">
        <v>331.37</v>
      </c>
      <c r="P180" s="37">
        <f>(N180-O180)/O180</f>
        <v/>
      </c>
      <c r="Q180" s="100">
        <f>O180*0.9056*0.85</f>
        <v/>
      </c>
      <c r="R180" s="100">
        <f>O180*1.15</f>
        <v/>
      </c>
      <c r="S180" s="100">
        <f>IF(N180&lt;O180*0.9056*0.85,O180*0.9056*0.85,IF(N180&gt;O180*1.15,O180*1.15,N180))</f>
        <v/>
      </c>
      <c r="T180" s="100" t="n">
        <v>14116.11</v>
      </c>
      <c r="U180" s="100" t="n">
        <v>14116.11</v>
      </c>
      <c r="V180" s="100">
        <f>T180+S180*K180</f>
        <v/>
      </c>
      <c r="W180" s="100">
        <f>U180-T180</f>
        <v/>
      </c>
      <c r="X180" s="100">
        <f>V180-T180</f>
        <v/>
      </c>
      <c r="Y180" s="100">
        <f>V180-U180</f>
        <v/>
      </c>
      <c r="Z180" s="26" t="inlineStr">
        <is>
          <t>清单162楼梯栏杆部分工程量归到此计算</t>
        </is>
      </c>
      <c r="AI180" s="42" t="inlineStr">
        <is>
          <t>出设计变更</t>
        </is>
      </c>
    </row>
    <row r="181" ht="20" customHeight="1" s="1">
      <c r="A181" s="26" t="n">
        <v>166</v>
      </c>
      <c r="B181" s="26" t="inlineStr">
        <is>
          <t>011210005001</t>
        </is>
      </c>
      <c r="C181" s="26" t="inlineStr">
        <is>
          <t>成品隔断</t>
        </is>
      </c>
      <c r="D181" s="26" t="inlineStr">
        <is>
          <t>1.卫生间成品抗培特饰面隔断
2.其他详见图纸</t>
        </is>
      </c>
      <c r="E181" s="26" t="inlineStr">
        <is>
          <t>m2</t>
        </is>
      </c>
      <c r="F181" s="100" t="n">
        <v>95.29000000000001</v>
      </c>
      <c r="G181" s="100" t="n">
        <v>95.29000000000001</v>
      </c>
      <c r="H181" s="100" t="n">
        <v>95.29000000000001</v>
      </c>
      <c r="I181" s="100" t="n"/>
      <c r="J181" s="100">
        <f>G181-F181</f>
        <v/>
      </c>
      <c r="K181" s="100">
        <f>H181-F181</f>
        <v/>
      </c>
      <c r="L181" s="100">
        <f>H181-G181</f>
        <v/>
      </c>
      <c r="M181" s="37">
        <f>J181/F181</f>
        <v/>
      </c>
      <c r="N181" s="27" t="n">
        <v>205.48</v>
      </c>
      <c r="O181" s="27" t="n">
        <v>308.59</v>
      </c>
      <c r="P181" s="37">
        <f>(N181-O181)/O181</f>
        <v/>
      </c>
      <c r="Q181" s="100">
        <f>O181*0.9056*0.85</f>
        <v/>
      </c>
      <c r="R181" s="100">
        <f>O181*1.15</f>
        <v/>
      </c>
      <c r="S181" s="100">
        <f>IF(N181&lt;O181*0.9056*0.85,O181*0.9056*0.85,IF(N181&gt;O181*1.15,O181*1.15,N181))</f>
        <v/>
      </c>
      <c r="T181" s="100" t="n">
        <v>19580.02</v>
      </c>
      <c r="U181" s="100" t="n">
        <v>19580.02</v>
      </c>
      <c r="V181" s="100">
        <f>T181+S181*K181</f>
        <v/>
      </c>
      <c r="W181" s="100">
        <f>U181-T181</f>
        <v/>
      </c>
      <c r="X181" s="100">
        <f>V181-T181</f>
        <v/>
      </c>
      <c r="Y181" s="100">
        <f>V181-U181</f>
        <v/>
      </c>
      <c r="Z181" s="26" t="n"/>
    </row>
    <row r="182" ht="20" customHeight="1" s="1">
      <c r="A182" s="26" t="n">
        <v>167</v>
      </c>
      <c r="B182" s="26" t="inlineStr">
        <is>
          <t>011505001001</t>
        </is>
      </c>
      <c r="C182" s="26" t="inlineStr">
        <is>
          <t>洗漱台</t>
        </is>
      </c>
      <c r="D182" s="26" t="inlineStr">
        <is>
          <t>1.20mm厚国产金沙黑洗漱台（洗手台）L40*4镀锌角钢底架
2.台面开水龙头孔
3.台面开洗手盆孔
4.石材水磨斜边</t>
        </is>
      </c>
      <c r="E182" s="26" t="inlineStr">
        <is>
          <t>m2</t>
        </is>
      </c>
      <c r="F182" s="100" t="n">
        <v>7.3</v>
      </c>
      <c r="G182" s="100" t="n">
        <v>7.3</v>
      </c>
      <c r="H182" s="100" t="n">
        <v>7.3</v>
      </c>
      <c r="I182" s="100" t="n"/>
      <c r="J182" s="100">
        <f>G182-F182</f>
        <v/>
      </c>
      <c r="K182" s="100">
        <f>H182-F182</f>
        <v/>
      </c>
      <c r="L182" s="100">
        <f>H182-G182</f>
        <v/>
      </c>
      <c r="M182" s="37">
        <f>J182/F182</f>
        <v/>
      </c>
      <c r="N182" s="27" t="n">
        <v>801.02</v>
      </c>
      <c r="O182" s="27" t="n">
        <v>638.84</v>
      </c>
      <c r="P182" s="37">
        <f>(N182-O182)/O182</f>
        <v/>
      </c>
      <c r="Q182" s="100">
        <f>O182*0.9056*0.85</f>
        <v/>
      </c>
      <c r="R182" s="100">
        <f>O182*1.15</f>
        <v/>
      </c>
      <c r="S182" s="100">
        <f>IF(N182&lt;O182*0.9056*0.85,O182*0.9056*0.85,IF(N182&gt;O182*1.15,O182*1.15,N182))</f>
        <v/>
      </c>
      <c r="T182" s="100" t="n">
        <v>5847.45</v>
      </c>
      <c r="U182" s="100" t="n">
        <v>5847.45</v>
      </c>
      <c r="V182" s="100">
        <f>T182+S182*K182</f>
        <v/>
      </c>
      <c r="W182" s="100">
        <f>U182-T182</f>
        <v/>
      </c>
      <c r="X182" s="100">
        <f>V182-T182</f>
        <v/>
      </c>
      <c r="Y182" s="100">
        <f>V182-U182</f>
        <v/>
      </c>
      <c r="Z182" s="26" t="n"/>
    </row>
    <row r="183" ht="20" customHeight="1" s="1">
      <c r="A183" s="26" t="n">
        <v>168</v>
      </c>
      <c r="B183" s="26" t="inlineStr">
        <is>
          <t>011505010002</t>
        </is>
      </c>
      <c r="C183" s="26" t="inlineStr">
        <is>
          <t>镜面玻璃</t>
        </is>
      </c>
      <c r="D183" s="26" t="inlineStr">
        <is>
          <t>1.卫生间镜
2.6mm车边银镜
3.具体做法详见图纸</t>
        </is>
      </c>
      <c r="E183" s="26" t="inlineStr">
        <is>
          <t>m2</t>
        </is>
      </c>
      <c r="F183" s="100" t="n">
        <v>7.3</v>
      </c>
      <c r="G183" s="100" t="n">
        <v>7.3</v>
      </c>
      <c r="H183" s="100" t="n">
        <v>7.3</v>
      </c>
      <c r="I183" s="100" t="n"/>
      <c r="J183" s="100">
        <f>G183-F183</f>
        <v/>
      </c>
      <c r="K183" s="100">
        <f>H183-F183</f>
        <v/>
      </c>
      <c r="L183" s="100">
        <f>H183-G183</f>
        <v/>
      </c>
      <c r="M183" s="37">
        <f>J183/F183</f>
        <v/>
      </c>
      <c r="N183" s="27" t="n">
        <v>328.86</v>
      </c>
      <c r="O183" s="27" t="n">
        <v>295.82</v>
      </c>
      <c r="P183" s="37">
        <f>(N183-O183)/O183</f>
        <v/>
      </c>
      <c r="Q183" s="100">
        <f>O183*0.9056*0.85</f>
        <v/>
      </c>
      <c r="R183" s="100">
        <f>O183*1.15</f>
        <v/>
      </c>
      <c r="S183" s="100">
        <f>IF(N183&lt;O183*0.9056*0.85,O183*0.9056*0.85,IF(N183&gt;O183*1.15,O183*1.15,N183))</f>
        <v/>
      </c>
      <c r="T183" s="100" t="n">
        <v>2400.68</v>
      </c>
      <c r="U183" s="100" t="n">
        <v>2400.68</v>
      </c>
      <c r="V183" s="100">
        <f>T183+S183*K183</f>
        <v/>
      </c>
      <c r="W183" s="100">
        <f>U183-T183</f>
        <v/>
      </c>
      <c r="X183" s="100">
        <f>V183-T183</f>
        <v/>
      </c>
      <c r="Y183" s="100">
        <f>V183-U183</f>
        <v/>
      </c>
      <c r="Z183" s="26" t="n"/>
    </row>
    <row r="184" ht="20" customHeight="1" s="1">
      <c r="A184" s="26" t="n">
        <v>169</v>
      </c>
      <c r="B184" s="26" t="inlineStr">
        <is>
          <t>011502001002</t>
        </is>
      </c>
      <c r="C184" s="26" t="inlineStr">
        <is>
          <t>金属装饰线</t>
        </is>
      </c>
      <c r="D184" s="26" t="inlineStr">
        <is>
          <t>1.1mm厚304原色哑光不锈钢收边线</t>
        </is>
      </c>
      <c r="E184" s="26" t="inlineStr">
        <is>
          <t>m</t>
        </is>
      </c>
      <c r="F184" s="100" t="n">
        <v>49.01</v>
      </c>
      <c r="G184" s="100" t="n">
        <v>641.79</v>
      </c>
      <c r="H184" s="100">
        <f>243.55+397.62</f>
        <v/>
      </c>
      <c r="I184" s="100" t="n"/>
      <c r="J184" s="100">
        <f>G184-F184</f>
        <v/>
      </c>
      <c r="K184" s="100">
        <f>H184-F184</f>
        <v/>
      </c>
      <c r="L184" s="100">
        <f>H184-G184</f>
        <v/>
      </c>
      <c r="M184" s="37">
        <f>J184/F184</f>
        <v/>
      </c>
      <c r="N184" s="27" t="n">
        <v>69.83</v>
      </c>
      <c r="O184" s="27" t="n">
        <v>26.86</v>
      </c>
      <c r="P184" s="37">
        <f>(N184-O184)/O184</f>
        <v/>
      </c>
      <c r="Q184" s="100">
        <f>O184*0.9056*0.85</f>
        <v/>
      </c>
      <c r="R184" s="100">
        <f>O184*1.15</f>
        <v/>
      </c>
      <c r="S184" s="100">
        <f>IF(N184&lt;O184*0.9056*0.85,O184*0.9056*0.85,IF(N184&gt;O184*1.15,O184*1.15,N184))</f>
        <v/>
      </c>
      <c r="T184" s="100" t="n">
        <v>3422.37</v>
      </c>
      <c r="U184" s="100" t="n">
        <v>21732.74</v>
      </c>
      <c r="V184" s="100">
        <f>T184+S184*K184</f>
        <v/>
      </c>
      <c r="W184" s="100">
        <f>U184-T184</f>
        <v/>
      </c>
      <c r="X184" s="100">
        <f>V184-T184</f>
        <v/>
      </c>
      <c r="Y184" s="100">
        <f>V184-U184</f>
        <v/>
      </c>
      <c r="Z184" s="26" t="n"/>
    </row>
    <row r="185" ht="20" customHeight="1" s="1">
      <c r="A185" s="26" t="n">
        <v>170</v>
      </c>
      <c r="B185" s="26" t="inlineStr">
        <is>
          <t>011508004001</t>
        </is>
      </c>
      <c r="C185" s="26" t="inlineStr">
        <is>
          <t>金属字</t>
        </is>
      </c>
      <c r="D185" s="26" t="inlineStr">
        <is>
          <t>1.白色拉丝不锈钢喷漆字体
2.字体外框约0.9*0.6m</t>
        </is>
      </c>
      <c r="E185" s="26" t="inlineStr">
        <is>
          <t>个</t>
        </is>
      </c>
      <c r="F185" s="100" t="n">
        <v>3</v>
      </c>
      <c r="G185" s="100" t="n">
        <v>3</v>
      </c>
      <c r="H185" s="101" t="n">
        <v>3</v>
      </c>
      <c r="I185" s="101" t="n"/>
      <c r="J185" s="100">
        <f>G185-F185</f>
        <v/>
      </c>
      <c r="K185" s="100">
        <f>H185-F185</f>
        <v/>
      </c>
      <c r="L185" s="100">
        <f>H185-G185</f>
        <v/>
      </c>
      <c r="M185" s="37">
        <f>J185/F185</f>
        <v/>
      </c>
      <c r="N185" s="27" t="n">
        <v>1112.92</v>
      </c>
      <c r="O185" s="27" t="n">
        <v>900</v>
      </c>
      <c r="P185" s="37">
        <f>(N185-O185)/O185</f>
        <v/>
      </c>
      <c r="Q185" s="100">
        <f>O185*0.9056*0.85</f>
        <v/>
      </c>
      <c r="R185" s="100">
        <f>O185*1.15</f>
        <v/>
      </c>
      <c r="S185" s="100">
        <f>IF(N185&lt;O185*0.9056*0.85,O185*0.9056*0.85,IF(N185&gt;O185*1.15,O185*1.15,N185))</f>
        <v/>
      </c>
      <c r="T185" s="100" t="n">
        <v>3338.76</v>
      </c>
      <c r="U185" s="100" t="n">
        <v>3338.76</v>
      </c>
      <c r="V185" s="100">
        <f>T185+S185*K185</f>
        <v/>
      </c>
      <c r="W185" s="100">
        <f>U185-T185</f>
        <v/>
      </c>
      <c r="X185" s="100">
        <f>V185-T185</f>
        <v/>
      </c>
      <c r="Y185" s="100">
        <f>V185-U185</f>
        <v/>
      </c>
      <c r="Z185" s="26" t="n"/>
    </row>
    <row r="186" ht="20" customHeight="1" s="1">
      <c r="A186" s="26" t="n">
        <v>171</v>
      </c>
      <c r="B186" s="26" t="inlineStr">
        <is>
          <t>011508004002</t>
        </is>
      </c>
      <c r="C186" s="26" t="inlineStr">
        <is>
          <t>金属字</t>
        </is>
      </c>
      <c r="D186" s="26" t="inlineStr">
        <is>
          <t>1.白色拉丝不锈钢喷漆奥运五环
2.外框尺寸约2.3*1.1m</t>
        </is>
      </c>
      <c r="E186" s="26" t="inlineStr">
        <is>
          <t>个</t>
        </is>
      </c>
      <c r="F186" s="100" t="n">
        <v>1</v>
      </c>
      <c r="G186" s="100" t="n">
        <v>1</v>
      </c>
      <c r="H186" s="101" t="n">
        <v>1</v>
      </c>
      <c r="I186" s="101" t="n"/>
      <c r="J186" s="100">
        <f>G186-F186</f>
        <v/>
      </c>
      <c r="K186" s="100">
        <f>H186-F186</f>
        <v/>
      </c>
      <c r="L186" s="100">
        <f>H186-G186</f>
        <v/>
      </c>
      <c r="M186" s="37">
        <f>J186/F186</f>
        <v/>
      </c>
      <c r="N186" s="27" t="n">
        <v>2574.58</v>
      </c>
      <c r="O186" s="27" t="n">
        <v>2035.4</v>
      </c>
      <c r="P186" s="37">
        <f>(N186-O186)/O186</f>
        <v/>
      </c>
      <c r="Q186" s="100">
        <f>O186*0.9056*0.85</f>
        <v/>
      </c>
      <c r="R186" s="100">
        <f>O186*1.15</f>
        <v/>
      </c>
      <c r="S186" s="100">
        <f>IF(N186&lt;O186*0.9056*0.85,O186*0.9056*0.85,IF(N186&gt;O186*1.15,O186*1.15,N186))</f>
        <v/>
      </c>
      <c r="T186" s="100" t="n">
        <v>2574.58</v>
      </c>
      <c r="U186" s="100" t="n">
        <v>2574.58</v>
      </c>
      <c r="V186" s="100">
        <f>T186+S186*K186</f>
        <v/>
      </c>
      <c r="W186" s="100">
        <f>U186-T186</f>
        <v/>
      </c>
      <c r="X186" s="100">
        <f>V186-T186</f>
        <v/>
      </c>
      <c r="Y186" s="100">
        <f>V186-U186</f>
        <v/>
      </c>
      <c r="Z186" s="26" t="n"/>
    </row>
    <row r="187" ht="20" customHeight="1" s="1">
      <c r="A187" s="26" t="n">
        <v>172</v>
      </c>
      <c r="B187" s="26" t="inlineStr">
        <is>
          <t>01B001</t>
        </is>
      </c>
      <c r="C187" s="26" t="inlineStr">
        <is>
          <t>白蚁防治</t>
        </is>
      </c>
      <c r="D187" s="26" t="inlineStr">
        <is>
          <t>1.白蚁防治</t>
        </is>
      </c>
      <c r="E187" s="26" t="inlineStr">
        <is>
          <t>m2</t>
        </is>
      </c>
      <c r="F187" s="100" t="n">
        <v>4762.46</v>
      </c>
      <c r="G187" s="100" t="n">
        <v>5122.46</v>
      </c>
      <c r="H187" s="100">
        <f>4994.97</f>
        <v/>
      </c>
      <c r="I187" s="100" t="n">
        <v>5122.46</v>
      </c>
      <c r="J187" s="100">
        <f>G187-F187</f>
        <v/>
      </c>
      <c r="K187" s="100">
        <f>H187-F187</f>
        <v/>
      </c>
      <c r="L187" s="100">
        <f>H187-G187</f>
        <v/>
      </c>
      <c r="M187" s="37">
        <f>J187/F187</f>
        <v/>
      </c>
      <c r="N187" s="27" t="n">
        <v>2</v>
      </c>
      <c r="O187" s="27" t="n">
        <v>3</v>
      </c>
      <c r="P187" s="37">
        <f>(N187-O187)/O187</f>
        <v/>
      </c>
      <c r="Q187" s="100">
        <f>O187*0.9056*0.85</f>
        <v/>
      </c>
      <c r="R187" s="100">
        <f>O187*1.15</f>
        <v/>
      </c>
      <c r="S187" s="100">
        <f>IF(N187&lt;O187*0.9056*0.85,O187*0.9056*0.85,IF(N187&gt;O187*1.15,O187*1.15,N187))</f>
        <v/>
      </c>
      <c r="T187" s="100" t="n">
        <v>9524.92</v>
      </c>
      <c r="U187" s="100" t="n">
        <v>10356.26</v>
      </c>
      <c r="V187" s="100">
        <f>T187+S187*K187</f>
        <v/>
      </c>
      <c r="W187" s="100">
        <f>U187-T187</f>
        <v/>
      </c>
      <c r="X187" s="100">
        <f>V187-T187</f>
        <v/>
      </c>
      <c r="Y187" s="100">
        <f>V187-U187</f>
        <v/>
      </c>
      <c r="Z187" s="26" t="n"/>
    </row>
    <row r="188" ht="20" customHeight="1" s="1">
      <c r="A188" s="49" t="n"/>
      <c r="B188" s="5" t="n"/>
      <c r="C188" s="5" t="inlineStr">
        <is>
          <t>分部分项合计</t>
        </is>
      </c>
      <c r="D188" s="5" t="n"/>
      <c r="E188" s="5" t="n"/>
      <c r="F188" s="6" t="n"/>
      <c r="G188" s="74" t="n"/>
      <c r="H188" s="100" t="n"/>
      <c r="I188" s="100" t="n"/>
      <c r="J188" s="100" t="n"/>
      <c r="K188" s="100" t="n"/>
      <c r="L188" s="100" t="n"/>
      <c r="M188" s="37" t="n"/>
      <c r="N188" s="78" t="n"/>
      <c r="O188" s="6" t="n"/>
      <c r="P188" s="37" t="n"/>
      <c r="Q188" s="100" t="n"/>
      <c r="R188" s="100" t="n"/>
      <c r="S188" s="100" t="n"/>
      <c r="T188" s="100" t="n">
        <v>14732579.96</v>
      </c>
      <c r="U188" s="100" t="n">
        <v>15615036.81</v>
      </c>
      <c r="V188" s="100">
        <f>+V169+V159+V131+V113+V108+V94+V72+V55+V28+V18+V11+V4</f>
        <v/>
      </c>
      <c r="W188" s="100">
        <f>+U188-T188</f>
        <v/>
      </c>
      <c r="X188" s="100">
        <f>V188-T188</f>
        <v/>
      </c>
      <c r="Y188" s="100">
        <f>V188-U188</f>
        <v/>
      </c>
      <c r="Z188" s="5" t="n"/>
      <c r="AB188" s="7" t="n"/>
    </row>
    <row r="189" ht="20" customHeight="1" s="1">
      <c r="A189" s="49" t="n"/>
      <c r="B189" s="5" t="n"/>
      <c r="C189" s="5" t="inlineStr">
        <is>
          <t>措施合计</t>
        </is>
      </c>
      <c r="D189" s="5" t="n"/>
      <c r="E189" s="5" t="n"/>
      <c r="F189" s="6" t="n"/>
      <c r="G189" s="74" t="n"/>
      <c r="H189" s="100" t="n"/>
      <c r="I189" s="100" t="n"/>
      <c r="J189" s="100" t="n"/>
      <c r="K189" s="100" t="n"/>
      <c r="L189" s="100" t="n"/>
      <c r="M189" s="37" t="n"/>
      <c r="N189" s="78" t="n"/>
      <c r="O189" s="6" t="n"/>
      <c r="P189" s="37" t="n"/>
      <c r="Q189" s="100" t="n"/>
      <c r="R189" s="100" t="n"/>
      <c r="S189" s="100" t="n"/>
      <c r="T189" s="100" t="n">
        <v>2214992.31</v>
      </c>
      <c r="U189" s="100" t="n">
        <v>2754116.16</v>
      </c>
      <c r="V189" s="100">
        <f>SUM(V191:V258)</f>
        <v/>
      </c>
      <c r="W189" s="100">
        <f>+U189-T189</f>
        <v/>
      </c>
      <c r="X189" s="100">
        <f>V189-T189</f>
        <v/>
      </c>
      <c r="Y189" s="100">
        <f>V189-U189</f>
        <v/>
      </c>
      <c r="Z189" s="5" t="n"/>
      <c r="AB189" s="7" t="n"/>
    </row>
    <row r="190" ht="20" customFormat="1" customHeight="1" s="11">
      <c r="A190" s="49" t="n">
        <v>1</v>
      </c>
      <c r="B190" s="5" t="n"/>
      <c r="C190" s="5" t="inlineStr">
        <is>
          <t>安全文明施工措施费</t>
        </is>
      </c>
      <c r="D190" s="5" t="n"/>
      <c r="E190" s="5" t="n"/>
      <c r="F190" s="6" t="n"/>
      <c r="G190" s="74" t="n"/>
      <c r="H190" s="100" t="n"/>
      <c r="I190" s="100" t="n"/>
      <c r="J190" s="100" t="n"/>
      <c r="K190" s="100" t="n"/>
      <c r="L190" s="100" t="n"/>
      <c r="M190" s="37" t="n"/>
      <c r="N190" s="78" t="n"/>
      <c r="O190" s="6" t="n"/>
      <c r="P190" s="37" t="n"/>
      <c r="Q190" s="100" t="n"/>
      <c r="R190" s="100" t="n"/>
      <c r="S190" s="100" t="n"/>
      <c r="T190" s="100" t="n"/>
      <c r="U190" s="100" t="n"/>
      <c r="V190" s="100">
        <f>T190+S190*K190</f>
        <v/>
      </c>
      <c r="W190" s="100" t="n"/>
      <c r="X190" s="100">
        <f>V190-T190</f>
        <v/>
      </c>
      <c r="Y190" s="100">
        <f>V190-U190</f>
        <v/>
      </c>
      <c r="Z190" s="5" t="n"/>
      <c r="AB190" s="7" t="n"/>
    </row>
    <row r="191" ht="20" customFormat="1" customHeight="1" s="11">
      <c r="A191" s="49" t="inlineStr">
        <is>
          <t>1.1</t>
        </is>
      </c>
      <c r="B191" s="26" t="inlineStr">
        <is>
          <t>01B001</t>
        </is>
      </c>
      <c r="C191" s="26" t="inlineStr">
        <is>
          <t>绿色施工安全防护措施费</t>
        </is>
      </c>
      <c r="D191" s="5" t="n"/>
      <c r="E191" s="5" t="n"/>
      <c r="F191" s="6" t="n"/>
      <c r="G191" s="74" t="n"/>
      <c r="H191" s="100" t="n"/>
      <c r="I191" s="100" t="n"/>
      <c r="J191" s="100" t="n"/>
      <c r="K191" s="100" t="n"/>
      <c r="L191" s="100" t="n"/>
      <c r="M191" s="37" t="n"/>
      <c r="N191" s="78" t="n"/>
      <c r="O191" s="6" t="n"/>
      <c r="P191" s="37" t="n"/>
      <c r="Q191" s="100" t="n"/>
      <c r="R191" s="100" t="n"/>
      <c r="S191" s="100" t="n"/>
      <c r="T191" s="100" t="n">
        <v>529002.35</v>
      </c>
      <c r="U191" s="100" t="n">
        <v>529002.35</v>
      </c>
      <c r="V191" s="100">
        <f>V188/U188*U191</f>
        <v/>
      </c>
      <c r="W191" s="100" t="n"/>
      <c r="X191" s="100">
        <f>V191-T191</f>
        <v/>
      </c>
      <c r="Y191" s="100">
        <f>V191-U191</f>
        <v/>
      </c>
      <c r="Z191" s="5" t="n"/>
      <c r="AB191" s="7" t="n"/>
    </row>
    <row r="192" ht="20" customFormat="1" customHeight="1" s="12">
      <c r="A192" s="26" t="n">
        <v>173</v>
      </c>
      <c r="B192" s="26" t="inlineStr">
        <is>
          <t>粤011701008002</t>
        </is>
      </c>
      <c r="C192" s="26" t="inlineStr">
        <is>
          <t>综合钢脚手架</t>
        </is>
      </c>
      <c r="D192" s="26" t="inlineStr">
        <is>
          <t>1.搭设高度:综合钢脚手架搭拆高度(m以内)30.5
2.建筑用综合脚手架使用费</t>
        </is>
      </c>
      <c r="E192" s="26" t="inlineStr">
        <is>
          <t>m2</t>
        </is>
      </c>
      <c r="F192" s="100" t="n">
        <v>3288.12</v>
      </c>
      <c r="G192" s="100" t="n">
        <v>9179.959999999999</v>
      </c>
      <c r="H192" s="100">
        <f>3345.74</f>
        <v/>
      </c>
      <c r="I192" s="100" t="n"/>
      <c r="J192" s="100">
        <f>G192-F192</f>
        <v/>
      </c>
      <c r="K192" s="100">
        <f>H192-F192</f>
        <v/>
      </c>
      <c r="L192" s="100">
        <f>H192-G192</f>
        <v/>
      </c>
      <c r="M192" s="37">
        <f>J192/F192</f>
        <v/>
      </c>
      <c r="N192" s="27" t="n">
        <v>65.34999999999999</v>
      </c>
      <c r="O192" s="27" t="n">
        <v>69.55</v>
      </c>
      <c r="P192" s="37">
        <f>(N192-O192)/O192</f>
        <v/>
      </c>
      <c r="Q192" s="100">
        <f>O192*0.9056*0.85</f>
        <v/>
      </c>
      <c r="R192" s="100">
        <f>O192*1.15</f>
        <v/>
      </c>
      <c r="S192" s="100">
        <f>IF(N192&lt;O192*0.9056*0.85,O192*0.9056*0.85,IF(N192&gt;O192*1.15,O192*1.15,N192))</f>
        <v/>
      </c>
      <c r="T192" s="100" t="n">
        <v>214878.64</v>
      </c>
      <c r="U192" s="100" t="n">
        <v>599910.39</v>
      </c>
      <c r="V192" s="100">
        <f>T192+S192*K192</f>
        <v/>
      </c>
      <c r="W192" s="100">
        <f>U192-T192</f>
        <v/>
      </c>
      <c r="X192" s="100">
        <f>V192-T192</f>
        <v/>
      </c>
      <c r="Y192" s="100">
        <f>V192-U192</f>
        <v/>
      </c>
      <c r="Z192" s="26" t="n"/>
    </row>
    <row r="193" ht="20" customFormat="1" customHeight="1" s="12">
      <c r="A193" s="26" t="n">
        <v>174</v>
      </c>
      <c r="B193" s="26" t="inlineStr">
        <is>
          <t>MBZC001</t>
        </is>
      </c>
      <c r="C193" s="26" t="inlineStr">
        <is>
          <t>模板的支架</t>
        </is>
      </c>
      <c r="D193" s="26" t="inlineStr">
        <is>
          <t>1.模板钢支撑</t>
        </is>
      </c>
      <c r="E193" s="26" t="inlineStr">
        <is>
          <t>t</t>
        </is>
      </c>
      <c r="F193" s="100" t="n">
        <v>14.42</v>
      </c>
      <c r="G193" s="100" t="n">
        <v>14.42</v>
      </c>
      <c r="H193" s="100" t="n">
        <v>14.42</v>
      </c>
      <c r="I193" s="100" t="n"/>
      <c r="J193" s="100">
        <f>G193-F193</f>
        <v/>
      </c>
      <c r="K193" s="100">
        <f>H193-F193</f>
        <v/>
      </c>
      <c r="L193" s="100">
        <f>H193-G193</f>
        <v/>
      </c>
      <c r="M193" s="37">
        <f>J193/F193</f>
        <v/>
      </c>
      <c r="N193" s="27" t="n">
        <v>6313.66</v>
      </c>
      <c r="O193" s="27" t="n">
        <v>6000</v>
      </c>
      <c r="P193" s="37">
        <f>(N193-O193)/O193</f>
        <v/>
      </c>
      <c r="Q193" s="100">
        <f>O193*0.9056*0.85</f>
        <v/>
      </c>
      <c r="R193" s="100">
        <f>O193*1.15</f>
        <v/>
      </c>
      <c r="S193" s="100">
        <f>IF(N193&lt;O193*0.9056*0.85,O193*0.9056*0.85,IF(N193&gt;O193*1.15,O193*1.15,N193))</f>
        <v/>
      </c>
      <c r="T193" s="100" t="n">
        <v>91023.39999999999</v>
      </c>
      <c r="U193" s="100" t="n">
        <v>91023.39999999999</v>
      </c>
      <c r="V193" s="100">
        <f>T193+S193*K193</f>
        <v/>
      </c>
      <c r="W193" s="100">
        <f>U193-T193</f>
        <v/>
      </c>
      <c r="X193" s="100">
        <f>V193-T193</f>
        <v/>
      </c>
      <c r="Y193" s="100">
        <f>V193-U193</f>
        <v/>
      </c>
      <c r="Z193" s="26" t="n"/>
    </row>
    <row r="194" ht="20" customHeight="1" s="1">
      <c r="A194" s="26" t="n"/>
      <c r="B194" s="26" t="n"/>
      <c r="C194" s="26" t="inlineStr">
        <is>
          <t>措施其他项目</t>
        </is>
      </c>
      <c r="D194" s="26" t="n"/>
      <c r="E194" s="26" t="n"/>
      <c r="F194" s="100" t="n"/>
      <c r="G194" s="100" t="n"/>
      <c r="H194" s="100" t="n"/>
      <c r="I194" s="100" t="n"/>
      <c r="J194" s="100" t="n"/>
      <c r="K194" s="100" t="n"/>
      <c r="L194" s="100" t="n"/>
      <c r="M194" s="37" t="n"/>
      <c r="N194" s="27" t="n"/>
      <c r="O194" s="27" t="n"/>
      <c r="P194" s="37" t="n"/>
      <c r="Q194" s="100" t="n"/>
      <c r="R194" s="100" t="n"/>
      <c r="S194" s="100" t="n"/>
      <c r="T194" s="100" t="n"/>
      <c r="U194" s="100" t="n"/>
      <c r="V194" s="100" t="n"/>
      <c r="W194" s="100" t="n"/>
      <c r="X194" s="100" t="n"/>
      <c r="Y194" s="100" t="n"/>
      <c r="Z194" s="26" t="n"/>
      <c r="AA194" s="42" t="n"/>
    </row>
    <row r="195" ht="20" customHeight="1" s="1">
      <c r="A195" s="26" t="n">
        <v>175</v>
      </c>
      <c r="B195" s="26" t="inlineStr">
        <is>
          <t>粤011701011003</t>
        </is>
      </c>
      <c r="C195" s="26" t="inlineStr">
        <is>
          <t>里脚手架</t>
        </is>
      </c>
      <c r="D195" s="26" t="inlineStr">
        <is>
          <t>1.里脚手架(钢管)民用建筑实际高度4.8m以内</t>
        </is>
      </c>
      <c r="E195" s="26" t="inlineStr">
        <is>
          <t>m2</t>
        </is>
      </c>
      <c r="F195" s="100" t="n">
        <v>1596.93</v>
      </c>
      <c r="G195" s="100" t="n">
        <v>1593.65</v>
      </c>
      <c r="H195" s="100" t="n">
        <v>1593.65</v>
      </c>
      <c r="I195" s="100" t="n"/>
      <c r="J195" s="100">
        <f>G195-F195</f>
        <v/>
      </c>
      <c r="K195" s="100">
        <f>H195-F195</f>
        <v/>
      </c>
      <c r="L195" s="100">
        <f>H195-G195</f>
        <v/>
      </c>
      <c r="M195" s="37">
        <f>J195/F195</f>
        <v/>
      </c>
      <c r="N195" s="27" t="n">
        <v>19.66</v>
      </c>
      <c r="O195" s="27" t="n">
        <v>21.74</v>
      </c>
      <c r="P195" s="37">
        <f>(N195-O195)/O195</f>
        <v/>
      </c>
      <c r="Q195" s="100">
        <f>O195*0.9056*0.85</f>
        <v/>
      </c>
      <c r="R195" s="100">
        <f>O195*1.15</f>
        <v/>
      </c>
      <c r="S195" s="100">
        <f>IF(N195&lt;O195*0.9056*0.85,O195*0.9056*0.85,IF(N195&gt;O195*1.15,O195*1.15,N195))</f>
        <v/>
      </c>
      <c r="T195" s="100" t="n">
        <v>31395.64</v>
      </c>
      <c r="U195" s="100" t="n">
        <v>31331.23</v>
      </c>
      <c r="V195" s="100">
        <f>T195+S195*K195</f>
        <v/>
      </c>
      <c r="W195" s="100">
        <f>U195-T195</f>
        <v/>
      </c>
      <c r="X195" s="100">
        <f>V195-T195</f>
        <v/>
      </c>
      <c r="Y195" s="100">
        <f>V195-U195</f>
        <v/>
      </c>
      <c r="Z195" s="26" t="n"/>
    </row>
    <row r="196" ht="20" customFormat="1" customHeight="1" s="7">
      <c r="A196" s="26" t="n">
        <v>176</v>
      </c>
      <c r="B196" s="26" t="inlineStr">
        <is>
          <t>粤011701011004</t>
        </is>
      </c>
      <c r="C196" s="26" t="inlineStr">
        <is>
          <t>里脚手架</t>
        </is>
      </c>
      <c r="D196" s="26" t="inlineStr">
        <is>
          <t>1.里脚手架(钢管)民用建筑实际高度5.5m以内</t>
        </is>
      </c>
      <c r="E196" s="26" t="inlineStr">
        <is>
          <t>m2</t>
        </is>
      </c>
      <c r="F196" s="100" t="n">
        <v>54.83</v>
      </c>
      <c r="G196" s="100" t="n">
        <v>54.35</v>
      </c>
      <c r="H196" s="100" t="n">
        <v>54.35</v>
      </c>
      <c r="I196" s="100" t="n"/>
      <c r="J196" s="100">
        <f>G196-F196</f>
        <v/>
      </c>
      <c r="K196" s="100">
        <f>H196-F196</f>
        <v/>
      </c>
      <c r="L196" s="100">
        <f>H196-G196</f>
        <v/>
      </c>
      <c r="M196" s="37">
        <f>J196/F196</f>
        <v/>
      </c>
      <c r="N196" s="27" t="n">
        <v>24.63</v>
      </c>
      <c r="O196" s="27" t="n">
        <v>27.23</v>
      </c>
      <c r="P196" s="37">
        <f>(N196-O196)/O196</f>
        <v/>
      </c>
      <c r="Q196" s="100">
        <f>O196*0.9056*0.85</f>
        <v/>
      </c>
      <c r="R196" s="100">
        <f>O196*1.15</f>
        <v/>
      </c>
      <c r="S196" s="100">
        <f>IF(N196&lt;O196*0.9056*0.85,O196*0.9056*0.85,IF(N196&gt;O196*1.15,O196*1.15,N196))</f>
        <v/>
      </c>
      <c r="T196" s="100" t="n">
        <v>1350.34</v>
      </c>
      <c r="U196" s="100" t="n">
        <v>1338.64</v>
      </c>
      <c r="V196" s="100">
        <f>T196+S196*K196</f>
        <v/>
      </c>
      <c r="W196" s="100">
        <f>U196-T196</f>
        <v/>
      </c>
      <c r="X196" s="100">
        <f>V196-T196</f>
        <v/>
      </c>
      <c r="Y196" s="100">
        <f>V196-U196</f>
        <v/>
      </c>
      <c r="Z196" s="26" t="n"/>
    </row>
    <row r="197" ht="20" customHeight="1" s="1">
      <c r="A197" s="26" t="n">
        <v>177</v>
      </c>
      <c r="B197" s="26" t="inlineStr">
        <is>
          <t>粤011701011005</t>
        </is>
      </c>
      <c r="C197" s="26" t="inlineStr">
        <is>
          <t>里脚手架</t>
        </is>
      </c>
      <c r="D197" s="26" t="inlineStr">
        <is>
          <t>1.里脚手架(钢管)民用建筑实际高度12.15m以内</t>
        </is>
      </c>
      <c r="E197" s="26" t="inlineStr">
        <is>
          <t>m2</t>
        </is>
      </c>
      <c r="F197" s="100" t="n">
        <v>593.08</v>
      </c>
      <c r="G197" s="100" t="n">
        <v>519.33</v>
      </c>
      <c r="H197" s="100" t="n">
        <v>519.33</v>
      </c>
      <c r="I197" s="100" t="n"/>
      <c r="J197" s="100">
        <f>G197-F197</f>
        <v/>
      </c>
      <c r="K197" s="100">
        <f>H197-F197</f>
        <v/>
      </c>
      <c r="L197" s="100">
        <f>H197-G197</f>
        <v/>
      </c>
      <c r="M197" s="37">
        <f>J197/F197</f>
        <v/>
      </c>
      <c r="N197" s="27" t="n">
        <v>49.49</v>
      </c>
      <c r="O197" s="27" t="n">
        <v>54.67</v>
      </c>
      <c r="P197" s="37">
        <f>(N197-O197)/O197</f>
        <v/>
      </c>
      <c r="Q197" s="100">
        <f>O197*0.9056*0.85</f>
        <v/>
      </c>
      <c r="R197" s="100">
        <f>O197*1.15</f>
        <v/>
      </c>
      <c r="S197" s="100">
        <f>IF(N197&lt;O197*0.9056*0.85,O197*0.9056*0.85,IF(N197&gt;O197*1.15,O197*1.15,N197))</f>
        <v/>
      </c>
      <c r="T197" s="100" t="n">
        <v>29351.53</v>
      </c>
      <c r="U197" s="100" t="n">
        <v>25701.39</v>
      </c>
      <c r="V197" s="100" t="n">
        <v>25701.39</v>
      </c>
      <c r="W197" s="100">
        <f>U197-T197</f>
        <v/>
      </c>
      <c r="X197" s="100">
        <f>V197-T197</f>
        <v/>
      </c>
      <c r="Y197" s="100">
        <f>V197-U197</f>
        <v/>
      </c>
      <c r="Z197" s="26" t="n"/>
    </row>
    <row r="198" ht="20" customHeight="1" s="1">
      <c r="A198" s="26" t="n">
        <v>178</v>
      </c>
      <c r="B198" s="26" t="inlineStr">
        <is>
          <t>粤011701010002</t>
        </is>
      </c>
      <c r="C198" s="26" t="inlineStr">
        <is>
          <t>满堂脚手架</t>
        </is>
      </c>
      <c r="D198" s="26" t="inlineStr">
        <is>
          <t>1.满堂脚手架(钢管)5.2m以内</t>
        </is>
      </c>
      <c r="E198" s="26" t="inlineStr">
        <is>
          <t>m2</t>
        </is>
      </c>
      <c r="F198" s="100" t="n">
        <v>3466.65</v>
      </c>
      <c r="G198" s="100" t="n">
        <v>3154.87</v>
      </c>
      <c r="H198" s="100" t="n">
        <v>3018.44</v>
      </c>
      <c r="I198" s="100" t="n"/>
      <c r="J198" s="100">
        <f>G198-F198</f>
        <v/>
      </c>
      <c r="K198" s="100">
        <f>H198-F198</f>
        <v/>
      </c>
      <c r="L198" s="100">
        <f>H198-G198</f>
        <v/>
      </c>
      <c r="M198" s="37">
        <f>J198/F198</f>
        <v/>
      </c>
      <c r="N198" s="27" t="n">
        <v>12.36</v>
      </c>
      <c r="O198" s="27" t="n">
        <v>13.43</v>
      </c>
      <c r="P198" s="37">
        <f>(N198-O198)/O198</f>
        <v/>
      </c>
      <c r="Q198" s="100">
        <f>O198*0.9056*0.85</f>
        <v/>
      </c>
      <c r="R198" s="100">
        <f>O198*1.15</f>
        <v/>
      </c>
      <c r="S198" s="100">
        <f>IF(N198&lt;O198*0.9056*0.85,O198*0.9056*0.85,IF(N198&gt;O198*1.15,O198*1.15,N198))</f>
        <v/>
      </c>
      <c r="T198" s="100" t="n">
        <v>42847.84</v>
      </c>
      <c r="U198" s="100" t="n">
        <v>38994.15</v>
      </c>
      <c r="V198" s="100">
        <f>T198+S198*K198</f>
        <v/>
      </c>
      <c r="W198" s="100">
        <f>U198-T198</f>
        <v/>
      </c>
      <c r="X198" s="100">
        <f>V198-T198</f>
        <v/>
      </c>
      <c r="Y198" s="100">
        <f>V198-U198</f>
        <v/>
      </c>
      <c r="Z198" s="26" t="n"/>
      <c r="AA198" s="42" t="inlineStr">
        <is>
          <t>是否车道是否在地下室计算</t>
        </is>
      </c>
    </row>
    <row r="199" ht="20" customHeight="1" s="1">
      <c r="A199" s="26" t="n">
        <v>179</v>
      </c>
      <c r="B199" s="26" t="inlineStr">
        <is>
          <t>粤011701010003</t>
        </is>
      </c>
      <c r="C199" s="26" t="inlineStr">
        <is>
          <t>满堂脚手架</t>
        </is>
      </c>
      <c r="D199" s="26" t="inlineStr">
        <is>
          <t>1.满堂脚手架(钢管)5.5m以内</t>
        </is>
      </c>
      <c r="E199" s="26" t="inlineStr">
        <is>
          <t>m2</t>
        </is>
      </c>
      <c r="F199" s="100" t="n">
        <v>109.65</v>
      </c>
      <c r="G199" s="100" t="n">
        <v>110.5</v>
      </c>
      <c r="H199" s="100" t="n">
        <v>107.63</v>
      </c>
      <c r="I199" s="100" t="n"/>
      <c r="J199" s="100">
        <f>G199-F199</f>
        <v/>
      </c>
      <c r="K199" s="100">
        <f>H199-F199</f>
        <v/>
      </c>
      <c r="L199" s="100">
        <f>H199-G199</f>
        <v/>
      </c>
      <c r="M199" s="37">
        <f>J199/F199</f>
        <v/>
      </c>
      <c r="N199" s="27" t="n">
        <v>12.36</v>
      </c>
      <c r="O199" s="27" t="n">
        <v>13.43</v>
      </c>
      <c r="P199" s="37">
        <f>(N199-O199)/O199</f>
        <v/>
      </c>
      <c r="Q199" s="100">
        <f>O199*0.9056*0.85</f>
        <v/>
      </c>
      <c r="R199" s="100">
        <f>O199*1.15</f>
        <v/>
      </c>
      <c r="S199" s="100">
        <f>IF(N199&lt;O199*0.9056*0.85,O199*0.9056*0.85,IF(N199&gt;O199*1.15,O199*1.15,N199))</f>
        <v/>
      </c>
      <c r="T199" s="100" t="n">
        <v>1355.27</v>
      </c>
      <c r="U199" s="100" t="n">
        <v>1365.72</v>
      </c>
      <c r="V199" s="100">
        <f>T199+S199*K199</f>
        <v/>
      </c>
      <c r="W199" s="100">
        <f>U199-T199</f>
        <v/>
      </c>
      <c r="X199" s="100">
        <f>V199-T199</f>
        <v/>
      </c>
      <c r="Y199" s="100">
        <f>V199-U199</f>
        <v/>
      </c>
      <c r="Z199" s="26" t="n"/>
    </row>
    <row r="200" ht="20" customHeight="1" s="1">
      <c r="A200" s="26" t="n">
        <v>180</v>
      </c>
      <c r="B200" s="26" t="inlineStr">
        <is>
          <t>粤011701010004</t>
        </is>
      </c>
      <c r="C200" s="26" t="inlineStr">
        <is>
          <t>满堂脚手架</t>
        </is>
      </c>
      <c r="D200" s="26" t="inlineStr">
        <is>
          <t>1.满堂脚手架(钢管)12.15m以内</t>
        </is>
      </c>
      <c r="E200" s="26" t="inlineStr">
        <is>
          <t>m2</t>
        </is>
      </c>
      <c r="F200" s="100" t="n">
        <v>1186.16</v>
      </c>
      <c r="G200" s="100" t="n">
        <v>1142.45</v>
      </c>
      <c r="H200" s="100" t="n">
        <v>1142.45</v>
      </c>
      <c r="I200" s="100" t="n"/>
      <c r="J200" s="100">
        <f>G200-F200</f>
        <v/>
      </c>
      <c r="K200" s="100">
        <f>H200-F200</f>
        <v/>
      </c>
      <c r="L200" s="100">
        <f>H200-G200</f>
        <v/>
      </c>
      <c r="M200" s="37">
        <f>J200/F200</f>
        <v/>
      </c>
      <c r="N200" s="27" t="n">
        <v>36.49</v>
      </c>
      <c r="O200" s="27" t="n">
        <v>39.96</v>
      </c>
      <c r="P200" s="37">
        <f>(N200-O200)/O200</f>
        <v/>
      </c>
      <c r="Q200" s="100">
        <f>O200*0.9056*0.85</f>
        <v/>
      </c>
      <c r="R200" s="100">
        <f>O200*1.15</f>
        <v/>
      </c>
      <c r="S200" s="100">
        <f>IF(N200&lt;O200*0.9056*0.85,O200*0.9056*0.85,IF(N200&gt;O200*1.15,O200*1.15,N200))</f>
        <v/>
      </c>
      <c r="T200" s="100" t="n">
        <v>43282.98</v>
      </c>
      <c r="U200" s="100" t="n">
        <v>41688</v>
      </c>
      <c r="V200" s="100">
        <f>T200+S200*K200</f>
        <v/>
      </c>
      <c r="W200" s="100">
        <f>U200-T200</f>
        <v/>
      </c>
      <c r="X200" s="100">
        <f>V200-T200</f>
        <v/>
      </c>
      <c r="Y200" s="100">
        <f>V200-U200</f>
        <v/>
      </c>
      <c r="Z200" s="26" t="n"/>
    </row>
    <row r="201" ht="20" customHeight="1" s="1">
      <c r="A201" s="26" t="n">
        <v>181</v>
      </c>
      <c r="B201" s="26" t="inlineStr">
        <is>
          <t>粤011701010005</t>
        </is>
      </c>
      <c r="C201" s="26" t="inlineStr">
        <is>
          <t>满堂脚手架</t>
        </is>
      </c>
      <c r="D201" s="26" t="inlineStr">
        <is>
          <t>1.满堂脚手架(钢管)15.45m以内</t>
        </is>
      </c>
      <c r="E201" s="26" t="inlineStr">
        <is>
          <t>m2</t>
        </is>
      </c>
      <c r="F201" s="100" t="n">
        <v>315.5</v>
      </c>
      <c r="G201" s="100" t="n">
        <v>313.22</v>
      </c>
      <c r="H201" s="100" t="n">
        <v>313.22</v>
      </c>
      <c r="I201" s="100" t="n"/>
      <c r="J201" s="100">
        <f>G201-F201</f>
        <v/>
      </c>
      <c r="K201" s="100">
        <f>H201-F201</f>
        <v/>
      </c>
      <c r="L201" s="100">
        <f>H201-G201</f>
        <v/>
      </c>
      <c r="M201" s="37">
        <f>J201/F201</f>
        <v/>
      </c>
      <c r="N201" s="27" t="n">
        <v>48.55</v>
      </c>
      <c r="O201" s="27" t="n">
        <v>39.96</v>
      </c>
      <c r="P201" s="37">
        <f>(N201-O201)/O201</f>
        <v/>
      </c>
      <c r="Q201" s="100">
        <f>O201*0.9056*0.85</f>
        <v/>
      </c>
      <c r="R201" s="100">
        <f>O201*1.15</f>
        <v/>
      </c>
      <c r="S201" s="100">
        <f>IF(N201&lt;O201*0.9056*0.85,O201*0.9056*0.85,IF(N201&gt;O201*1.15,O201*1.15,N201))</f>
        <v/>
      </c>
      <c r="T201" s="100" t="n">
        <v>15317.73</v>
      </c>
      <c r="U201" s="100" t="n">
        <v>15212.72</v>
      </c>
      <c r="V201" s="100" t="n">
        <v>15212.72</v>
      </c>
      <c r="W201" s="100">
        <f>U201-T201</f>
        <v/>
      </c>
      <c r="X201" s="100">
        <f>V201-T201</f>
        <v/>
      </c>
      <c r="Y201" s="100">
        <f>V201-U201</f>
        <v/>
      </c>
      <c r="Z201" s="26" t="n"/>
    </row>
    <row r="202" ht="20" customHeight="1" s="1">
      <c r="A202" s="26" t="n">
        <v>182</v>
      </c>
      <c r="B202" s="26" t="inlineStr">
        <is>
          <t>粤011701010006</t>
        </is>
      </c>
      <c r="C202" s="26" t="inlineStr">
        <is>
          <t>满堂脚手架</t>
        </is>
      </c>
      <c r="D202" s="26" t="inlineStr">
        <is>
          <t>1.满堂脚手架(钢管)16.95m以内</t>
        </is>
      </c>
      <c r="E202" s="26" t="inlineStr">
        <is>
          <t>m2</t>
        </is>
      </c>
      <c r="F202" s="100" t="n">
        <v>222</v>
      </c>
      <c r="G202" s="100" t="n">
        <v>226.2</v>
      </c>
      <c r="H202" s="100" t="n">
        <v>226.2</v>
      </c>
      <c r="I202" s="100" t="n"/>
      <c r="J202" s="100">
        <f>G202-F202</f>
        <v/>
      </c>
      <c r="K202" s="100">
        <f>H202-F202</f>
        <v/>
      </c>
      <c r="L202" s="100">
        <f>H202-G202</f>
        <v/>
      </c>
      <c r="M202" s="37">
        <f>J202/F202</f>
        <v/>
      </c>
      <c r="N202" s="27" t="n">
        <v>52.57</v>
      </c>
      <c r="O202" s="27" t="n">
        <v>39.96</v>
      </c>
      <c r="P202" s="37">
        <f>(N202-O202)/O202</f>
        <v/>
      </c>
      <c r="Q202" s="100">
        <f>O202*0.9056*0.85</f>
        <v/>
      </c>
      <c r="R202" s="100">
        <f>O202*1.15</f>
        <v/>
      </c>
      <c r="S202" s="100">
        <f>IF(N202&lt;O202*0.9056*0.85,O202*0.9056*0.85,IF(N202&gt;O202*1.15,O202*1.15,N202))</f>
        <v/>
      </c>
      <c r="T202" s="100" t="n">
        <v>11670.54</v>
      </c>
      <c r="U202" s="100" t="n">
        <v>11863.55</v>
      </c>
      <c r="V202" s="100">
        <f>T202+S202*K202</f>
        <v/>
      </c>
      <c r="W202" s="100">
        <f>U202-T202</f>
        <v/>
      </c>
      <c r="X202" s="100">
        <f>V202-T202</f>
        <v/>
      </c>
      <c r="Y202" s="100">
        <f>V202-U202</f>
        <v/>
      </c>
      <c r="Z202" s="26" t="n"/>
    </row>
    <row r="203" ht="20" customHeight="1" s="1">
      <c r="A203" s="26" t="n">
        <v>183</v>
      </c>
      <c r="B203" s="26" t="inlineStr">
        <is>
          <t>011702001001</t>
        </is>
      </c>
      <c r="C203" s="26" t="inlineStr">
        <is>
          <t>基础</t>
        </is>
      </c>
      <c r="D203" s="26" t="inlineStr">
        <is>
          <t>1.基础垫层模板</t>
        </is>
      </c>
      <c r="E203" s="26" t="inlineStr">
        <is>
          <t>m2</t>
        </is>
      </c>
      <c r="F203" s="100" t="n">
        <v>199.69</v>
      </c>
      <c r="G203" s="100" t="n">
        <v>297.75</v>
      </c>
      <c r="H203" s="100">
        <f>269.68+1.22+15.39</f>
        <v/>
      </c>
      <c r="I203" s="100" t="n"/>
      <c r="J203" s="100">
        <f>G203-F203</f>
        <v/>
      </c>
      <c r="K203" s="100">
        <f>H203-F203</f>
        <v/>
      </c>
      <c r="L203" s="100">
        <f>H203-G203</f>
        <v/>
      </c>
      <c r="M203" s="37">
        <f>J203/F203</f>
        <v/>
      </c>
      <c r="N203" s="27" t="n">
        <v>31.42</v>
      </c>
      <c r="O203" s="27" t="n">
        <v>34.37</v>
      </c>
      <c r="P203" s="37">
        <f>(N203-O203)/O203</f>
        <v/>
      </c>
      <c r="Q203" s="100">
        <f>O203*0.9056*0.85</f>
        <v/>
      </c>
      <c r="R203" s="100">
        <f>O203*1.15</f>
        <v/>
      </c>
      <c r="S203" s="100">
        <f>IF(N203&lt;O203*0.9056*0.85,O203*0.9056*0.85,IF(N203&gt;O203*1.15,O203*1.15,N203))</f>
        <v/>
      </c>
      <c r="T203" s="100" t="n">
        <v>6274.33</v>
      </c>
      <c r="U203" s="100" t="n">
        <v>9355.290000000001</v>
      </c>
      <c r="V203" s="100">
        <f>T203+S203*K203</f>
        <v/>
      </c>
      <c r="W203" s="100">
        <f>U203-T203</f>
        <v/>
      </c>
      <c r="X203" s="100">
        <f>V203-T203</f>
        <v/>
      </c>
      <c r="Y203" s="100">
        <f>V203-U203</f>
        <v/>
      </c>
      <c r="Z203" s="26" t="n"/>
    </row>
    <row r="204" ht="20" customHeight="1" s="1">
      <c r="A204" s="26" t="n">
        <v>184</v>
      </c>
      <c r="B204" s="26" t="inlineStr">
        <is>
          <t>011702002011</t>
        </is>
      </c>
      <c r="C204" s="26" t="inlineStr">
        <is>
          <t>矩形柱</t>
        </is>
      </c>
      <c r="D204" s="26" t="inlineStr">
        <is>
          <t>1.矩形柱模板(周长m)支模高度3.6m内1.2内</t>
        </is>
      </c>
      <c r="E204" s="26" t="inlineStr">
        <is>
          <t>m2</t>
        </is>
      </c>
      <c r="F204" s="100" t="n">
        <v>101.01</v>
      </c>
      <c r="G204" s="100" t="n">
        <v>4.28</v>
      </c>
      <c r="H204" s="100" t="n">
        <v>4.08</v>
      </c>
      <c r="I204" s="100" t="n"/>
      <c r="J204" s="100">
        <f>G204-F204</f>
        <v/>
      </c>
      <c r="K204" s="100">
        <f>H204-F204</f>
        <v/>
      </c>
      <c r="L204" s="100">
        <f>H204-G204</f>
        <v/>
      </c>
      <c r="M204" s="37">
        <f>J204/F204</f>
        <v/>
      </c>
      <c r="N204" s="27" t="n">
        <v>66.62</v>
      </c>
      <c r="O204" s="27" t="n">
        <v>71.22</v>
      </c>
      <c r="P204" s="37">
        <f>(N204-O204)/O204</f>
        <v/>
      </c>
      <c r="Q204" s="100">
        <f>O204*0.9056*0.85</f>
        <v/>
      </c>
      <c r="R204" s="100">
        <f>O204*1.15</f>
        <v/>
      </c>
      <c r="S204" s="100">
        <f>IF(N204&lt;O204*0.9056*0.85,O204*0.9056*0.85,IF(N204&gt;O204*1.15,O204*1.15,N204))</f>
        <v/>
      </c>
      <c r="T204" s="100" t="n">
        <v>6729.43</v>
      </c>
      <c r="U204" s="100" t="n">
        <v>285.4</v>
      </c>
      <c r="V204" s="100">
        <f>T204+S204*K204</f>
        <v/>
      </c>
      <c r="W204" s="100">
        <f>U204-T204</f>
        <v/>
      </c>
      <c r="X204" s="100">
        <f>V204-T204</f>
        <v/>
      </c>
      <c r="Y204" s="100">
        <f>V204-U204</f>
        <v/>
      </c>
      <c r="Z204" s="26" t="n"/>
    </row>
    <row r="205" ht="20" customHeight="1" s="1">
      <c r="A205" s="26" t="n">
        <v>185</v>
      </c>
      <c r="B205" s="26" t="inlineStr">
        <is>
          <t>011702002012</t>
        </is>
      </c>
      <c r="C205" s="26" t="inlineStr">
        <is>
          <t>矩形柱</t>
        </is>
      </c>
      <c r="D205" s="26" t="inlineStr">
        <is>
          <t>1.矩形柱模板(周长m)支模高度4.6m内1.2内</t>
        </is>
      </c>
      <c r="E205" s="26" t="inlineStr">
        <is>
          <t>m2</t>
        </is>
      </c>
      <c r="F205" s="100" t="n">
        <v>289.41</v>
      </c>
      <c r="G205" s="100" t="n">
        <v>395.28</v>
      </c>
      <c r="H205" s="100">
        <f>376.15</f>
        <v/>
      </c>
      <c r="I205" s="100" t="n"/>
      <c r="J205" s="100">
        <f>G205-F205</f>
        <v/>
      </c>
      <c r="K205" s="100">
        <f>H205-F205</f>
        <v/>
      </c>
      <c r="L205" s="100">
        <f>H205-G205</f>
        <v/>
      </c>
      <c r="M205" s="37">
        <f>J205/F205</f>
        <v/>
      </c>
      <c r="N205" s="27" t="n">
        <v>70.72</v>
      </c>
      <c r="O205" s="27" t="n">
        <v>75.53</v>
      </c>
      <c r="P205" s="37">
        <f>(N205-O205)/O205</f>
        <v/>
      </c>
      <c r="Q205" s="100">
        <f>O205*0.9056*0.85</f>
        <v/>
      </c>
      <c r="R205" s="100">
        <f>O205*1.15</f>
        <v/>
      </c>
      <c r="S205" s="100">
        <f>IF(N205&lt;O205*0.9056*0.85,O205*0.9056*0.85,IF(N205&gt;O205*1.15,O205*1.15,N205))</f>
        <v/>
      </c>
      <c r="T205" s="100" t="n">
        <v>20466.86</v>
      </c>
      <c r="U205" s="100" t="n">
        <v>27954.14</v>
      </c>
      <c r="V205" s="100">
        <f>T205+S205*K205</f>
        <v/>
      </c>
      <c r="W205" s="100">
        <f>U205-T205</f>
        <v/>
      </c>
      <c r="X205" s="100">
        <f>V205-T205</f>
        <v/>
      </c>
      <c r="Y205" s="100">
        <f>V205-U205</f>
        <v/>
      </c>
      <c r="Z205" s="26" t="n"/>
    </row>
    <row r="206" ht="20" customHeight="1" s="1">
      <c r="A206" s="26" t="n">
        <v>186</v>
      </c>
      <c r="B206" s="26" t="inlineStr">
        <is>
          <t>011702002013</t>
        </is>
      </c>
      <c r="C206" s="26" t="inlineStr">
        <is>
          <t>矩形柱</t>
        </is>
      </c>
      <c r="D206" s="26" t="inlineStr">
        <is>
          <t>1.矩形柱模板(周长m)支模高度5.6m内1.2内</t>
        </is>
      </c>
      <c r="E206" s="26" t="inlineStr">
        <is>
          <t>m2</t>
        </is>
      </c>
      <c r="F206" s="100" t="n">
        <v>52.16</v>
      </c>
      <c r="G206" s="100" t="n">
        <v>31.12</v>
      </c>
      <c r="H206" s="100" t="n">
        <v>31.12</v>
      </c>
      <c r="I206" s="100" t="n"/>
      <c r="J206" s="100">
        <f>G206-F206</f>
        <v/>
      </c>
      <c r="K206" s="100">
        <f>H206-F206</f>
        <v/>
      </c>
      <c r="L206" s="100">
        <f>H206-G206</f>
        <v/>
      </c>
      <c r="M206" s="37">
        <f>J206/F206</f>
        <v/>
      </c>
      <c r="N206" s="27" t="n">
        <v>74.81999999999999</v>
      </c>
      <c r="O206" s="27" t="n">
        <v>79.84999999999999</v>
      </c>
      <c r="P206" s="37">
        <f>(N206-O206)/O206</f>
        <v/>
      </c>
      <c r="Q206" s="100">
        <f>O206*0.9056*0.85</f>
        <v/>
      </c>
      <c r="R206" s="100">
        <f>O206*1.15</f>
        <v/>
      </c>
      <c r="S206" s="100">
        <f>IF(N206&lt;O206*0.9056*0.85,O206*0.9056*0.85,IF(N206&gt;O206*1.15,O206*1.15,N206))</f>
        <v/>
      </c>
      <c r="T206" s="100" t="n">
        <v>3902.61</v>
      </c>
      <c r="U206" s="100" t="n">
        <v>2328.56</v>
      </c>
      <c r="V206" s="100">
        <f>T206+S206*K206</f>
        <v/>
      </c>
      <c r="W206" s="100">
        <f>U206-T206</f>
        <v/>
      </c>
      <c r="X206" s="100">
        <f>V206-T206</f>
        <v/>
      </c>
      <c r="Y206" s="100">
        <f>V206-U206</f>
        <v/>
      </c>
      <c r="Z206" s="26" t="n"/>
    </row>
    <row r="207" ht="20" customHeight="1" s="1">
      <c r="A207" s="26" t="n">
        <v>187</v>
      </c>
      <c r="B207" s="26" t="inlineStr">
        <is>
          <t>011702002014</t>
        </is>
      </c>
      <c r="C207" s="26" t="inlineStr">
        <is>
          <t>矩形柱</t>
        </is>
      </c>
      <c r="D207" s="26" t="inlineStr">
        <is>
          <t>1.矩形柱模板(周长m)支模高度9.4m内1.2内</t>
        </is>
      </c>
      <c r="E207" s="26" t="inlineStr">
        <is>
          <t>m2</t>
        </is>
      </c>
      <c r="F207" s="100" t="n">
        <v>64.8</v>
      </c>
      <c r="G207" s="100" t="n">
        <v>80.36</v>
      </c>
      <c r="H207" s="100">
        <f>64.44+12.09</f>
        <v/>
      </c>
      <c r="I207" s="100" t="n"/>
      <c r="J207" s="100">
        <f>G207-F207</f>
        <v/>
      </c>
      <c r="K207" s="100">
        <f>H207-F207</f>
        <v/>
      </c>
      <c r="L207" s="100">
        <f>H207-G207</f>
        <v/>
      </c>
      <c r="M207" s="37">
        <f>J207/F207</f>
        <v/>
      </c>
      <c r="N207" s="27" t="n">
        <v>100.9</v>
      </c>
      <c r="O207" s="27" t="n">
        <v>108.33</v>
      </c>
      <c r="P207" s="37">
        <f>(N207-O207)/O207</f>
        <v/>
      </c>
      <c r="Q207" s="100">
        <f>O207*0.9056*0.85</f>
        <v/>
      </c>
      <c r="R207" s="100">
        <f>O207*1.15</f>
        <v/>
      </c>
      <c r="S207" s="100">
        <f>IF(N207&lt;O207*0.9056*0.85,O207*0.9056*0.85,IF(N207&gt;O207*1.15,O207*1.15,N207))</f>
        <v/>
      </c>
      <c r="T207" s="100" t="n">
        <v>6538.32</v>
      </c>
      <c r="U207" s="100" t="n">
        <v>8108.18</v>
      </c>
      <c r="V207" s="100">
        <f>T207+S207*K207</f>
        <v/>
      </c>
      <c r="W207" s="100">
        <f>U207-T207</f>
        <v/>
      </c>
      <c r="X207" s="100">
        <f>V207-T207</f>
        <v/>
      </c>
      <c r="Y207" s="100">
        <f>V207-U207</f>
        <v/>
      </c>
      <c r="Z207" s="26" t="n"/>
    </row>
    <row r="208" ht="20" customHeight="1" s="1">
      <c r="A208" s="26" t="n">
        <v>188</v>
      </c>
      <c r="B208" s="26" t="inlineStr">
        <is>
          <t>011702002015</t>
        </is>
      </c>
      <c r="C208" s="26" t="inlineStr">
        <is>
          <t>矩形柱</t>
        </is>
      </c>
      <c r="D208" s="26" t="inlineStr">
        <is>
          <t>1.矩形柱模板(周长m)支模高度3.6m内1.8内</t>
        </is>
      </c>
      <c r="E208" s="26" t="inlineStr">
        <is>
          <t>m2</t>
        </is>
      </c>
      <c r="F208" s="100" t="n">
        <v>18.42</v>
      </c>
      <c r="G208" s="100" t="n">
        <v>0</v>
      </c>
      <c r="H208" s="100" t="n">
        <v>0</v>
      </c>
      <c r="I208" s="100" t="n"/>
      <c r="J208" s="100">
        <f>G208-F208</f>
        <v/>
      </c>
      <c r="K208" s="100">
        <f>H208-F208</f>
        <v/>
      </c>
      <c r="L208" s="100">
        <f>H208-G208</f>
        <v/>
      </c>
      <c r="M208" s="37">
        <f>J208/F208</f>
        <v/>
      </c>
      <c r="N208" s="27" t="n">
        <v>53.08</v>
      </c>
      <c r="O208" s="27" t="n">
        <v>57.93</v>
      </c>
      <c r="P208" s="37">
        <f>(N208-O208)/O208</f>
        <v/>
      </c>
      <c r="Q208" s="100">
        <f>O208*0.9056*0.85</f>
        <v/>
      </c>
      <c r="R208" s="100">
        <f>O208*1.15</f>
        <v/>
      </c>
      <c r="S208" s="100">
        <f>IF(N208&lt;O208*0.9056*0.85,O208*0.9056*0.85,IF(N208&gt;O208*1.15,O208*1.15,N208))</f>
        <v/>
      </c>
      <c r="T208" s="100" t="n">
        <v>977.8</v>
      </c>
      <c r="U208" s="100" t="n">
        <v>0</v>
      </c>
      <c r="V208" s="100" t="n">
        <v>0</v>
      </c>
      <c r="W208" s="100">
        <f>U208-T208</f>
        <v/>
      </c>
      <c r="X208" s="100">
        <f>V208-T208</f>
        <v/>
      </c>
      <c r="Y208" s="100">
        <f>V208-U208</f>
        <v/>
      </c>
      <c r="Z208" s="26" t="n"/>
    </row>
    <row r="209" ht="20" customHeight="1" s="1">
      <c r="A209" s="26" t="n">
        <v>189</v>
      </c>
      <c r="B209" s="26" t="inlineStr">
        <is>
          <t>011702002016</t>
        </is>
      </c>
      <c r="C209" s="26" t="inlineStr">
        <is>
          <t>矩形柱</t>
        </is>
      </c>
      <c r="D209" s="26" t="inlineStr">
        <is>
          <t>1.矩形柱模板(周长m)支模高度4.6m内1.8内</t>
        </is>
      </c>
      <c r="E209" s="26" t="inlineStr">
        <is>
          <t>m2</t>
        </is>
      </c>
      <c r="F209" s="100" t="n">
        <v>43.68</v>
      </c>
      <c r="G209" s="100" t="n">
        <v>0</v>
      </c>
      <c r="H209" s="100" t="n">
        <v>0</v>
      </c>
      <c r="I209" s="100" t="n"/>
      <c r="J209" s="100">
        <f>G209-F209</f>
        <v/>
      </c>
      <c r="K209" s="100">
        <f>H209-F209</f>
        <v/>
      </c>
      <c r="L209" s="100">
        <f>H209-G209</f>
        <v/>
      </c>
      <c r="M209" s="37">
        <f>J209/F209</f>
        <v/>
      </c>
      <c r="N209" s="27" t="n">
        <v>57.18</v>
      </c>
      <c r="O209" s="27" t="n">
        <v>62.24</v>
      </c>
      <c r="P209" s="37">
        <f>(N209-O209)/O209</f>
        <v/>
      </c>
      <c r="Q209" s="100">
        <f>O209*0.9056*0.85</f>
        <v/>
      </c>
      <c r="R209" s="100">
        <f>O209*1.15</f>
        <v/>
      </c>
      <c r="S209" s="100">
        <f>IF(N209&lt;O209*0.9056*0.85,O209*0.9056*0.85,IF(N209&gt;O209*1.15,O209*1.15,N209))</f>
        <v/>
      </c>
      <c r="T209" s="100" t="n">
        <v>2497.62</v>
      </c>
      <c r="U209" s="100" t="n">
        <v>0</v>
      </c>
      <c r="V209" s="100">
        <f>T209+S209*K209</f>
        <v/>
      </c>
      <c r="W209" s="100">
        <f>U209-T209</f>
        <v/>
      </c>
      <c r="X209" s="100">
        <f>V209-T209</f>
        <v/>
      </c>
      <c r="Y209" s="100">
        <f>V209-U209</f>
        <v/>
      </c>
      <c r="Z209" s="26" t="n"/>
    </row>
    <row r="210" ht="20" customHeight="1" s="1">
      <c r="A210" s="26" t="n">
        <v>190</v>
      </c>
      <c r="B210" s="26" t="inlineStr">
        <is>
          <t>011702002017</t>
        </is>
      </c>
      <c r="C210" s="26" t="inlineStr">
        <is>
          <t>矩形柱</t>
        </is>
      </c>
      <c r="D210" s="26" t="inlineStr">
        <is>
          <t>1.矩形柱模板(周长m)支模高度5.6m内1.8内</t>
        </is>
      </c>
      <c r="E210" s="26" t="inlineStr">
        <is>
          <t>m2</t>
        </is>
      </c>
      <c r="F210" s="100" t="n">
        <v>72.8</v>
      </c>
      <c r="G210" s="100" t="n">
        <v>0</v>
      </c>
      <c r="H210" s="100">
        <f>404.76+18.83</f>
        <v/>
      </c>
      <c r="I210" s="100" t="n"/>
      <c r="J210" s="100">
        <f>G210-F210</f>
        <v/>
      </c>
      <c r="K210" s="100">
        <f>H210-F210</f>
        <v/>
      </c>
      <c r="L210" s="100">
        <f>H210-G210</f>
        <v/>
      </c>
      <c r="M210" s="37">
        <f>J210/F210</f>
        <v/>
      </c>
      <c r="N210" s="27" t="n">
        <v>61.28</v>
      </c>
      <c r="O210" s="27" t="n">
        <v>66.56</v>
      </c>
      <c r="P210" s="37">
        <f>(N210-O210)/O210</f>
        <v/>
      </c>
      <c r="Q210" s="100">
        <f>O210*0.9056*0.85</f>
        <v/>
      </c>
      <c r="R210" s="100">
        <f>O210*1.15</f>
        <v/>
      </c>
      <c r="S210" s="100">
        <f>IF(N210&lt;O210*0.9056*0.85,O210*0.9056*0.85,IF(N210&gt;O210*1.15,O210*1.15,N210))</f>
        <v/>
      </c>
      <c r="T210" s="100" t="n">
        <v>4461.18</v>
      </c>
      <c r="U210" s="100" t="n">
        <v>0</v>
      </c>
      <c r="V210" s="100">
        <f>T210+S210*K210</f>
        <v/>
      </c>
      <c r="W210" s="100">
        <f>U210-T210</f>
        <v/>
      </c>
      <c r="X210" s="100">
        <f>V210-T210</f>
        <v/>
      </c>
      <c r="Y210" s="100">
        <f>V210-U210</f>
        <v/>
      </c>
      <c r="Z210" s="26" t="inlineStr">
        <is>
          <t>将清单序号193工程量归到此计算</t>
        </is>
      </c>
      <c r="AA210" s="48" t="inlineStr">
        <is>
          <t>5.6、6.6m高1.8外工程量</t>
        </is>
      </c>
    </row>
    <row r="211" ht="20" customHeight="1" s="1">
      <c r="A211" s="26" t="n">
        <v>191</v>
      </c>
      <c r="B211" s="26" t="inlineStr">
        <is>
          <t>011702002018</t>
        </is>
      </c>
      <c r="C211" s="26" t="inlineStr">
        <is>
          <t>矩形柱</t>
        </is>
      </c>
      <c r="D211" s="26" t="inlineStr">
        <is>
          <t>1.矩形柱模板(周长m)支模高度3.6m内1.8外</t>
        </is>
      </c>
      <c r="E211" s="26" t="inlineStr">
        <is>
          <t>m2</t>
        </is>
      </c>
      <c r="F211" s="100" t="n">
        <v>23.36</v>
      </c>
      <c r="G211" s="100" t="n">
        <v>21.63</v>
      </c>
      <c r="H211" s="100" t="n">
        <v>21.63</v>
      </c>
      <c r="I211" s="100" t="n"/>
      <c r="J211" s="100">
        <f>G211-F211</f>
        <v/>
      </c>
      <c r="K211" s="100">
        <f>H211-F211</f>
        <v/>
      </c>
      <c r="L211" s="100">
        <f>H211-G211</f>
        <v/>
      </c>
      <c r="M211" s="37">
        <f>J211/F211</f>
        <v/>
      </c>
      <c r="N211" s="27" t="n">
        <v>58.27</v>
      </c>
      <c r="O211" s="27" t="n">
        <v>63.57</v>
      </c>
      <c r="P211" s="37">
        <f>(N211-O211)/O211</f>
        <v/>
      </c>
      <c r="Q211" s="100">
        <f>O211*0.9056*0.85</f>
        <v/>
      </c>
      <c r="R211" s="100">
        <f>O211*1.15</f>
        <v/>
      </c>
      <c r="S211" s="100">
        <f>IF(N211&lt;O211*0.9056*0.85,O211*0.9056*0.85,IF(N211&gt;O211*1.15,O211*1.15,N211))</f>
        <v/>
      </c>
      <c r="T211" s="100" t="n">
        <v>1360.94</v>
      </c>
      <c r="U211" s="100" t="n">
        <v>1260.31</v>
      </c>
      <c r="V211" s="100">
        <f>T211+S211*K211</f>
        <v/>
      </c>
      <c r="W211" s="100">
        <f>U211-T211</f>
        <v/>
      </c>
      <c r="X211" s="100">
        <f>V211-T211</f>
        <v/>
      </c>
      <c r="Y211" s="100">
        <f>V211-U211</f>
        <v/>
      </c>
      <c r="Z211" s="26" t="n"/>
    </row>
    <row r="212" ht="20" customHeight="1" s="1">
      <c r="A212" s="26" t="n">
        <v>192</v>
      </c>
      <c r="B212" s="26" t="inlineStr">
        <is>
          <t>011702002019</t>
        </is>
      </c>
      <c r="C212" s="26" t="inlineStr">
        <is>
          <t>矩形柱</t>
        </is>
      </c>
      <c r="D212" s="26" t="inlineStr">
        <is>
          <t>1.矩形柱模板(周长m)支模高度4.6m内1.8外</t>
        </is>
      </c>
      <c r="E212" s="26" t="inlineStr">
        <is>
          <t>m2</t>
        </is>
      </c>
      <c r="F212" s="100" t="n">
        <v>722.53</v>
      </c>
      <c r="G212" s="100" t="n">
        <v>224.97</v>
      </c>
      <c r="H212" s="100" t="n">
        <v>219.24</v>
      </c>
      <c r="I212" s="100" t="n"/>
      <c r="J212" s="100">
        <f>G212-F212</f>
        <v/>
      </c>
      <c r="K212" s="100">
        <f>H212-F212</f>
        <v/>
      </c>
      <c r="L212" s="100">
        <f>H212-G212</f>
        <v/>
      </c>
      <c r="M212" s="37">
        <f>J212/F212</f>
        <v/>
      </c>
      <c r="N212" s="27" t="n">
        <v>62.37</v>
      </c>
      <c r="O212" s="27" t="n">
        <v>67.88</v>
      </c>
      <c r="P212" s="37">
        <f>(N212-O212)/O212</f>
        <v/>
      </c>
      <c r="Q212" s="100">
        <f>O212*0.9056*0.85</f>
        <v/>
      </c>
      <c r="R212" s="100">
        <f>O212*1.15</f>
        <v/>
      </c>
      <c r="S212" s="100">
        <f>IF(N212&lt;O212*0.9056*0.85,O212*0.9056*0.85,IF(N212&gt;O212*1.15,O212*1.15,N212))</f>
        <v/>
      </c>
      <c r="T212" s="100" t="n">
        <v>45064.47</v>
      </c>
      <c r="U212" s="100" t="n">
        <v>14031.23</v>
      </c>
      <c r="V212" s="100">
        <f>T212+S212*K212</f>
        <v/>
      </c>
      <c r="W212" s="100">
        <f>U212-T212</f>
        <v/>
      </c>
      <c r="X212" s="100">
        <f>V212-T212</f>
        <v/>
      </c>
      <c r="Y212" s="100">
        <f>V212-U212</f>
        <v/>
      </c>
      <c r="Z212" s="26" t="n"/>
    </row>
    <row r="213" ht="20" customHeight="1" s="1">
      <c r="A213" s="26" t="n">
        <v>193</v>
      </c>
      <c r="B213" s="26" t="inlineStr">
        <is>
          <t>011702002020</t>
        </is>
      </c>
      <c r="C213" s="26" t="inlineStr">
        <is>
          <t>矩形柱</t>
        </is>
      </c>
      <c r="D213" s="26" t="inlineStr">
        <is>
          <t>1.矩形柱模板(周长m)支模高度9.4m内1.8外</t>
        </is>
      </c>
      <c r="E213" s="26" t="inlineStr">
        <is>
          <t>m2</t>
        </is>
      </c>
      <c r="F213" s="100" t="n">
        <v>230.4</v>
      </c>
      <c r="G213" s="100" t="n">
        <v>868.28</v>
      </c>
      <c r="H213" s="100">
        <f>403.09</f>
        <v/>
      </c>
      <c r="I213" s="100" t="n"/>
      <c r="J213" s="100">
        <f>G213-F213</f>
        <v/>
      </c>
      <c r="K213" s="100">
        <f>H213-F213</f>
        <v/>
      </c>
      <c r="L213" s="100">
        <f>H213-G213</f>
        <v/>
      </c>
      <c r="M213" s="37">
        <f>J213/F213</f>
        <v/>
      </c>
      <c r="N213" s="27" t="n">
        <v>102.3</v>
      </c>
      <c r="O213" s="27" t="n">
        <v>100.46</v>
      </c>
      <c r="P213" s="37">
        <f>(N213-O213)/O213</f>
        <v/>
      </c>
      <c r="Q213" s="100">
        <f>O213*0.9056*0.85</f>
        <v/>
      </c>
      <c r="R213" s="100">
        <f>O213*1.15</f>
        <v/>
      </c>
      <c r="S213" s="100">
        <f>IF(N213&lt;O213*0.9056*0.85,O213*0.9056*0.85,IF(N213&gt;O213*1.15,O213*1.15,N213))</f>
        <v/>
      </c>
      <c r="T213" s="100" t="n">
        <v>23569.92</v>
      </c>
      <c r="U213" s="100" t="n">
        <v>88825.3</v>
      </c>
      <c r="V213" s="100">
        <f>T213+S213*K213</f>
        <v/>
      </c>
      <c r="W213" s="100">
        <f>U213-T213</f>
        <v/>
      </c>
      <c r="X213" s="100">
        <f>V213-T213</f>
        <v/>
      </c>
      <c r="Y213" s="100">
        <f>V213-U213</f>
        <v/>
      </c>
      <c r="Z213" s="26" t="n"/>
    </row>
    <row r="214" ht="20" customHeight="1" s="1">
      <c r="A214" s="26" t="n">
        <v>194</v>
      </c>
      <c r="B214" s="26" t="inlineStr">
        <is>
          <t>011702002021</t>
        </is>
      </c>
      <c r="C214" s="26" t="inlineStr">
        <is>
          <t>矩形柱</t>
        </is>
      </c>
      <c r="D214" s="26" t="inlineStr">
        <is>
          <t>1.矩形柱模板(周长m)支模高度11.4m内1.8外</t>
        </is>
      </c>
      <c r="E214" s="26" t="inlineStr">
        <is>
          <t>m2</t>
        </is>
      </c>
      <c r="F214" s="100" t="n">
        <v>105.49</v>
      </c>
      <c r="G214" s="100" t="n">
        <v>0</v>
      </c>
      <c r="H214" s="100" t="n">
        <v>0</v>
      </c>
      <c r="I214" s="100" t="n"/>
      <c r="J214" s="100">
        <f>G214-F214</f>
        <v/>
      </c>
      <c r="K214" s="100">
        <f>H214-F214</f>
        <v/>
      </c>
      <c r="L214" s="100">
        <f>H214-G214</f>
        <v/>
      </c>
      <c r="M214" s="37">
        <f>J214/F214</f>
        <v/>
      </c>
      <c r="N214" s="27" t="n">
        <v>106.73</v>
      </c>
      <c r="O214" s="27" t="n">
        <v>109.38</v>
      </c>
      <c r="P214" s="37">
        <f>(N214-O214)/O214</f>
        <v/>
      </c>
      <c r="Q214" s="100">
        <f>O214*0.9056*0.85</f>
        <v/>
      </c>
      <c r="R214" s="100">
        <f>O214*1.15</f>
        <v/>
      </c>
      <c r="S214" s="100">
        <f>IF(N214&lt;O214*0.9056*0.85,O214*0.9056*0.85,IF(N214&gt;O214*1.15,O214*1.15,N214))</f>
        <v/>
      </c>
      <c r="T214" s="100" t="n">
        <v>11258.74</v>
      </c>
      <c r="U214" s="100" t="n">
        <v>0</v>
      </c>
      <c r="V214" s="100">
        <f>T214+S214*K214</f>
        <v/>
      </c>
      <c r="W214" s="100">
        <f>U214-T214</f>
        <v/>
      </c>
      <c r="X214" s="100">
        <f>V214-T214</f>
        <v/>
      </c>
      <c r="Y214" s="100">
        <f>V214-U214</f>
        <v/>
      </c>
      <c r="Z214" s="26" t="n"/>
    </row>
    <row r="215" ht="20" customHeight="1" s="1">
      <c r="A215" s="26" t="n">
        <v>195</v>
      </c>
      <c r="B215" s="26" t="inlineStr">
        <is>
          <t>011702002022</t>
        </is>
      </c>
      <c r="C215" s="26" t="inlineStr">
        <is>
          <t>矩形柱</t>
        </is>
      </c>
      <c r="D215" s="26" t="inlineStr">
        <is>
          <t>1.矩形柱模板(周长m)支模高度12.4m内1.8外</t>
        </is>
      </c>
      <c r="E215" s="26" t="inlineStr">
        <is>
          <t>m2</t>
        </is>
      </c>
      <c r="F215" s="100" t="n">
        <v>119.71</v>
      </c>
      <c r="G215" s="100" t="n">
        <v>0</v>
      </c>
      <c r="H215" s="100" t="n">
        <v>0</v>
      </c>
      <c r="I215" s="100" t="n"/>
      <c r="J215" s="100">
        <f>G215-F215</f>
        <v/>
      </c>
      <c r="K215" s="100">
        <f>H215-F215</f>
        <v/>
      </c>
      <c r="L215" s="100">
        <f>H215-G215</f>
        <v/>
      </c>
      <c r="M215" s="37">
        <f>J215/F215</f>
        <v/>
      </c>
      <c r="N215" s="27" t="n">
        <v>111.16</v>
      </c>
      <c r="O215" s="27" t="n">
        <v>113.85</v>
      </c>
      <c r="P215" s="37">
        <f>(N215-O215)/O215</f>
        <v/>
      </c>
      <c r="Q215" s="100">
        <f>O215*0.9056*0.85</f>
        <v/>
      </c>
      <c r="R215" s="100">
        <f>O215*1.15</f>
        <v/>
      </c>
      <c r="S215" s="100">
        <f>IF(N215&lt;O215*0.9056*0.85,O215*0.9056*0.85,IF(N215&gt;O215*1.15,O215*1.15,N215))</f>
        <v/>
      </c>
      <c r="T215" s="100" t="n">
        <v>13307.02</v>
      </c>
      <c r="U215" s="100" t="n">
        <v>0</v>
      </c>
      <c r="V215" s="100" t="n">
        <v>0</v>
      </c>
      <c r="W215" s="100">
        <f>U215-T215</f>
        <v/>
      </c>
      <c r="X215" s="100">
        <f>V215-T215</f>
        <v/>
      </c>
      <c r="Y215" s="100">
        <f>V215-U215</f>
        <v/>
      </c>
      <c r="Z215" s="26" t="n"/>
    </row>
    <row r="216" ht="20" customHeight="1" s="1">
      <c r="A216" s="26" t="n">
        <v>196</v>
      </c>
      <c r="B216" s="26" t="inlineStr">
        <is>
          <t>011702003001</t>
        </is>
      </c>
      <c r="C216" s="26" t="inlineStr">
        <is>
          <t>构造柱</t>
        </is>
      </c>
      <c r="D216" s="26" t="inlineStr">
        <is>
          <t>1.构造柱模板(周长m)支模高度3.6m内1.2内</t>
        </is>
      </c>
      <c r="E216" s="26" t="inlineStr">
        <is>
          <t>m2</t>
        </is>
      </c>
      <c r="F216" s="100" t="n">
        <v>106.68</v>
      </c>
      <c r="G216" s="100" t="n">
        <v>323.15</v>
      </c>
      <c r="H216" s="100" t="n">
        <v>323.15</v>
      </c>
      <c r="I216" s="100" t="n"/>
      <c r="J216" s="100">
        <f>G216-F216</f>
        <v/>
      </c>
      <c r="K216" s="100">
        <f>H216-F216</f>
        <v/>
      </c>
      <c r="L216" s="100">
        <f>H216-G216</f>
        <v/>
      </c>
      <c r="M216" s="37">
        <f>J216/F216</f>
        <v/>
      </c>
      <c r="N216" s="27" t="n">
        <v>66.62</v>
      </c>
      <c r="O216" s="27" t="n">
        <v>78.81</v>
      </c>
      <c r="P216" s="37">
        <f>(N216-O216)/O216</f>
        <v/>
      </c>
      <c r="Q216" s="100">
        <f>O216*0.9056*0.85</f>
        <v/>
      </c>
      <c r="R216" s="100">
        <f>O216*1.15</f>
        <v/>
      </c>
      <c r="S216" s="100">
        <f>IF(N216&lt;O216*0.9056*0.85,O216*0.9056*0.85,IF(N216&gt;O216*1.15,O216*1.15,N216))</f>
        <v/>
      </c>
      <c r="T216" s="100" t="n">
        <v>7107.3</v>
      </c>
      <c r="U216" s="100" t="n">
        <v>21528.25</v>
      </c>
      <c r="V216" s="100" t="n">
        <v>21528.25</v>
      </c>
      <c r="W216" s="100">
        <f>U216-T216</f>
        <v/>
      </c>
      <c r="X216" s="100">
        <f>V216-T216</f>
        <v/>
      </c>
      <c r="Y216" s="100">
        <f>V216-U216</f>
        <v/>
      </c>
      <c r="Z216" s="26" t="n"/>
      <c r="AA216" s="42" t="n"/>
    </row>
    <row r="217" ht="20" customHeight="1" s="1">
      <c r="A217" s="26" t="n">
        <v>197</v>
      </c>
      <c r="B217" s="26" t="inlineStr">
        <is>
          <t>011702003003</t>
        </is>
      </c>
      <c r="C217" s="26" t="inlineStr">
        <is>
          <t>构造柱</t>
        </is>
      </c>
      <c r="D217" s="26" t="inlineStr">
        <is>
          <t>1.构造柱模板(周长m)支模高度4.6m内1.2内</t>
        </is>
      </c>
      <c r="E217" s="26" t="inlineStr">
        <is>
          <t>m2</t>
        </is>
      </c>
      <c r="F217" s="100" t="n">
        <v>708.62</v>
      </c>
      <c r="G217" s="100" t="n">
        <v>560.48</v>
      </c>
      <c r="H217" s="100" t="n">
        <v>560.48</v>
      </c>
      <c r="I217" s="100" t="n"/>
      <c r="J217" s="100">
        <f>G217-F217</f>
        <v/>
      </c>
      <c r="K217" s="100">
        <f>H217-F217</f>
        <v/>
      </c>
      <c r="L217" s="100">
        <f>H217-G217</f>
        <v/>
      </c>
      <c r="M217" s="37">
        <f>J217/F217</f>
        <v/>
      </c>
      <c r="N217" s="27" t="n">
        <v>70.72</v>
      </c>
      <c r="O217" s="27" t="n">
        <v>83.12</v>
      </c>
      <c r="P217" s="37">
        <f>(N217-O217)/O217</f>
        <v/>
      </c>
      <c r="Q217" s="100">
        <f>O217*0.9056*0.85</f>
        <v/>
      </c>
      <c r="R217" s="100">
        <f>O217*1.15</f>
        <v/>
      </c>
      <c r="S217" s="100">
        <f>IF(N217&lt;O217*0.9056*0.85,O217*0.9056*0.85,IF(N217&gt;O217*1.15,O217*1.15,N217))</f>
        <v/>
      </c>
      <c r="T217" s="100" t="n">
        <v>50113.95</v>
      </c>
      <c r="U217" s="100" t="n">
        <v>39637.36</v>
      </c>
      <c r="V217" s="100" t="n">
        <v>39637.36</v>
      </c>
      <c r="W217" s="100">
        <f>U217-T217</f>
        <v/>
      </c>
      <c r="X217" s="100">
        <f>V217-T217</f>
        <v/>
      </c>
      <c r="Y217" s="100">
        <f>V217-U217</f>
        <v/>
      </c>
      <c r="Z217" s="26" t="n"/>
      <c r="AA217" s="42" t="n"/>
    </row>
    <row r="218" ht="20" customFormat="1" customHeight="1" s="7">
      <c r="A218" s="26" t="n">
        <v>198</v>
      </c>
      <c r="B218" s="26" t="inlineStr">
        <is>
          <t>011702004005</t>
        </is>
      </c>
      <c r="C218" s="26" t="inlineStr">
        <is>
          <t>异形柱</t>
        </is>
      </c>
      <c r="D218" s="26" t="inlineStr">
        <is>
          <t>1.圆形柱模板(周长m)支模高度4.6m内</t>
        </is>
      </c>
      <c r="E218" s="26" t="inlineStr">
        <is>
          <t>m2</t>
        </is>
      </c>
      <c r="F218" s="100" t="n">
        <v>120.09</v>
      </c>
      <c r="G218" s="100" t="n">
        <v>11.16</v>
      </c>
      <c r="H218" s="100" t="n">
        <v>11.16</v>
      </c>
      <c r="I218" s="100" t="n"/>
      <c r="J218" s="100">
        <f>G218-F218</f>
        <v/>
      </c>
      <c r="K218" s="100">
        <f>H218-F218</f>
        <v/>
      </c>
      <c r="L218" s="100">
        <f>H218-G218</f>
        <v/>
      </c>
      <c r="M218" s="37">
        <f>J218/F218</f>
        <v/>
      </c>
      <c r="N218" s="27" t="n">
        <v>78.64</v>
      </c>
      <c r="O218" s="27" t="n">
        <v>128.71</v>
      </c>
      <c r="P218" s="37">
        <f>(N218-O218)/O218</f>
        <v/>
      </c>
      <c r="Q218" s="100">
        <f>O218*0.9056*0.85</f>
        <v/>
      </c>
      <c r="R218" s="100">
        <f>O218*1.15</f>
        <v/>
      </c>
      <c r="S218" s="100">
        <f>IF(N218&lt;O218*0.9056*0.85,O218*0.9056*0.85,IF(N218&gt;O218*1.15,O218*1.15,N218))</f>
        <v/>
      </c>
      <c r="T218" s="100" t="n">
        <v>9443.85</v>
      </c>
      <c r="U218" s="100" t="n">
        <v>-1348.18</v>
      </c>
      <c r="V218" s="100">
        <f>T218+S218*K218</f>
        <v/>
      </c>
      <c r="W218" s="100">
        <f>U218-T218</f>
        <v/>
      </c>
      <c r="X218" s="100">
        <f>V218-T218</f>
        <v/>
      </c>
      <c r="Y218" s="100">
        <f>V218-U218</f>
        <v/>
      </c>
      <c r="Z218" s="26" t="n"/>
    </row>
    <row r="219" ht="20" customFormat="1" customHeight="1" s="7">
      <c r="A219" s="26" t="n">
        <v>199</v>
      </c>
      <c r="B219" s="26" t="inlineStr">
        <is>
          <t>011702004006</t>
        </is>
      </c>
      <c r="C219" s="26" t="inlineStr">
        <is>
          <t>异形柱</t>
        </is>
      </c>
      <c r="D219" s="26" t="inlineStr">
        <is>
          <t>1.圆形柱模板(周长m)支模高度5.6m内</t>
        </is>
      </c>
      <c r="E219" s="26" t="inlineStr">
        <is>
          <t>m2</t>
        </is>
      </c>
      <c r="F219" s="100" t="n">
        <v>13.17</v>
      </c>
      <c r="G219" s="100" t="n">
        <v>89.83</v>
      </c>
      <c r="H219" s="100">
        <f>86.48</f>
        <v/>
      </c>
      <c r="I219" s="100" t="n"/>
      <c r="J219" s="100">
        <f>G219-F219</f>
        <v/>
      </c>
      <c r="K219" s="100">
        <f>H219-F219</f>
        <v/>
      </c>
      <c r="L219" s="100">
        <f>H219-G219</f>
        <v/>
      </c>
      <c r="M219" s="37">
        <f>J219/F219</f>
        <v/>
      </c>
      <c r="N219" s="27" t="n">
        <v>82.73999999999999</v>
      </c>
      <c r="O219" s="27" t="n">
        <v>133.03</v>
      </c>
      <c r="P219" s="37">
        <f>(N219-O219)/O219</f>
        <v/>
      </c>
      <c r="Q219" s="100">
        <f>O219*0.9056*0.85</f>
        <v/>
      </c>
      <c r="R219" s="100">
        <f>O219*1.15</f>
        <v/>
      </c>
      <c r="S219" s="100">
        <f>IF(N219&lt;O219*0.9056*0.85,O219*0.9056*0.85,IF(N219&gt;O219*1.15,O219*1.15,N219))</f>
        <v/>
      </c>
      <c r="T219" s="100" t="n">
        <v>1089.55</v>
      </c>
      <c r="U219" s="100" t="n">
        <v>8939.73</v>
      </c>
      <c r="V219" s="100">
        <f>T219+S219*K219</f>
        <v/>
      </c>
      <c r="W219" s="100">
        <f>U219-T219</f>
        <v/>
      </c>
      <c r="X219" s="100">
        <f>V219-T219</f>
        <v/>
      </c>
      <c r="Y219" s="100">
        <f>V219-U219</f>
        <v/>
      </c>
      <c r="Z219" s="26" t="n"/>
    </row>
    <row r="220" ht="20" customHeight="1" s="1">
      <c r="A220" s="26" t="n">
        <v>200</v>
      </c>
      <c r="B220" s="26" t="inlineStr">
        <is>
          <t>011702004007</t>
        </is>
      </c>
      <c r="C220" s="26" t="inlineStr">
        <is>
          <t>异形柱</t>
        </is>
      </c>
      <c r="D220" s="26" t="inlineStr">
        <is>
          <t>1.圆形柱模板(周长m)支模高度13.4m内</t>
        </is>
      </c>
      <c r="E220" s="26" t="inlineStr">
        <is>
          <t>m2</t>
        </is>
      </c>
      <c r="F220" s="100" t="n">
        <v>24.96</v>
      </c>
      <c r="G220" s="100" t="n">
        <v>0</v>
      </c>
      <c r="H220" s="100" t="n">
        <v>0</v>
      </c>
      <c r="I220" s="100" t="n"/>
      <c r="J220" s="100">
        <f>G220-F220</f>
        <v/>
      </c>
      <c r="K220" s="100">
        <f>H220-F220</f>
        <v/>
      </c>
      <c r="L220" s="100">
        <f>H220-G220</f>
        <v/>
      </c>
      <c r="M220" s="37">
        <f>J220/F220</f>
        <v/>
      </c>
      <c r="N220" s="27" t="n">
        <v>131.77</v>
      </c>
      <c r="O220" s="27" t="n">
        <v>172.21</v>
      </c>
      <c r="P220" s="37">
        <f>(N220-O220)/O220</f>
        <v/>
      </c>
      <c r="Q220" s="100">
        <f>O220*0.9056*0.85</f>
        <v/>
      </c>
      <c r="R220" s="100">
        <f>O220*1.15</f>
        <v/>
      </c>
      <c r="S220" s="100">
        <f>IF(N220&lt;O220*0.9056*0.85,O220*0.9056*0.85,IF(N220&gt;O220*1.15,O220*1.15,N220))</f>
        <v/>
      </c>
      <c r="T220" s="100" t="n">
        <v>3288.56</v>
      </c>
      <c r="U220" s="100" t="n">
        <v>-19.73</v>
      </c>
      <c r="V220" s="100">
        <f>T220+S220*K220</f>
        <v/>
      </c>
      <c r="W220" s="100">
        <f>U220-T220</f>
        <v/>
      </c>
      <c r="X220" s="100">
        <f>V220-T220</f>
        <v/>
      </c>
      <c r="Y220" s="100">
        <f>V220-U220</f>
        <v/>
      </c>
      <c r="Z220" s="26" t="n"/>
    </row>
    <row r="221" ht="20" customHeight="1" s="1">
      <c r="A221" s="26" t="n">
        <v>201</v>
      </c>
      <c r="B221" s="26" t="inlineStr">
        <is>
          <t>011702004008</t>
        </is>
      </c>
      <c r="C221" s="26" t="inlineStr">
        <is>
          <t>异形柱</t>
        </is>
      </c>
      <c r="D221" s="26" t="inlineStr">
        <is>
          <t>1.圆形柱模板(周长m)支模高度14.4m内</t>
        </is>
      </c>
      <c r="E221" s="26" t="inlineStr">
        <is>
          <t>m2</t>
        </is>
      </c>
      <c r="F221" s="100" t="n">
        <v>49.91</v>
      </c>
      <c r="G221" s="100" t="n">
        <v>0</v>
      </c>
      <c r="H221" s="100" t="n">
        <v>0</v>
      </c>
      <c r="I221" s="100" t="n"/>
      <c r="J221" s="100">
        <f>G221-F221</f>
        <v/>
      </c>
      <c r="K221" s="100">
        <f>H221-F221</f>
        <v/>
      </c>
      <c r="L221" s="100">
        <f>H221-G221</f>
        <v/>
      </c>
      <c r="M221" s="37">
        <f>J221/F221</f>
        <v/>
      </c>
      <c r="N221" s="27" t="n">
        <v>136.2</v>
      </c>
      <c r="O221" s="27" t="n">
        <v>176.67</v>
      </c>
      <c r="P221" s="37">
        <f>(N221-O221)/O221</f>
        <v/>
      </c>
      <c r="Q221" s="100">
        <f>O221*0.9056*0.85</f>
        <v/>
      </c>
      <c r="R221" s="100">
        <f>O221*1.15</f>
        <v/>
      </c>
      <c r="S221" s="100">
        <f>IF(N221&lt;O221*0.9056*0.85,O221*0.9056*0.85,IF(N221&gt;O221*1.15,O221*1.15,N221))</f>
        <v/>
      </c>
      <c r="T221" s="100" t="n">
        <v>6798.23</v>
      </c>
      <c r="U221" s="100" t="n">
        <v>0</v>
      </c>
      <c r="V221" s="100" t="n">
        <v>0</v>
      </c>
      <c r="W221" s="100">
        <f>U221-T221</f>
        <v/>
      </c>
      <c r="X221" s="100">
        <f>V221-T221</f>
        <v/>
      </c>
      <c r="Y221" s="100">
        <f>V221-U221</f>
        <v/>
      </c>
      <c r="Z221" s="26" t="n"/>
    </row>
    <row r="222" ht="20" customHeight="1" s="1">
      <c r="A222" s="26" t="n">
        <v>202</v>
      </c>
      <c r="B222" s="26" t="inlineStr">
        <is>
          <t>011702004009</t>
        </is>
      </c>
      <c r="C222" s="26" t="inlineStr">
        <is>
          <t>异形柱</t>
        </is>
      </c>
      <c r="D222" s="26" t="inlineStr">
        <is>
          <t>1.圆形柱模板(周长m)支模高度15.4m内</t>
        </is>
      </c>
      <c r="E222" s="26" t="inlineStr">
        <is>
          <t>m2</t>
        </is>
      </c>
      <c r="F222" s="100" t="n">
        <v>49.91</v>
      </c>
      <c r="G222" s="100" t="n">
        <v>11.53</v>
      </c>
      <c r="H222" s="100">
        <f>10.98+39.67</f>
        <v/>
      </c>
      <c r="I222" s="100" t="n"/>
      <c r="J222" s="100">
        <f>G222-F222</f>
        <v/>
      </c>
      <c r="K222" s="100">
        <f>H222-F222</f>
        <v/>
      </c>
      <c r="L222" s="100">
        <f>H222-G222</f>
        <v/>
      </c>
      <c r="M222" s="37">
        <f>J222/F222</f>
        <v/>
      </c>
      <c r="N222" s="27" t="n">
        <v>140.63</v>
      </c>
      <c r="O222" s="27" t="n">
        <v>90.56999999999999</v>
      </c>
      <c r="P222" s="37">
        <f>(N222-O222)/O222</f>
        <v/>
      </c>
      <c r="Q222" s="100">
        <f>O222*0.9056*0.85</f>
        <v/>
      </c>
      <c r="R222" s="100">
        <f>O222*1.15</f>
        <v/>
      </c>
      <c r="S222" s="100">
        <f>IF(N222&lt;O222*0.9056*0.85,O222*0.9056*0.85,IF(N222&gt;O222*1.15,O222*1.15,N222))</f>
        <v/>
      </c>
      <c r="T222" s="100" t="n">
        <v>7019.35</v>
      </c>
      <c r="U222" s="100" t="n">
        <v>3021.68</v>
      </c>
      <c r="V222" s="100">
        <f>T222+S222*K222</f>
        <v/>
      </c>
      <c r="W222" s="100">
        <f>U222-T222</f>
        <v/>
      </c>
      <c r="X222" s="100">
        <f>V222-T222</f>
        <v/>
      </c>
      <c r="Y222" s="100">
        <f>V222-U222</f>
        <v/>
      </c>
      <c r="Z222" s="26" t="inlineStr">
        <is>
          <t>将清单序号203工程量归到此计算</t>
        </is>
      </c>
      <c r="AA222" s="48" t="inlineStr">
        <is>
          <t>16.4m高工程量</t>
        </is>
      </c>
    </row>
    <row r="223" ht="20" customHeight="1" s="1">
      <c r="A223" s="26" t="n">
        <v>203</v>
      </c>
      <c r="B223" s="26" t="inlineStr">
        <is>
          <t>011702004010</t>
        </is>
      </c>
      <c r="C223" s="26" t="inlineStr">
        <is>
          <t>异形柱</t>
        </is>
      </c>
      <c r="D223" s="26" t="inlineStr">
        <is>
          <t>1.圆形柱模板(周长m)支模高度17.4m内</t>
        </is>
      </c>
      <c r="E223" s="26" t="inlineStr">
        <is>
          <t>m2</t>
        </is>
      </c>
      <c r="F223" s="100" t="n">
        <v>325.5</v>
      </c>
      <c r="G223" s="100" t="n">
        <v>490.53</v>
      </c>
      <c r="H223" s="100" t="n">
        <v>429.35</v>
      </c>
      <c r="I223" s="100" t="n"/>
      <c r="J223" s="100">
        <f>G223-F223</f>
        <v/>
      </c>
      <c r="K223" s="100">
        <f>H223-F223</f>
        <v/>
      </c>
      <c r="L223" s="100">
        <f>H223-G223</f>
        <v/>
      </c>
      <c r="M223" s="37">
        <f>J223/F223</f>
        <v/>
      </c>
      <c r="N223" s="27" t="n">
        <v>149.49</v>
      </c>
      <c r="O223" s="27" t="n">
        <v>190.06</v>
      </c>
      <c r="P223" s="37">
        <f>(N223-O223)/O223</f>
        <v/>
      </c>
      <c r="Q223" s="100">
        <f>O223*0.9056*0.85</f>
        <v/>
      </c>
      <c r="R223" s="100">
        <f>O223*1.15</f>
        <v/>
      </c>
      <c r="S223" s="100">
        <f>IF(N223&lt;O223*0.9056*0.85,O223*0.9056*0.85,IF(N223&gt;O223*1.15,O223*1.15,N223))</f>
        <v/>
      </c>
      <c r="T223" s="100" t="n">
        <v>48659.67</v>
      </c>
      <c r="U223" s="100" t="n">
        <v>73329.81</v>
      </c>
      <c r="V223" s="100">
        <f>T223+S223*K223</f>
        <v/>
      </c>
      <c r="W223" s="100">
        <f>U223-T223</f>
        <v/>
      </c>
      <c r="X223" s="100">
        <f>V223-T223</f>
        <v/>
      </c>
      <c r="Y223" s="100">
        <f>V223-U223</f>
        <v/>
      </c>
      <c r="Z223" s="26" t="n"/>
    </row>
    <row r="224" ht="20" customHeight="1" s="1">
      <c r="A224" s="26" t="n">
        <v>204</v>
      </c>
      <c r="B224" s="26" t="inlineStr">
        <is>
          <t>011702011014</t>
        </is>
      </c>
      <c r="C224" s="26" t="inlineStr">
        <is>
          <t>直形墙</t>
        </is>
      </c>
      <c r="D224" s="26" t="inlineStr">
        <is>
          <t>1.直形墙模板墙厚(cm以内)40支模高度3.6m内</t>
        </is>
      </c>
      <c r="E224" s="26" t="inlineStr">
        <is>
          <t>m2</t>
        </is>
      </c>
      <c r="F224" s="100" t="n">
        <v>271.46</v>
      </c>
      <c r="G224" s="100" t="n">
        <v>302.14</v>
      </c>
      <c r="H224" s="100">
        <f>288.35</f>
        <v/>
      </c>
      <c r="I224" s="100" t="n"/>
      <c r="J224" s="100">
        <f>G224-F224</f>
        <v/>
      </c>
      <c r="K224" s="100">
        <f>H224-F224</f>
        <v/>
      </c>
      <c r="L224" s="100">
        <f>H224-G224</f>
        <v/>
      </c>
      <c r="M224" s="37">
        <f>J224/F224</f>
        <v/>
      </c>
      <c r="N224" s="27" t="n">
        <v>43.27</v>
      </c>
      <c r="O224" s="27" t="n">
        <v>45.5</v>
      </c>
      <c r="P224" s="37">
        <f>(N224-O224)/O224</f>
        <v/>
      </c>
      <c r="Q224" s="100">
        <f>O224*0.9056*0.85</f>
        <v/>
      </c>
      <c r="R224" s="100">
        <f>O224*1.15</f>
        <v/>
      </c>
      <c r="S224" s="100">
        <f>IF(N224&lt;O224*0.9056*0.85,O224*0.9056*0.85,IF(N224&gt;O224*1.15,O224*1.15,N224))</f>
        <v/>
      </c>
      <c r="T224" s="100" t="n">
        <v>11746.07</v>
      </c>
      <c r="U224" s="100" t="n">
        <v>13073.56</v>
      </c>
      <c r="V224" s="100">
        <f>T224+S224*K224</f>
        <v/>
      </c>
      <c r="W224" s="100">
        <f>U224-T224</f>
        <v/>
      </c>
      <c r="X224" s="100">
        <f>V224-T224</f>
        <v/>
      </c>
      <c r="Y224" s="100">
        <f>V224-U224</f>
        <v/>
      </c>
      <c r="Z224" s="26" t="n"/>
    </row>
    <row r="225" ht="20" customHeight="1" s="1">
      <c r="A225" s="26" t="n">
        <v>205</v>
      </c>
      <c r="B225" s="26" t="inlineStr">
        <is>
          <t>011702011011</t>
        </is>
      </c>
      <c r="C225" s="26" t="inlineStr">
        <is>
          <t>直形墙</t>
        </is>
      </c>
      <c r="D225" s="26" t="inlineStr">
        <is>
          <t>1.直形墙模板墙厚(cm以内)40支模高度4.6m内</t>
        </is>
      </c>
      <c r="E225" s="26" t="inlineStr">
        <is>
          <t>m2</t>
        </is>
      </c>
      <c r="F225" s="100" t="n">
        <v>36.56</v>
      </c>
      <c r="G225" s="100" t="n">
        <v>192.98</v>
      </c>
      <c r="H225" s="100" t="n">
        <v>183.12</v>
      </c>
      <c r="I225" s="100" t="n"/>
      <c r="J225" s="100">
        <f>G225-F225</f>
        <v/>
      </c>
      <c r="K225" s="100">
        <f>H225-F225</f>
        <v/>
      </c>
      <c r="L225" s="100">
        <f>H225-G225</f>
        <v/>
      </c>
      <c r="M225" s="37">
        <f>J225/F225</f>
        <v/>
      </c>
      <c r="N225" s="27" t="n">
        <v>45.51</v>
      </c>
      <c r="O225" s="27" t="n">
        <v>45.5</v>
      </c>
      <c r="P225" s="37">
        <f>(N225-O225)/O225</f>
        <v/>
      </c>
      <c r="Q225" s="100">
        <f>O225*0.9056*0.85</f>
        <v/>
      </c>
      <c r="R225" s="100">
        <f>O225*1.15</f>
        <v/>
      </c>
      <c r="S225" s="100">
        <f>IF(N225&lt;O225*0.9056*0.85,O225*0.9056*0.85,IF(N225&gt;O225*1.15,O225*1.15,N225))</f>
        <v/>
      </c>
      <c r="T225" s="100" t="n">
        <v>1663.78</v>
      </c>
      <c r="U225" s="100" t="n">
        <v>8782.639999999999</v>
      </c>
      <c r="V225" s="100">
        <f>T225+S225*K225</f>
        <v/>
      </c>
      <c r="W225" s="100">
        <f>U225-T225</f>
        <v/>
      </c>
      <c r="X225" s="100">
        <f>V225-T225</f>
        <v/>
      </c>
      <c r="Y225" s="100">
        <f>V225-U225</f>
        <v/>
      </c>
      <c r="Z225" s="26" t="n"/>
    </row>
    <row r="226" ht="20" customHeight="1" s="1">
      <c r="A226" s="26" t="n">
        <v>206</v>
      </c>
      <c r="B226" s="26" t="inlineStr">
        <is>
          <t>011702011012</t>
        </is>
      </c>
      <c r="C226" s="26" t="inlineStr">
        <is>
          <t>直形墙</t>
        </is>
      </c>
      <c r="D226" s="26" t="inlineStr">
        <is>
          <t>1.直形墙模板墙厚(cm以内)40支模高度7.6m内</t>
        </is>
      </c>
      <c r="E226" s="26" t="inlineStr">
        <is>
          <t>m2</t>
        </is>
      </c>
      <c r="F226" s="100" t="n">
        <v>6.26</v>
      </c>
      <c r="G226" s="100" t="n">
        <v>0</v>
      </c>
      <c r="H226" s="100" t="n">
        <v>0</v>
      </c>
      <c r="I226" s="100" t="n"/>
      <c r="J226" s="100">
        <f>G226-F226</f>
        <v/>
      </c>
      <c r="K226" s="100">
        <f>H226-F226</f>
        <v/>
      </c>
      <c r="L226" s="100">
        <f>H226-G226</f>
        <v/>
      </c>
      <c r="M226" s="37">
        <f>J226/F226</f>
        <v/>
      </c>
      <c r="N226" s="27" t="n">
        <v>52.24</v>
      </c>
      <c r="O226" s="27" t="n">
        <v>45.5</v>
      </c>
      <c r="P226" s="37">
        <f>(N226-O226)/O226</f>
        <v/>
      </c>
      <c r="Q226" s="100">
        <f>O226*0.9056*0.85</f>
        <v/>
      </c>
      <c r="R226" s="100">
        <f>O226*1.15</f>
        <v/>
      </c>
      <c r="S226" s="100">
        <f>IF(N226&lt;O226*0.9056*0.85,O226*0.9056*0.85,IF(N226&gt;O226*1.15,O226*1.15,N226))</f>
        <v/>
      </c>
      <c r="T226" s="100" t="n">
        <v>327.13</v>
      </c>
      <c r="U226" s="100" t="n">
        <v>0</v>
      </c>
      <c r="V226" s="100" t="n">
        <v>0</v>
      </c>
      <c r="W226" s="100">
        <f>U226-T226</f>
        <v/>
      </c>
      <c r="X226" s="100">
        <f>V226-T226</f>
        <v/>
      </c>
      <c r="Y226" s="100">
        <f>V226-U226</f>
        <v/>
      </c>
      <c r="Z226" s="26" t="n"/>
    </row>
    <row r="227" ht="20" customHeight="1" s="1">
      <c r="A227" s="26" t="n">
        <v>207</v>
      </c>
      <c r="B227" s="26" t="inlineStr">
        <is>
          <t>011702011013</t>
        </is>
      </c>
      <c r="C227" s="26" t="inlineStr">
        <is>
          <t>直形墙</t>
        </is>
      </c>
      <c r="D227" s="26" t="inlineStr">
        <is>
          <t>1.直形墙模板墙厚(cm以内)40支模高度17.4m内</t>
        </is>
      </c>
      <c r="E227" s="26" t="inlineStr">
        <is>
          <t>m2</t>
        </is>
      </c>
      <c r="F227" s="100" t="n">
        <v>184.81</v>
      </c>
      <c r="G227" s="100" t="n">
        <v>0</v>
      </c>
      <c r="H227" s="100" t="n">
        <v>0</v>
      </c>
      <c r="I227" s="100" t="n"/>
      <c r="J227" s="100">
        <f>G227-F227</f>
        <v/>
      </c>
      <c r="K227" s="100">
        <f>H227-F227</f>
        <v/>
      </c>
      <c r="L227" s="100">
        <f>H227-G227</f>
        <v/>
      </c>
      <c r="M227" s="37">
        <f>J227/F227</f>
        <v/>
      </c>
      <c r="N227" s="27" t="n">
        <v>84.7</v>
      </c>
      <c r="O227" s="27" t="n">
        <v>84.13</v>
      </c>
      <c r="P227" s="37">
        <f>(N227-O227)/O227</f>
        <v/>
      </c>
      <c r="Q227" s="100">
        <f>O227*0.9056*0.85</f>
        <v/>
      </c>
      <c r="R227" s="100">
        <f>O227*1.15</f>
        <v/>
      </c>
      <c r="S227" s="100">
        <f>IF(N227&lt;O227*0.9056*0.85,O227*0.9056*0.85,IF(N227&gt;O227*1.15,O227*1.15,N227))</f>
        <v/>
      </c>
      <c r="T227" s="100" t="n">
        <v>15653.07</v>
      </c>
      <c r="U227" s="100" t="n">
        <v>0</v>
      </c>
      <c r="V227" s="100">
        <f>T227+S227*K227</f>
        <v/>
      </c>
      <c r="W227" s="100">
        <f>U227-T227</f>
        <v/>
      </c>
      <c r="X227" s="100">
        <f>V227-T227</f>
        <v/>
      </c>
      <c r="Y227" s="100">
        <f>V227-U227</f>
        <v/>
      </c>
      <c r="Z227" s="26" t="n"/>
    </row>
    <row r="228" ht="20" customHeight="1" s="1">
      <c r="A228" s="26" t="n">
        <v>208</v>
      </c>
      <c r="B228" s="26" t="inlineStr">
        <is>
          <t>011702014001</t>
        </is>
      </c>
      <c r="C228" s="26" t="inlineStr">
        <is>
          <t>有梁板</t>
        </is>
      </c>
      <c r="D228" s="26" t="inlineStr">
        <is>
          <t>1.有梁板模板支模高度3.6m内</t>
        </is>
      </c>
      <c r="E228" s="26" t="inlineStr">
        <is>
          <t>m2</t>
        </is>
      </c>
      <c r="F228" s="100" t="n">
        <v>137.31</v>
      </c>
      <c r="G228" s="100" t="n">
        <v>27.34</v>
      </c>
      <c r="H228" s="100">
        <f>27.34+52.06</f>
        <v/>
      </c>
      <c r="I228" s="100" t="n"/>
      <c r="J228" s="100">
        <f>G228-F228</f>
        <v/>
      </c>
      <c r="K228" s="100">
        <f>H228-F228</f>
        <v/>
      </c>
      <c r="L228" s="100">
        <f>H228-G228</f>
        <v/>
      </c>
      <c r="M228" s="37">
        <f>J228/F228</f>
        <v/>
      </c>
      <c r="N228" s="27" t="n">
        <v>59.25</v>
      </c>
      <c r="O228" s="27" t="n">
        <v>63.21</v>
      </c>
      <c r="P228" s="37">
        <f>(N228-O228)/O228</f>
        <v/>
      </c>
      <c r="Q228" s="100">
        <f>O228*0.9056*0.85</f>
        <v/>
      </c>
      <c r="R228" s="100">
        <f>O228*1.15</f>
        <v/>
      </c>
      <c r="S228" s="100">
        <f>IF(N228&lt;O228*0.9056*0.85,O228*0.9056*0.85,IF(N228&gt;O228*1.15,O228*1.15,N228))</f>
        <v/>
      </c>
      <c r="T228" s="100" t="n">
        <v>8135.84</v>
      </c>
      <c r="U228" s="100" t="n">
        <v>1619.79</v>
      </c>
      <c r="V228" s="100">
        <f>T228+S228*K228</f>
        <v/>
      </c>
      <c r="W228" s="100">
        <f>U228-T228</f>
        <v/>
      </c>
      <c r="X228" s="100">
        <f>V228-T228</f>
        <v/>
      </c>
      <c r="Y228" s="100">
        <f>V228-U228</f>
        <v/>
      </c>
      <c r="Z228" s="26" t="inlineStr">
        <is>
          <t>将清单序号213工程量归到此计算</t>
        </is>
      </c>
    </row>
    <row r="229" ht="20" customHeight="1" s="1">
      <c r="A229" s="26" t="n">
        <v>209</v>
      </c>
      <c r="B229" s="26" t="inlineStr">
        <is>
          <t>011702014002</t>
        </is>
      </c>
      <c r="C229" s="26" t="inlineStr">
        <is>
          <t>有梁板</t>
        </is>
      </c>
      <c r="D229" s="26" t="inlineStr">
        <is>
          <t>1.有梁板模板支模高度4.6m内</t>
        </is>
      </c>
      <c r="E229" s="26" t="inlineStr">
        <is>
          <t>m2</t>
        </is>
      </c>
      <c r="F229" s="100" t="n">
        <v>2425.67</v>
      </c>
      <c r="G229" s="100" t="n">
        <v>2800.8</v>
      </c>
      <c r="H229" s="100">
        <f>2768.33+47.89</f>
        <v/>
      </c>
      <c r="I229" s="100" t="n"/>
      <c r="J229" s="100">
        <f>G229-F229</f>
        <v/>
      </c>
      <c r="K229" s="100">
        <f>H229-F229</f>
        <v/>
      </c>
      <c r="L229" s="100">
        <f>H229-G229</f>
        <v/>
      </c>
      <c r="M229" s="37">
        <f>J229/F229</f>
        <v/>
      </c>
      <c r="N229" s="27" t="n">
        <v>67.34</v>
      </c>
      <c r="O229" s="27" t="n">
        <v>71.47</v>
      </c>
      <c r="P229" s="37">
        <f>(N229-O229)/O229</f>
        <v/>
      </c>
      <c r="Q229" s="100">
        <f>O229*0.9056*0.85</f>
        <v/>
      </c>
      <c r="R229" s="100">
        <f>O229*1.15</f>
        <v/>
      </c>
      <c r="S229" s="100">
        <f>IF(N229&lt;O229*0.9056*0.85,O229*0.9056*0.85,IF(N229&gt;O229*1.15,O229*1.15,N229))</f>
        <v/>
      </c>
      <c r="T229" s="100" t="n">
        <v>163344.85</v>
      </c>
      <c r="U229" s="100" t="n">
        <v>188605.61</v>
      </c>
      <c r="V229" s="100">
        <f>T229+S229*K229</f>
        <v/>
      </c>
      <c r="W229" s="100">
        <f>U229-T229</f>
        <v/>
      </c>
      <c r="X229" s="100">
        <f>V229-T229</f>
        <v/>
      </c>
      <c r="Y229" s="100">
        <f>V229-U229</f>
        <v/>
      </c>
      <c r="Z229" s="26" t="inlineStr">
        <is>
          <t>将清单序号213工程量归到此计算</t>
        </is>
      </c>
    </row>
    <row r="230" ht="20" customHeight="1" s="1">
      <c r="A230" s="26" t="n">
        <v>210</v>
      </c>
      <c r="B230" s="26" t="inlineStr">
        <is>
          <t>011702014003</t>
        </is>
      </c>
      <c r="C230" s="26" t="inlineStr">
        <is>
          <t>有梁板</t>
        </is>
      </c>
      <c r="D230" s="26" t="inlineStr">
        <is>
          <t>1.有梁板模板支模高度5.6m内</t>
        </is>
      </c>
      <c r="E230" s="26" t="inlineStr">
        <is>
          <t>m2</t>
        </is>
      </c>
      <c r="F230" s="100" t="n">
        <v>107.85</v>
      </c>
      <c r="G230" s="100" t="n">
        <v>101.46</v>
      </c>
      <c r="H230" s="100" t="n">
        <v>96.63</v>
      </c>
      <c r="I230" s="100" t="n"/>
      <c r="J230" s="100">
        <f>G230-F230</f>
        <v/>
      </c>
      <c r="K230" s="100">
        <f>H230-F230</f>
        <v/>
      </c>
      <c r="L230" s="100">
        <f>H230-G230</f>
        <v/>
      </c>
      <c r="M230" s="37">
        <f>J230/F230</f>
        <v/>
      </c>
      <c r="N230" s="27" t="n">
        <v>75.42</v>
      </c>
      <c r="O230" s="27" t="n">
        <v>79.73</v>
      </c>
      <c r="P230" s="37">
        <f>(N230-O230)/O230</f>
        <v/>
      </c>
      <c r="Q230" s="100">
        <f>O230*0.9056*0.85</f>
        <v/>
      </c>
      <c r="R230" s="100">
        <f>O230*1.15</f>
        <v/>
      </c>
      <c r="S230" s="100">
        <f>IF(N230&lt;O230*0.9056*0.85,O230*0.9056*0.85,IF(N230&gt;O230*1.15,O230*1.15,N230))</f>
        <v/>
      </c>
      <c r="T230" s="100" t="n">
        <v>8134.05</v>
      </c>
      <c r="U230" s="100" t="n">
        <v>7652.23</v>
      </c>
      <c r="V230" s="100">
        <f>T230+S230*K230</f>
        <v/>
      </c>
      <c r="W230" s="100">
        <f>U230-T230</f>
        <v/>
      </c>
      <c r="X230" s="100">
        <f>V230-T230</f>
        <v/>
      </c>
      <c r="Y230" s="100">
        <f>V230-U230</f>
        <v/>
      </c>
      <c r="Z230" s="26" t="n"/>
    </row>
    <row r="231" ht="20" customHeight="1" s="1">
      <c r="A231" s="26" t="n">
        <v>211</v>
      </c>
      <c r="B231" s="26" t="inlineStr">
        <is>
          <t>011702014004</t>
        </is>
      </c>
      <c r="C231" s="26" t="inlineStr">
        <is>
          <t>有梁板</t>
        </is>
      </c>
      <c r="D231" s="26" t="inlineStr">
        <is>
          <t>1.有梁板模板支模高度9.6m内</t>
        </is>
      </c>
      <c r="E231" s="26" t="inlineStr">
        <is>
          <t>m2</t>
        </is>
      </c>
      <c r="F231" s="100" t="n">
        <v>29.53</v>
      </c>
      <c r="G231" s="100" t="n">
        <v>0</v>
      </c>
      <c r="H231" s="100" t="n">
        <v>0</v>
      </c>
      <c r="I231" s="100" t="n"/>
      <c r="J231" s="100">
        <f>G231-F231</f>
        <v/>
      </c>
      <c r="K231" s="100">
        <f>H231-F231</f>
        <v/>
      </c>
      <c r="L231" s="100">
        <f>H231-G231</f>
        <v/>
      </c>
      <c r="M231" s="37">
        <f>J231/F231</f>
        <v/>
      </c>
      <c r="N231" s="27" t="n">
        <v>142.61</v>
      </c>
      <c r="O231" s="27" t="n">
        <v>136.94</v>
      </c>
      <c r="P231" s="37">
        <f>(N231-O231)/O231</f>
        <v/>
      </c>
      <c r="Q231" s="100">
        <f>O231*0.9056*0.85</f>
        <v/>
      </c>
      <c r="R231" s="100">
        <f>O231*1.15</f>
        <v/>
      </c>
      <c r="S231" s="100">
        <f>IF(N231&lt;O231*0.9056*0.85,O231*0.9056*0.85,IF(N231&gt;O231*1.15,O231*1.15,N231))</f>
        <v/>
      </c>
      <c r="T231" s="100" t="n">
        <v>4211.27</v>
      </c>
      <c r="U231" s="100" t="n">
        <v>0</v>
      </c>
      <c r="V231" s="100">
        <f>T231+S231*K231</f>
        <v/>
      </c>
      <c r="W231" s="100">
        <f>U231-T231</f>
        <v/>
      </c>
      <c r="X231" s="100">
        <f>V231-T231</f>
        <v/>
      </c>
      <c r="Y231" s="100">
        <f>V231-U231</f>
        <v/>
      </c>
      <c r="Z231" s="26" t="n"/>
    </row>
    <row r="232" ht="20" customHeight="1" s="1">
      <c r="A232" s="26" t="n">
        <v>212</v>
      </c>
      <c r="B232" s="26" t="inlineStr">
        <is>
          <t>011702014005</t>
        </is>
      </c>
      <c r="C232" s="26" t="inlineStr">
        <is>
          <t>有梁板</t>
        </is>
      </c>
      <c r="D232" s="26" t="inlineStr">
        <is>
          <t>1.有梁板模板支模高度14.6m内</t>
        </is>
      </c>
      <c r="E232" s="26" t="inlineStr">
        <is>
          <t>m2</t>
        </is>
      </c>
      <c r="F232" s="100" t="n">
        <v>95.67</v>
      </c>
      <c r="G232" s="100" t="n">
        <v>0</v>
      </c>
      <c r="H232" s="100" t="n">
        <v>0</v>
      </c>
      <c r="I232" s="100" t="n"/>
      <c r="J232" s="100">
        <f>G232-F232</f>
        <v/>
      </c>
      <c r="K232" s="100">
        <f>H232-F232</f>
        <v/>
      </c>
      <c r="L232" s="100">
        <f>H232-G232</f>
        <v/>
      </c>
      <c r="M232" s="37">
        <f>J232/F232</f>
        <v/>
      </c>
      <c r="N232" s="27" t="n">
        <v>192.07</v>
      </c>
      <c r="O232" s="27" t="n">
        <v>179.5</v>
      </c>
      <c r="P232" s="37">
        <f>(N232-O232)/O232</f>
        <v/>
      </c>
      <c r="Q232" s="100">
        <f>O232*0.9056*0.85</f>
        <v/>
      </c>
      <c r="R232" s="100">
        <f>O232*1.15</f>
        <v/>
      </c>
      <c r="S232" s="100">
        <f>IF(N232&lt;O232*0.9056*0.85,O232*0.9056*0.85,IF(N232&gt;O232*1.15,O232*1.15,N232))</f>
        <v/>
      </c>
      <c r="T232" s="100" t="n">
        <v>18375.34</v>
      </c>
      <c r="U232" s="100" t="n">
        <v>0</v>
      </c>
      <c r="V232" s="100">
        <f>T232+S232*K232</f>
        <v/>
      </c>
      <c r="W232" s="100">
        <f>U232-T232</f>
        <v/>
      </c>
      <c r="X232" s="100">
        <f>V232-T232</f>
        <v/>
      </c>
      <c r="Y232" s="100">
        <f>V232-U232</f>
        <v/>
      </c>
      <c r="Z232" s="26" t="n"/>
    </row>
    <row r="233" ht="20" customHeight="1" s="1">
      <c r="A233" s="26" t="n">
        <v>213</v>
      </c>
      <c r="B233" s="26" t="inlineStr">
        <is>
          <t>011702014010</t>
        </is>
      </c>
      <c r="C233" s="26" t="inlineStr">
        <is>
          <t>有梁板（斜板）</t>
        </is>
      </c>
      <c r="D233" s="26" t="inlineStr">
        <is>
          <t>1.有梁板模板支模高度7.6m内</t>
        </is>
      </c>
      <c r="E233" s="26" t="inlineStr">
        <is>
          <t>m2</t>
        </is>
      </c>
      <c r="F233" s="100" t="n">
        <v>137.73</v>
      </c>
      <c r="G233" s="100" t="n">
        <v>207.7</v>
      </c>
      <c r="H233" s="100" t="n">
        <v>0</v>
      </c>
      <c r="I233" s="100" t="n"/>
      <c r="J233" s="100">
        <f>G233-F233</f>
        <v/>
      </c>
      <c r="K233" s="100">
        <f>H233-F233</f>
        <v/>
      </c>
      <c r="L233" s="100">
        <f>H233-G233</f>
        <v/>
      </c>
      <c r="M233" s="37">
        <f>J233/F233</f>
        <v/>
      </c>
      <c r="N233" s="27" t="n">
        <v>101.92</v>
      </c>
      <c r="O233" s="27" t="n">
        <v>111.72</v>
      </c>
      <c r="P233" s="37">
        <f>(N233-O233)/O233</f>
        <v/>
      </c>
      <c r="Q233" s="100">
        <f>O233*0.9056*0.85</f>
        <v/>
      </c>
      <c r="R233" s="100">
        <f>O233*1.15</f>
        <v/>
      </c>
      <c r="S233" s="100">
        <f>IF(N233&lt;O233*0.9056*0.85,O233*0.9056*0.85,IF(N233&gt;O233*1.15,O233*1.15,N233))</f>
        <v/>
      </c>
      <c r="T233" s="100" t="n">
        <v>14037.38</v>
      </c>
      <c r="U233" s="100" t="n">
        <v>21168.65</v>
      </c>
      <c r="V233" s="100">
        <f>T233+S233*K233</f>
        <v/>
      </c>
      <c r="W233" s="100">
        <f>U233-T233</f>
        <v/>
      </c>
      <c r="X233" s="100">
        <f>V233-T233</f>
        <v/>
      </c>
      <c r="Y233" s="100">
        <f>V233-U233</f>
        <v/>
      </c>
      <c r="Z233" s="26" t="n"/>
    </row>
    <row r="234" ht="20" customHeight="1" s="1">
      <c r="A234" s="26" t="n">
        <v>214</v>
      </c>
      <c r="B234" s="26" t="inlineStr">
        <is>
          <t>011702006009</t>
        </is>
      </c>
      <c r="C234" s="26" t="inlineStr">
        <is>
          <t>矩形梁（斜梁）</t>
        </is>
      </c>
      <c r="D234" s="26" t="inlineStr">
        <is>
          <t>1.单梁、连续梁模板(梁宽cm)25以内支模高度4.6m内</t>
        </is>
      </c>
      <c r="E234" s="26" t="inlineStr">
        <is>
          <t>m2</t>
        </is>
      </c>
      <c r="F234" s="100" t="n">
        <v>136.19</v>
      </c>
      <c r="G234" s="100" t="n">
        <v>82.72</v>
      </c>
      <c r="H234" s="100">
        <f>56.79</f>
        <v/>
      </c>
      <c r="I234" s="100" t="n"/>
      <c r="J234" s="100">
        <f>G234-F234</f>
        <v/>
      </c>
      <c r="K234" s="100">
        <f>H234-F234</f>
        <v/>
      </c>
      <c r="L234" s="100">
        <f>H234-G234</f>
        <v/>
      </c>
      <c r="M234" s="37">
        <f>J234/F234</f>
        <v/>
      </c>
      <c r="N234" s="27" t="n">
        <v>77.06999999999999</v>
      </c>
      <c r="O234" s="27" t="n">
        <v>84.98999999999999</v>
      </c>
      <c r="P234" s="37">
        <f>(N234-O234)/O234</f>
        <v/>
      </c>
      <c r="Q234" s="100">
        <f>O234*0.9056*0.85</f>
        <v/>
      </c>
      <c r="R234" s="100">
        <f>O234*1.15</f>
        <v/>
      </c>
      <c r="S234" s="100">
        <f>IF(N234&lt;O234*0.9056*0.85,O234*0.9056*0.85,IF(N234&gt;O234*1.15,O234*1.15,N234))</f>
        <v/>
      </c>
      <c r="T234" s="100" t="n">
        <v>10495.97</v>
      </c>
      <c r="U234" s="100" t="n">
        <v>6374.91</v>
      </c>
      <c r="V234" s="100">
        <f>T234+S234*K234</f>
        <v/>
      </c>
      <c r="W234" s="100">
        <f>U234-T234</f>
        <v/>
      </c>
      <c r="X234" s="100">
        <f>V234-T234</f>
        <v/>
      </c>
      <c r="Y234" s="100">
        <f>V234-U234</f>
        <v/>
      </c>
      <c r="Z234" s="26" t="n"/>
    </row>
    <row r="235" ht="20" customHeight="1" s="1">
      <c r="A235" s="26" t="n">
        <v>215</v>
      </c>
      <c r="B235" s="26" t="inlineStr">
        <is>
          <t>011702006010</t>
        </is>
      </c>
      <c r="C235" s="26" t="inlineStr">
        <is>
          <t>矩形梁（斜梁）</t>
        </is>
      </c>
      <c r="D235" s="26" t="inlineStr">
        <is>
          <t>1.单梁、连续梁模板(梁宽cm)25以内支模高度5.6m内</t>
        </is>
      </c>
      <c r="E235" s="26" t="inlineStr">
        <is>
          <t>m2</t>
        </is>
      </c>
      <c r="F235" s="100" t="n">
        <v>1.59</v>
      </c>
      <c r="G235" s="100" t="n">
        <v>0</v>
      </c>
      <c r="H235" s="100" t="n">
        <v>0</v>
      </c>
      <c r="I235" s="100" t="n"/>
      <c r="J235" s="100">
        <f>G235-F235</f>
        <v/>
      </c>
      <c r="K235" s="100">
        <f>H235-F235</f>
        <v/>
      </c>
      <c r="L235" s="100">
        <f>H235-G235</f>
        <v/>
      </c>
      <c r="M235" s="37">
        <f>J235/F235</f>
        <v/>
      </c>
      <c r="N235" s="27" t="n">
        <v>85.41</v>
      </c>
      <c r="O235" s="27" t="n">
        <v>93.73999999999999</v>
      </c>
      <c r="P235" s="37">
        <f>(N235-O235)/O235</f>
        <v/>
      </c>
      <c r="Q235" s="100">
        <f>O235*0.9056*0.85</f>
        <v/>
      </c>
      <c r="R235" s="100">
        <f>O235*1.15</f>
        <v/>
      </c>
      <c r="S235" s="100">
        <f>IF(N235&lt;O235*0.9056*0.85,O235*0.9056*0.85,IF(N235&gt;O235*1.15,O235*1.15,N235))</f>
        <v/>
      </c>
      <c r="T235" s="100" t="n">
        <v>135.72</v>
      </c>
      <c r="U235" s="100" t="n">
        <v>0</v>
      </c>
      <c r="V235" s="100">
        <f>T235+S235*K235</f>
        <v/>
      </c>
      <c r="W235" s="100">
        <f>U235-T235</f>
        <v/>
      </c>
      <c r="X235" s="100">
        <f>V235-T235</f>
        <v/>
      </c>
      <c r="Y235" s="100">
        <f>V235-U235</f>
        <v/>
      </c>
      <c r="Z235" s="26" t="n"/>
    </row>
    <row r="236" ht="20" customHeight="1" s="1">
      <c r="A236" s="26" t="n">
        <v>216</v>
      </c>
      <c r="B236" s="26" t="inlineStr">
        <is>
          <t>011702006011</t>
        </is>
      </c>
      <c r="C236" s="26" t="inlineStr">
        <is>
          <t>矩形梁（斜梁）</t>
        </is>
      </c>
      <c r="D236" s="26" t="inlineStr">
        <is>
          <t>1.单梁、连续梁模板(梁宽cm)25以内支模高度6.6m内</t>
        </is>
      </c>
      <c r="E236" s="26" t="inlineStr">
        <is>
          <t>m2</t>
        </is>
      </c>
      <c r="F236" s="100" t="n">
        <v>38.08</v>
      </c>
      <c r="G236" s="100" t="n">
        <v>25.4</v>
      </c>
      <c r="H236" s="100" t="n">
        <v>24.19</v>
      </c>
      <c r="I236" s="100" t="n"/>
      <c r="J236" s="100">
        <f>G236-F236</f>
        <v/>
      </c>
      <c r="K236" s="100">
        <f>H236-F236</f>
        <v/>
      </c>
      <c r="L236" s="100">
        <f>H236-G236</f>
        <v/>
      </c>
      <c r="M236" s="37">
        <f>J236/F236</f>
        <v/>
      </c>
      <c r="N236" s="27" t="n">
        <v>93.75</v>
      </c>
      <c r="O236" s="27" t="n">
        <v>93.73999999999999</v>
      </c>
      <c r="P236" s="37">
        <f>(N236-O236)/O236</f>
        <v/>
      </c>
      <c r="Q236" s="100">
        <f>O236*0.9056*0.85</f>
        <v/>
      </c>
      <c r="R236" s="100">
        <f>O236*1.15</f>
        <v/>
      </c>
      <c r="S236" s="100">
        <f>IF(N236&lt;O236*0.9056*0.85,O236*0.9056*0.85,IF(N236&gt;O236*1.15,O236*1.15,N236))</f>
        <v/>
      </c>
      <c r="T236" s="100" t="n">
        <v>3569.61</v>
      </c>
      <c r="U236" s="100" t="n">
        <v>2381.64</v>
      </c>
      <c r="V236" s="100">
        <f>T236+S236*K236</f>
        <v/>
      </c>
      <c r="W236" s="100">
        <f>U236-T236</f>
        <v/>
      </c>
      <c r="X236" s="100">
        <f>V236-T236</f>
        <v/>
      </c>
      <c r="Y236" s="100">
        <f>V236-U236</f>
        <v/>
      </c>
      <c r="Z236" s="26" t="n"/>
    </row>
    <row r="237" ht="20" customHeight="1" s="1">
      <c r="A237" s="26" t="n">
        <v>217</v>
      </c>
      <c r="B237" s="26" t="inlineStr">
        <is>
          <t>011702006012</t>
        </is>
      </c>
      <c r="C237" s="26" t="inlineStr">
        <is>
          <t>矩形梁（斜梁）</t>
        </is>
      </c>
      <c r="D237" s="26" t="inlineStr">
        <is>
          <t>1.单梁、连续梁模板(梁宽cm)25以内支模高度7.6m内</t>
        </is>
      </c>
      <c r="E237" s="26" t="inlineStr">
        <is>
          <t>m2</t>
        </is>
      </c>
      <c r="F237" s="100" t="n">
        <v>4.76</v>
      </c>
      <c r="G237" s="100" t="n">
        <v>0</v>
      </c>
      <c r="H237" s="100" t="n">
        <v>0</v>
      </c>
      <c r="I237" s="100" t="n"/>
      <c r="J237" s="100">
        <f>G237-F237</f>
        <v/>
      </c>
      <c r="K237" s="100">
        <f>H237-F237</f>
        <v/>
      </c>
      <c r="L237" s="100">
        <f>H237-G237</f>
        <v/>
      </c>
      <c r="M237" s="37">
        <f>J237/F237</f>
        <v/>
      </c>
      <c r="N237" s="27" t="n">
        <v>102.09</v>
      </c>
      <c r="O237" s="27" t="n">
        <v>111.25</v>
      </c>
      <c r="P237" s="37">
        <f>(N237-O237)/O237</f>
        <v/>
      </c>
      <c r="Q237" s="100">
        <f>O237*0.9056*0.85</f>
        <v/>
      </c>
      <c r="R237" s="100">
        <f>O237*1.15</f>
        <v/>
      </c>
      <c r="S237" s="100">
        <f>IF(N237&lt;O237*0.9056*0.85,O237*0.9056*0.85,IF(N237&gt;O237*1.15,O237*1.15,N237))</f>
        <v/>
      </c>
      <c r="T237" s="100" t="n">
        <v>485.66</v>
      </c>
      <c r="U237" s="100" t="n">
        <v>0</v>
      </c>
      <c r="V237" s="100">
        <f>T237+S237*K237</f>
        <v/>
      </c>
      <c r="W237" s="100">
        <f>U237-T237</f>
        <v/>
      </c>
      <c r="X237" s="100">
        <f>V237-T237</f>
        <v/>
      </c>
      <c r="Y237" s="100">
        <f>V237-U237</f>
        <v/>
      </c>
      <c r="Z237" s="26" t="n"/>
    </row>
    <row r="238" ht="20" customHeight="1" s="1">
      <c r="A238" s="26" t="n">
        <v>218</v>
      </c>
      <c r="B238" s="26" t="inlineStr">
        <is>
          <t>011702006013</t>
        </is>
      </c>
      <c r="C238" s="26" t="inlineStr">
        <is>
          <t>矩形梁</t>
        </is>
      </c>
      <c r="D238" s="26" t="inlineStr">
        <is>
          <t>1.单梁、连续梁模板(梁宽cm)25以内支模高度3.6m内</t>
        </is>
      </c>
      <c r="E238" s="26" t="inlineStr">
        <is>
          <t>m2</t>
        </is>
      </c>
      <c r="F238" s="100" t="n">
        <v>3.64</v>
      </c>
      <c r="G238" s="100" t="n">
        <v>274.75</v>
      </c>
      <c r="H238" s="100">
        <f>159.64+17+89.87+21.99</f>
        <v/>
      </c>
      <c r="I238" s="100" t="n"/>
      <c r="J238" s="100">
        <f>G238-F238</f>
        <v/>
      </c>
      <c r="K238" s="100">
        <f>H238-F238</f>
        <v/>
      </c>
      <c r="L238" s="100">
        <f>H238-G238</f>
        <v/>
      </c>
      <c r="M238" s="37">
        <f>J238/F238</f>
        <v/>
      </c>
      <c r="N238" s="27" t="n">
        <v>61.79</v>
      </c>
      <c r="O238" s="27" t="n">
        <v>65.84</v>
      </c>
      <c r="P238" s="37">
        <f>(N238-O238)/O238</f>
        <v/>
      </c>
      <c r="Q238" s="100">
        <f>O238*0.9056*0.85</f>
        <v/>
      </c>
      <c r="R238" s="100">
        <f>O238*1.15</f>
        <v/>
      </c>
      <c r="S238" s="100">
        <f>IF(N238&lt;O238*0.9056*0.85,O238*0.9056*0.85,IF(N238&gt;O238*1.15,O238*1.15,N238))</f>
        <v/>
      </c>
      <c r="T238" s="100" t="n">
        <v>224.92</v>
      </c>
      <c r="U238" s="100" t="n">
        <v>16976.97</v>
      </c>
      <c r="V238" s="100">
        <f>T238+S238*K238</f>
        <v/>
      </c>
      <c r="W238" s="100">
        <f>U238-T238</f>
        <v/>
      </c>
      <c r="X238" s="100">
        <f>V238-T238</f>
        <v/>
      </c>
      <c r="Y238" s="100">
        <f>V238-U238</f>
        <v/>
      </c>
      <c r="Z238" s="26" t="inlineStr">
        <is>
          <t>将清单序号214工程量归到此计算</t>
        </is>
      </c>
    </row>
    <row r="239" ht="20" customHeight="1" s="1">
      <c r="A239" s="26" t="n">
        <v>219</v>
      </c>
      <c r="B239" s="26" t="inlineStr">
        <is>
          <t>011702006014</t>
        </is>
      </c>
      <c r="C239" s="26" t="inlineStr">
        <is>
          <t>矩形梁</t>
        </is>
      </c>
      <c r="D239" s="26" t="inlineStr">
        <is>
          <t>1.单梁、连续梁模板(梁宽cm)25以内支模高度4.6m内</t>
        </is>
      </c>
      <c r="E239" s="26" t="inlineStr">
        <is>
          <t>m2</t>
        </is>
      </c>
      <c r="F239" s="100" t="n">
        <v>1379.94</v>
      </c>
      <c r="G239" s="100" t="n">
        <v>1057.1</v>
      </c>
      <c r="H239" s="100">
        <f>1006.77</f>
        <v/>
      </c>
      <c r="I239" s="100" t="n"/>
      <c r="J239" s="100">
        <f>G239-F239</f>
        <v/>
      </c>
      <c r="K239" s="100">
        <f>H239-F239</f>
        <v/>
      </c>
      <c r="L239" s="100">
        <f>H239-G239</f>
        <v/>
      </c>
      <c r="M239" s="37">
        <f>J239/F239</f>
        <v/>
      </c>
      <c r="N239" s="27" t="n">
        <v>77.06999999999999</v>
      </c>
      <c r="O239" s="27" t="n">
        <v>73.20999999999999</v>
      </c>
      <c r="P239" s="37">
        <f>(N239-O239)/O239</f>
        <v/>
      </c>
      <c r="Q239" s="100">
        <f>O239*0.9056*0.85</f>
        <v/>
      </c>
      <c r="R239" s="100">
        <f>O239*1.15</f>
        <v/>
      </c>
      <c r="S239" s="100">
        <f>IF(N239&lt;O239*0.9056*0.85,O239*0.9056*0.85,IF(N239&gt;O239*1.15,O239*1.15,N239))</f>
        <v/>
      </c>
      <c r="T239" s="100" t="n">
        <v>106351.71</v>
      </c>
      <c r="U239" s="100" t="n">
        <v>81471.08</v>
      </c>
      <c r="V239" s="100">
        <f>T239+S239*K239</f>
        <v/>
      </c>
      <c r="W239" s="100">
        <f>U239-T239</f>
        <v/>
      </c>
      <c r="X239" s="100">
        <f>V239-T239</f>
        <v/>
      </c>
      <c r="Y239" s="100">
        <f>V239-U239</f>
        <v/>
      </c>
      <c r="Z239" s="26" t="n"/>
    </row>
    <row r="240" ht="20" customHeight="1" s="1">
      <c r="A240" s="26" t="n">
        <v>220</v>
      </c>
      <c r="B240" s="26" t="inlineStr">
        <is>
          <t>011702006015</t>
        </is>
      </c>
      <c r="C240" s="26" t="inlineStr">
        <is>
          <t>矩形梁</t>
        </is>
      </c>
      <c r="D240" s="26" t="inlineStr">
        <is>
          <t>1.单梁、连续梁模板(梁宽cm)25以内支模高度5.6m内</t>
        </is>
      </c>
      <c r="E240" s="26" t="inlineStr">
        <is>
          <t>m2</t>
        </is>
      </c>
      <c r="F240" s="100" t="n">
        <v>69.63</v>
      </c>
      <c r="G240" s="100" t="n">
        <v>1113.39</v>
      </c>
      <c r="H240" s="100">
        <f>734.08+326.3</f>
        <v/>
      </c>
      <c r="I240" s="100" t="n"/>
      <c r="J240" s="100">
        <f>G240-F240</f>
        <v/>
      </c>
      <c r="K240" s="100">
        <f>H240-F240</f>
        <v/>
      </c>
      <c r="L240" s="100">
        <f>H240-G240</f>
        <v/>
      </c>
      <c r="M240" s="37">
        <f>J240/F240</f>
        <v/>
      </c>
      <c r="N240" s="27" t="n">
        <v>85.41</v>
      </c>
      <c r="O240" s="27" t="n">
        <v>80.59</v>
      </c>
      <c r="P240" s="37">
        <f>(N240-O240)/O240</f>
        <v/>
      </c>
      <c r="Q240" s="100">
        <f>O240*0.9056*0.85</f>
        <v/>
      </c>
      <c r="R240" s="100">
        <f>O240*1.15</f>
        <v/>
      </c>
      <c r="S240" s="100">
        <f>IF(N240&lt;O240*0.9056*0.85,O240*0.9056*0.85,IF(N240&gt;O240*1.15,O240*1.15,N240))</f>
        <v/>
      </c>
      <c r="T240" s="100" t="n">
        <v>5947.1</v>
      </c>
      <c r="U240" s="100" t="n">
        <v>95094.97</v>
      </c>
      <c r="V240" s="100">
        <f>T240+S240*K240</f>
        <v/>
      </c>
      <c r="W240" s="100">
        <f>U240-T240</f>
        <v/>
      </c>
      <c r="X240" s="100">
        <f>V240-T240</f>
        <v/>
      </c>
      <c r="Y240" s="100">
        <f>V240-U240</f>
        <v/>
      </c>
      <c r="Z240" s="26" t="n"/>
    </row>
    <row r="241" ht="20" customHeight="1" s="1">
      <c r="A241" s="26" t="n">
        <v>221</v>
      </c>
      <c r="B241" s="26" t="inlineStr">
        <is>
          <t>011702006016</t>
        </is>
      </c>
      <c r="C241" s="26" t="inlineStr">
        <is>
          <t>矩形梁</t>
        </is>
      </c>
      <c r="D241" s="26" t="inlineStr">
        <is>
          <t>1.单梁、连续梁模板(梁宽cm)25以内支模高度9.4m内</t>
        </is>
      </c>
      <c r="E241" s="26" t="inlineStr">
        <is>
          <t>m2</t>
        </is>
      </c>
      <c r="F241" s="100" t="n">
        <v>7.49</v>
      </c>
      <c r="G241" s="100" t="n">
        <v>293.37</v>
      </c>
      <c r="H241" s="100" t="n">
        <v>279.4</v>
      </c>
      <c r="I241" s="100" t="n"/>
      <c r="J241" s="100">
        <f>G241-F241</f>
        <v/>
      </c>
      <c r="K241" s="100">
        <f>H241-F241</f>
        <v/>
      </c>
      <c r="L241" s="100">
        <f>H241-G241</f>
        <v/>
      </c>
      <c r="M241" s="37">
        <f>J241/F241</f>
        <v/>
      </c>
      <c r="N241" s="27" t="n">
        <v>142.8</v>
      </c>
      <c r="O241" s="27" t="n">
        <v>126.98</v>
      </c>
      <c r="P241" s="37">
        <f>(N241-O241)/O241</f>
        <v/>
      </c>
      <c r="Q241" s="100">
        <f>O241*0.9056*0.85</f>
        <v/>
      </c>
      <c r="R241" s="100">
        <f>O241*1.15</f>
        <v/>
      </c>
      <c r="S241" s="100">
        <f>IF(N241&lt;O241*0.9056*0.85,O241*0.9056*0.85,IF(N241&gt;O241*1.15,O241*1.15,N241))</f>
        <v/>
      </c>
      <c r="T241" s="100" t="n">
        <v>1069.57</v>
      </c>
      <c r="U241" s="100" t="n">
        <v>41893.24</v>
      </c>
      <c r="V241" s="100">
        <f>T241+S241*K241</f>
        <v/>
      </c>
      <c r="W241" s="100">
        <f>U241-T241</f>
        <v/>
      </c>
      <c r="X241" s="100">
        <f>V241-T241</f>
        <v/>
      </c>
      <c r="Y241" s="100">
        <f>V241-U241</f>
        <v/>
      </c>
      <c r="Z241" s="26" t="n"/>
    </row>
    <row r="242" ht="20" customHeight="1" s="1">
      <c r="A242" s="26" t="n">
        <v>222</v>
      </c>
      <c r="B242" s="26" t="inlineStr">
        <is>
          <t>011702006017</t>
        </is>
      </c>
      <c r="C242" s="26" t="inlineStr">
        <is>
          <t>矩形梁</t>
        </is>
      </c>
      <c r="D242" s="26" t="inlineStr">
        <is>
          <t>1.单梁、连续梁模板(梁宽cm)25以内支模高度12.4m内</t>
        </is>
      </c>
      <c r="E242" s="26" t="inlineStr">
        <is>
          <t>m2</t>
        </is>
      </c>
      <c r="F242" s="100" t="n">
        <v>83.04000000000001</v>
      </c>
      <c r="G242" s="100" t="n">
        <v>100.34</v>
      </c>
      <c r="H242" s="100" t="n">
        <v>95.56</v>
      </c>
      <c r="I242" s="100" t="n"/>
      <c r="J242" s="100">
        <f>G242-F242</f>
        <v/>
      </c>
      <c r="K242" s="100">
        <f>H242-F242</f>
        <v/>
      </c>
      <c r="L242" s="100">
        <f>H242-G242</f>
        <v/>
      </c>
      <c r="M242" s="37">
        <f>J242/F242</f>
        <v/>
      </c>
      <c r="N242" s="27" t="n">
        <v>171.41</v>
      </c>
      <c r="O242" s="27" t="n">
        <v>150.05</v>
      </c>
      <c r="P242" s="37">
        <f>(N242-O242)/O242</f>
        <v/>
      </c>
      <c r="Q242" s="100">
        <f>O242*0.9056*0.85</f>
        <v/>
      </c>
      <c r="R242" s="100">
        <f>O242*1.15</f>
        <v/>
      </c>
      <c r="S242" s="100">
        <f>IF(N242&lt;O242*0.9056*0.85,O242*0.9056*0.85,IF(N242&gt;O242*1.15,O242*1.15,N242))</f>
        <v/>
      </c>
      <c r="T242" s="100" t="n">
        <v>14233.89</v>
      </c>
      <c r="U242" s="100" t="n">
        <v>17198.94</v>
      </c>
      <c r="V242" s="100">
        <f>T242+S242*K242</f>
        <v/>
      </c>
      <c r="W242" s="100">
        <f>U242-T242</f>
        <v/>
      </c>
      <c r="X242" s="100">
        <f>V242-T242</f>
        <v/>
      </c>
      <c r="Y242" s="100">
        <f>V242-U242</f>
        <v/>
      </c>
      <c r="Z242" s="26" t="n"/>
    </row>
    <row r="243" ht="20" customHeight="1" s="1">
      <c r="A243" s="26" t="n">
        <v>223</v>
      </c>
      <c r="B243" s="26" t="inlineStr">
        <is>
          <t>011702006018</t>
        </is>
      </c>
      <c r="C243" s="26" t="inlineStr">
        <is>
          <t>矩形梁</t>
        </is>
      </c>
      <c r="D243" s="26" t="inlineStr">
        <is>
          <t>1.单梁、连续梁模板(梁宽cm)25以外支模高度3.6m内</t>
        </is>
      </c>
      <c r="E243" s="26" t="inlineStr">
        <is>
          <t>m2</t>
        </is>
      </c>
      <c r="F243" s="100" t="n">
        <v>38.11</v>
      </c>
      <c r="G243" s="100" t="n">
        <v>0</v>
      </c>
      <c r="H243" s="100" t="n">
        <v>0</v>
      </c>
      <c r="I243" s="100" t="n"/>
      <c r="J243" s="100">
        <f>G243-F243</f>
        <v/>
      </c>
      <c r="K243" s="100">
        <f>H243-F243</f>
        <v/>
      </c>
      <c r="L243" s="100">
        <f>H243-G243</f>
        <v/>
      </c>
      <c r="M243" s="37">
        <f>J243/F243</f>
        <v/>
      </c>
      <c r="N243" s="27" t="n">
        <v>67.90000000000001</v>
      </c>
      <c r="O243" s="27" t="n">
        <v>72.20999999999999</v>
      </c>
      <c r="P243" s="37">
        <f>(N243-O243)/O243</f>
        <v/>
      </c>
      <c r="Q243" s="100">
        <f>O243*0.9056*0.85</f>
        <v/>
      </c>
      <c r="R243" s="100">
        <f>O243*1.15</f>
        <v/>
      </c>
      <c r="S243" s="100">
        <f>IF(N243&lt;O243*0.9056*0.85,O243*0.9056*0.85,IF(N243&gt;O243*1.15,O243*1.15,N243))</f>
        <v/>
      </c>
      <c r="T243" s="100" t="n">
        <v>2587.72</v>
      </c>
      <c r="U243" s="100" t="n">
        <v>0</v>
      </c>
      <c r="V243" s="100" t="n">
        <v>0</v>
      </c>
      <c r="W243" s="100">
        <f>U243-T243</f>
        <v/>
      </c>
      <c r="X243" s="100">
        <f>V243-T243</f>
        <v/>
      </c>
      <c r="Y243" s="100">
        <f>V243-U243</f>
        <v/>
      </c>
      <c r="Z243" s="26" t="n"/>
    </row>
    <row r="244" ht="20" customHeight="1" s="1">
      <c r="A244" s="26" t="n">
        <v>224</v>
      </c>
      <c r="B244" s="26" t="inlineStr">
        <is>
          <t>011702006019</t>
        </is>
      </c>
      <c r="C244" s="26" t="inlineStr">
        <is>
          <t>矩形梁</t>
        </is>
      </c>
      <c r="D244" s="26" t="inlineStr">
        <is>
          <t>1.单梁、连续梁模板(梁宽cm)25以外支模高度4.6m内</t>
        </is>
      </c>
      <c r="E244" s="26" t="inlineStr">
        <is>
          <t>m2</t>
        </is>
      </c>
      <c r="F244" s="100" t="n">
        <v>1354.79</v>
      </c>
      <c r="G244" s="100" t="n">
        <v>622.0700000000001</v>
      </c>
      <c r="H244" s="100">
        <f>592.45</f>
        <v/>
      </c>
      <c r="I244" s="100" t="n"/>
      <c r="J244" s="100">
        <f>G244-F244</f>
        <v/>
      </c>
      <c r="K244" s="100">
        <f>H244-F244</f>
        <v/>
      </c>
      <c r="L244" s="100">
        <f>H244-G244</f>
        <v/>
      </c>
      <c r="M244" s="37">
        <f>J244/F244</f>
        <v/>
      </c>
      <c r="N244" s="27" t="n">
        <v>75.31999999999999</v>
      </c>
      <c r="O244" s="27" t="n">
        <v>79.58</v>
      </c>
      <c r="P244" s="37">
        <f>(N244-O244)/O244</f>
        <v/>
      </c>
      <c r="Q244" s="100">
        <f>O244*0.9056*0.85</f>
        <v/>
      </c>
      <c r="R244" s="100">
        <f>O244*1.15</f>
        <v/>
      </c>
      <c r="S244" s="100">
        <f>IF(N244&lt;O244*0.9056*0.85,O244*0.9056*0.85,IF(N244&gt;O244*1.15,O244*1.15,N244))</f>
        <v/>
      </c>
      <c r="T244" s="100" t="n">
        <v>102042.97</v>
      </c>
      <c r="U244" s="100" t="n">
        <v>46854.37</v>
      </c>
      <c r="V244" s="100">
        <f>T244+S244*K244</f>
        <v/>
      </c>
      <c r="W244" s="100">
        <f>U244-T244</f>
        <v/>
      </c>
      <c r="X244" s="100">
        <f>V244-T244</f>
        <v/>
      </c>
      <c r="Y244" s="100">
        <f>V244-U244</f>
        <v/>
      </c>
      <c r="Z244" s="26" t="n"/>
    </row>
    <row r="245" ht="20" customHeight="1" s="1">
      <c r="A245" s="26" t="n">
        <v>225</v>
      </c>
      <c r="B245" s="26" t="inlineStr">
        <is>
          <t>011702006020</t>
        </is>
      </c>
      <c r="C245" s="26" t="inlineStr">
        <is>
          <t>矩形梁</t>
        </is>
      </c>
      <c r="D245" s="26" t="inlineStr">
        <is>
          <t>1.单梁、连续梁模板(梁宽cm)25以外支模高度5.6m内</t>
        </is>
      </c>
      <c r="E245" s="26" t="inlineStr">
        <is>
          <t>m2</t>
        </is>
      </c>
      <c r="F245" s="100" t="n">
        <v>218.76</v>
      </c>
      <c r="G245" s="100" t="n">
        <v>788.4</v>
      </c>
      <c r="H245" s="100">
        <f>750.85</f>
        <v/>
      </c>
      <c r="I245" s="100" t="n"/>
      <c r="J245" s="100">
        <f>G245-F245</f>
        <v/>
      </c>
      <c r="K245" s="100">
        <f>H245-F245</f>
        <v/>
      </c>
      <c r="L245" s="100">
        <f>H245-G245</f>
        <v/>
      </c>
      <c r="M245" s="37">
        <f>J245/F245</f>
        <v/>
      </c>
      <c r="N245" s="27" t="n">
        <v>82.73999999999999</v>
      </c>
      <c r="O245" s="27" t="n">
        <v>86.95999999999999</v>
      </c>
      <c r="P245" s="37">
        <f>(N245-O245)/O245</f>
        <v/>
      </c>
      <c r="Q245" s="100">
        <f>O245*0.9056*0.85</f>
        <v/>
      </c>
      <c r="R245" s="100">
        <f>O245*1.15</f>
        <v/>
      </c>
      <c r="S245" s="100">
        <f>IF(N245&lt;O245*0.9056*0.85,O245*0.9056*0.85,IF(N245&gt;O245*1.15,O245*1.15,N245))</f>
        <v/>
      </c>
      <c r="T245" s="100" t="n">
        <v>18099.87</v>
      </c>
      <c r="U245" s="100" t="n">
        <v>65231.93</v>
      </c>
      <c r="V245" s="100">
        <f>T245+S245*K245</f>
        <v/>
      </c>
      <c r="W245" s="100">
        <f>U245-T245</f>
        <v/>
      </c>
      <c r="X245" s="100">
        <f>V245-T245</f>
        <v/>
      </c>
      <c r="Y245" s="100">
        <f>V245-U245</f>
        <v/>
      </c>
      <c r="Z245" s="26" t="n"/>
    </row>
    <row r="246" ht="20" customHeight="1" s="1">
      <c r="A246" s="26" t="n">
        <v>226</v>
      </c>
      <c r="B246" s="26" t="inlineStr">
        <is>
          <t>011702006021</t>
        </is>
      </c>
      <c r="C246" s="26" t="inlineStr">
        <is>
          <t>矩形梁</t>
        </is>
      </c>
      <c r="D246" s="26" t="inlineStr">
        <is>
          <t>1.单梁、连续梁模板(梁宽cm)25以外支模高度9.4m内</t>
        </is>
      </c>
      <c r="E246" s="26" t="inlineStr">
        <is>
          <t>m2</t>
        </is>
      </c>
      <c r="F246" s="100" t="n">
        <v>122.08</v>
      </c>
      <c r="G246" s="100" t="n">
        <v>0</v>
      </c>
      <c r="H246" s="100" t="n">
        <v>0</v>
      </c>
      <c r="I246" s="100" t="n"/>
      <c r="J246" s="100">
        <f>G246-F246</f>
        <v/>
      </c>
      <c r="K246" s="100">
        <f>H246-F246</f>
        <v/>
      </c>
      <c r="L246" s="100">
        <f>H246-G246</f>
        <v/>
      </c>
      <c r="M246" s="37">
        <f>J246/F246</f>
        <v/>
      </c>
      <c r="N246" s="27" t="n">
        <v>155.36</v>
      </c>
      <c r="O246" s="27" t="n">
        <v>141.13</v>
      </c>
      <c r="P246" s="37">
        <f>(N246-O246)/O246</f>
        <v/>
      </c>
      <c r="Q246" s="100">
        <f>O246*0.9056*0.85</f>
        <v/>
      </c>
      <c r="R246" s="100">
        <f>O246*1.15</f>
        <v/>
      </c>
      <c r="S246" s="100">
        <f>IF(N246&lt;O246*0.9056*0.85,O246*0.9056*0.85,IF(N246&gt;O246*1.15,O246*1.15,N246))</f>
        <v/>
      </c>
      <c r="T246" s="100" t="n">
        <v>18966.35</v>
      </c>
      <c r="U246" s="100" t="n">
        <v>0</v>
      </c>
      <c r="V246" s="100">
        <f>T246+S246*K246</f>
        <v/>
      </c>
      <c r="W246" s="100">
        <f>U246-T246</f>
        <v/>
      </c>
      <c r="X246" s="100">
        <f>V246-T246</f>
        <v/>
      </c>
      <c r="Y246" s="100">
        <f>V246-U246</f>
        <v/>
      </c>
      <c r="Z246" s="26" t="n"/>
    </row>
    <row r="247" ht="20" customHeight="1" s="1">
      <c r="A247" s="26" t="n">
        <v>227</v>
      </c>
      <c r="B247" s="26" t="inlineStr">
        <is>
          <t>011702006022</t>
        </is>
      </c>
      <c r="C247" s="26" t="inlineStr">
        <is>
          <t>矩形梁</t>
        </is>
      </c>
      <c r="D247" s="26" t="inlineStr">
        <is>
          <t>1.单梁、连续梁模板(梁宽cm)25以外支模高度10.4m内</t>
        </is>
      </c>
      <c r="E247" s="26" t="inlineStr">
        <is>
          <t>m2</t>
        </is>
      </c>
      <c r="F247" s="100" t="n">
        <v>94.98</v>
      </c>
      <c r="G247" s="100" t="n">
        <v>0</v>
      </c>
      <c r="H247" s="100" t="n">
        <v>0</v>
      </c>
      <c r="I247" s="100" t="n"/>
      <c r="J247" s="100">
        <f>G247-F247</f>
        <v/>
      </c>
      <c r="K247" s="100">
        <f>H247-F247</f>
        <v/>
      </c>
      <c r="L247" s="100">
        <f>H247-G247</f>
        <v/>
      </c>
      <c r="M247" s="37">
        <f>J247/F247</f>
        <v/>
      </c>
      <c r="N247" s="27" t="n">
        <v>164.9</v>
      </c>
      <c r="O247" s="27" t="n">
        <v>148.82</v>
      </c>
      <c r="P247" s="37">
        <f>(N247-O247)/O247</f>
        <v/>
      </c>
      <c r="Q247" s="100">
        <f>O247*0.9056*0.85</f>
        <v/>
      </c>
      <c r="R247" s="100">
        <f>O247*1.15</f>
        <v/>
      </c>
      <c r="S247" s="100">
        <f>IF(N247&lt;O247*0.9056*0.85,O247*0.9056*0.85,IF(N247&gt;O247*1.15,O247*1.15,N247))</f>
        <v/>
      </c>
      <c r="T247" s="100" t="n">
        <v>15662.2</v>
      </c>
      <c r="U247" s="100" t="n">
        <v>0</v>
      </c>
      <c r="V247" s="100">
        <f>T247+S247*K247</f>
        <v/>
      </c>
      <c r="W247" s="100">
        <f>U247-T247</f>
        <v/>
      </c>
      <c r="X247" s="100">
        <f>V247-T247</f>
        <v/>
      </c>
      <c r="Y247" s="100">
        <f>V247-U247</f>
        <v/>
      </c>
      <c r="Z247" s="26" t="n"/>
    </row>
    <row r="248" ht="20" customHeight="1" s="1">
      <c r="A248" s="26" t="n">
        <v>228</v>
      </c>
      <c r="B248" s="26" t="inlineStr">
        <is>
          <t>011702006023</t>
        </is>
      </c>
      <c r="C248" s="26" t="inlineStr">
        <is>
          <t>矩形梁</t>
        </is>
      </c>
      <c r="D248" s="26" t="inlineStr">
        <is>
          <t>1.单梁、连续梁模板(梁宽cm)25以外支模高度11.4m内</t>
        </is>
      </c>
      <c r="E248" s="26" t="inlineStr">
        <is>
          <t>m2</t>
        </is>
      </c>
      <c r="F248" s="100" t="n">
        <v>99.22</v>
      </c>
      <c r="G248" s="100" t="n">
        <v>0</v>
      </c>
      <c r="H248" s="100" t="n">
        <v>0</v>
      </c>
      <c r="I248" s="100" t="n"/>
      <c r="J248" s="100">
        <f>G248-F248</f>
        <v/>
      </c>
      <c r="K248" s="100">
        <f>H248-F248</f>
        <v/>
      </c>
      <c r="L248" s="100">
        <f>H248-G248</f>
        <v/>
      </c>
      <c r="M248" s="37">
        <f>J248/F248</f>
        <v/>
      </c>
      <c r="N248" s="27" t="n">
        <v>174.44</v>
      </c>
      <c r="O248" s="27" t="n">
        <v>156.51</v>
      </c>
      <c r="P248" s="37">
        <f>(N248-O248)/O248</f>
        <v/>
      </c>
      <c r="Q248" s="100">
        <f>O248*0.9056*0.85</f>
        <v/>
      </c>
      <c r="R248" s="100">
        <f>O248*1.15</f>
        <v/>
      </c>
      <c r="S248" s="100">
        <f>IF(N248&lt;O248*0.9056*0.85,O248*0.9056*0.85,IF(N248&gt;O248*1.15,O248*1.15,N248))</f>
        <v/>
      </c>
      <c r="T248" s="100" t="n">
        <v>17307.94</v>
      </c>
      <c r="U248" s="100" t="n">
        <v>0</v>
      </c>
      <c r="V248" s="100">
        <f>T248+S248*K248</f>
        <v/>
      </c>
      <c r="W248" s="100">
        <f>U248-T248</f>
        <v/>
      </c>
      <c r="X248" s="100">
        <f>V248-T248</f>
        <v/>
      </c>
      <c r="Y248" s="100">
        <f>V248-U248</f>
        <v/>
      </c>
      <c r="Z248" s="26" t="n"/>
    </row>
    <row r="249" ht="20" customHeight="1" s="1">
      <c r="A249" s="26" t="n">
        <v>229</v>
      </c>
      <c r="B249" s="26" t="inlineStr">
        <is>
          <t>011702030001</t>
        </is>
      </c>
      <c r="C249" s="26" t="inlineStr">
        <is>
          <t>后浇带（梁）</t>
        </is>
      </c>
      <c r="D249" s="26" t="inlineStr">
        <is>
          <t>1.单梁、连续梁模板支模高度3.6m以内
2.在洞内、地下室内、库内或暗室内进行施工（模板拆除）</t>
        </is>
      </c>
      <c r="E249" s="26" t="inlineStr">
        <is>
          <t>m2</t>
        </is>
      </c>
      <c r="F249" s="100" t="n">
        <v>0.64</v>
      </c>
      <c r="G249" s="100" t="n">
        <v>37.77</v>
      </c>
      <c r="H249" s="100">
        <f>0.29+34.04</f>
        <v/>
      </c>
      <c r="I249" s="100" t="n"/>
      <c r="J249" s="100">
        <f>G249-F249</f>
        <v/>
      </c>
      <c r="K249" s="100">
        <f>H249-F249</f>
        <v/>
      </c>
      <c r="L249" s="100">
        <f>H249-G249</f>
        <v/>
      </c>
      <c r="M249" s="37">
        <f>J249/F249</f>
        <v/>
      </c>
      <c r="N249" s="27" t="n">
        <v>61.79</v>
      </c>
      <c r="O249" s="27" t="n">
        <v>72.20999999999999</v>
      </c>
      <c r="P249" s="37">
        <f>(N249-O249)/O249</f>
        <v/>
      </c>
      <c r="Q249" s="100">
        <f>O249*0.9056*0.85</f>
        <v/>
      </c>
      <c r="R249" s="100">
        <f>O249*1.15</f>
        <v/>
      </c>
      <c r="S249" s="100">
        <f>IF(N249&lt;O249*0.9056*0.85,O249*0.9056*0.85,IF(N249&gt;O249*1.15,O249*1.15,N249))</f>
        <v/>
      </c>
      <c r="T249" s="100" t="n">
        <v>39.55</v>
      </c>
      <c r="U249" s="100" t="n">
        <v>2333.74</v>
      </c>
      <c r="V249" s="100">
        <f>T249+S249*K249</f>
        <v/>
      </c>
      <c r="W249" s="100">
        <f>U249-T249</f>
        <v/>
      </c>
      <c r="X249" s="100">
        <f>V249-T249</f>
        <v/>
      </c>
      <c r="Y249" s="100">
        <f>V249-U249</f>
        <v/>
      </c>
      <c r="Z249" s="26" t="n"/>
    </row>
    <row r="250" ht="20" customHeight="1" s="1">
      <c r="A250" s="26" t="n">
        <v>230</v>
      </c>
      <c r="B250" s="26" t="inlineStr">
        <is>
          <t>011702030002</t>
        </is>
      </c>
      <c r="C250" s="26" t="inlineStr">
        <is>
          <t>后浇带（板）</t>
        </is>
      </c>
      <c r="D250" s="26" t="inlineStr">
        <is>
          <t>1.有梁板模板支模高度3.6m以内
2.在洞内、地下室内、库内或暗室内进行施工（模板拆除）</t>
        </is>
      </c>
      <c r="E250" s="26" t="inlineStr">
        <is>
          <t>m2</t>
        </is>
      </c>
      <c r="F250" s="100" t="n">
        <v>49.6</v>
      </c>
      <c r="G250" s="100" t="n">
        <v>100.4</v>
      </c>
      <c r="H250" s="100">
        <f>46.02</f>
        <v/>
      </c>
      <c r="I250" s="100" t="n"/>
      <c r="J250" s="100">
        <f>G250-F250</f>
        <v/>
      </c>
      <c r="K250" s="100">
        <f>H250-F250</f>
        <v/>
      </c>
      <c r="L250" s="100">
        <f>H250-G250</f>
        <v/>
      </c>
      <c r="M250" s="37">
        <f>J250/F250</f>
        <v/>
      </c>
      <c r="N250" s="27" t="n">
        <v>59.25</v>
      </c>
      <c r="O250" s="27" t="n">
        <v>63.21</v>
      </c>
      <c r="P250" s="37">
        <f>(N250-O250)/O250</f>
        <v/>
      </c>
      <c r="Q250" s="100">
        <f>O250*0.9056*0.85</f>
        <v/>
      </c>
      <c r="R250" s="100">
        <f>O250*1.15</f>
        <v/>
      </c>
      <c r="S250" s="100">
        <f>IF(N250&lt;O250*0.9056*0.85,O250*0.9056*0.85,IF(N250&gt;O250*1.15,O250*1.15,N250))</f>
        <v/>
      </c>
      <c r="T250" s="100" t="n">
        <v>2938.8</v>
      </c>
      <c r="U250" s="100" t="n">
        <v>5948.57</v>
      </c>
      <c r="V250" s="100">
        <f>T250+S250*K250</f>
        <v/>
      </c>
      <c r="W250" s="100">
        <f>U250-T250</f>
        <v/>
      </c>
      <c r="X250" s="100">
        <f>V250-T250</f>
        <v/>
      </c>
      <c r="Y250" s="100">
        <f>V250-U250</f>
        <v/>
      </c>
      <c r="Z250" s="26" t="n"/>
    </row>
    <row r="251" ht="20" customHeight="1" s="1">
      <c r="A251" s="26" t="n">
        <v>231</v>
      </c>
      <c r="B251" s="26" t="inlineStr">
        <is>
          <t>011702030003</t>
        </is>
      </c>
      <c r="C251" s="26" t="inlineStr">
        <is>
          <t>后浇带(墙)</t>
        </is>
      </c>
      <c r="D251" s="26" t="inlineStr">
        <is>
          <t>1.直形墙模板墙厚(cm以内)40支模高度3.6m以内
2.在洞内、地下室内、库内或暗室内进行施工（模板拆除）</t>
        </is>
      </c>
      <c r="E251" s="26" t="inlineStr">
        <is>
          <t>m2</t>
        </is>
      </c>
      <c r="F251" s="100" t="n">
        <v>29.62</v>
      </c>
      <c r="G251" s="100" t="n">
        <v>29.4</v>
      </c>
      <c r="H251" s="100" t="n">
        <v>0</v>
      </c>
      <c r="I251" s="100" t="n"/>
      <c r="J251" s="100">
        <f>G251-F251</f>
        <v/>
      </c>
      <c r="K251" s="100">
        <f>H251-F251</f>
        <v/>
      </c>
      <c r="L251" s="100">
        <f>H251-G251</f>
        <v/>
      </c>
      <c r="M251" s="37">
        <f>J251/F251</f>
        <v/>
      </c>
      <c r="N251" s="27" t="n">
        <v>43.27</v>
      </c>
      <c r="O251" s="27" t="n">
        <v>45.5</v>
      </c>
      <c r="P251" s="37">
        <f>(N251-O251)/O251</f>
        <v/>
      </c>
      <c r="Q251" s="100">
        <f>O251*0.9056*0.85</f>
        <v/>
      </c>
      <c r="R251" s="100">
        <f>O251*1.15</f>
        <v/>
      </c>
      <c r="S251" s="100">
        <f>IF(N251&lt;O251*0.9056*0.85,O251*0.9056*0.85,IF(N251&gt;O251*1.15,O251*1.15,N251))</f>
        <v/>
      </c>
      <c r="T251" s="100" t="n">
        <v>1281.48</v>
      </c>
      <c r="U251" s="100" t="n">
        <v>1272.14</v>
      </c>
      <c r="V251" s="100">
        <f>T251+S251*K251</f>
        <v/>
      </c>
      <c r="W251" s="100">
        <f>U251-T251</f>
        <v/>
      </c>
      <c r="X251" s="100">
        <f>V251-T251</f>
        <v/>
      </c>
      <c r="Y251" s="100">
        <f>V251-U251</f>
        <v/>
      </c>
      <c r="Z251" s="26" t="n"/>
    </row>
    <row r="252" ht="20" customHeight="1" s="1">
      <c r="A252" s="26" t="n">
        <v>232</v>
      </c>
      <c r="B252" s="26" t="inlineStr">
        <is>
          <t>011702023001</t>
        </is>
      </c>
      <c r="C252" s="26" t="inlineStr">
        <is>
          <t>雨篷、悬挑板、阳台板</t>
        </is>
      </c>
      <c r="D252" s="26" t="inlineStr">
        <is>
          <t>1.雨篷、悬挑板、阳台板</t>
        </is>
      </c>
      <c r="E252" s="26" t="inlineStr">
        <is>
          <t>m2</t>
        </is>
      </c>
      <c r="F252" s="100" t="n">
        <v>33.74</v>
      </c>
      <c r="G252" s="100" t="n">
        <v>125.57</v>
      </c>
      <c r="H252" s="100">
        <f>49.57+69.98</f>
        <v/>
      </c>
      <c r="I252" s="100" t="n"/>
      <c r="J252" s="100">
        <f>G252-F252</f>
        <v/>
      </c>
      <c r="K252" s="100">
        <f>H252-F252</f>
        <v/>
      </c>
      <c r="L252" s="100">
        <f>H252-G252</f>
        <v/>
      </c>
      <c r="M252" s="37">
        <f>J252/F252</f>
        <v/>
      </c>
      <c r="N252" s="27" t="n">
        <v>69.34999999999999</v>
      </c>
      <c r="O252" s="27" t="n">
        <v>74.27</v>
      </c>
      <c r="P252" s="37">
        <f>(N252-O252)/O252</f>
        <v/>
      </c>
      <c r="Q252" s="100">
        <f>O252*0.9056*0.85</f>
        <v/>
      </c>
      <c r="R252" s="100">
        <f>O252*1.15</f>
        <v/>
      </c>
      <c r="S252" s="100">
        <f>IF(N252&lt;O252*0.9056*0.85,O252*0.9056*0.85,IF(N252&gt;O252*1.15,O252*1.15,N252))</f>
        <v/>
      </c>
      <c r="T252" s="100" t="n">
        <v>2339.87</v>
      </c>
      <c r="U252" s="100" t="n">
        <v>8708.139999999999</v>
      </c>
      <c r="V252" s="100">
        <f>T252+S252*K252</f>
        <v/>
      </c>
      <c r="W252" s="100">
        <f>U252-T252</f>
        <v/>
      </c>
      <c r="X252" s="100">
        <f>V252-T252</f>
        <v/>
      </c>
      <c r="Y252" s="100">
        <f>V252-U252</f>
        <v/>
      </c>
      <c r="Z252" s="26" t="n"/>
    </row>
    <row r="253" ht="20" customHeight="1" s="1">
      <c r="A253" s="26" t="n">
        <v>233</v>
      </c>
      <c r="B253" s="26" t="inlineStr">
        <is>
          <t>011702021001</t>
        </is>
      </c>
      <c r="C253" s="26" t="inlineStr">
        <is>
          <t>栏板、反檐</t>
        </is>
      </c>
      <c r="D253" s="26" t="inlineStr">
        <is>
          <t>1.栏板、反檐模板</t>
        </is>
      </c>
      <c r="E253" s="26" t="inlineStr">
        <is>
          <t>m2</t>
        </is>
      </c>
      <c r="F253" s="100" t="n">
        <v>15.96</v>
      </c>
      <c r="G253" s="100" t="n">
        <v>933.23</v>
      </c>
      <c r="H253" s="100">
        <f>889.27+7.52</f>
        <v/>
      </c>
      <c r="I253" s="100" t="n"/>
      <c r="J253" s="100">
        <f>G253-F253</f>
        <v/>
      </c>
      <c r="K253" s="100">
        <f>H253-F253</f>
        <v/>
      </c>
      <c r="L253" s="100">
        <f>H253-G253</f>
        <v/>
      </c>
      <c r="M253" s="37">
        <f>J253/F253</f>
        <v/>
      </c>
      <c r="N253" s="27" t="n">
        <v>64.39</v>
      </c>
      <c r="O253" s="27" t="n">
        <v>69.66</v>
      </c>
      <c r="P253" s="37">
        <f>(N253-O253)/O253</f>
        <v/>
      </c>
      <c r="Q253" s="100">
        <f>O253*0.9056*0.85</f>
        <v/>
      </c>
      <c r="R253" s="100">
        <f>O253*1.15</f>
        <v/>
      </c>
      <c r="S253" s="100">
        <f>IF(N253&lt;O253*0.9056*0.85,O253*0.9056*0.85,IF(N253&gt;O253*1.15,O253*1.15,N253))</f>
        <v/>
      </c>
      <c r="T253" s="100" t="n">
        <v>1027.66</v>
      </c>
      <c r="U253" s="100" t="n">
        <v>60090.92</v>
      </c>
      <c r="V253" s="100">
        <f>T253+S253*K253</f>
        <v/>
      </c>
      <c r="W253" s="100">
        <f>U253-T253</f>
        <v/>
      </c>
      <c r="X253" s="100">
        <f>V253-T253</f>
        <v/>
      </c>
      <c r="Y253" s="100">
        <f>V253-U253</f>
        <v/>
      </c>
      <c r="Z253" s="26" t="n"/>
    </row>
    <row r="254" ht="20" customHeight="1" s="1">
      <c r="A254" s="26" t="n">
        <v>234</v>
      </c>
      <c r="B254" s="26" t="inlineStr">
        <is>
          <t>011702022001</t>
        </is>
      </c>
      <c r="C254" s="26" t="inlineStr">
        <is>
          <t>天沟、檐沟</t>
        </is>
      </c>
      <c r="D254" s="26" t="inlineStr">
        <is>
          <t>1.外墙造型、挑檐</t>
        </is>
      </c>
      <c r="E254" s="26" t="inlineStr">
        <is>
          <t>m2</t>
        </is>
      </c>
      <c r="F254" s="100" t="n">
        <v>1274.33</v>
      </c>
      <c r="G254" s="100" t="n">
        <v>736.6</v>
      </c>
      <c r="H254" s="100">
        <f>701.95</f>
        <v/>
      </c>
      <c r="I254" s="100" t="n"/>
      <c r="J254" s="100">
        <f>G254-F254</f>
        <v/>
      </c>
      <c r="K254" s="100">
        <f>H254-F254</f>
        <v/>
      </c>
      <c r="L254" s="100">
        <f>H254-G254</f>
        <v/>
      </c>
      <c r="M254" s="37">
        <f>J254/F254</f>
        <v/>
      </c>
      <c r="N254" s="27" t="n">
        <v>62.33</v>
      </c>
      <c r="O254" s="27" t="n">
        <v>66.94</v>
      </c>
      <c r="P254" s="37">
        <f>(N254-O254)/O254</f>
        <v/>
      </c>
      <c r="Q254" s="100">
        <f>O254*0.9056*0.85</f>
        <v/>
      </c>
      <c r="R254" s="100">
        <f>O254*1.15</f>
        <v/>
      </c>
      <c r="S254" s="100">
        <f>IF(N254&lt;O254*0.9056*0.85,O254*0.9056*0.85,IF(N254&gt;O254*1.15,O254*1.15,N254))</f>
        <v/>
      </c>
      <c r="T254" s="100" t="n">
        <v>79429.11</v>
      </c>
      <c r="U254" s="100" t="n">
        <v>45912.24</v>
      </c>
      <c r="V254" s="100">
        <f>T254+S254*K254</f>
        <v/>
      </c>
      <c r="W254" s="100">
        <f>U254-T254</f>
        <v/>
      </c>
      <c r="X254" s="100">
        <f>V254-T254</f>
        <v/>
      </c>
      <c r="Y254" s="100">
        <f>V254-U254</f>
        <v/>
      </c>
      <c r="Z254" s="26" t="n"/>
    </row>
    <row r="255" ht="20" customHeight="1" s="1">
      <c r="A255" s="26" t="n">
        <v>235</v>
      </c>
      <c r="B255" s="26" t="inlineStr">
        <is>
          <t>011702008001</t>
        </is>
      </c>
      <c r="C255" s="26" t="inlineStr">
        <is>
          <t>圈梁、压顶、过梁</t>
        </is>
      </c>
      <c r="D255" s="26" t="inlineStr">
        <is>
          <t>1.圈梁、压顶、过梁模板支模高度3.6m内</t>
        </is>
      </c>
      <c r="E255" s="26" t="inlineStr">
        <is>
          <t>m2</t>
        </is>
      </c>
      <c r="F255" s="100" t="n">
        <v>208.37</v>
      </c>
      <c r="G255" s="100" t="n">
        <v>448.94</v>
      </c>
      <c r="H255" s="100">
        <f>173.62+36.08+162.51+26.92+13.23+25.53</f>
        <v/>
      </c>
      <c r="I255" s="100" t="n"/>
      <c r="J255" s="100">
        <f>G255-F255</f>
        <v/>
      </c>
      <c r="K255" s="100">
        <f>H255-F255</f>
        <v/>
      </c>
      <c r="L255" s="100">
        <f>H255-G255</f>
        <v/>
      </c>
      <c r="M255" s="37">
        <f>J255/F255</f>
        <v/>
      </c>
      <c r="N255" s="27" t="n">
        <v>48.71</v>
      </c>
      <c r="O255" s="27" t="n">
        <v>69.5</v>
      </c>
      <c r="P255" s="37">
        <f>(N255-O255)/O255</f>
        <v/>
      </c>
      <c r="Q255" s="100">
        <f>O255*0.9056*0.85</f>
        <v/>
      </c>
      <c r="R255" s="100">
        <f>O255*1.15</f>
        <v/>
      </c>
      <c r="S255" s="100">
        <f>IF(N255&lt;O255*0.9056*0.85,O255*0.9056*0.85,IF(N255&gt;O255*1.15,O255*1.15,N255))</f>
        <v/>
      </c>
      <c r="T255" s="100" t="n">
        <v>10149.8</v>
      </c>
      <c r="U255" s="100" t="n">
        <v>23019.9</v>
      </c>
      <c r="V255" s="100">
        <f>T255+S255*K255</f>
        <v/>
      </c>
      <c r="W255" s="100">
        <f>U255-T255</f>
        <v/>
      </c>
      <c r="X255" s="100">
        <f>V255-T255</f>
        <v/>
      </c>
      <c r="Y255" s="100">
        <f>V255-U255</f>
        <v/>
      </c>
      <c r="Z255" s="26" t="n"/>
      <c r="AA255" s="42" t="n"/>
    </row>
    <row r="256" ht="20" customHeight="1" s="1">
      <c r="A256" s="26" t="n">
        <v>236</v>
      </c>
      <c r="B256" s="26" t="inlineStr">
        <is>
          <t>011702024002</t>
        </is>
      </c>
      <c r="C256" s="26" t="inlineStr">
        <is>
          <t>楼梯</t>
        </is>
      </c>
      <c r="D256" s="26" t="inlineStr">
        <is>
          <t>1.楼梯模板直形</t>
        </is>
      </c>
      <c r="E256" s="26" t="inlineStr">
        <is>
          <t>m2</t>
        </is>
      </c>
      <c r="F256" s="100" t="n">
        <v>376.43</v>
      </c>
      <c r="G256" s="100" t="n">
        <v>502.95</v>
      </c>
      <c r="H256" s="100">
        <f>487.65</f>
        <v/>
      </c>
      <c r="I256" s="100" t="n"/>
      <c r="J256" s="100">
        <f>G256-F256</f>
        <v/>
      </c>
      <c r="K256" s="100">
        <f>H256-F256</f>
        <v/>
      </c>
      <c r="L256" s="100">
        <f>H256-G256</f>
        <v/>
      </c>
      <c r="M256" s="37">
        <f>J256/F256</f>
        <v/>
      </c>
      <c r="N256" s="27" t="n">
        <v>174.23</v>
      </c>
      <c r="O256" s="27" t="n">
        <v>190.32</v>
      </c>
      <c r="P256" s="37">
        <f>(N256-O256)/O256</f>
        <v/>
      </c>
      <c r="Q256" s="100">
        <f>O256*0.9056*0.85</f>
        <v/>
      </c>
      <c r="R256" s="100">
        <f>O256*1.15</f>
        <v/>
      </c>
      <c r="S256" s="100">
        <f>IF(N256&lt;O256*0.9056*0.85,O256*0.9056*0.85,IF(N256&gt;O256*1.15,O256*1.15,N256))</f>
        <v/>
      </c>
      <c r="T256" s="100" t="n">
        <v>65585.39999999999</v>
      </c>
      <c r="U256" s="100" t="n">
        <v>87629.66</v>
      </c>
      <c r="V256" s="100">
        <f>T256+S256*K256</f>
        <v/>
      </c>
      <c r="W256" s="100">
        <f>U256-T256</f>
        <v/>
      </c>
      <c r="X256" s="100">
        <f>V256-T256</f>
        <v/>
      </c>
      <c r="Y256" s="100">
        <f>V256-U256</f>
        <v/>
      </c>
      <c r="Z256" s="26" t="n"/>
    </row>
    <row r="257" ht="20" customFormat="1" customHeight="1" s="7">
      <c r="A257" s="26" t="n">
        <v>237</v>
      </c>
      <c r="B257" s="26" t="inlineStr">
        <is>
          <t>011703001001</t>
        </is>
      </c>
      <c r="C257" s="26" t="inlineStr">
        <is>
          <t>垂直运输</t>
        </is>
      </c>
      <c r="D257" s="26" t="inlineStr">
        <is>
          <t>1.建筑物30m以内的垂直运输现浇框架结构</t>
        </is>
      </c>
      <c r="E257" s="26" t="inlineStr">
        <is>
          <t>m2</t>
        </is>
      </c>
      <c r="F257" s="100" t="n">
        <v>4489.67</v>
      </c>
      <c r="G257" s="100" t="n">
        <v>5122.46</v>
      </c>
      <c r="H257" s="100">
        <f>4994.97</f>
        <v/>
      </c>
      <c r="I257" s="100" t="n"/>
      <c r="J257" s="100">
        <f>G257-F257</f>
        <v/>
      </c>
      <c r="K257" s="100">
        <f>H257-F257</f>
        <v/>
      </c>
      <c r="L257" s="100">
        <f>H257-G257</f>
        <v/>
      </c>
      <c r="M257" s="37">
        <f>J257/F257</f>
        <v/>
      </c>
      <c r="N257" s="27" t="n">
        <v>35.03</v>
      </c>
      <c r="O257" s="27" t="n">
        <v>37.72</v>
      </c>
      <c r="P257" s="37">
        <f>(N257-O257)/O257</f>
        <v/>
      </c>
      <c r="Q257" s="100">
        <f>O257*0.9056*0.85</f>
        <v/>
      </c>
      <c r="R257" s="100">
        <f>O257*1.15</f>
        <v/>
      </c>
      <c r="S257" s="100">
        <f>IF(N257&lt;O257*0.9056*0.85,O257*0.9056*0.85,IF(N257&gt;O257*1.15,O257*1.15,N257))</f>
        <v/>
      </c>
      <c r="T257" s="100" t="n">
        <v>157273</v>
      </c>
      <c r="U257" s="100" t="n">
        <v>179439.77</v>
      </c>
      <c r="V257" s="100">
        <f>T257+S257*K257</f>
        <v/>
      </c>
      <c r="W257" s="100">
        <f>U257-T257</f>
        <v/>
      </c>
      <c r="X257" s="100">
        <f>V257-T257</f>
        <v/>
      </c>
      <c r="Y257" s="100">
        <f>V257-U257</f>
        <v/>
      </c>
      <c r="Z257" s="26" t="n"/>
      <c r="AA257" s="42" t="inlineStr">
        <is>
          <t>按工规证</t>
        </is>
      </c>
    </row>
    <row r="258" ht="20" customHeight="1" s="1">
      <c r="A258" s="26" t="n">
        <v>238</v>
      </c>
      <c r="B258" s="26" t="inlineStr">
        <is>
          <t>011704001001</t>
        </is>
      </c>
      <c r="C258" s="26" t="inlineStr">
        <is>
          <t>超高施工增加</t>
        </is>
      </c>
      <c r="D258" s="26" t="inlineStr">
        <is>
          <t>1.建筑物超高增加人工、机械降效率高度30m以内</t>
        </is>
      </c>
      <c r="E258" s="26" t="inlineStr">
        <is>
          <t>项</t>
        </is>
      </c>
      <c r="F258" s="100" t="n">
        <v>1</v>
      </c>
      <c r="G258" s="100" t="n">
        <v>1</v>
      </c>
      <c r="H258" s="101" t="n">
        <v>1</v>
      </c>
      <c r="I258" s="101" t="n"/>
      <c r="J258" s="100">
        <f>G258-F258</f>
        <v/>
      </c>
      <c r="K258" s="100">
        <f>H258-F258</f>
        <v/>
      </c>
      <c r="L258" s="100">
        <f>H258-G258</f>
        <v/>
      </c>
      <c r="M258" s="37">
        <f>J258/F258</f>
        <v/>
      </c>
      <c r="N258" s="27" t="n">
        <v>40711.69</v>
      </c>
      <c r="O258" s="27" t="n">
        <v>57645.41</v>
      </c>
      <c r="P258" s="37">
        <f>(N258-O258)/O258</f>
        <v/>
      </c>
      <c r="Q258" s="100">
        <f>O258*0.9056*0.85</f>
        <v/>
      </c>
      <c r="R258" s="100">
        <f>O258*1.15</f>
        <v/>
      </c>
      <c r="S258" s="100">
        <f>IF(N258&lt;O258*0.9056*0.85,O258*0.9056*0.85,IF(N258&gt;O258*1.15,O258*1.15,N258))</f>
        <v/>
      </c>
      <c r="T258" s="100" t="n">
        <v>40711.69</v>
      </c>
      <c r="U258" s="100" t="n">
        <v>40711.69</v>
      </c>
      <c r="V258" s="100">
        <f>T258+S258*K258</f>
        <v/>
      </c>
      <c r="W258" s="100">
        <f>U258-T258</f>
        <v/>
      </c>
      <c r="X258" s="100">
        <f>V258-T258</f>
        <v/>
      </c>
      <c r="Y258" s="100">
        <f>V258-U258</f>
        <v/>
      </c>
      <c r="Z258" s="26" t="n"/>
    </row>
    <row r="259" ht="20" customHeight="1" s="1">
      <c r="A259" s="26" t="inlineStr">
        <is>
          <t>三</t>
        </is>
      </c>
      <c r="B259" s="26" t="n"/>
      <c r="C259" s="26" t="inlineStr">
        <is>
          <t>不含税造价</t>
        </is>
      </c>
      <c r="D259" s="5" t="n"/>
      <c r="E259" s="26" t="n"/>
      <c r="F259" s="27" t="n"/>
      <c r="G259" s="27" t="n"/>
      <c r="H259" s="100" t="n"/>
      <c r="I259" s="100" t="n"/>
      <c r="J259" s="27" t="n"/>
      <c r="K259" s="100" t="n"/>
      <c r="L259" s="100" t="n"/>
      <c r="M259" s="37" t="n"/>
      <c r="N259" s="27" t="n"/>
      <c r="O259" s="27" t="n"/>
      <c r="P259" s="37" t="n"/>
      <c r="Q259" s="100" t="n"/>
      <c r="R259" s="100" t="n"/>
      <c r="S259" s="100" t="n"/>
      <c r="T259" s="100" t="n">
        <v>16947572.28</v>
      </c>
      <c r="U259" s="100" t="n">
        <v>18369152.96</v>
      </c>
      <c r="V259" s="100">
        <f>V188+V189</f>
        <v/>
      </c>
      <c r="W259" s="100">
        <f>+U259-T259</f>
        <v/>
      </c>
      <c r="X259" s="100">
        <f>V259-T259</f>
        <v/>
      </c>
      <c r="Y259" s="100">
        <f>V259-U259</f>
        <v/>
      </c>
      <c r="Z259" s="103" t="n"/>
      <c r="AA259" s="58" t="n"/>
      <c r="AB259" s="7" t="n"/>
    </row>
    <row r="260" ht="20" customHeight="1" s="1">
      <c r="A260" s="26" t="inlineStr">
        <is>
          <t>四</t>
        </is>
      </c>
      <c r="B260" s="26" t="n"/>
      <c r="C260" s="26" t="inlineStr">
        <is>
          <t>税金（9%）</t>
        </is>
      </c>
      <c r="D260" s="5" t="n"/>
      <c r="E260" s="26" t="n"/>
      <c r="F260" s="27" t="n"/>
      <c r="G260" s="27" t="n"/>
      <c r="H260" s="100" t="n"/>
      <c r="I260" s="100" t="n"/>
      <c r="J260" s="27" t="n"/>
      <c r="K260" s="100" t="n"/>
      <c r="L260" s="100" t="n"/>
      <c r="M260" s="37" t="n"/>
      <c r="N260" s="27" t="n"/>
      <c r="O260" s="27" t="n"/>
      <c r="P260" s="37" t="n"/>
      <c r="Q260" s="100" t="n"/>
      <c r="R260" s="100" t="n"/>
      <c r="S260" s="100" t="n"/>
      <c r="T260" s="100" t="n">
        <v>1525281.51</v>
      </c>
      <c r="U260" s="100" t="n">
        <v>1653223.77</v>
      </c>
      <c r="V260" s="100">
        <f>V259*0.09</f>
        <v/>
      </c>
      <c r="W260" s="100">
        <f>+U260-T260</f>
        <v/>
      </c>
      <c r="X260" s="100">
        <f>V260-T260</f>
        <v/>
      </c>
      <c r="Y260" s="100">
        <f>V260-U260</f>
        <v/>
      </c>
      <c r="Z260" s="103" t="n"/>
      <c r="AA260" s="58" t="n"/>
      <c r="AB260" s="7" t="n"/>
    </row>
    <row r="261" ht="20" customFormat="1" customHeight="1" s="13">
      <c r="A261" s="5" t="inlineStr">
        <is>
          <t>五</t>
        </is>
      </c>
      <c r="B261" s="5" t="n"/>
      <c r="C261" s="5" t="inlineStr">
        <is>
          <t>含税造价</t>
        </is>
      </c>
      <c r="D261" s="5" t="n"/>
      <c r="E261" s="5" t="n"/>
      <c r="F261" s="78" t="n"/>
      <c r="G261" s="78" t="n"/>
      <c r="H261" s="74" t="n"/>
      <c r="I261" s="74" t="n"/>
      <c r="J261" s="78" t="n"/>
      <c r="K261" s="74" t="n"/>
      <c r="L261" s="100" t="n"/>
      <c r="M261" s="55" t="n"/>
      <c r="N261" s="78" t="n"/>
      <c r="O261" s="78" t="n"/>
      <c r="P261" s="55" t="n"/>
      <c r="Q261" s="74" t="n"/>
      <c r="R261" s="74" t="n"/>
      <c r="S261" s="74" t="n"/>
      <c r="T261" s="74" t="n">
        <v>18472853.78</v>
      </c>
      <c r="U261" s="74" t="n">
        <v>20022376.73</v>
      </c>
      <c r="V261" s="100">
        <f>V259+V260</f>
        <v/>
      </c>
      <c r="W261" s="100">
        <f>+U261-T261</f>
        <v/>
      </c>
      <c r="X261" s="100">
        <f>V261-T261</f>
        <v/>
      </c>
      <c r="Y261" s="100">
        <f>V261-U261</f>
        <v/>
      </c>
      <c r="Z261" s="79" t="n"/>
      <c r="AA261" s="60" t="n"/>
      <c r="AB261" s="7" t="n"/>
    </row>
    <row r="262" ht="20" customFormat="1" customHeight="1" s="13">
      <c r="A262" s="5" t="n"/>
      <c r="B262" s="5" t="n"/>
      <c r="C262" s="5" t="n"/>
      <c r="D262" s="5" t="n"/>
      <c r="E262" s="5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5" t="n"/>
    </row>
    <row r="263" ht="20" customFormat="1" customHeight="1" s="14">
      <c r="A263" s="5" t="n"/>
      <c r="B263" s="5" t="n"/>
      <c r="C263" s="5" t="n"/>
      <c r="D263" s="5" t="n"/>
      <c r="E263" s="5" t="n"/>
      <c r="F263" s="6" t="n"/>
      <c r="G263" s="6" t="n"/>
      <c r="H263" s="100">
        <f>8676-3554.49</f>
        <v/>
      </c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5" t="n"/>
    </row>
    <row r="264" ht="20" customHeight="1" s="1">
      <c r="A264" s="5" t="n"/>
      <c r="B264" s="5" t="n"/>
      <c r="C264" s="5" t="n"/>
      <c r="D264" s="5" t="n"/>
      <c r="E264" s="5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5" t="n"/>
    </row>
    <row r="265" ht="20" customHeight="1" s="1">
      <c r="A265" s="5" t="n"/>
      <c r="B265" s="5" t="n"/>
      <c r="C265" s="5" t="n"/>
      <c r="D265" s="5" t="n"/>
      <c r="E265" s="5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5" t="n"/>
    </row>
    <row r="266" ht="20" customHeight="1" s="1">
      <c r="A266" s="5" t="n"/>
      <c r="B266" s="5" t="n"/>
      <c r="C266" s="5" t="n"/>
      <c r="D266" s="5" t="n"/>
      <c r="E266" s="5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6">
        <f>Y261/U261</f>
        <v/>
      </c>
      <c r="Z266" s="5" t="n"/>
    </row>
  </sheetData>
  <autoFilter ref="A3:AI261"/>
  <mergeCells count="3">
    <mergeCell ref="A1:Z1"/>
    <mergeCell ref="N2:Z2"/>
    <mergeCell ref="A2:D2"/>
  </mergeCells>
  <printOptions horizontalCentered="1"/>
  <pageMargins left="0.118055555555556" right="0.118055555555556" top="0.594444444444444" bottom="0" header="0.594444444444444" footer="0"/>
  <pageSetup orientation="portrait" paperSize="9" scale="32" fitToHeight="0" horizontalDpi="600"/>
  <headerFooter>
    <oddHeader/>
    <oddFooter>&amp;C第 &amp;P 页，共 &amp;N 页</oddFooter>
    <evenHeader/>
    <evenFooter/>
    <firstHeader/>
    <firstFooter/>
  </headerFooter>
  <rowBreaks count="2" manualBreakCount="2">
    <brk id="234" min="0" max="25" man="1"/>
    <brk id="263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5"/>
  <sheetViews>
    <sheetView topLeftCell="A198" zoomScale="85" zoomScaleNormal="85" workbookViewId="0">
      <selection activeCell="X221" sqref="X221"/>
    </sheetView>
  </sheetViews>
  <sheetFormatPr baseColWidth="8" defaultColWidth="10.5" defaultRowHeight="11.25"/>
  <cols>
    <col width="5" customWidth="1" style="7" min="1" max="1"/>
    <col width="15.8222222222222" customWidth="1" style="7" min="2" max="2"/>
    <col width="17.3" customWidth="1" style="7" min="3" max="3"/>
    <col width="29.5555555555556" customWidth="1" style="7" min="4" max="4"/>
    <col width="6.22222222222222" customWidth="1" style="7" min="5" max="5"/>
    <col width="11.8333333333333" customWidth="1" style="15" min="6" max="6"/>
    <col width="12" customWidth="1" style="15" min="7" max="7"/>
    <col width="13.8333333333333" customWidth="1" style="16" min="8" max="8"/>
    <col outlineLevel="1" width="12.6444444444444" customWidth="1" style="15" min="9" max="9"/>
    <col width="12.6444444444444" customWidth="1" style="15" min="10" max="10"/>
    <col outlineLevel="1" width="12.6444444444444" customWidth="1" style="15" min="11" max="11"/>
    <col width="11.9777777777778" customWidth="1" style="15" min="12" max="12"/>
    <col width="11.2777777777778" customWidth="1" style="15" min="13" max="15"/>
    <col width="14.3888888888889" customWidth="1" style="15" min="16" max="16"/>
    <col width="15.1666666666667" customWidth="1" style="15" min="17" max="17"/>
    <col width="11.2777777777778" customWidth="1" style="15" min="18" max="18"/>
    <col width="21" customWidth="1" style="15" min="19" max="19"/>
    <col width="22.8333333333333" customWidth="1" style="15" min="20" max="20"/>
    <col width="18.8333333333333" customWidth="1" style="104" min="21" max="21"/>
    <col width="16.7111111111111" customWidth="1" style="97" min="22" max="22"/>
    <col width="17.1666666666667" customWidth="1" style="104" min="23" max="23"/>
    <col outlineLevel="1" width="18.1666666666667" customWidth="1" style="105" min="24" max="24"/>
    <col width="14.1666666666667" customWidth="1" style="15" min="25" max="25"/>
    <col width="15" customWidth="1" style="7" min="26" max="26"/>
    <col width="10.5" customWidth="1" style="7" min="27" max="16384"/>
  </cols>
  <sheetData>
    <row r="1" ht="32" customFormat="1" customHeight="1" s="7">
      <c r="A1" s="20" t="inlineStr">
        <is>
          <t>工程量偏差或漏项对比表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3" t="n"/>
    </row>
    <row r="2" ht="16" customFormat="1" customHeight="1" s="7">
      <c r="A2" s="22" t="inlineStr">
        <is>
          <t>工程名称：教学楼</t>
        </is>
      </c>
      <c r="B2" s="21" t="n"/>
      <c r="C2" s="21" t="n"/>
      <c r="D2" s="23" t="n"/>
      <c r="E2" s="22" t="n"/>
      <c r="F2" s="23" t="n"/>
      <c r="G2" s="22" t="n"/>
      <c r="H2" s="24" t="n"/>
      <c r="I2" s="22" t="n"/>
      <c r="J2" s="22" t="n"/>
      <c r="K2" s="22" t="n"/>
      <c r="L2" s="22" t="n"/>
      <c r="M2" s="22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3" t="n"/>
    </row>
    <row r="3" ht="99" customFormat="1" customHeight="1" s="7">
      <c r="A3" s="25" t="inlineStr">
        <is>
          <t>序号</t>
        </is>
      </c>
      <c r="B3" s="25" t="inlineStr">
        <is>
          <t>项目编码</t>
        </is>
      </c>
      <c r="C3" s="25" t="inlineStr">
        <is>
          <t>项目名称</t>
        </is>
      </c>
      <c r="D3" s="25" t="inlineStr">
        <is>
          <t>项目特征描述</t>
        </is>
      </c>
      <c r="E3" s="25" t="inlineStr">
        <is>
          <t>计量单位</t>
        </is>
      </c>
      <c r="F3" s="25" t="inlineStr">
        <is>
          <t>工程量_合同工程量_A</t>
        </is>
      </c>
      <c r="G3" s="2" t="inlineStr">
        <is>
          <t>工程量_送审工程量_B</t>
        </is>
      </c>
      <c r="H3" s="2" t="inlineStr">
        <is>
          <t>工程量_审核工程量_C</t>
        </is>
      </c>
      <c r="I3" s="2" t="inlineStr">
        <is>
          <t>工程量_送审增减工程量（±）_D=B-A</t>
        </is>
      </c>
      <c r="J3" s="2" t="inlineStr">
        <is>
          <t>工程量_增减工程量（±）_D=C-A</t>
        </is>
      </c>
      <c r="K3" s="2" t="inlineStr">
        <is>
          <t>工程量_核增减工程量（±）_E=C-B</t>
        </is>
      </c>
      <c r="L3" s="2" t="inlineStr">
        <is>
          <t>工程量_增减工程量比例（%）_E=D/A</t>
        </is>
      </c>
      <c r="M3" s="25" t="inlineStr">
        <is>
          <t>单价（元）_投标单价（元）_P0</t>
        </is>
      </c>
      <c r="N3" s="2" t="inlineStr">
        <is>
          <t>单价（元）_预算备案单价（元）_P1</t>
        </is>
      </c>
      <c r="O3" s="2" t="inlineStr">
        <is>
          <t>单价（元）_单价偏差率（%）_H=(P1-P0)/P1</t>
        </is>
      </c>
      <c r="P3" s="2" t="inlineStr">
        <is>
          <t>单价（元）_P1*L*(1-15%)_打印时隐藏</t>
        </is>
      </c>
      <c r="Q3" s="2" t="inlineStr">
        <is>
          <t>单价（元）_P1*(1+15%)_打印时隐藏</t>
        </is>
      </c>
      <c r="R3" s="2" t="inlineStr">
        <is>
          <t>单价（元）_增减部分单价（元）_I</t>
        </is>
      </c>
      <c r="S3" s="25" t="inlineStr">
        <is>
          <t>合价（元）_合同合价（元）_J</t>
        </is>
      </c>
      <c r="T3" s="2" t="inlineStr">
        <is>
          <t>合价（元）_结算合价（元）_K</t>
        </is>
      </c>
      <c r="U3" s="2" t="inlineStr">
        <is>
          <t>合价（元）_审核合价（元）_L</t>
        </is>
      </c>
      <c r="V3" s="99" t="inlineStr">
        <is>
          <t>送审增减部分金额（元）_M=K-J</t>
        </is>
      </c>
      <c r="W3" s="99" t="inlineStr">
        <is>
          <t>审核增减部分金额（元）_N</t>
        </is>
      </c>
      <c r="X3" s="99" t="inlineStr">
        <is>
          <t>核增减金额（元）_O</t>
        </is>
      </c>
      <c r="Y3" s="25" t="inlineStr">
        <is>
          <t>备注</t>
        </is>
      </c>
      <c r="Z3" s="42" t="n"/>
      <c r="AA3" s="42" t="n"/>
    </row>
    <row r="4" ht="20" customFormat="1" customHeight="1" s="7">
      <c r="A4" s="26" t="n"/>
      <c r="B4" s="26" t="n"/>
      <c r="C4" s="26" t="inlineStr">
        <is>
          <t>土石方工程</t>
        </is>
      </c>
      <c r="D4" s="26" t="n"/>
      <c r="E4" s="26" t="n"/>
      <c r="F4" s="27" t="n"/>
      <c r="G4" s="27" t="n"/>
      <c r="H4" s="28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>
        <v>45309.76</v>
      </c>
      <c r="T4" s="100">
        <f>+SUM(T5:T9)</f>
        <v/>
      </c>
      <c r="U4" s="106">
        <f>+SUM(U5:U9)</f>
        <v/>
      </c>
      <c r="V4" s="100" t="n"/>
      <c r="W4" s="106" t="n"/>
      <c r="X4" s="107">
        <f>U4-T4</f>
        <v/>
      </c>
      <c r="Y4" s="26" t="n"/>
    </row>
    <row r="5" ht="20" customFormat="1" customHeight="1" s="7">
      <c r="A5" s="26" t="n">
        <v>1</v>
      </c>
      <c r="B5" s="26" t="inlineStr">
        <is>
          <t>010101001001</t>
        </is>
      </c>
      <c r="C5" s="26" t="inlineStr">
        <is>
          <t>平整场地</t>
        </is>
      </c>
      <c r="D5" s="26" t="inlineStr">
        <is>
          <t>1.平整场地</t>
        </is>
      </c>
      <c r="E5" s="26" t="inlineStr">
        <is>
          <t>m2</t>
        </is>
      </c>
      <c r="F5" s="27" t="n">
        <v>1860.25</v>
      </c>
      <c r="G5" s="100" t="n">
        <v>1860.25</v>
      </c>
      <c r="H5" s="106" t="n">
        <v>1860.25</v>
      </c>
      <c r="I5" s="100">
        <f>G5-F5</f>
        <v/>
      </c>
      <c r="J5" s="100">
        <f>H5-F5</f>
        <v/>
      </c>
      <c r="K5" s="100">
        <f>+H5-G5</f>
        <v/>
      </c>
      <c r="L5" s="37">
        <f>J5/F5</f>
        <v/>
      </c>
      <c r="M5" s="27" t="n">
        <v>2.32</v>
      </c>
      <c r="N5" s="27" t="n">
        <v>2.49</v>
      </c>
      <c r="O5" s="37">
        <f>(M5-N5)/N5</f>
        <v/>
      </c>
      <c r="P5" s="100">
        <f>N5*0.9056*0.85</f>
        <v/>
      </c>
      <c r="Q5" s="100">
        <f>N5*1.15</f>
        <v/>
      </c>
      <c r="R5" s="100">
        <f>IF(M5&lt;N5*0.9056*0.85,N5*0.9056*0.85,IF(M5&gt;N5*1.15,N5*1.15,M5))</f>
        <v/>
      </c>
      <c r="S5" s="27">
        <f>+F5*M5</f>
        <v/>
      </c>
      <c r="T5" s="100">
        <f>S5+R5*I5</f>
        <v/>
      </c>
      <c r="U5" s="106">
        <f>S5+R5*J5</f>
        <v/>
      </c>
      <c r="V5" s="100">
        <f>U5-S5</f>
        <v/>
      </c>
      <c r="W5" s="106">
        <f>+U5-T5</f>
        <v/>
      </c>
      <c r="X5" s="107">
        <f>+U5-T5</f>
        <v/>
      </c>
      <c r="Y5" s="26" t="inlineStr">
        <is>
          <t>包干</t>
        </is>
      </c>
    </row>
    <row r="6" ht="20" customFormat="1" customHeight="1" s="7">
      <c r="A6" s="26" t="n">
        <v>2</v>
      </c>
      <c r="B6" s="26" t="inlineStr">
        <is>
          <t>010101003001</t>
        </is>
      </c>
      <c r="C6" s="26" t="inlineStr">
        <is>
          <t>挖沟槽土方</t>
        </is>
      </c>
      <c r="D6" s="26" t="inlineStr">
        <is>
          <t>1.土壤类别:综合考虑
2.挖土深度:综合考虑</t>
        </is>
      </c>
      <c r="E6" s="26" t="inlineStr">
        <is>
          <t>m3</t>
        </is>
      </c>
      <c r="F6" s="27" t="n">
        <v>371.95</v>
      </c>
      <c r="G6" s="100" t="n">
        <v>371.95</v>
      </c>
      <c r="H6" s="106" t="n">
        <v>371.95</v>
      </c>
      <c r="I6" s="100">
        <f>G6-F6</f>
        <v/>
      </c>
      <c r="J6" s="100">
        <f>H6-F6</f>
        <v/>
      </c>
      <c r="K6" s="100">
        <f>+H6-G6</f>
        <v/>
      </c>
      <c r="L6" s="37">
        <f>J6/F6</f>
        <v/>
      </c>
      <c r="M6" s="27" t="n">
        <v>9.859999999999999</v>
      </c>
      <c r="N6" s="27" t="n">
        <v>9.32</v>
      </c>
      <c r="O6" s="37">
        <f>(M6-N6)/N6</f>
        <v/>
      </c>
      <c r="P6" s="100">
        <f>N6*0.9056*0.85</f>
        <v/>
      </c>
      <c r="Q6" s="100">
        <f>N6*1.15</f>
        <v/>
      </c>
      <c r="R6" s="100">
        <f>IF(M6&lt;N6*0.9056*0.85,N6*0.9056*0.85,IF(M6&gt;N6*1.15,N6*1.15,M6))</f>
        <v/>
      </c>
      <c r="S6" s="27" t="n">
        <v>3667.43</v>
      </c>
      <c r="T6" s="100">
        <f>S6+R6*I6</f>
        <v/>
      </c>
      <c r="U6" s="106">
        <f>S6+R6*J6</f>
        <v/>
      </c>
      <c r="V6" s="100">
        <f>U6-S6</f>
        <v/>
      </c>
      <c r="W6" s="106">
        <f>+U6-T6</f>
        <v/>
      </c>
      <c r="X6" s="107">
        <f>+U6-T6</f>
        <v/>
      </c>
      <c r="Y6" s="5" t="inlineStr">
        <is>
          <t>包干</t>
        </is>
      </c>
    </row>
    <row r="7" ht="20" customFormat="1" customHeight="1" s="7">
      <c r="A7" s="26" t="n">
        <v>3</v>
      </c>
      <c r="B7" s="26" t="inlineStr">
        <is>
          <t>010101004002</t>
        </is>
      </c>
      <c r="C7" s="26" t="inlineStr">
        <is>
          <t>挖基坑土方</t>
        </is>
      </c>
      <c r="D7" s="26" t="inlineStr">
        <is>
          <t>1.土壤类别:综合考虑
2.挖土深度:综合考虑</t>
        </is>
      </c>
      <c r="E7" s="26" t="inlineStr">
        <is>
          <t>m3</t>
        </is>
      </c>
      <c r="F7" s="27" t="n">
        <v>872.09</v>
      </c>
      <c r="G7" s="100" t="n">
        <v>872.09</v>
      </c>
      <c r="H7" s="106" t="n">
        <v>872.09</v>
      </c>
      <c r="I7" s="100">
        <f>G7-F7</f>
        <v/>
      </c>
      <c r="J7" s="100">
        <f>H7-F7</f>
        <v/>
      </c>
      <c r="K7" s="100">
        <f>+H7-G7</f>
        <v/>
      </c>
      <c r="L7" s="37">
        <f>J7/F7</f>
        <v/>
      </c>
      <c r="M7" s="27" t="n">
        <v>8.25</v>
      </c>
      <c r="N7" s="27" t="n">
        <v>9.449999999999999</v>
      </c>
      <c r="O7" s="37">
        <f>(M7-N7)/N7</f>
        <v/>
      </c>
      <c r="P7" s="100">
        <f>N7*0.9056*0.85</f>
        <v/>
      </c>
      <c r="Q7" s="100">
        <f>N7*1.15</f>
        <v/>
      </c>
      <c r="R7" s="100">
        <f>IF(M7&lt;N7*0.9056*0.85,N7*0.9056*0.85,IF(M7&gt;N7*1.15,N7*1.15,M7))</f>
        <v/>
      </c>
      <c r="S7" s="27" t="n">
        <v>7194.74</v>
      </c>
      <c r="T7" s="100">
        <f>S7+R7*I7</f>
        <v/>
      </c>
      <c r="U7" s="106">
        <f>S7+R7*J7</f>
        <v/>
      </c>
      <c r="V7" s="100">
        <f>U7-S7</f>
        <v/>
      </c>
      <c r="W7" s="106">
        <f>+U7-T7</f>
        <v/>
      </c>
      <c r="X7" s="107">
        <f>+U7-T7</f>
        <v/>
      </c>
      <c r="Y7" s="5" t="inlineStr">
        <is>
          <t>包干</t>
        </is>
      </c>
    </row>
    <row r="8" ht="20" customFormat="1" customHeight="1" s="7">
      <c r="A8" s="26" t="n">
        <v>4</v>
      </c>
      <c r="B8" s="26" t="inlineStr">
        <is>
          <t>010103001001</t>
        </is>
      </c>
      <c r="C8" s="26" t="inlineStr">
        <is>
          <t>回填方</t>
        </is>
      </c>
      <c r="D8" s="26" t="inlineStr">
        <is>
          <t>1.填方材料品种:原土
2.密实度要求:按设计及规范要求</t>
        </is>
      </c>
      <c r="E8" s="26" t="inlineStr">
        <is>
          <t>m3</t>
        </is>
      </c>
      <c r="F8" s="27" t="n">
        <v>851.99</v>
      </c>
      <c r="G8" s="100" t="n">
        <v>851.99</v>
      </c>
      <c r="H8" s="106" t="n">
        <v>851.99</v>
      </c>
      <c r="I8" s="100">
        <f>G8-F8</f>
        <v/>
      </c>
      <c r="J8" s="100">
        <f>H8-F8</f>
        <v/>
      </c>
      <c r="K8" s="100">
        <f>+H8-G8</f>
        <v/>
      </c>
      <c r="L8" s="37">
        <f>J8/F8</f>
        <v/>
      </c>
      <c r="M8" s="27" t="n">
        <v>17.92</v>
      </c>
      <c r="N8" s="27" t="n">
        <v>19.89</v>
      </c>
      <c r="O8" s="37">
        <f>(M8-N8)/N8</f>
        <v/>
      </c>
      <c r="P8" s="100">
        <f>N8*0.9056*0.85</f>
        <v/>
      </c>
      <c r="Q8" s="100">
        <f>N8*1.15</f>
        <v/>
      </c>
      <c r="R8" s="100">
        <f>IF(M8&lt;N8*0.9056*0.85,N8*0.9056*0.85,IF(M8&gt;N8*1.15,N8*1.15,M8))</f>
        <v/>
      </c>
      <c r="S8" s="27" t="n">
        <v>15267.66</v>
      </c>
      <c r="T8" s="100">
        <f>S8+R8*I8</f>
        <v/>
      </c>
      <c r="U8" s="106">
        <f>S8+R8*J8</f>
        <v/>
      </c>
      <c r="V8" s="100">
        <f>U8-S8</f>
        <v/>
      </c>
      <c r="W8" s="106">
        <f>+U8-T8</f>
        <v/>
      </c>
      <c r="X8" s="107">
        <f>+U8-T8</f>
        <v/>
      </c>
      <c r="Y8" s="5" t="inlineStr">
        <is>
          <t>包干</t>
        </is>
      </c>
    </row>
    <row r="9" ht="20" customFormat="1" customHeight="1" s="7">
      <c r="A9" s="26" t="n">
        <v>5</v>
      </c>
      <c r="B9" s="26" t="inlineStr">
        <is>
          <t>010103002002</t>
        </is>
      </c>
      <c r="C9" s="26" t="inlineStr">
        <is>
          <t>余方弃置</t>
        </is>
      </c>
      <c r="D9" s="26" t="inlineStr">
        <is>
          <t>1.余方弃置
2.运距:智能渣土车运输运距综合考虑</t>
        </is>
      </c>
      <c r="E9" s="26" t="inlineStr">
        <is>
          <t>m3</t>
        </is>
      </c>
      <c r="F9" s="27" t="n">
        <v>264.2515</v>
      </c>
      <c r="G9" s="100" t="n">
        <v>264.25</v>
      </c>
      <c r="H9" s="106" t="n">
        <v>264.25</v>
      </c>
      <c r="I9" s="100">
        <f>G9-F9</f>
        <v/>
      </c>
      <c r="J9" s="100">
        <f>H9-F9</f>
        <v/>
      </c>
      <c r="K9" s="100">
        <f>+H9-G9</f>
        <v/>
      </c>
      <c r="L9" s="37">
        <f>J9/F9</f>
        <v/>
      </c>
      <c r="M9" s="27" t="n">
        <v>56.25</v>
      </c>
      <c r="N9" s="27" t="n">
        <v>59.2</v>
      </c>
      <c r="O9" s="37">
        <f>(M9-N9)/N9</f>
        <v/>
      </c>
      <c r="P9" s="100">
        <f>N9*0.9056*0.85</f>
        <v/>
      </c>
      <c r="Q9" s="100">
        <f>N9*1.15</f>
        <v/>
      </c>
      <c r="R9" s="100">
        <f>IF(M9&lt;N9*0.9056*0.85,N9*0.9056*0.85,IF(M9&gt;N9*1.15,N9*1.15,M9))</f>
        <v/>
      </c>
      <c r="S9" s="27" t="n">
        <v>14864.15</v>
      </c>
      <c r="T9" s="100">
        <f>S9+R9*I9</f>
        <v/>
      </c>
      <c r="U9" s="106">
        <f>S9+R9*J9</f>
        <v/>
      </c>
      <c r="V9" s="100">
        <f>U9-S9</f>
        <v/>
      </c>
      <c r="W9" s="106">
        <f>+U9-T9</f>
        <v/>
      </c>
      <c r="X9" s="107">
        <f>+U9-T9</f>
        <v/>
      </c>
      <c r="Y9" s="5" t="inlineStr">
        <is>
          <t>包干</t>
        </is>
      </c>
    </row>
    <row r="10" ht="20" customFormat="1" customHeight="1" s="7">
      <c r="A10" s="26" t="n"/>
      <c r="B10" s="26" t="n"/>
      <c r="C10" s="26" t="inlineStr">
        <is>
          <t>桩基工程</t>
        </is>
      </c>
      <c r="D10" s="26" t="n"/>
      <c r="E10" s="26" t="n"/>
      <c r="F10" s="27" t="n"/>
      <c r="G10" s="100" t="n"/>
      <c r="H10" s="28" t="n"/>
      <c r="I10" s="100" t="n"/>
      <c r="J10" s="100" t="n"/>
      <c r="K10" s="100" t="n"/>
      <c r="L10" s="37" t="n"/>
      <c r="M10" s="27" t="n"/>
      <c r="N10" s="27" t="n"/>
      <c r="O10" s="27" t="n"/>
      <c r="P10" s="27" t="n"/>
      <c r="Q10" s="27" t="n"/>
      <c r="R10" s="100" t="n"/>
      <c r="S10" s="100">
        <f>+SUM(S11:S16)</f>
        <v/>
      </c>
      <c r="T10" s="100">
        <f>+SUM(T11:T16)</f>
        <v/>
      </c>
      <c r="U10" s="106">
        <f>SUM(U11:U16)</f>
        <v/>
      </c>
      <c r="V10" s="100">
        <f>U10-S10</f>
        <v/>
      </c>
      <c r="W10" s="106">
        <f>+U10-T10</f>
        <v/>
      </c>
      <c r="X10" s="107">
        <f>U10-T10</f>
        <v/>
      </c>
      <c r="Y10" s="26" t="n"/>
    </row>
    <row r="11" ht="20" customFormat="1" customHeight="1" s="7">
      <c r="A11" s="26" t="n">
        <v>6</v>
      </c>
      <c r="B11" s="26" t="inlineStr">
        <is>
          <t>010301002004</t>
        </is>
      </c>
      <c r="C11" s="26" t="inlineStr">
        <is>
          <t>预制钢筋混凝土管桩</t>
        </is>
      </c>
      <c r="D11" s="26" t="inlineStr">
        <is>
          <t>1.桩外径、壁厚:Φ400PHC80预应力管桩AB型壁厚95mm（综合考虑抗拔桩）
2.沉桩方法:静压
3.混凝土强度等级:C30C40
4.填充材料种类:微膨胀混凝土
5.接桩
6.预埋钢板</t>
        </is>
      </c>
      <c r="E11" s="26" t="inlineStr">
        <is>
          <t>m</t>
        </is>
      </c>
      <c r="F11" s="100" t="n">
        <v>4149.5</v>
      </c>
      <c r="G11" s="100" t="n">
        <v>4342.6</v>
      </c>
      <c r="H11" s="106" t="n">
        <v>4099.4</v>
      </c>
      <c r="I11" s="100">
        <f>G11-F11</f>
        <v/>
      </c>
      <c r="J11" s="100">
        <f>H11-F11</f>
        <v/>
      </c>
      <c r="K11" s="100">
        <f>+H11-G11</f>
        <v/>
      </c>
      <c r="L11" s="37">
        <f>I11/F11</f>
        <v/>
      </c>
      <c r="M11" s="27" t="n">
        <v>270.2</v>
      </c>
      <c r="N11" s="27" t="n">
        <v>319.38</v>
      </c>
      <c r="O11" s="37">
        <f>(M11-N11)/N11</f>
        <v/>
      </c>
      <c r="P11" s="100">
        <f>N11*0.9056*0.85</f>
        <v/>
      </c>
      <c r="Q11" s="100">
        <f>N11*1.15</f>
        <v/>
      </c>
      <c r="R11" s="100">
        <f>IF(M11&lt;N11*0.9056*0.85,N11*0.9056*0.85,IF(M11&gt;N11*1.15,N11*1.15,M11))</f>
        <v/>
      </c>
      <c r="S11" s="27">
        <f>+F11*M11</f>
        <v/>
      </c>
      <c r="T11" s="100">
        <f>S11+R11*I11</f>
        <v/>
      </c>
      <c r="U11" s="106">
        <f>S11+R11*J11</f>
        <v/>
      </c>
      <c r="V11" s="100">
        <f>U11-S11</f>
        <v/>
      </c>
      <c r="W11" s="106">
        <f>+U11-T11</f>
        <v/>
      </c>
      <c r="X11" s="107">
        <f>+U11-T11</f>
        <v/>
      </c>
      <c r="Y11" s="26" t="n"/>
    </row>
    <row r="12" ht="20" customFormat="1" customHeight="1" s="7">
      <c r="A12" s="26" t="n">
        <v>7</v>
      </c>
      <c r="B12" s="26" t="inlineStr">
        <is>
          <t>010301002006</t>
        </is>
      </c>
      <c r="C12" s="26" t="inlineStr">
        <is>
          <t>预制钢筋混凝土管桩（试验桩）</t>
        </is>
      </c>
      <c r="D12" s="26" t="inlineStr">
        <is>
          <t>1.桩外径、壁厚:Φ400PHC80预应力管桩AB型壁厚95mm
2.沉桩方法:静压
3.混凝土强度等级:C30C40
4.填充材料种类:微膨胀混凝土
5.接桩
6.预埋钢板</t>
        </is>
      </c>
      <c r="E12" s="26" t="inlineStr">
        <is>
          <t>m</t>
        </is>
      </c>
      <c r="F12" s="100" t="n">
        <v>107.5</v>
      </c>
      <c r="G12" s="100" t="n">
        <v>0</v>
      </c>
      <c r="H12" s="106" t="n">
        <v>0</v>
      </c>
      <c r="I12" s="100">
        <f>G12-F12</f>
        <v/>
      </c>
      <c r="J12" s="100">
        <f>H12-F12</f>
        <v/>
      </c>
      <c r="K12" s="100">
        <f>+H12-G12</f>
        <v/>
      </c>
      <c r="L12" s="37">
        <f>I12/F12</f>
        <v/>
      </c>
      <c r="M12" s="27" t="n">
        <v>314.72</v>
      </c>
      <c r="N12" s="27" t="n">
        <v>356.32</v>
      </c>
      <c r="O12" s="37">
        <f>(M12-N12)/N12</f>
        <v/>
      </c>
      <c r="P12" s="100">
        <f>N12*0.9056*0.85</f>
        <v/>
      </c>
      <c r="Q12" s="100">
        <f>N12*1.15</f>
        <v/>
      </c>
      <c r="R12" s="100">
        <f>IF(M12&lt;N12*0.9056*0.85,N12*0.9056*0.85,IF(M12&gt;N12*1.15,N12*1.15,M12))</f>
        <v/>
      </c>
      <c r="S12" s="27">
        <f>+F12*M12</f>
        <v/>
      </c>
      <c r="T12" s="100">
        <f>S12+R12*I12</f>
        <v/>
      </c>
      <c r="U12" s="106">
        <f>S12+R12*J12</f>
        <v/>
      </c>
      <c r="V12" s="100">
        <f>U12-S12</f>
        <v/>
      </c>
      <c r="W12" s="106">
        <f>+U12-T12</f>
        <v/>
      </c>
      <c r="X12" s="107">
        <f>+U12-T12</f>
        <v/>
      </c>
      <c r="Y12" s="26" t="n"/>
    </row>
    <row r="13" ht="20" customFormat="1" customHeight="1" s="7">
      <c r="A13" s="26" t="n">
        <v>8</v>
      </c>
      <c r="B13" s="26" t="inlineStr">
        <is>
          <t>010301002003</t>
        </is>
      </c>
      <c r="C13" s="26" t="inlineStr">
        <is>
          <t>预制钢筋混凝土管桩（送桩）</t>
        </is>
      </c>
      <c r="D13" s="26" t="inlineStr">
        <is>
          <t>1.桩外径、壁厚:Φ400PHC80预应力管桩AB型壁厚95mm</t>
        </is>
      </c>
      <c r="E13" s="26" t="inlineStr">
        <is>
          <t>m</t>
        </is>
      </c>
      <c r="F13" s="100" t="n">
        <v>396</v>
      </c>
      <c r="G13" s="100" t="n">
        <v>113.5</v>
      </c>
      <c r="H13" s="106" t="n">
        <v>113.5</v>
      </c>
      <c r="I13" s="100">
        <f>G13-F13</f>
        <v/>
      </c>
      <c r="J13" s="100">
        <f>H13-F13</f>
        <v/>
      </c>
      <c r="K13" s="100">
        <f>+H13-G13</f>
        <v/>
      </c>
      <c r="L13" s="37">
        <f>I13/F13</f>
        <v/>
      </c>
      <c r="M13" s="27" t="n">
        <v>56.37</v>
      </c>
      <c r="N13" s="27" t="n">
        <v>58.71</v>
      </c>
      <c r="O13" s="37">
        <f>(M13-N13)/N13</f>
        <v/>
      </c>
      <c r="P13" s="100">
        <f>N13*0.9056*0.85</f>
        <v/>
      </c>
      <c r="Q13" s="100">
        <f>N13*1.15</f>
        <v/>
      </c>
      <c r="R13" s="100">
        <f>IF(M13&lt;N13*0.9056*0.85,N13*0.9056*0.85,IF(M13&gt;N13*1.15,N13*1.15,M13))</f>
        <v/>
      </c>
      <c r="S13" s="27">
        <f>+F13*M13</f>
        <v/>
      </c>
      <c r="T13" s="100">
        <f>S13+R13*I13</f>
        <v/>
      </c>
      <c r="U13" s="106">
        <f>S13+R13*J13</f>
        <v/>
      </c>
      <c r="V13" s="100">
        <f>U13-S13</f>
        <v/>
      </c>
      <c r="W13" s="106">
        <f>+U13-T13</f>
        <v/>
      </c>
      <c r="X13" s="107">
        <f>+U13-T13</f>
        <v/>
      </c>
      <c r="Y13" s="26" t="n"/>
    </row>
    <row r="14" ht="20" customFormat="1" customHeight="1" s="7">
      <c r="A14" s="26" t="n">
        <v>9</v>
      </c>
      <c r="B14" s="26" t="inlineStr">
        <is>
          <t>010301004001</t>
        </is>
      </c>
      <c r="C14" s="26" t="inlineStr">
        <is>
          <t>截(凿)桩头</t>
        </is>
      </c>
      <c r="D14" s="26" t="inlineStr">
        <is>
          <t>1.桩类型:管桩
2.桩头截面、高度:桩径D为400
3.场外运输:综合考虑</t>
        </is>
      </c>
      <c r="E14" s="26" t="inlineStr">
        <is>
          <t>根</t>
        </is>
      </c>
      <c r="F14" s="101" t="n">
        <v>198</v>
      </c>
      <c r="G14" s="101" t="n">
        <v>191</v>
      </c>
      <c r="H14" s="108" t="n">
        <v>191</v>
      </c>
      <c r="I14" s="101">
        <f>G14-F14</f>
        <v/>
      </c>
      <c r="J14" s="101">
        <f>H14-F14</f>
        <v/>
      </c>
      <c r="K14" s="101">
        <f>+H14-G14</f>
        <v/>
      </c>
      <c r="L14" s="37">
        <f>I14/F14</f>
        <v/>
      </c>
      <c r="M14" s="27" t="n">
        <v>78.16</v>
      </c>
      <c r="N14" s="27" t="n">
        <v>95.36</v>
      </c>
      <c r="O14" s="37">
        <f>(M14-N14)/N14</f>
        <v/>
      </c>
      <c r="P14" s="100">
        <f>N14*0.9056*0.85</f>
        <v/>
      </c>
      <c r="Q14" s="100">
        <f>N14*1.15</f>
        <v/>
      </c>
      <c r="R14" s="100">
        <f>IF(M14&lt;N14*0.9056*0.85,N14*0.9056*0.85,IF(M14&gt;N14*1.15,N14*1.15,M14))</f>
        <v/>
      </c>
      <c r="S14" s="27">
        <f>+F14*M14</f>
        <v/>
      </c>
      <c r="T14" s="100">
        <f>S14+R14*I14</f>
        <v/>
      </c>
      <c r="U14" s="106">
        <f>S14+R14*J14</f>
        <v/>
      </c>
      <c r="V14" s="100">
        <f>U14-S14</f>
        <v/>
      </c>
      <c r="W14" s="106">
        <f>+U14-T14</f>
        <v/>
      </c>
      <c r="X14" s="107">
        <f>+U14-T14</f>
        <v/>
      </c>
      <c r="Y14" s="26" t="n"/>
    </row>
    <row r="15" ht="20" customFormat="1" customHeight="1" s="7">
      <c r="A15" s="26" t="n">
        <v>10</v>
      </c>
      <c r="B15" s="26" t="inlineStr">
        <is>
          <t>粤010301005001</t>
        </is>
      </c>
      <c r="C15" s="26" t="inlineStr">
        <is>
          <t>桩尖</t>
        </is>
      </c>
      <c r="D15" s="26" t="inlineStr">
        <is>
          <t>1.钢桩尖制作
2.桩径:400
3.具体做法详见图纸</t>
        </is>
      </c>
      <c r="E15" s="26" t="inlineStr">
        <is>
          <t>个</t>
        </is>
      </c>
      <c r="F15" s="27" t="n">
        <v>198</v>
      </c>
      <c r="G15" s="100" t="n">
        <v>191</v>
      </c>
      <c r="H15" s="28" t="n">
        <v>191</v>
      </c>
      <c r="I15" s="101">
        <f>G15-F15</f>
        <v/>
      </c>
      <c r="J15" s="101">
        <f>H15-F15</f>
        <v/>
      </c>
      <c r="K15" s="101">
        <f>+H15-G15</f>
        <v/>
      </c>
      <c r="L15" s="37">
        <f>I15/F15</f>
        <v/>
      </c>
      <c r="M15" s="27" t="n">
        <v>268.05</v>
      </c>
      <c r="N15" s="27" t="n">
        <v>259.06</v>
      </c>
      <c r="O15" s="37">
        <f>(M15-N15)/N15</f>
        <v/>
      </c>
      <c r="P15" s="100">
        <f>N15*0.9056*0.85</f>
        <v/>
      </c>
      <c r="Q15" s="100">
        <f>N15*1.15</f>
        <v/>
      </c>
      <c r="R15" s="100">
        <f>IF(M15&lt;N15*0.9056*0.85,N15*0.9056*0.85,IF(M15&gt;N15*1.15,N15*1.15,M15))</f>
        <v/>
      </c>
      <c r="S15" s="27">
        <f>+F15*M15</f>
        <v/>
      </c>
      <c r="T15" s="100">
        <f>S15+R15*I15</f>
        <v/>
      </c>
      <c r="U15" s="106">
        <f>S15+R15*J15</f>
        <v/>
      </c>
      <c r="V15" s="100">
        <f>U15-S15</f>
        <v/>
      </c>
      <c r="W15" s="106">
        <f>+U15-T15</f>
        <v/>
      </c>
      <c r="X15" s="107">
        <f>+U15-T15</f>
        <v/>
      </c>
      <c r="Y15" s="26" t="n"/>
    </row>
    <row r="16" ht="20" customFormat="1" customHeight="1" s="7">
      <c r="A16" s="26" t="n">
        <v>11</v>
      </c>
      <c r="B16" s="26" t="inlineStr">
        <is>
          <t>010515001013</t>
        </is>
      </c>
      <c r="C16" s="26" t="inlineStr">
        <is>
          <t>现浇构件钢筋</t>
        </is>
      </c>
      <c r="D16" s="26" t="inlineStr">
        <is>
          <t>1.桩头插筋</t>
        </is>
      </c>
      <c r="E16" s="26" t="inlineStr">
        <is>
          <t>t</t>
        </is>
      </c>
      <c r="F16" s="27" t="n">
        <v>4.5728</v>
      </c>
      <c r="G16" s="100" t="n">
        <v>0.95</v>
      </c>
      <c r="H16" s="109" t="n">
        <v>0.945</v>
      </c>
      <c r="I16" s="102">
        <f>G16-F16</f>
        <v/>
      </c>
      <c r="J16" s="102">
        <f>H16-F16</f>
        <v/>
      </c>
      <c r="K16" s="100">
        <f>+H16-G16</f>
        <v/>
      </c>
      <c r="L16" s="37">
        <f>I16/F16</f>
        <v/>
      </c>
      <c r="M16" s="27" t="n">
        <v>5341.14</v>
      </c>
      <c r="N16" s="27" t="n">
        <v>6492.43</v>
      </c>
      <c r="O16" s="37">
        <f>(M16-N16)/N16</f>
        <v/>
      </c>
      <c r="P16" s="100">
        <f>N16*0.9056*0.85</f>
        <v/>
      </c>
      <c r="Q16" s="100">
        <f>N16*1.15</f>
        <v/>
      </c>
      <c r="R16" s="100">
        <f>IF(M16&lt;N16*0.9056*0.85,N16*0.9056*0.85,IF(M16&gt;N16*1.15,N16*1.15,M16))</f>
        <v/>
      </c>
      <c r="S16" s="100">
        <f>+F16*M16</f>
        <v/>
      </c>
      <c r="T16" s="100">
        <f>S16+R16*I16</f>
        <v/>
      </c>
      <c r="U16" s="106">
        <f>S16+R16*J16</f>
        <v/>
      </c>
      <c r="V16" s="100">
        <f>U16-S16</f>
        <v/>
      </c>
      <c r="W16" s="106">
        <f>+U16-T16</f>
        <v/>
      </c>
      <c r="X16" s="107">
        <f>+U16-T16</f>
        <v/>
      </c>
      <c r="Y16" s="26" t="n"/>
    </row>
    <row r="17" ht="20" customFormat="1" customHeight="1" s="7">
      <c r="A17" s="26" t="n"/>
      <c r="B17" s="26" t="n"/>
      <c r="C17" s="26" t="inlineStr">
        <is>
          <t>砌筑工程</t>
        </is>
      </c>
      <c r="D17" s="26" t="n"/>
      <c r="E17" s="26" t="n"/>
      <c r="F17" s="27" t="n"/>
      <c r="G17" s="100" t="n"/>
      <c r="H17" s="28" t="n"/>
      <c r="I17" s="100" t="n"/>
      <c r="J17" s="100" t="n"/>
      <c r="K17" s="100" t="n"/>
      <c r="L17" s="37" t="n"/>
      <c r="M17" s="27" t="n"/>
      <c r="N17" s="27" t="n"/>
      <c r="O17" s="27" t="n"/>
      <c r="P17" s="27" t="n"/>
      <c r="Q17" s="27" t="n"/>
      <c r="R17" s="100" t="n"/>
      <c r="S17" s="100">
        <f>+SUM(S18:S26)</f>
        <v/>
      </c>
      <c r="T17" s="100">
        <f>+SUM(T18:T26)</f>
        <v/>
      </c>
      <c r="U17" s="106">
        <f>SUM(U18:U26)</f>
        <v/>
      </c>
      <c r="V17" s="100">
        <f>U17-S17</f>
        <v/>
      </c>
      <c r="W17" s="106">
        <f>+U17-T17</f>
        <v/>
      </c>
      <c r="X17" s="107">
        <f>U17-T17</f>
        <v/>
      </c>
      <c r="Y17" s="26" t="n"/>
    </row>
    <row r="18" ht="20" customFormat="1" customHeight="1" s="7">
      <c r="A18" s="34" t="n">
        <v>12</v>
      </c>
      <c r="B18" s="34" t="inlineStr">
        <is>
          <t>010103001002</t>
        </is>
      </c>
      <c r="C18" s="34" t="inlineStr">
        <is>
          <t>回填方</t>
        </is>
      </c>
      <c r="D18" s="34" t="inlineStr">
        <is>
          <t>1.卫生间回填
2.20厚WSM15找平层
3.陶粒混凝土(水泥:陶粒=1:8)回填兼找坡
4.20厚M20水泥砂浆找平层</t>
        </is>
      </c>
      <c r="E18" s="34" t="inlineStr">
        <is>
          <t>m3</t>
        </is>
      </c>
      <c r="F18" s="35" t="n">
        <v>197.372</v>
      </c>
      <c r="G18" s="110" t="n">
        <v>286.11</v>
      </c>
      <c r="H18" s="106" t="n">
        <v>230.85</v>
      </c>
      <c r="I18" s="110">
        <f>G18-F18</f>
        <v/>
      </c>
      <c r="J18" s="110">
        <f>H18-F18</f>
        <v/>
      </c>
      <c r="K18" s="110">
        <f>+H18-G18</f>
        <v/>
      </c>
      <c r="L18" s="39">
        <f>I18/F18</f>
        <v/>
      </c>
      <c r="M18" s="35" t="n">
        <v>793.8099999999999</v>
      </c>
      <c r="N18" s="35" t="n">
        <v>754.16</v>
      </c>
      <c r="O18" s="39">
        <f>(M18-N18)/N18</f>
        <v/>
      </c>
      <c r="P18" s="110">
        <f>N18*0.9056*0.85</f>
        <v/>
      </c>
      <c r="Q18" s="110">
        <f>N18*1.15</f>
        <v/>
      </c>
      <c r="R18" s="110">
        <f>IF(M18&lt;N18*0.9056*0.85,N18*0.9056*0.85,IF(M18&gt;N18*1.15,N18*1.15,M18))</f>
        <v/>
      </c>
      <c r="S18" s="110">
        <f>+F18*M18</f>
        <v/>
      </c>
      <c r="T18" s="110">
        <f>S18+R18*I18</f>
        <v/>
      </c>
      <c r="U18" s="106">
        <f>S18+R18*J18</f>
        <v/>
      </c>
      <c r="V18" s="100">
        <f>U18-S18</f>
        <v/>
      </c>
      <c r="W18" s="106">
        <f>+U18-T18</f>
        <v/>
      </c>
      <c r="X18" s="107">
        <f>+U18-T18</f>
        <v/>
      </c>
      <c r="Y18" s="34" t="n"/>
      <c r="Z18" s="42" t="n"/>
    </row>
    <row r="19" ht="20" customFormat="1" customHeight="1" s="7">
      <c r="A19" s="26" t="n">
        <v>13</v>
      </c>
      <c r="B19" s="26" t="inlineStr">
        <is>
          <t>010402001002</t>
        </is>
      </c>
      <c r="C19" s="26" t="inlineStr">
        <is>
          <t>砌块墙</t>
        </is>
      </c>
      <c r="D19" s="26" t="inlineStr">
        <is>
          <t>1.砌块品种、规格、强度等级:A5.0蒸压加气混凝土砌块
2.墙体类型:外墙
3.厚度:200
4.砂浆强度等级、配合比:DMM5专用砌筑砂浆</t>
        </is>
      </c>
      <c r="E19" s="26" t="inlineStr">
        <is>
          <t>m3</t>
        </is>
      </c>
      <c r="F19" s="27" t="n">
        <v>1133.36</v>
      </c>
      <c r="G19" s="100" t="n">
        <v>1141.36</v>
      </c>
      <c r="H19" s="106" t="n">
        <v>1015.03</v>
      </c>
      <c r="I19" s="100">
        <f>G19-F19</f>
        <v/>
      </c>
      <c r="J19" s="100">
        <f>H19-F19</f>
        <v/>
      </c>
      <c r="K19" s="100">
        <f>+H19-G19</f>
        <v/>
      </c>
      <c r="L19" s="37">
        <f>I19/F19</f>
        <v/>
      </c>
      <c r="M19" s="27" t="n">
        <v>589.41</v>
      </c>
      <c r="N19" s="27" t="n">
        <v>676.12</v>
      </c>
      <c r="O19" s="37">
        <f>(M19-N19)/N19</f>
        <v/>
      </c>
      <c r="P19" s="100">
        <f>N19*0.9056*0.85</f>
        <v/>
      </c>
      <c r="Q19" s="100">
        <f>N19*1.15</f>
        <v/>
      </c>
      <c r="R19" s="100">
        <f>IF(M19&lt;N19*0.9056*0.85,N19*0.9056*0.85,IF(M19&gt;N19*1.15,N19*1.15,M19))</f>
        <v/>
      </c>
      <c r="S19" s="100">
        <f>+F19*M19</f>
        <v/>
      </c>
      <c r="T19" s="100">
        <f>S19+R19*I19</f>
        <v/>
      </c>
      <c r="U19" s="106">
        <f>S19+R19*J19</f>
        <v/>
      </c>
      <c r="V19" s="100">
        <f>U19-S19</f>
        <v/>
      </c>
      <c r="W19" s="106">
        <f>+U19-T19</f>
        <v/>
      </c>
      <c r="X19" s="107">
        <f>+U19-T19</f>
        <v/>
      </c>
      <c r="Y19" s="26" t="n"/>
    </row>
    <row r="20" ht="20" customFormat="1" customHeight="1" s="8">
      <c r="A20" s="26" t="n">
        <v>14</v>
      </c>
      <c r="B20" s="26" t="inlineStr">
        <is>
          <t>010402001003</t>
        </is>
      </c>
      <c r="C20" s="26" t="inlineStr">
        <is>
          <t>砌块墙</t>
        </is>
      </c>
      <c r="D20" s="26" t="inlineStr">
        <is>
          <t>1.砌块品种、规格、强度等级:A5.0蒸压加气混凝土砌块
2.墙体类型:内墙
3.厚度:200
4.砂浆强度等级、配合比:DMM5专用砌筑砂浆</t>
        </is>
      </c>
      <c r="E20" s="26" t="inlineStr">
        <is>
          <t>m3</t>
        </is>
      </c>
      <c r="F20" s="27" t="n">
        <v>284.54</v>
      </c>
      <c r="G20" s="100" t="n">
        <v>307.27</v>
      </c>
      <c r="H20" s="106" t="n">
        <v>307.27</v>
      </c>
      <c r="I20" s="100">
        <f>G20-F20</f>
        <v/>
      </c>
      <c r="J20" s="100">
        <f>H20-F20</f>
        <v/>
      </c>
      <c r="K20" s="100">
        <f>+H20-G20</f>
        <v/>
      </c>
      <c r="L20" s="37">
        <f>I20/F20</f>
        <v/>
      </c>
      <c r="M20" s="27" t="n">
        <v>576.98</v>
      </c>
      <c r="N20" s="27" t="n">
        <v>661.47</v>
      </c>
      <c r="O20" s="37">
        <f>(M20-N20)/N20</f>
        <v/>
      </c>
      <c r="P20" s="100">
        <f>N20*0.9056*0.85</f>
        <v/>
      </c>
      <c r="Q20" s="100">
        <f>N20*1.15</f>
        <v/>
      </c>
      <c r="R20" s="100">
        <f>IF(M20&lt;N20*0.9056*0.85,N20*0.9056*0.85,IF(M20&gt;N20*1.15,N20*1.15,M20))</f>
        <v/>
      </c>
      <c r="S20" s="100">
        <f>+F20*M20</f>
        <v/>
      </c>
      <c r="T20" s="100">
        <f>S20+R20*I20</f>
        <v/>
      </c>
      <c r="U20" s="106">
        <f>S20+R20*J20</f>
        <v/>
      </c>
      <c r="V20" s="100">
        <f>U20-S20</f>
        <v/>
      </c>
      <c r="W20" s="106">
        <f>+U20-T20</f>
        <v/>
      </c>
      <c r="X20" s="107">
        <f>+U20-T20</f>
        <v/>
      </c>
      <c r="Y20" s="26" t="n"/>
    </row>
    <row r="21" ht="20" customFormat="1" customHeight="1" s="7">
      <c r="A21" s="26" t="n">
        <v>15</v>
      </c>
      <c r="B21" s="26" t="inlineStr">
        <is>
          <t>010402001004</t>
        </is>
      </c>
      <c r="C21" s="26" t="inlineStr">
        <is>
          <t>砌块墙</t>
        </is>
      </c>
      <c r="D21" s="26" t="inlineStr">
        <is>
          <t>1.砌块品种、规格、强度等级:A5.0蒸压加气混凝土砌块
2.墙体类型:内墙
3.厚度:100
4.砂浆强度等级、配合比:DMM5专用砌筑砂浆</t>
        </is>
      </c>
      <c r="E21" s="26" t="inlineStr">
        <is>
          <t>m3</t>
        </is>
      </c>
      <c r="F21" s="27" t="n">
        <v>9.087</v>
      </c>
      <c r="G21" s="100" t="n">
        <v>12.09</v>
      </c>
      <c r="H21" s="106" t="n">
        <v>12.09</v>
      </c>
      <c r="I21" s="100">
        <f>G21-F21</f>
        <v/>
      </c>
      <c r="J21" s="100">
        <f>H21-F21</f>
        <v/>
      </c>
      <c r="K21" s="100">
        <f>+H21-G21</f>
        <v/>
      </c>
      <c r="L21" s="37">
        <f>I21/F21</f>
        <v/>
      </c>
      <c r="M21" s="27" t="n">
        <v>599.54</v>
      </c>
      <c r="N21" s="27" t="n">
        <v>686.9</v>
      </c>
      <c r="O21" s="37">
        <f>(M21-N21)/N21</f>
        <v/>
      </c>
      <c r="P21" s="100">
        <f>N21*0.9056*0.85</f>
        <v/>
      </c>
      <c r="Q21" s="100">
        <f>N21*1.15</f>
        <v/>
      </c>
      <c r="R21" s="100">
        <f>IF(M21&lt;N21*0.9056*0.85,N21*0.9056*0.85,IF(M21&gt;N21*1.15,N21*1.15,M21))</f>
        <v/>
      </c>
      <c r="S21" s="100">
        <f>+F21*M21</f>
        <v/>
      </c>
      <c r="T21" s="100">
        <f>S21+R21*I21</f>
        <v/>
      </c>
      <c r="U21" s="106">
        <f>S21+R21*J21</f>
        <v/>
      </c>
      <c r="V21" s="100">
        <f>U21-S21</f>
        <v/>
      </c>
      <c r="W21" s="106">
        <f>+U21-T21</f>
        <v/>
      </c>
      <c r="X21" s="107">
        <f>+U21-T21</f>
        <v/>
      </c>
      <c r="Y21" s="26" t="n"/>
    </row>
    <row r="22" ht="20" customFormat="1" customHeight="1" s="7">
      <c r="A22" s="26" t="n">
        <v>16</v>
      </c>
      <c r="B22" s="26" t="inlineStr">
        <is>
          <t>010402001007</t>
        </is>
      </c>
      <c r="C22" s="26" t="inlineStr">
        <is>
          <t>砌块墙</t>
        </is>
      </c>
      <c r="D22" s="26" t="inlineStr">
        <is>
          <t>1.砌块品种、规格、强度等级:A5.0蒸压加气混凝土砌块
2.墙体类型:装饰墙
3.厚度:100
4.砂浆强度等级、配合比:DMM5专用砌筑砂浆</t>
        </is>
      </c>
      <c r="E22" s="26" t="inlineStr">
        <is>
          <t>m3</t>
        </is>
      </c>
      <c r="F22" s="27" t="n">
        <v>45.56</v>
      </c>
      <c r="G22" s="100" t="n">
        <v>83.18000000000001</v>
      </c>
      <c r="H22" s="106" t="n">
        <v>83.18000000000001</v>
      </c>
      <c r="I22" s="100">
        <f>G22-F22</f>
        <v/>
      </c>
      <c r="J22" s="100">
        <f>H22-F22</f>
        <v/>
      </c>
      <c r="K22" s="100">
        <f>+H22-G22</f>
        <v/>
      </c>
      <c r="L22" s="37">
        <f>I22/F22</f>
        <v/>
      </c>
      <c r="M22" s="27" t="n">
        <v>599.53</v>
      </c>
      <c r="N22" s="27" t="n">
        <v>686.9</v>
      </c>
      <c r="O22" s="37">
        <f>(M22-N22)/N22</f>
        <v/>
      </c>
      <c r="P22" s="100">
        <f>N22*0.9056*0.85</f>
        <v/>
      </c>
      <c r="Q22" s="100">
        <f>N22*1.15</f>
        <v/>
      </c>
      <c r="R22" s="100">
        <f>IF(M22&lt;N22*0.9056*0.85,N22*0.9056*0.85,IF(M22&gt;N22*1.15,N22*1.15,M22))</f>
        <v/>
      </c>
      <c r="S22" s="100">
        <f>+F22*M22</f>
        <v/>
      </c>
      <c r="T22" s="100">
        <f>S22+R22*I22</f>
        <v/>
      </c>
      <c r="U22" s="106">
        <f>S22+R22*J22</f>
        <v/>
      </c>
      <c r="V22" s="100">
        <f>U22-S22</f>
        <v/>
      </c>
      <c r="W22" s="106">
        <f>+U22-T22</f>
        <v/>
      </c>
      <c r="X22" s="107">
        <f>+U22-T22</f>
        <v/>
      </c>
      <c r="Y22" s="26" t="n"/>
    </row>
    <row r="23" ht="20" customFormat="1" customHeight="1" s="7">
      <c r="A23" s="26" t="n">
        <v>17</v>
      </c>
      <c r="B23" s="26" t="inlineStr">
        <is>
          <t>010402001006</t>
        </is>
      </c>
      <c r="C23" s="26" t="inlineStr">
        <is>
          <t>砌块墙</t>
        </is>
      </c>
      <c r="D23" s="26" t="inlineStr">
        <is>
          <t>1.砌块品种、规格、强度等级:MU15混凝土实心砖
2.墙体类型:女儿墙
3.厚度:200
4.砂浆强度等级、配合比:DMM10专用砌筑砂浆</t>
        </is>
      </c>
      <c r="E23" s="26" t="inlineStr">
        <is>
          <t>m3</t>
        </is>
      </c>
      <c r="F23" s="27" t="n">
        <v>23.9</v>
      </c>
      <c r="G23" s="100" t="n">
        <v>28.9</v>
      </c>
      <c r="H23" s="106" t="n">
        <v>19.78</v>
      </c>
      <c r="I23" s="100">
        <f>G23-F23</f>
        <v/>
      </c>
      <c r="J23" s="100">
        <f>H23-F23</f>
        <v/>
      </c>
      <c r="K23" s="100">
        <f>+H23-G23</f>
        <v/>
      </c>
      <c r="L23" s="37">
        <f>I23/F23</f>
        <v/>
      </c>
      <c r="M23" s="27" t="n">
        <v>591.21</v>
      </c>
      <c r="N23" s="27" t="n">
        <v>677</v>
      </c>
      <c r="O23" s="37">
        <f>(M23-N23)/N23</f>
        <v/>
      </c>
      <c r="P23" s="100">
        <f>N23*0.9056*0.85</f>
        <v/>
      </c>
      <c r="Q23" s="100">
        <f>N23*1.15</f>
        <v/>
      </c>
      <c r="R23" s="100">
        <f>IF(M23&lt;N23*0.9056*0.85,N23*0.9056*0.85,IF(M23&gt;N23*1.15,N23*1.15,M23))</f>
        <v/>
      </c>
      <c r="S23" s="100">
        <f>+F23*M23</f>
        <v/>
      </c>
      <c r="T23" s="100">
        <f>S23+R23*I23</f>
        <v/>
      </c>
      <c r="U23" s="106">
        <f>S23+R23*J23</f>
        <v/>
      </c>
      <c r="V23" s="100">
        <f>U23-S23</f>
        <v/>
      </c>
      <c r="W23" s="106">
        <f>+U23-T23</f>
        <v/>
      </c>
      <c r="X23" s="107">
        <f>+U23-T23</f>
        <v/>
      </c>
      <c r="Y23" s="26" t="n"/>
    </row>
    <row r="24" ht="20" customFormat="1" customHeight="1" s="7">
      <c r="A24" s="26" t="n">
        <v>18</v>
      </c>
      <c r="B24" s="26" t="inlineStr">
        <is>
          <t>010401012002</t>
        </is>
      </c>
      <c r="C24" s="26" t="inlineStr">
        <is>
          <t>零星砌砖</t>
        </is>
      </c>
      <c r="D24" s="26" t="inlineStr">
        <is>
          <t>1.砖砌台阶
2.MU10轻质砖
3.砂浆强度等级、配合比:M7.5水泥砂浆</t>
        </is>
      </c>
      <c r="E24" s="26" t="inlineStr">
        <is>
          <t>m2</t>
        </is>
      </c>
      <c r="F24" s="27" t="n">
        <v>22.87</v>
      </c>
      <c r="G24" s="100" t="n">
        <v>22.87</v>
      </c>
      <c r="H24" s="106" t="n">
        <v>13.34</v>
      </c>
      <c r="I24" s="100">
        <f>G24-F24</f>
        <v/>
      </c>
      <c r="J24" s="100">
        <f>H24-F24</f>
        <v/>
      </c>
      <c r="K24" s="100">
        <f>+H24-G24</f>
        <v/>
      </c>
      <c r="L24" s="37">
        <f>I24/F24</f>
        <v/>
      </c>
      <c r="M24" s="27" t="n">
        <v>159.51</v>
      </c>
      <c r="N24" s="27" t="n">
        <v>189.88</v>
      </c>
      <c r="O24" s="37">
        <f>(M24-N24)/N24</f>
        <v/>
      </c>
      <c r="P24" s="100">
        <f>N24*0.9056*0.85</f>
        <v/>
      </c>
      <c r="Q24" s="100">
        <f>N24*1.15</f>
        <v/>
      </c>
      <c r="R24" s="100">
        <f>IF(M24&lt;N24*0.9056*0.85,N24*0.9056*0.85,IF(M24&gt;N24*1.15,N24*1.15,M24))</f>
        <v/>
      </c>
      <c r="S24" s="100">
        <f>+F24*M24</f>
        <v/>
      </c>
      <c r="T24" s="100">
        <f>S24+R24*I24</f>
        <v/>
      </c>
      <c r="U24" s="106">
        <f>S24+R24*J24</f>
        <v/>
      </c>
      <c r="V24" s="100">
        <f>U24-S24</f>
        <v/>
      </c>
      <c r="W24" s="106">
        <f>+U24-T24</f>
        <v/>
      </c>
      <c r="X24" s="107">
        <f>+U24-T24</f>
        <v/>
      </c>
      <c r="Y24" s="26" t="n"/>
    </row>
    <row r="25" ht="20" customFormat="1" customHeight="1" s="7">
      <c r="A25" s="34" t="n">
        <v>19</v>
      </c>
      <c r="B25" s="34" t="inlineStr">
        <is>
          <t>010401012004</t>
        </is>
      </c>
      <c r="C25" s="34" t="inlineStr">
        <is>
          <t>零星砌砖</t>
        </is>
      </c>
      <c r="D25" s="34" t="inlineStr">
        <is>
          <t>1.花池
2.MU10轻质砖
3.砂浆强度等级、配合比:M7.5水泥砂浆</t>
        </is>
      </c>
      <c r="E25" s="34" t="inlineStr">
        <is>
          <t>m3</t>
        </is>
      </c>
      <c r="F25" s="35" t="n">
        <v>17.01</v>
      </c>
      <c r="G25" s="110" t="n">
        <v>20.5</v>
      </c>
      <c r="H25" s="106" t="n">
        <v>18.49</v>
      </c>
      <c r="I25" s="110">
        <f>G25-F25</f>
        <v/>
      </c>
      <c r="J25" s="110">
        <f>H25-F25</f>
        <v/>
      </c>
      <c r="K25" s="110">
        <f>+H25-G25</f>
        <v/>
      </c>
      <c r="L25" s="39">
        <f>I25/F25</f>
        <v/>
      </c>
      <c r="M25" s="35" t="n">
        <v>722.98</v>
      </c>
      <c r="N25" s="35" t="n">
        <v>864.65</v>
      </c>
      <c r="O25" s="39">
        <f>(M25-N25)/N25</f>
        <v/>
      </c>
      <c r="P25" s="110">
        <f>N25*0.9056*0.85</f>
        <v/>
      </c>
      <c r="Q25" s="110">
        <f>N25*1.15</f>
        <v/>
      </c>
      <c r="R25" s="110">
        <f>IF(M25&lt;N25*0.9056*0.85,N25*0.9056*0.85,IF(M25&gt;N25*1.15,N25*1.15,M25))</f>
        <v/>
      </c>
      <c r="S25" s="110">
        <f>+F25*M25</f>
        <v/>
      </c>
      <c r="T25" s="110">
        <f>S25+R25*I25</f>
        <v/>
      </c>
      <c r="U25" s="106">
        <f>S25+R25*J25</f>
        <v/>
      </c>
      <c r="V25" s="100">
        <f>U25-S25</f>
        <v/>
      </c>
      <c r="W25" s="106">
        <f>+U25-T25</f>
        <v/>
      </c>
      <c r="X25" s="107">
        <f>+U25-T25</f>
        <v/>
      </c>
      <c r="Y25" s="34" t="n"/>
    </row>
    <row r="26" ht="20" customFormat="1" customHeight="1" s="7">
      <c r="A26" s="26" t="n">
        <v>20</v>
      </c>
      <c r="B26" s="26" t="inlineStr">
        <is>
          <t>010401003001</t>
        </is>
      </c>
      <c r="C26" s="26" t="inlineStr">
        <is>
          <t>实心砖墙</t>
        </is>
      </c>
      <c r="D26" s="26" t="inlineStr">
        <is>
          <t>1.轻质砖
2.墙体类型:内墙
3.120
4.砂浆强度等级、配合比:DMM5专用砌筑砂浆</t>
        </is>
      </c>
      <c r="E26" s="26" t="inlineStr">
        <is>
          <t>m3</t>
        </is>
      </c>
      <c r="F26" s="27" t="n">
        <v>5.6117</v>
      </c>
      <c r="G26" s="100" t="n">
        <v>5.61</v>
      </c>
      <c r="H26" s="106" t="n">
        <v>3.93</v>
      </c>
      <c r="I26" s="100">
        <f>G26-F26</f>
        <v/>
      </c>
      <c r="J26" s="100">
        <f>H26-F26</f>
        <v/>
      </c>
      <c r="K26" s="100">
        <f>+H26-G26</f>
        <v/>
      </c>
      <c r="L26" s="37">
        <f>I26/F26</f>
        <v/>
      </c>
      <c r="M26" s="27" t="n">
        <v>586.04</v>
      </c>
      <c r="N26" s="27" t="n">
        <v>735.46</v>
      </c>
      <c r="O26" s="37">
        <f>(M26-N26)/N26</f>
        <v/>
      </c>
      <c r="P26" s="100">
        <f>N26*0.9056*0.85</f>
        <v/>
      </c>
      <c r="Q26" s="100">
        <f>N26*1.15</f>
        <v/>
      </c>
      <c r="R26" s="100">
        <f>IF(M26&lt;N26*0.9056*0.85,N26*0.9056*0.85,IF(M26&gt;N26*1.15,N26*1.15,M26))</f>
        <v/>
      </c>
      <c r="S26" s="100">
        <f>+F26*M26</f>
        <v/>
      </c>
      <c r="T26" s="100">
        <f>S26+R26*I26</f>
        <v/>
      </c>
      <c r="U26" s="106">
        <f>S26+R26*J26</f>
        <v/>
      </c>
      <c r="V26" s="100">
        <f>U26-S26</f>
        <v/>
      </c>
      <c r="W26" s="106">
        <f>+U26-T26</f>
        <v/>
      </c>
      <c r="X26" s="107">
        <f>+U26-T26</f>
        <v/>
      </c>
      <c r="Y26" s="26" t="n"/>
    </row>
    <row r="27" ht="20" customFormat="1" customHeight="1" s="8">
      <c r="A27" s="26" t="n"/>
      <c r="B27" s="26" t="n"/>
      <c r="C27" s="26" t="inlineStr">
        <is>
          <t>混凝土及钢筋混凝土工程</t>
        </is>
      </c>
      <c r="D27" s="26" t="n"/>
      <c r="E27" s="26" t="n"/>
      <c r="F27" s="27" t="n"/>
      <c r="G27" s="100" t="n"/>
      <c r="H27" s="28" t="n"/>
      <c r="I27" s="100" t="n"/>
      <c r="J27" s="100" t="n"/>
      <c r="K27" s="100" t="n"/>
      <c r="L27" s="37" t="n"/>
      <c r="M27" s="27" t="n"/>
      <c r="N27" s="27" t="n"/>
      <c r="O27" s="27" t="n"/>
      <c r="P27" s="27" t="n"/>
      <c r="Q27" s="27" t="n"/>
      <c r="R27" s="100" t="n"/>
      <c r="S27" s="100">
        <f>+SUM(S28:S58)</f>
        <v/>
      </c>
      <c r="T27" s="100">
        <f>+SUM(T28:T58)</f>
        <v/>
      </c>
      <c r="U27" s="106">
        <f>SUM(U28:U58)</f>
        <v/>
      </c>
      <c r="V27" s="100">
        <f>U27-S27</f>
        <v/>
      </c>
      <c r="W27" s="106">
        <f>+U27-T27</f>
        <v/>
      </c>
      <c r="X27" s="107">
        <f>U27-T27</f>
        <v/>
      </c>
      <c r="Y27" s="26" t="n"/>
    </row>
    <row r="28" ht="20" customFormat="1" customHeight="1" s="7">
      <c r="A28" s="34" t="n">
        <v>21</v>
      </c>
      <c r="B28" s="34" t="inlineStr">
        <is>
          <t>010501001002</t>
        </is>
      </c>
      <c r="C28" s="34" t="inlineStr">
        <is>
          <t>垫层</t>
        </is>
      </c>
      <c r="D28" s="34" t="inlineStr">
        <is>
          <t>1.垫层
2.混凝土种类:预拌混凝土
3.混凝土强度等级:C15
4.含混凝土泵送费用</t>
        </is>
      </c>
      <c r="E28" s="34" t="inlineStr">
        <is>
          <t>m3</t>
        </is>
      </c>
      <c r="F28" s="35" t="n">
        <v>214.32</v>
      </c>
      <c r="G28" s="110" t="n">
        <v>218.67</v>
      </c>
      <c r="H28" s="106" t="n">
        <v>218.67</v>
      </c>
      <c r="I28" s="110">
        <f>G28-F28</f>
        <v/>
      </c>
      <c r="J28" s="110">
        <f>H28-F28</f>
        <v/>
      </c>
      <c r="K28" s="110">
        <f>+H28-G28</f>
        <v/>
      </c>
      <c r="L28" s="39">
        <f>I28/F28</f>
        <v/>
      </c>
      <c r="M28" s="35" t="n">
        <v>626.1799999999999</v>
      </c>
      <c r="N28" s="35" t="n">
        <v>830</v>
      </c>
      <c r="O28" s="39">
        <f>(M28-N28)/N28</f>
        <v/>
      </c>
      <c r="P28" s="110">
        <f>N28*0.9056*0.85</f>
        <v/>
      </c>
      <c r="Q28" s="110">
        <f>N28*1.15</f>
        <v/>
      </c>
      <c r="R28" s="110">
        <f>IF(M28&lt;N28*0.9056*0.85,N28*0.9056*0.85,IF(M28&gt;N28*1.15,N28*1.15,M28))</f>
        <v/>
      </c>
      <c r="S28" s="110">
        <f>+F28*M28</f>
        <v/>
      </c>
      <c r="T28" s="110">
        <f>S28+R28*I28</f>
        <v/>
      </c>
      <c r="U28" s="106">
        <f>S28+R28*J28</f>
        <v/>
      </c>
      <c r="V28" s="100">
        <f>U28-S28</f>
        <v/>
      </c>
      <c r="W28" s="106">
        <f>+U28-T28</f>
        <v/>
      </c>
      <c r="X28" s="107">
        <f>+U28-T28</f>
        <v/>
      </c>
      <c r="Y28" s="34" t="n"/>
    </row>
    <row r="29" ht="20" customFormat="1" customHeight="1" s="7">
      <c r="A29" s="34" t="n">
        <v>22</v>
      </c>
      <c r="B29" s="34" t="inlineStr">
        <is>
          <t>010501005001</t>
        </is>
      </c>
      <c r="C29" s="34" t="inlineStr">
        <is>
          <t>桩承台基础</t>
        </is>
      </c>
      <c r="D29" s="34" t="inlineStr">
        <is>
          <t>1.桩承台
2.混凝土种类:预拌混凝土
3.混凝土强度等级:C35
4.含混凝土泵送费用</t>
        </is>
      </c>
      <c r="E29" s="34" t="inlineStr">
        <is>
          <t>m3</t>
        </is>
      </c>
      <c r="F29" s="35" t="n">
        <v>207.67</v>
      </c>
      <c r="G29" s="110" t="n">
        <v>302.65</v>
      </c>
      <c r="H29" s="106">
        <f>202.46+85.77</f>
        <v/>
      </c>
      <c r="I29" s="110">
        <f>G29-F29</f>
        <v/>
      </c>
      <c r="J29" s="110">
        <f>H29-F29</f>
        <v/>
      </c>
      <c r="K29" s="110">
        <f>+H29-G29</f>
        <v/>
      </c>
      <c r="L29" s="39">
        <f>I29/F29</f>
        <v/>
      </c>
      <c r="M29" s="35" t="n">
        <v>687.16</v>
      </c>
      <c r="N29" s="35" t="n">
        <v>861.01</v>
      </c>
      <c r="O29" s="39">
        <f>(M29-N29)/N29</f>
        <v/>
      </c>
      <c r="P29" s="110">
        <f>N29*0.9056*0.85</f>
        <v/>
      </c>
      <c r="Q29" s="110">
        <f>N29*1.15</f>
        <v/>
      </c>
      <c r="R29" s="110">
        <f>IF(M29&lt;N29*0.9056*0.85,N29*0.9056*0.85,IF(M29&gt;N29*1.15,N29*1.15,M29))</f>
        <v/>
      </c>
      <c r="S29" s="110">
        <f>+F29*M29</f>
        <v/>
      </c>
      <c r="T29" s="110">
        <f>S29+R29*I29</f>
        <v/>
      </c>
      <c r="U29" s="106">
        <f>S29+R29*J29</f>
        <v/>
      </c>
      <c r="V29" s="100">
        <f>U29-S29</f>
        <v/>
      </c>
      <c r="W29" s="106">
        <f>+U29-T29</f>
        <v/>
      </c>
      <c r="X29" s="107">
        <f>+U29-T29</f>
        <v/>
      </c>
      <c r="Y29" s="34" t="n"/>
    </row>
    <row r="30" ht="20" customFormat="1" customHeight="1" s="8">
      <c r="A30" s="26" t="n">
        <v>23</v>
      </c>
      <c r="B30" s="26" t="inlineStr">
        <is>
          <t>010503001001</t>
        </is>
      </c>
      <c r="C30" s="26" t="inlineStr">
        <is>
          <t>基础梁</t>
        </is>
      </c>
      <c r="D30" s="26" t="inlineStr">
        <is>
          <t>1.基础梁
2.混凝土种类:预拌混凝土
3.混凝土强度等级:C35
4.含混凝土泵送费用</t>
        </is>
      </c>
      <c r="E30" s="26" t="inlineStr">
        <is>
          <t>m3</t>
        </is>
      </c>
      <c r="F30" s="27" t="n">
        <v>147.955</v>
      </c>
      <c r="G30" s="100" t="n">
        <v>129.16</v>
      </c>
      <c r="H30" s="106" t="n">
        <v>129.16</v>
      </c>
      <c r="I30" s="100">
        <f>G30-F30</f>
        <v/>
      </c>
      <c r="J30" s="100">
        <f>H30-F30</f>
        <v/>
      </c>
      <c r="K30" s="100">
        <f>+H30-G30</f>
        <v/>
      </c>
      <c r="L30" s="37">
        <f>I30/F30</f>
        <v/>
      </c>
      <c r="M30" s="27" t="n">
        <v>679.67</v>
      </c>
      <c r="N30" s="27" t="n">
        <v>853.6900000000001</v>
      </c>
      <c r="O30" s="37">
        <f>(M30-N30)/N30</f>
        <v/>
      </c>
      <c r="P30" s="100">
        <f>N30*0.9056*0.85</f>
        <v/>
      </c>
      <c r="Q30" s="100">
        <f>N30*1.15</f>
        <v/>
      </c>
      <c r="R30" s="100">
        <f>IF(M30&lt;N30*0.9056*0.85,N30*0.9056*0.85,IF(M30&gt;N30*1.15,N30*1.15,M30))</f>
        <v/>
      </c>
      <c r="S30" s="100">
        <f>+F30*M30</f>
        <v/>
      </c>
      <c r="T30" s="100">
        <f>S30+R30*I30</f>
        <v/>
      </c>
      <c r="U30" s="106">
        <f>S30+R30*J30</f>
        <v/>
      </c>
      <c r="V30" s="100">
        <f>U30-S30</f>
        <v/>
      </c>
      <c r="W30" s="106">
        <f>+U30-T30</f>
        <v/>
      </c>
      <c r="X30" s="107">
        <f>+U30-T30</f>
        <v/>
      </c>
      <c r="Y30" s="26" t="n"/>
    </row>
    <row r="31" ht="20" customFormat="1" customHeight="1" s="8">
      <c r="A31" s="26" t="n">
        <v>24</v>
      </c>
      <c r="B31" s="26" t="inlineStr">
        <is>
          <t>010501004002</t>
        </is>
      </c>
      <c r="C31" s="26" t="inlineStr">
        <is>
          <t>满堂基础</t>
        </is>
      </c>
      <c r="D31" s="26" t="inlineStr">
        <is>
          <t>1.满堂基础
2.预拌混凝土
3.混凝土强度等级:C35
4.含混凝土泵送费用</t>
        </is>
      </c>
      <c r="E31" s="26" t="inlineStr">
        <is>
          <t>m3</t>
        </is>
      </c>
      <c r="F31" s="27" t="n">
        <v>190.44</v>
      </c>
      <c r="G31" s="100" t="n">
        <v>218.73</v>
      </c>
      <c r="H31" s="106" t="n">
        <v>208.31</v>
      </c>
      <c r="I31" s="100">
        <f>G31-F31</f>
        <v/>
      </c>
      <c r="J31" s="100">
        <f>H31-F31</f>
        <v/>
      </c>
      <c r="K31" s="100">
        <f>+H31-G31</f>
        <v/>
      </c>
      <c r="L31" s="37">
        <f>I31/F31</f>
        <v/>
      </c>
      <c r="M31" s="27" t="n">
        <v>686.38</v>
      </c>
      <c r="N31" s="27" t="n">
        <v>909.17</v>
      </c>
      <c r="O31" s="37">
        <f>(M31-N31)/N31</f>
        <v/>
      </c>
      <c r="P31" s="100">
        <f>N31*0.9056*0.85</f>
        <v/>
      </c>
      <c r="Q31" s="100">
        <f>N31*1.15</f>
        <v/>
      </c>
      <c r="R31" s="100">
        <f>IF(M31&lt;N31*0.9056*0.85,N31*0.9056*0.85,IF(M31&gt;N31*1.15,N31*1.15,M31))</f>
        <v/>
      </c>
      <c r="S31" s="100">
        <f>+F31*M31</f>
        <v/>
      </c>
      <c r="T31" s="100">
        <f>S31+R31*I31</f>
        <v/>
      </c>
      <c r="U31" s="106">
        <f>S31+R31*J31</f>
        <v/>
      </c>
      <c r="V31" s="100">
        <f>U31-S31</f>
        <v/>
      </c>
      <c r="W31" s="106">
        <f>+U31-T31</f>
        <v/>
      </c>
      <c r="X31" s="107">
        <f>+U31-T31</f>
        <v/>
      </c>
      <c r="Y31" s="26" t="n"/>
    </row>
    <row r="32" ht="20" customFormat="1" customHeight="1" s="7">
      <c r="A32" s="26" t="n">
        <v>25</v>
      </c>
      <c r="B32" s="26" t="inlineStr">
        <is>
          <t>010502001002</t>
        </is>
      </c>
      <c r="C32" s="26" t="inlineStr">
        <is>
          <t>矩形柱</t>
        </is>
      </c>
      <c r="D32" s="26" t="inlineStr">
        <is>
          <t>1.现浇建筑物混凝土矩形柱
2.混凝土种类:预拌混凝土
3.混凝土强度等级:C40
4.含混凝土泵送费用</t>
        </is>
      </c>
      <c r="E32" s="26" t="inlineStr">
        <is>
          <t>m3</t>
        </is>
      </c>
      <c r="F32" s="27" t="n">
        <v>191.488</v>
      </c>
      <c r="G32" s="100" t="n">
        <v>184.33</v>
      </c>
      <c r="H32" s="106" t="n">
        <v>175.55</v>
      </c>
      <c r="I32" s="100">
        <f>G32-F32</f>
        <v/>
      </c>
      <c r="J32" s="100">
        <f>H32-F32</f>
        <v/>
      </c>
      <c r="K32" s="100">
        <f>+H32-G32</f>
        <v/>
      </c>
      <c r="L32" s="37">
        <f>I32/F32</f>
        <v/>
      </c>
      <c r="M32" s="27" t="n">
        <v>787.99</v>
      </c>
      <c r="N32" s="27" t="n">
        <v>990.83</v>
      </c>
      <c r="O32" s="37">
        <f>(M32-N32)/N32</f>
        <v/>
      </c>
      <c r="P32" s="100">
        <f>N32*0.9056*0.85</f>
        <v/>
      </c>
      <c r="Q32" s="100">
        <f>N32*1.15</f>
        <v/>
      </c>
      <c r="R32" s="100">
        <f>IF(M32&lt;N32*0.9056*0.85,N32*0.9056*0.85,IF(M32&gt;N32*1.15,N32*1.15,M32))</f>
        <v/>
      </c>
      <c r="S32" s="100">
        <f>+F32*M32</f>
        <v/>
      </c>
      <c r="T32" s="100">
        <f>S32+R32*I32</f>
        <v/>
      </c>
      <c r="U32" s="106">
        <f>S32+R32*J32</f>
        <v/>
      </c>
      <c r="V32" s="100">
        <f>U32-S32</f>
        <v/>
      </c>
      <c r="W32" s="106">
        <f>+U32-T32</f>
        <v/>
      </c>
      <c r="X32" s="107">
        <f>+U32-T32</f>
        <v/>
      </c>
      <c r="Y32" s="26" t="n"/>
    </row>
    <row r="33" ht="20" customFormat="1" customHeight="1" s="7">
      <c r="A33" s="26" t="n">
        <v>26</v>
      </c>
      <c r="B33" s="26" t="inlineStr">
        <is>
          <t>010502001006</t>
        </is>
      </c>
      <c r="C33" s="26" t="inlineStr">
        <is>
          <t>矩形柱</t>
        </is>
      </c>
      <c r="D33" s="26" t="inlineStr">
        <is>
          <t>1.现浇建筑物混凝土矩形柱
2.混凝土种类:预拌混凝土
3.混凝土强度等级:C35
4.含混凝土泵送费用</t>
        </is>
      </c>
      <c r="E33" s="26" t="inlineStr">
        <is>
          <t>m3</t>
        </is>
      </c>
      <c r="F33" s="27" t="n">
        <v>133.32</v>
      </c>
      <c r="G33" s="100" t="n">
        <v>140.88</v>
      </c>
      <c r="H33" s="106" t="n">
        <v>134.17</v>
      </c>
      <c r="I33" s="100">
        <f>G33-F33</f>
        <v/>
      </c>
      <c r="J33" s="100">
        <f>H33-F33</f>
        <v/>
      </c>
      <c r="K33" s="100">
        <f>+H33-G33</f>
        <v/>
      </c>
      <c r="L33" s="37">
        <f>I33/F33</f>
        <v/>
      </c>
      <c r="M33" s="27" t="n">
        <v>777.84</v>
      </c>
      <c r="N33" s="27" t="n">
        <v>975.54</v>
      </c>
      <c r="O33" s="37">
        <f>(M33-N33)/N33</f>
        <v/>
      </c>
      <c r="P33" s="100">
        <f>N33*0.9056*0.85</f>
        <v/>
      </c>
      <c r="Q33" s="100">
        <f>N33*1.15</f>
        <v/>
      </c>
      <c r="R33" s="100">
        <f>IF(M33&lt;N33*0.9056*0.85,N33*0.9056*0.85,IF(M33&gt;N33*1.15,N33*1.15,M33))</f>
        <v/>
      </c>
      <c r="S33" s="100">
        <f>+F33*M33</f>
        <v/>
      </c>
      <c r="T33" s="100">
        <f>S33+R33*I33</f>
        <v/>
      </c>
      <c r="U33" s="106">
        <f>S33+R33*J33</f>
        <v/>
      </c>
      <c r="V33" s="100">
        <f>U33-S33</f>
        <v/>
      </c>
      <c r="W33" s="106">
        <f>+U33-T33</f>
        <v/>
      </c>
      <c r="X33" s="107">
        <f>+U33-T33</f>
        <v/>
      </c>
      <c r="Y33" s="26" t="n"/>
    </row>
    <row r="34" ht="20" customFormat="1" customHeight="1" s="7">
      <c r="A34" s="34" t="n">
        <v>27</v>
      </c>
      <c r="B34" s="34" t="inlineStr">
        <is>
          <t>010502001004</t>
        </is>
      </c>
      <c r="C34" s="34" t="inlineStr">
        <is>
          <t>矩形柱</t>
        </is>
      </c>
      <c r="D34" s="34" t="inlineStr">
        <is>
          <t>1.现浇建筑物混凝土矩形柱
2.混凝土种类:预拌混凝土
3.混凝土强度等级:C30
4.含混凝土泵送费用</t>
        </is>
      </c>
      <c r="E34" s="34" t="inlineStr">
        <is>
          <t>m3</t>
        </is>
      </c>
      <c r="F34" s="35" t="n">
        <v>167.06</v>
      </c>
      <c r="G34" s="110" t="n">
        <v>195.11</v>
      </c>
      <c r="H34" s="106" t="n">
        <v>185.82</v>
      </c>
      <c r="I34" s="110">
        <f>G34-F34</f>
        <v/>
      </c>
      <c r="J34" s="110">
        <f>H34-F34</f>
        <v/>
      </c>
      <c r="K34" s="110">
        <f>+H34-G34</f>
        <v/>
      </c>
      <c r="L34" s="39">
        <f>I34/F34</f>
        <v/>
      </c>
      <c r="M34" s="35" t="n">
        <v>767.6900000000001</v>
      </c>
      <c r="N34" s="35" t="n">
        <v>959.74</v>
      </c>
      <c r="O34" s="39">
        <f>(M34-N34)/N34</f>
        <v/>
      </c>
      <c r="P34" s="110">
        <f>N34*0.9056*0.85</f>
        <v/>
      </c>
      <c r="Q34" s="110">
        <f>N34*1.15</f>
        <v/>
      </c>
      <c r="R34" s="110">
        <f>IF(M34&lt;N34*0.9056*0.85,N34*0.9056*0.85,IF(M34&gt;N34*1.15,N34*1.15,M34))</f>
        <v/>
      </c>
      <c r="S34" s="110">
        <f>+F34*M34</f>
        <v/>
      </c>
      <c r="T34" s="110">
        <f>S34+R34*I34</f>
        <v/>
      </c>
      <c r="U34" s="106">
        <f>S34+R34*J34</f>
        <v/>
      </c>
      <c r="V34" s="100">
        <f>U34-S34</f>
        <v/>
      </c>
      <c r="W34" s="106">
        <f>+U34-T34</f>
        <v/>
      </c>
      <c r="X34" s="107">
        <f>+U34-T34</f>
        <v/>
      </c>
      <c r="Y34" s="34" t="n"/>
    </row>
    <row r="35" ht="20" customFormat="1" customHeight="1" s="7">
      <c r="A35" s="26" t="n">
        <v>28</v>
      </c>
      <c r="B35" s="26" t="inlineStr">
        <is>
          <t>010502001007</t>
        </is>
      </c>
      <c r="C35" s="26" t="inlineStr">
        <is>
          <t>异形柱</t>
        </is>
      </c>
      <c r="D35" s="26" t="inlineStr">
        <is>
          <t>1.现浇建筑物混凝土异形柱
2.混凝土种类:预拌混凝土
3.混凝土强度等级:C40
4.含混凝土泵送费用</t>
        </is>
      </c>
      <c r="E35" s="26" t="inlineStr">
        <is>
          <t>m3</t>
        </is>
      </c>
      <c r="F35" s="27" t="n">
        <v>43.022</v>
      </c>
      <c r="G35" s="100" t="n">
        <v>57.83</v>
      </c>
      <c r="H35" s="106" t="n">
        <v>57.83</v>
      </c>
      <c r="I35" s="100">
        <f>G35-F35</f>
        <v/>
      </c>
      <c r="J35" s="100">
        <f>H35-F35</f>
        <v/>
      </c>
      <c r="K35" s="100">
        <f>+H35-G35</f>
        <v/>
      </c>
      <c r="L35" s="37">
        <f>I35/F35</f>
        <v/>
      </c>
      <c r="M35" s="27" t="n">
        <v>787.99</v>
      </c>
      <c r="N35" s="27" t="n">
        <v>990.83</v>
      </c>
      <c r="O35" s="37">
        <f>(M35-N35)/N35</f>
        <v/>
      </c>
      <c r="P35" s="100">
        <f>N35*0.9056*0.85</f>
        <v/>
      </c>
      <c r="Q35" s="100">
        <f>N35*1.15</f>
        <v/>
      </c>
      <c r="R35" s="100">
        <f>IF(M35&lt;N35*0.9056*0.85,N35*0.9056*0.85,IF(M35&gt;N35*1.15,N35*1.15,M35))</f>
        <v/>
      </c>
      <c r="S35" s="100">
        <f>+F35*M35</f>
        <v/>
      </c>
      <c r="T35" s="100">
        <f>S35+R35*I35</f>
        <v/>
      </c>
      <c r="U35" s="106">
        <f>S35+R35*J35</f>
        <v/>
      </c>
      <c r="V35" s="100">
        <f>U35-S35</f>
        <v/>
      </c>
      <c r="W35" s="106">
        <f>+U35-T35</f>
        <v/>
      </c>
      <c r="X35" s="107">
        <f>+U35-T35</f>
        <v/>
      </c>
      <c r="Y35" s="26" t="n"/>
    </row>
    <row r="36" ht="20" customFormat="1" customHeight="1" s="8">
      <c r="A36" s="26" t="n">
        <v>29</v>
      </c>
      <c r="B36" s="26" t="inlineStr">
        <is>
          <t>010502001008</t>
        </is>
      </c>
      <c r="C36" s="26" t="inlineStr">
        <is>
          <t>异形柱</t>
        </is>
      </c>
      <c r="D36" s="26" t="inlineStr">
        <is>
          <t>1.现浇建筑物混凝土异形柱
2.混凝土种类:预拌混凝土
3.混凝土强度等级:C35
4.含混凝土泵送费用</t>
        </is>
      </c>
      <c r="E36" s="26" t="inlineStr">
        <is>
          <t>m3</t>
        </is>
      </c>
      <c r="F36" s="27" t="n">
        <v>18.55</v>
      </c>
      <c r="G36" s="100" t="n">
        <v>12.89</v>
      </c>
      <c r="H36" s="106" t="n">
        <v>12.89</v>
      </c>
      <c r="I36" s="100">
        <f>G36-F36</f>
        <v/>
      </c>
      <c r="J36" s="100">
        <f>H36-F36</f>
        <v/>
      </c>
      <c r="K36" s="100">
        <f>+H36-G36</f>
        <v/>
      </c>
      <c r="L36" s="37">
        <f>I36/F36</f>
        <v/>
      </c>
      <c r="M36" s="27" t="n">
        <v>777.84</v>
      </c>
      <c r="N36" s="27" t="n">
        <v>975.54</v>
      </c>
      <c r="O36" s="37">
        <f>(M36-N36)/N36</f>
        <v/>
      </c>
      <c r="P36" s="100">
        <f>N36*0.9056*0.85</f>
        <v/>
      </c>
      <c r="Q36" s="100">
        <f>N36*1.15</f>
        <v/>
      </c>
      <c r="R36" s="100">
        <f>IF(M36&lt;N36*0.9056*0.85,N36*0.9056*0.85,IF(M36&gt;N36*1.15,N36*1.15,M36))</f>
        <v/>
      </c>
      <c r="S36" s="100">
        <f>+F36*M36</f>
        <v/>
      </c>
      <c r="T36" s="100">
        <f>S36+R36*I36</f>
        <v/>
      </c>
      <c r="U36" s="106">
        <f>S36+R36*J36</f>
        <v/>
      </c>
      <c r="V36" s="100">
        <f>U36-S36</f>
        <v/>
      </c>
      <c r="W36" s="106">
        <f>+U36-T36</f>
        <v/>
      </c>
      <c r="X36" s="107">
        <f>+U36-T36</f>
        <v/>
      </c>
      <c r="Y36" s="26" t="n"/>
    </row>
    <row r="37" ht="20" customFormat="1" customHeight="1" s="7">
      <c r="A37" s="26" t="n">
        <v>30</v>
      </c>
      <c r="B37" s="26" t="inlineStr">
        <is>
          <t>010502002001</t>
        </is>
      </c>
      <c r="C37" s="26" t="inlineStr">
        <is>
          <t>构造柱</t>
        </is>
      </c>
      <c r="D37" s="26" t="inlineStr">
        <is>
          <t>1.构造柱
2.混凝土种类:预拌混凝土
3.混凝土强度等级:C25</t>
        </is>
      </c>
      <c r="E37" s="26" t="inlineStr">
        <is>
          <t>m3</t>
        </is>
      </c>
      <c r="F37" s="27" t="n">
        <v>142.86</v>
      </c>
      <c r="G37" s="100" t="n">
        <v>142.86</v>
      </c>
      <c r="H37" s="106" t="n">
        <v>130.02</v>
      </c>
      <c r="I37" s="100">
        <f>G37-F37</f>
        <v/>
      </c>
      <c r="J37" s="100">
        <f>H37-F37</f>
        <v/>
      </c>
      <c r="K37" s="100">
        <f>+H37-G37</f>
        <v/>
      </c>
      <c r="L37" s="37">
        <f>I37/F37</f>
        <v/>
      </c>
      <c r="M37" s="27" t="n">
        <v>820.9400000000001</v>
      </c>
      <c r="N37" s="27" t="n">
        <v>1006.12</v>
      </c>
      <c r="O37" s="37">
        <f>(M37-N37)/N37</f>
        <v/>
      </c>
      <c r="P37" s="100">
        <f>N37*0.9056*0.85</f>
        <v/>
      </c>
      <c r="Q37" s="100">
        <f>N37*1.15</f>
        <v/>
      </c>
      <c r="R37" s="100">
        <f>IF(M37&lt;N37*0.9056*0.85,N37*0.9056*0.85,IF(M37&gt;N37*1.15,N37*1.15,M37))</f>
        <v/>
      </c>
      <c r="S37" s="100">
        <f>+F37*M37</f>
        <v/>
      </c>
      <c r="T37" s="100">
        <f>S37+R37*I37</f>
        <v/>
      </c>
      <c r="U37" s="106">
        <f>S37+R37*J37</f>
        <v/>
      </c>
      <c r="V37" s="100">
        <f>U37-S37</f>
        <v/>
      </c>
      <c r="W37" s="106">
        <f>+U37-T37</f>
        <v/>
      </c>
      <c r="X37" s="107">
        <f>+U37-T37</f>
        <v/>
      </c>
      <c r="Y37" s="26" t="n"/>
    </row>
    <row r="38" ht="20" customFormat="1" customHeight="1" s="7">
      <c r="A38" s="26" t="n">
        <v>31</v>
      </c>
      <c r="B38" s="26" t="inlineStr">
        <is>
          <t>010504001001</t>
        </is>
      </c>
      <c r="C38" s="26" t="inlineStr">
        <is>
          <t>直形墙</t>
        </is>
      </c>
      <c r="D38" s="26" t="inlineStr">
        <is>
          <t>1.装饰墙
2.混凝土种类:预拌混凝土
3.混凝土强度等级:C25
4.含混凝土泵送费用</t>
        </is>
      </c>
      <c r="E38" s="26" t="inlineStr">
        <is>
          <t>m3</t>
        </is>
      </c>
      <c r="F38" s="27" t="n">
        <v>112.42</v>
      </c>
      <c r="G38" s="100" t="n">
        <v>116.14</v>
      </c>
      <c r="H38" s="106" t="n">
        <v>116.14</v>
      </c>
      <c r="I38" s="100">
        <f>G38-F38</f>
        <v/>
      </c>
      <c r="J38" s="100">
        <f>H38-F38</f>
        <v/>
      </c>
      <c r="K38" s="100">
        <f>+H38-G38</f>
        <v/>
      </c>
      <c r="L38" s="37">
        <f>I38/F38</f>
        <v/>
      </c>
      <c r="M38" s="27" t="n">
        <v>688.86</v>
      </c>
      <c r="N38" s="27" t="n">
        <v>830.73</v>
      </c>
      <c r="O38" s="37">
        <f>(M38-N38)/N38</f>
        <v/>
      </c>
      <c r="P38" s="100">
        <f>N38*0.9056*0.85</f>
        <v/>
      </c>
      <c r="Q38" s="100">
        <f>N38*1.15</f>
        <v/>
      </c>
      <c r="R38" s="100">
        <f>IF(M38&lt;N38*0.9056*0.85,N38*0.9056*0.85,IF(M38&gt;N38*1.15,N38*1.15,M38))</f>
        <v/>
      </c>
      <c r="S38" s="100">
        <f>+F38*M38</f>
        <v/>
      </c>
      <c r="T38" s="100">
        <f>S38+R38*I38</f>
        <v/>
      </c>
      <c r="U38" s="106">
        <f>S38+R38*J38</f>
        <v/>
      </c>
      <c r="V38" s="100">
        <f>U38-S38</f>
        <v/>
      </c>
      <c r="W38" s="106">
        <f>+U38-T38</f>
        <v/>
      </c>
      <c r="X38" s="107">
        <f>+U38-T38</f>
        <v/>
      </c>
      <c r="Y38" s="26" t="n"/>
    </row>
    <row r="39" ht="20" customFormat="1" customHeight="1" s="9">
      <c r="A39" s="26" t="n">
        <v>32</v>
      </c>
      <c r="B39" s="26" t="inlineStr">
        <is>
          <t>010504001002</t>
        </is>
      </c>
      <c r="C39" s="26" t="inlineStr">
        <is>
          <t>直形墙</t>
        </is>
      </c>
      <c r="D39" s="26" t="inlineStr">
        <is>
          <t>1.电梯井
2.混凝土种类:预拌混凝土
3.混凝土强度等级:C30
4.含混凝土泵送费用</t>
        </is>
      </c>
      <c r="E39" s="26" t="inlineStr">
        <is>
          <t>m3</t>
        </is>
      </c>
      <c r="F39" s="27" t="n">
        <v>1.118</v>
      </c>
      <c r="G39" s="100" t="n">
        <v>2.43</v>
      </c>
      <c r="H39" s="106" t="n">
        <v>2.31</v>
      </c>
      <c r="I39" s="100">
        <f>G39-F39</f>
        <v/>
      </c>
      <c r="J39" s="100">
        <f>H39-F39</f>
        <v/>
      </c>
      <c r="K39" s="100">
        <f>+H39-G39</f>
        <v/>
      </c>
      <c r="L39" s="37">
        <f>I39/F39</f>
        <v/>
      </c>
      <c r="M39" s="27" t="n">
        <v>699.01</v>
      </c>
      <c r="N39" s="27" t="n">
        <v>882.4400000000001</v>
      </c>
      <c r="O39" s="37">
        <f>(M39-N39)/N39</f>
        <v/>
      </c>
      <c r="P39" s="100">
        <f>N39*0.9056*0.85</f>
        <v/>
      </c>
      <c r="Q39" s="100">
        <f>N39*1.15</f>
        <v/>
      </c>
      <c r="R39" s="100">
        <f>IF(M39&lt;N39*0.9056*0.85,N39*0.9056*0.85,IF(M39&gt;N39*1.15,N39*1.15,M39))</f>
        <v/>
      </c>
      <c r="S39" s="100">
        <f>+F39*M39</f>
        <v/>
      </c>
      <c r="T39" s="100">
        <f>S39+R39*I39</f>
        <v/>
      </c>
      <c r="U39" s="106">
        <f>S39+R39*J39</f>
        <v/>
      </c>
      <c r="V39" s="100">
        <f>U39-S39</f>
        <v/>
      </c>
      <c r="W39" s="106">
        <f>+U39-T39</f>
        <v/>
      </c>
      <c r="X39" s="107">
        <f>+U39-T39</f>
        <v/>
      </c>
      <c r="Y39" s="26" t="n"/>
    </row>
    <row r="40" ht="20" customFormat="1" customHeight="1" s="7">
      <c r="A40" s="26" t="n">
        <v>33</v>
      </c>
      <c r="B40" s="26" t="inlineStr">
        <is>
          <t>010505001002</t>
        </is>
      </c>
      <c r="C40" s="26" t="inlineStr">
        <is>
          <t>有梁板</t>
        </is>
      </c>
      <c r="D40" s="26" t="inlineStr">
        <is>
          <t>1.有梁板
2.混凝土种类:预拌混凝土
3.混凝土强度等级:C30
4.含混凝土泵送费用</t>
        </is>
      </c>
      <c r="E40" s="26" t="inlineStr">
        <is>
          <t>m3</t>
        </is>
      </c>
      <c r="F40" s="27" t="n">
        <v>1987.3127</v>
      </c>
      <c r="G40" s="100" t="n">
        <v>2199.78</v>
      </c>
      <c r="H40" s="106">
        <f>2342.86-H41</f>
        <v/>
      </c>
      <c r="I40" s="100">
        <f>G40-F40</f>
        <v/>
      </c>
      <c r="J40" s="100">
        <f>H40-F40</f>
        <v/>
      </c>
      <c r="K40" s="100">
        <f>+H40-G40</f>
        <v/>
      </c>
      <c r="L40" s="37">
        <f>I40/F40</f>
        <v/>
      </c>
      <c r="M40" s="27" t="n">
        <v>674.8</v>
      </c>
      <c r="N40" s="27" t="n">
        <v>855.35</v>
      </c>
      <c r="O40" s="37">
        <f>(M40-N40)/N40</f>
        <v/>
      </c>
      <c r="P40" s="100">
        <f>N40*0.9056*0.85</f>
        <v/>
      </c>
      <c r="Q40" s="100">
        <f>N40*1.15</f>
        <v/>
      </c>
      <c r="R40" s="100">
        <f>IF(M40&lt;N40*0.9056*0.85,N40*0.9056*0.85,IF(M40&gt;N40*1.15,N40*1.15,M40))</f>
        <v/>
      </c>
      <c r="S40" s="100">
        <f>+F40*M40</f>
        <v/>
      </c>
      <c r="T40" s="100">
        <f>S40+R40*I40</f>
        <v/>
      </c>
      <c r="U40" s="106">
        <f>S40+R40*J40</f>
        <v/>
      </c>
      <c r="V40" s="100">
        <f>U40-S40</f>
        <v/>
      </c>
      <c r="W40" s="106">
        <f>+U40-T40</f>
        <v/>
      </c>
      <c r="X40" s="107">
        <f>+U40-T40</f>
        <v/>
      </c>
      <c r="Y40" s="26" t="n"/>
    </row>
    <row r="41" ht="20" customFormat="1" customHeight="1" s="7">
      <c r="A41" s="26" t="n">
        <v>34</v>
      </c>
      <c r="B41" s="26" t="inlineStr">
        <is>
          <t>010505001004</t>
        </is>
      </c>
      <c r="C41" s="26" t="inlineStr">
        <is>
          <t>有梁板（斜板）</t>
        </is>
      </c>
      <c r="D41" s="26" t="inlineStr">
        <is>
          <t>1.有梁板
2.混凝土种类:预拌混凝土
3.混凝土强度等级:C30
4.含混凝土泵送费用</t>
        </is>
      </c>
      <c r="E41" s="26" t="inlineStr">
        <is>
          <t>m3</t>
        </is>
      </c>
      <c r="F41" s="27" t="n">
        <v>325.8433</v>
      </c>
      <c r="G41" s="100" t="n">
        <v>272.63</v>
      </c>
      <c r="H41" s="106" t="n">
        <v>272.63</v>
      </c>
      <c r="I41" s="100">
        <f>G41-F41</f>
        <v/>
      </c>
      <c r="J41" s="100">
        <f>H41-F41</f>
        <v/>
      </c>
      <c r="K41" s="100">
        <f>+H41-G41</f>
        <v/>
      </c>
      <c r="L41" s="37">
        <f>I41/F41</f>
        <v/>
      </c>
      <c r="M41" s="27" t="n">
        <v>674.8</v>
      </c>
      <c r="N41" s="27" t="n">
        <v>869.35</v>
      </c>
      <c r="O41" s="37">
        <f>(M41-N41)/N41</f>
        <v/>
      </c>
      <c r="P41" s="100">
        <f>N41*0.9056*0.85</f>
        <v/>
      </c>
      <c r="Q41" s="100">
        <f>N41*1.15</f>
        <v/>
      </c>
      <c r="R41" s="100">
        <f>IF(M41&lt;N41*0.9056*0.85,N41*0.9056*0.85,IF(M41&gt;N41*1.15,N41*1.15,M41))</f>
        <v/>
      </c>
      <c r="S41" s="100">
        <f>+F41*M41</f>
        <v/>
      </c>
      <c r="T41" s="100">
        <f>S41+R41*I41</f>
        <v/>
      </c>
      <c r="U41" s="106">
        <f>S41+R41*J41</f>
        <v/>
      </c>
      <c r="V41" s="100">
        <f>U41-S41</f>
        <v/>
      </c>
      <c r="W41" s="106">
        <f>+U41-T41</f>
        <v/>
      </c>
      <c r="X41" s="107">
        <f>+U41-T41</f>
        <v/>
      </c>
      <c r="Y41" s="26" t="n"/>
    </row>
    <row r="42" ht="20" customFormat="1" customHeight="1" s="7">
      <c r="A42" s="26" t="n">
        <v>35</v>
      </c>
      <c r="B42" s="26" t="inlineStr">
        <is>
          <t>010505008002</t>
        </is>
      </c>
      <c r="C42" s="26" t="inlineStr">
        <is>
          <t>飘板</t>
        </is>
      </c>
      <c r="D42" s="26" t="inlineStr">
        <is>
          <t>1.部位:空调板、装饰飘板
2.混凝土种类:预拌混凝土
3.混凝土强度等级:C30</t>
        </is>
      </c>
      <c r="E42" s="26" t="inlineStr">
        <is>
          <t>m3</t>
        </is>
      </c>
      <c r="F42" s="27" t="n">
        <v>134.61</v>
      </c>
      <c r="G42" s="100" t="n">
        <v>110.91</v>
      </c>
      <c r="H42" s="106">
        <f>7.58+79.07+18.96</f>
        <v/>
      </c>
      <c r="I42" s="100">
        <f>G42-F42</f>
        <v/>
      </c>
      <c r="J42" s="100">
        <f>H42-F42</f>
        <v/>
      </c>
      <c r="K42" s="100">
        <f>+H42-G42</f>
        <v/>
      </c>
      <c r="L42" s="37">
        <f>I42/F42</f>
        <v/>
      </c>
      <c r="M42" s="27" t="n">
        <v>838.64</v>
      </c>
      <c r="N42" s="27" t="n">
        <v>1007.51</v>
      </c>
      <c r="O42" s="37">
        <f>(M42-N42)/N42</f>
        <v/>
      </c>
      <c r="P42" s="100">
        <f>N42*0.9056*0.85</f>
        <v/>
      </c>
      <c r="Q42" s="100">
        <f>N42*1.15</f>
        <v/>
      </c>
      <c r="R42" s="100">
        <f>IF(M42&lt;N42*0.9056*0.85,N42*0.9056*0.85,IF(M42&gt;N42*1.15,N42*1.15,M42))</f>
        <v/>
      </c>
      <c r="S42" s="100">
        <f>+F42*M42</f>
        <v/>
      </c>
      <c r="T42" s="100">
        <f>S42+R42*I42</f>
        <v/>
      </c>
      <c r="U42" s="106">
        <f>S42+R42*J42</f>
        <v/>
      </c>
      <c r="V42" s="100">
        <f>U42-S42</f>
        <v/>
      </c>
      <c r="W42" s="106">
        <f>+U42-T42</f>
        <v/>
      </c>
      <c r="X42" s="107">
        <f>+U42-T42</f>
        <v/>
      </c>
      <c r="Y42" s="26" t="n"/>
    </row>
    <row r="43" ht="20" customFormat="1" customHeight="1" s="7">
      <c r="A43" s="26" t="n">
        <v>36</v>
      </c>
      <c r="B43" s="26" t="inlineStr">
        <is>
          <t>010505006004</t>
        </is>
      </c>
      <c r="C43" s="26" t="inlineStr">
        <is>
          <t>栏板、反檐</t>
        </is>
      </c>
      <c r="D43" s="26" t="inlineStr">
        <is>
          <t>1.部位:栏板、反坎
2.混凝土强度等级:C25商品混凝土</t>
        </is>
      </c>
      <c r="E43" s="26" t="inlineStr">
        <is>
          <t>m3</t>
        </is>
      </c>
      <c r="F43" s="27" t="n">
        <v>28.37</v>
      </c>
      <c r="G43" s="100" t="n">
        <v>2.89</v>
      </c>
      <c r="H43" s="106" t="n">
        <v>2.89</v>
      </c>
      <c r="I43" s="100">
        <f>G43-F43</f>
        <v/>
      </c>
      <c r="J43" s="100">
        <f>H43-F43</f>
        <v/>
      </c>
      <c r="K43" s="100">
        <f>+H43-G43</f>
        <v/>
      </c>
      <c r="L43" s="37">
        <f>I43/F43</f>
        <v/>
      </c>
      <c r="M43" s="27" t="n">
        <v>826.88</v>
      </c>
      <c r="N43" s="27" t="n">
        <v>982.99</v>
      </c>
      <c r="O43" s="37">
        <f>(M43-N43)/N43</f>
        <v/>
      </c>
      <c r="P43" s="100">
        <f>N43*0.9056*0.85</f>
        <v/>
      </c>
      <c r="Q43" s="100">
        <f>N43*1.15</f>
        <v/>
      </c>
      <c r="R43" s="100">
        <f>IF(M43&lt;N43*0.9056*0.85,N43*0.9056*0.85,IF(M43&gt;N43*1.15,N43*1.15,M43))</f>
        <v/>
      </c>
      <c r="S43" s="100">
        <f>+F43*M43</f>
        <v/>
      </c>
      <c r="T43" s="100">
        <f>S43+R43*I43</f>
        <v/>
      </c>
      <c r="U43" s="106">
        <f>S43+R43*J43</f>
        <v/>
      </c>
      <c r="V43" s="100">
        <f>U43-S43</f>
        <v/>
      </c>
      <c r="W43" s="106">
        <f>+U43-T43</f>
        <v/>
      </c>
      <c r="X43" s="107">
        <f>+U43-T43</f>
        <v/>
      </c>
      <c r="Y43" s="26" t="n"/>
    </row>
    <row r="44" ht="20" customFormat="1" customHeight="1" s="7">
      <c r="A44" s="26" t="n">
        <v>37</v>
      </c>
      <c r="B44" s="26" t="inlineStr">
        <is>
          <t>010503004001</t>
        </is>
      </c>
      <c r="C44" s="26" t="inlineStr">
        <is>
          <t>圈梁（女儿墙压顶、窗台压顶）</t>
        </is>
      </c>
      <c r="D44" s="26" t="inlineStr">
        <is>
          <t>1.部位:圈梁
2.混凝土种类:预拌混凝土
3.混凝土强度等级:C25</t>
        </is>
      </c>
      <c r="E44" s="26" t="inlineStr">
        <is>
          <t>m3</t>
        </is>
      </c>
      <c r="F44" s="27" t="n">
        <v>44.62</v>
      </c>
      <c r="G44" s="100" t="n">
        <v>44.62</v>
      </c>
      <c r="H44" s="106" t="n">
        <v>44.62</v>
      </c>
      <c r="I44" s="100">
        <f>G44-F44</f>
        <v/>
      </c>
      <c r="J44" s="100">
        <f>H44-F44</f>
        <v/>
      </c>
      <c r="K44" s="100">
        <f>+H44-G44</f>
        <v/>
      </c>
      <c r="L44" s="37">
        <f>I44/F44</f>
        <v/>
      </c>
      <c r="M44" s="27" t="n">
        <v>730.1</v>
      </c>
      <c r="N44" s="27" t="n">
        <v>906.2</v>
      </c>
      <c r="O44" s="37">
        <f>(M44-N44)/N44</f>
        <v/>
      </c>
      <c r="P44" s="100">
        <f>N44*0.9056*0.85</f>
        <v/>
      </c>
      <c r="Q44" s="100">
        <f>N44*1.15</f>
        <v/>
      </c>
      <c r="R44" s="100">
        <f>IF(M44&lt;N44*0.9056*0.85,N44*0.9056*0.85,IF(M44&gt;N44*1.15,N44*1.15,M44))</f>
        <v/>
      </c>
      <c r="S44" s="100">
        <f>+F44*M44</f>
        <v/>
      </c>
      <c r="T44" s="100">
        <f>S44+R44*I44</f>
        <v/>
      </c>
      <c r="U44" s="106">
        <f>S44+R44*J44</f>
        <v/>
      </c>
      <c r="V44" s="100">
        <f>U44-S44</f>
        <v/>
      </c>
      <c r="W44" s="106">
        <f>+U44-T44</f>
        <v/>
      </c>
      <c r="X44" s="107">
        <f>+U44-T44</f>
        <v/>
      </c>
      <c r="Y44" s="26" t="n"/>
    </row>
    <row r="45" ht="20" customFormat="1" customHeight="1" s="7">
      <c r="A45" s="26" t="n">
        <v>38</v>
      </c>
      <c r="B45" s="26" t="inlineStr">
        <is>
          <t>010503005002</t>
        </is>
      </c>
      <c r="C45" s="26" t="inlineStr">
        <is>
          <t>过梁</t>
        </is>
      </c>
      <c r="D45" s="26" t="inlineStr">
        <is>
          <t>1.过梁
2.混凝土种类:预拌混凝土
3.混凝土强度等级:C25</t>
        </is>
      </c>
      <c r="E45" s="26" t="inlineStr">
        <is>
          <t>m3</t>
        </is>
      </c>
      <c r="F45" s="27" t="n">
        <v>10.13</v>
      </c>
      <c r="G45" s="100" t="n">
        <v>10.13</v>
      </c>
      <c r="H45" s="106" t="n">
        <v>10.13</v>
      </c>
      <c r="I45" s="100">
        <f>G45-F45</f>
        <v/>
      </c>
      <c r="J45" s="100">
        <f>H45-F45</f>
        <v/>
      </c>
      <c r="K45" s="100">
        <f>+H45-G45</f>
        <v/>
      </c>
      <c r="L45" s="37">
        <f>I45/F45</f>
        <v/>
      </c>
      <c r="M45" s="27" t="n">
        <v>730.1</v>
      </c>
      <c r="N45" s="27" t="n">
        <v>906.2</v>
      </c>
      <c r="O45" s="37">
        <f>(M45-N45)/N45</f>
        <v/>
      </c>
      <c r="P45" s="100">
        <f>N45*0.9056*0.85</f>
        <v/>
      </c>
      <c r="Q45" s="100">
        <f>N45*1.15</f>
        <v/>
      </c>
      <c r="R45" s="100">
        <f>IF(M45&lt;N45*0.9056*0.85,N45*0.9056*0.85,IF(M45&gt;N45*1.15,N45*1.15,M45))</f>
        <v/>
      </c>
      <c r="S45" s="100">
        <f>+F45*M45</f>
        <v/>
      </c>
      <c r="T45" s="100">
        <f>S45+R45*I45</f>
        <v/>
      </c>
      <c r="U45" s="106">
        <f>S45+R45*J45</f>
        <v/>
      </c>
      <c r="V45" s="100">
        <f>U45-S45</f>
        <v/>
      </c>
      <c r="W45" s="106">
        <f>+U45-T45</f>
        <v/>
      </c>
      <c r="X45" s="107">
        <f>+U45-T45</f>
        <v/>
      </c>
      <c r="Y45" s="26" t="n"/>
    </row>
    <row r="46" ht="20" customFormat="1" customHeight="1" s="9">
      <c r="A46" s="26" t="n">
        <v>39</v>
      </c>
      <c r="B46" s="26" t="inlineStr">
        <is>
          <t>010507007001</t>
        </is>
      </c>
      <c r="C46" s="26" t="inlineStr">
        <is>
          <t>其他构件</t>
        </is>
      </c>
      <c r="D46" s="26" t="inlineStr">
        <is>
          <t>1.反坎
2.混凝土种类:预拌混凝土
3.混凝土强度等级:C25</t>
        </is>
      </c>
      <c r="E46" s="26" t="inlineStr">
        <is>
          <t>m3</t>
        </is>
      </c>
      <c r="F46" s="27" t="n">
        <v>18.106</v>
      </c>
      <c r="G46" s="100" t="n">
        <v>0</v>
      </c>
      <c r="H46" s="106" t="n">
        <v>0</v>
      </c>
      <c r="I46" s="100">
        <f>G46-F46</f>
        <v/>
      </c>
      <c r="J46" s="100">
        <f>H46-F46</f>
        <v/>
      </c>
      <c r="K46" s="100">
        <f>+H46-G46</f>
        <v/>
      </c>
      <c r="L46" s="37">
        <f>I46/F46</f>
        <v/>
      </c>
      <c r="M46" s="27" t="n">
        <v>957.9</v>
      </c>
      <c r="N46" s="27" t="n">
        <v>1157.57</v>
      </c>
      <c r="O46" s="37">
        <f>(M46-N46)/N46</f>
        <v/>
      </c>
      <c r="P46" s="100">
        <f>N46*0.9056*0.85</f>
        <v/>
      </c>
      <c r="Q46" s="100">
        <f>N46*1.15</f>
        <v/>
      </c>
      <c r="R46" s="100">
        <f>IF(M46&lt;N46*0.9056*0.85,N46*0.9056*0.85,IF(M46&gt;N46*1.15,N46*1.15,M46))</f>
        <v/>
      </c>
      <c r="S46" s="100">
        <f>+F46*M46</f>
        <v/>
      </c>
      <c r="T46" s="100">
        <f>S46+R46*I46</f>
        <v/>
      </c>
      <c r="U46" s="106">
        <f>S46+R46*J46</f>
        <v/>
      </c>
      <c r="V46" s="100">
        <f>U46-S46</f>
        <v/>
      </c>
      <c r="W46" s="106">
        <f>+U46-T46</f>
        <v/>
      </c>
      <c r="X46" s="107">
        <f>+U46-T46</f>
        <v/>
      </c>
      <c r="Y46" s="26" t="n"/>
    </row>
    <row r="47" ht="20" customFormat="1" customHeight="1" s="7">
      <c r="A47" s="26" t="n">
        <v>40</v>
      </c>
      <c r="B47" s="26" t="inlineStr">
        <is>
          <t>010506001001</t>
        </is>
      </c>
      <c r="C47" s="26" t="inlineStr">
        <is>
          <t>直形楼梯</t>
        </is>
      </c>
      <c r="D47" s="26" t="inlineStr">
        <is>
          <t>1.混凝土种类:预拌混凝土
2.混凝土强度等级:C30
3.含混凝土泵送费用</t>
        </is>
      </c>
      <c r="E47" s="26" t="inlineStr">
        <is>
          <t>m3</t>
        </is>
      </c>
      <c r="F47" s="27" t="n">
        <v>102.36</v>
      </c>
      <c r="G47" s="100" t="n">
        <v>113.33</v>
      </c>
      <c r="H47" s="106" t="n">
        <v>107.93</v>
      </c>
      <c r="I47" s="100">
        <f>G47-F47</f>
        <v/>
      </c>
      <c r="J47" s="100">
        <f>H47-F47</f>
        <v/>
      </c>
      <c r="K47" s="100">
        <f>+H47-G47</f>
        <v/>
      </c>
      <c r="L47" s="37">
        <f>I47/F47</f>
        <v/>
      </c>
      <c r="M47" s="27" t="n">
        <v>726.66</v>
      </c>
      <c r="N47" s="27" t="n">
        <v>913.95</v>
      </c>
      <c r="O47" s="37">
        <f>(M47-N47)/N47</f>
        <v/>
      </c>
      <c r="P47" s="100">
        <f>N47*0.9056*0.85</f>
        <v/>
      </c>
      <c r="Q47" s="100">
        <f>N47*1.15</f>
        <v/>
      </c>
      <c r="R47" s="100">
        <f>IF(M47&lt;N47*0.9056*0.85,N47*0.9056*0.85,IF(M47&gt;N47*1.15,N47*1.15,M47))</f>
        <v/>
      </c>
      <c r="S47" s="100">
        <f>+F47*M47</f>
        <v/>
      </c>
      <c r="T47" s="100">
        <f>S47+R47*I47</f>
        <v/>
      </c>
      <c r="U47" s="106">
        <f>S47+R47*J47</f>
        <v/>
      </c>
      <c r="V47" s="100">
        <f>U47-S47</f>
        <v/>
      </c>
      <c r="W47" s="106">
        <f>+U47-T47</f>
        <v/>
      </c>
      <c r="X47" s="107">
        <f>+U47-T47</f>
        <v/>
      </c>
      <c r="Y47" s="26" t="n"/>
    </row>
    <row r="48" ht="20" customFormat="1" customHeight="1" s="7">
      <c r="A48" s="34" t="n">
        <v>41</v>
      </c>
      <c r="B48" s="34" t="inlineStr">
        <is>
          <t>010401013006</t>
        </is>
      </c>
      <c r="C48" s="34" t="inlineStr">
        <is>
          <t>砖散水、地坪</t>
        </is>
      </c>
      <c r="D48" s="34" t="inlineStr">
        <is>
          <t>1.散水
2.C20素砼垫层60厚
3.150厚3:7灰土</t>
        </is>
      </c>
      <c r="E48" s="34" t="inlineStr">
        <is>
          <t>m2</t>
        </is>
      </c>
      <c r="F48" s="35" t="n">
        <v>141.6688</v>
      </c>
      <c r="G48" s="110" t="n">
        <v>239.87</v>
      </c>
      <c r="H48" s="106" t="n">
        <v>0</v>
      </c>
      <c r="I48" s="110">
        <f>G48-F48</f>
        <v/>
      </c>
      <c r="J48" s="110">
        <f>H48-F48</f>
        <v/>
      </c>
      <c r="K48" s="110">
        <f>+H48-G48</f>
        <v/>
      </c>
      <c r="L48" s="39">
        <f>I48/F48</f>
        <v/>
      </c>
      <c r="M48" s="35" t="n">
        <v>80.23999999999999</v>
      </c>
      <c r="N48" s="35" t="n">
        <v>95.34</v>
      </c>
      <c r="O48" s="39">
        <f>(M48-N48)/N48</f>
        <v/>
      </c>
      <c r="P48" s="110">
        <f>N48*0.9056*0.85</f>
        <v/>
      </c>
      <c r="Q48" s="110">
        <f>N48*1.15</f>
        <v/>
      </c>
      <c r="R48" s="110">
        <f>IF(M48&lt;N48*0.9056*0.85,N48*0.9056*0.85,IF(M48&gt;N48*1.15,N48*1.15,M48))</f>
        <v/>
      </c>
      <c r="S48" s="110">
        <f>+F48*M48</f>
        <v/>
      </c>
      <c r="T48" s="110">
        <f>S48+R48*I48</f>
        <v/>
      </c>
      <c r="U48" s="106">
        <f>S48+R48*J48</f>
        <v/>
      </c>
      <c r="V48" s="100">
        <f>U48-S48</f>
        <v/>
      </c>
      <c r="W48" s="106">
        <f>+U48-T48</f>
        <v/>
      </c>
      <c r="X48" s="107">
        <f>+U48-T48</f>
        <v/>
      </c>
      <c r="Y48" s="34" t="n"/>
      <c r="Z48" s="43" t="n"/>
    </row>
    <row r="49" ht="20" customFormat="1" customHeight="1" s="7">
      <c r="A49" s="26" t="n">
        <v>42</v>
      </c>
      <c r="B49" s="26" t="inlineStr">
        <is>
          <t>010515001015</t>
        </is>
      </c>
      <c r="C49" s="26" t="inlineStr">
        <is>
          <t>现浇构件钢筋</t>
        </is>
      </c>
      <c r="D49" s="26" t="inlineStr">
        <is>
          <t>1.钢筋种类、规格:现浇构件带肋钢筋(HRB400)φ10以内</t>
        </is>
      </c>
      <c r="E49" s="26" t="inlineStr">
        <is>
          <t>t</t>
        </is>
      </c>
      <c r="F49" s="27" t="n">
        <v>178.2</v>
      </c>
      <c r="G49" s="100" t="n">
        <v>163.8</v>
      </c>
      <c r="H49" s="109" t="n">
        <v>163.799</v>
      </c>
      <c r="I49" s="100">
        <f>G49-F49</f>
        <v/>
      </c>
      <c r="J49" s="100">
        <f>H49-F49</f>
        <v/>
      </c>
      <c r="K49" s="100">
        <f>+H49-G49</f>
        <v/>
      </c>
      <c r="L49" s="37">
        <f>I49/F49</f>
        <v/>
      </c>
      <c r="M49" s="27" t="n">
        <v>5708.81</v>
      </c>
      <c r="N49" s="27" t="n">
        <v>6995.45</v>
      </c>
      <c r="O49" s="37">
        <f>(M49-N49)/N49</f>
        <v/>
      </c>
      <c r="P49" s="100">
        <f>N49*0.9056*0.85</f>
        <v/>
      </c>
      <c r="Q49" s="100">
        <f>N49*1.15</f>
        <v/>
      </c>
      <c r="R49" s="100">
        <f>IF(M49&lt;N49*0.9056*0.85,N49*0.9056*0.85,IF(M49&gt;N49*1.15,N49*1.15,M49))</f>
        <v/>
      </c>
      <c r="S49" s="100">
        <f>+F49*M49</f>
        <v/>
      </c>
      <c r="T49" s="100">
        <f>S49+R49*I49</f>
        <v/>
      </c>
      <c r="U49" s="106">
        <f>S49+R49*J49</f>
        <v/>
      </c>
      <c r="V49" s="100">
        <f>U49-S49</f>
        <v/>
      </c>
      <c r="W49" s="106">
        <f>+U49-T49</f>
        <v/>
      </c>
      <c r="X49" s="107">
        <f>+U49-T49</f>
        <v/>
      </c>
      <c r="Y49" s="26" t="n"/>
      <c r="Z49" s="42" t="n"/>
    </row>
    <row r="50" ht="20" customFormat="1" customHeight="1" s="8">
      <c r="A50" s="26" t="n">
        <v>43</v>
      </c>
      <c r="B50" s="26" t="inlineStr">
        <is>
          <t>010515001016</t>
        </is>
      </c>
      <c r="C50" s="26" t="inlineStr">
        <is>
          <t>现浇构件钢筋</t>
        </is>
      </c>
      <c r="D50" s="26" t="inlineStr">
        <is>
          <t>1.钢筋种类、规格:现浇构件带肋钢筋(HRB400E)φ10以内</t>
        </is>
      </c>
      <c r="E50" s="26" t="inlineStr">
        <is>
          <t>t</t>
        </is>
      </c>
      <c r="F50" s="27" t="n">
        <v>6.982</v>
      </c>
      <c r="G50" s="100" t="n">
        <v>11.74</v>
      </c>
      <c r="H50" s="109" t="n">
        <v>11.744</v>
      </c>
      <c r="I50" s="100">
        <f>G50-F50</f>
        <v/>
      </c>
      <c r="J50" s="100">
        <f>H50-F50</f>
        <v/>
      </c>
      <c r="K50" s="100">
        <f>+H50-G50</f>
        <v/>
      </c>
      <c r="L50" s="37">
        <f>I50/F50</f>
        <v/>
      </c>
      <c r="M50" s="27" t="n">
        <v>5708.81</v>
      </c>
      <c r="N50" s="27" t="n">
        <v>7085.72</v>
      </c>
      <c r="O50" s="37">
        <f>(M50-N50)/N50</f>
        <v/>
      </c>
      <c r="P50" s="100">
        <f>N50*0.9056*0.85</f>
        <v/>
      </c>
      <c r="Q50" s="100">
        <f>N50*1.15</f>
        <v/>
      </c>
      <c r="R50" s="100">
        <f>IF(M50&lt;N50*0.9056*0.85,N50*0.9056*0.85,IF(M50&gt;N50*1.15,N50*1.15,M50))</f>
        <v/>
      </c>
      <c r="S50" s="100">
        <f>+F50*M50</f>
        <v/>
      </c>
      <c r="T50" s="100">
        <f>S50+R50*I50</f>
        <v/>
      </c>
      <c r="U50" s="106">
        <f>S50+R50*J50</f>
        <v/>
      </c>
      <c r="V50" s="100">
        <f>U50-S50</f>
        <v/>
      </c>
      <c r="W50" s="106">
        <f>+U50-T50</f>
        <v/>
      </c>
      <c r="X50" s="107">
        <f>+U50-T50</f>
        <v/>
      </c>
      <c r="Y50" s="26" t="n"/>
      <c r="Z50" s="42" t="n"/>
    </row>
    <row r="51" ht="20" customFormat="1" customHeight="1" s="7">
      <c r="A51" s="26" t="n">
        <v>44</v>
      </c>
      <c r="B51" s="26" t="inlineStr">
        <is>
          <t>010515001017</t>
        </is>
      </c>
      <c r="C51" s="26" t="inlineStr">
        <is>
          <t>现浇构件钢筋</t>
        </is>
      </c>
      <c r="D51" s="26" t="inlineStr">
        <is>
          <t>1.钢筋种类、规格:现浇构件带肋钢筋(HRB400)φ25以内</t>
        </is>
      </c>
      <c r="E51" s="26" t="inlineStr">
        <is>
          <t>t</t>
        </is>
      </c>
      <c r="F51" s="27" t="n">
        <v>30.489</v>
      </c>
      <c r="G51" s="100" t="n">
        <v>65.31999999999999</v>
      </c>
      <c r="H51" s="109" t="n">
        <v>65.324</v>
      </c>
      <c r="I51" s="100">
        <f>G51-F51</f>
        <v/>
      </c>
      <c r="J51" s="100">
        <f>H51-F51</f>
        <v/>
      </c>
      <c r="K51" s="100">
        <f>+H51-G51</f>
        <v/>
      </c>
      <c r="L51" s="37">
        <f>I51/F51</f>
        <v/>
      </c>
      <c r="M51" s="27" t="n">
        <v>5570.86</v>
      </c>
      <c r="N51" s="27" t="n">
        <v>6793.55</v>
      </c>
      <c r="O51" s="37">
        <f>(M51-N51)/N51</f>
        <v/>
      </c>
      <c r="P51" s="100">
        <f>N51*0.9056*0.85</f>
        <v/>
      </c>
      <c r="Q51" s="100">
        <f>N51*1.15</f>
        <v/>
      </c>
      <c r="R51" s="100">
        <f>IF(M51&lt;N51*0.9056*0.85,N51*0.9056*0.85,IF(M51&gt;N51*1.15,N51*1.15,M51))</f>
        <v/>
      </c>
      <c r="S51" s="100">
        <f>+F51*M51</f>
        <v/>
      </c>
      <c r="T51" s="100">
        <f>S51+R51*I51</f>
        <v/>
      </c>
      <c r="U51" s="106">
        <f>S51+R51*J51</f>
        <v/>
      </c>
      <c r="V51" s="100">
        <f>U51-S51</f>
        <v/>
      </c>
      <c r="W51" s="106">
        <f>+U51-T51</f>
        <v/>
      </c>
      <c r="X51" s="107">
        <f>+U51-T51</f>
        <v/>
      </c>
      <c r="Y51" s="26" t="n"/>
      <c r="Z51" s="42" t="n"/>
    </row>
    <row r="52" ht="20" customFormat="1" customHeight="1" s="7">
      <c r="A52" s="26" t="n">
        <v>45</v>
      </c>
      <c r="B52" s="26" t="inlineStr">
        <is>
          <t>010515001026</t>
        </is>
      </c>
      <c r="C52" s="26" t="inlineStr">
        <is>
          <t>现浇构件钢筋</t>
        </is>
      </c>
      <c r="D52" s="26" t="inlineStr">
        <is>
          <t>1.钢筋种类、规格:现浇构件带肋钢筋(HRB400E)φ25以内</t>
        </is>
      </c>
      <c r="E52" s="26" t="inlineStr">
        <is>
          <t>t</t>
        </is>
      </c>
      <c r="F52" s="27" t="n">
        <v>205.801</v>
      </c>
      <c r="G52" s="100" t="n">
        <v>180.93</v>
      </c>
      <c r="H52" s="109" t="n">
        <v>180.929</v>
      </c>
      <c r="I52" s="100">
        <f>G52-F52</f>
        <v/>
      </c>
      <c r="J52" s="100">
        <f>H52-F52</f>
        <v/>
      </c>
      <c r="K52" s="100">
        <f>+H52-G52</f>
        <v/>
      </c>
      <c r="L52" s="37">
        <f>I52/F52</f>
        <v/>
      </c>
      <c r="M52" s="27" t="n">
        <v>5570.86</v>
      </c>
      <c r="N52" s="27" t="n">
        <v>6884.26</v>
      </c>
      <c r="O52" s="37">
        <f>(M52-N52)/N52</f>
        <v/>
      </c>
      <c r="P52" s="100">
        <f>N52*0.9056*0.85</f>
        <v/>
      </c>
      <c r="Q52" s="100">
        <f>N52*1.15</f>
        <v/>
      </c>
      <c r="R52" s="100">
        <f>IF(M52&lt;N52*0.9056*0.85,N52*0.9056*0.85,IF(M52&gt;N52*1.15,N52*1.15,M52))</f>
        <v/>
      </c>
      <c r="S52" s="100">
        <f>+F52*M52</f>
        <v/>
      </c>
      <c r="T52" s="100">
        <f>S52+R52*I52</f>
        <v/>
      </c>
      <c r="U52" s="106">
        <f>S52+R52*J52</f>
        <v/>
      </c>
      <c r="V52" s="100">
        <f>U52-S52</f>
        <v/>
      </c>
      <c r="W52" s="106">
        <f>+U52-T52</f>
        <v/>
      </c>
      <c r="X52" s="107">
        <f>+U52-T52</f>
        <v/>
      </c>
      <c r="Y52" s="26" t="n"/>
      <c r="Z52" s="42" t="n"/>
    </row>
    <row r="53" ht="20" customFormat="1" customHeight="1" s="7">
      <c r="A53" s="26" t="n">
        <v>46</v>
      </c>
      <c r="B53" s="26" t="inlineStr">
        <is>
          <t>010515001025</t>
        </is>
      </c>
      <c r="C53" s="26" t="inlineStr">
        <is>
          <t>现浇构件钢筋</t>
        </is>
      </c>
      <c r="D53" s="26" t="inlineStr">
        <is>
          <t>1.钢筋种类、规格:现浇构件带肋钢筋(HRB400E)φ25以外</t>
        </is>
      </c>
      <c r="E53" s="26" t="inlineStr">
        <is>
          <t>t</t>
        </is>
      </c>
      <c r="F53" s="27" t="n">
        <v>9.881</v>
      </c>
      <c r="G53" s="100" t="n">
        <v>8.130000000000001</v>
      </c>
      <c r="H53" s="109" t="n">
        <v>8.125999999999999</v>
      </c>
      <c r="I53" s="100">
        <f>G53-F53</f>
        <v/>
      </c>
      <c r="J53" s="100">
        <f>H53-F53</f>
        <v/>
      </c>
      <c r="K53" s="100">
        <f>+H53-G53</f>
        <v/>
      </c>
      <c r="L53" s="37">
        <f>I53/F53</f>
        <v/>
      </c>
      <c r="M53" s="27" t="n">
        <v>5507.01</v>
      </c>
      <c r="N53" s="27" t="n">
        <v>6766.86</v>
      </c>
      <c r="O53" s="37">
        <f>(M53-N53)/N53</f>
        <v/>
      </c>
      <c r="P53" s="100">
        <f>N53*0.9056*0.85</f>
        <v/>
      </c>
      <c r="Q53" s="100">
        <f>N53*1.15</f>
        <v/>
      </c>
      <c r="R53" s="100">
        <f>IF(M53&lt;N53*0.9056*0.85,N53*0.9056*0.85,IF(M53&gt;N53*1.15,N53*1.15,M53))</f>
        <v/>
      </c>
      <c r="S53" s="100">
        <f>+F53*M53</f>
        <v/>
      </c>
      <c r="T53" s="100">
        <f>S53+R53*I53</f>
        <v/>
      </c>
      <c r="U53" s="106">
        <f>S53+R53*J53</f>
        <v/>
      </c>
      <c r="V53" s="100">
        <f>U53-S53</f>
        <v/>
      </c>
      <c r="W53" s="106">
        <f>+U53-T53</f>
        <v/>
      </c>
      <c r="X53" s="107">
        <f>+U53-T53</f>
        <v/>
      </c>
      <c r="Y53" s="26" t="n"/>
      <c r="Z53" s="42" t="n"/>
    </row>
    <row r="54" ht="20" customFormat="1" customHeight="1" s="7">
      <c r="A54" s="26" t="n">
        <v>47</v>
      </c>
      <c r="B54" s="26" t="inlineStr">
        <is>
          <t>010515001022</t>
        </is>
      </c>
      <c r="C54" s="26" t="inlineStr">
        <is>
          <t>现浇构件钢筋</t>
        </is>
      </c>
      <c r="D54" s="26" t="inlineStr">
        <is>
          <t>1.钢筋种类、规格:现浇构件箍筋带肋钢筋(HRB400)φ10以内</t>
        </is>
      </c>
      <c r="E54" s="26" t="inlineStr">
        <is>
          <t>t</t>
        </is>
      </c>
      <c r="F54" s="27" t="n">
        <v>97.663</v>
      </c>
      <c r="G54" s="100" t="n">
        <v>109.47</v>
      </c>
      <c r="H54" s="109" t="n">
        <v>109.473</v>
      </c>
      <c r="I54" s="100">
        <f>G54-F54</f>
        <v/>
      </c>
      <c r="J54" s="100">
        <f>H54-F54</f>
        <v/>
      </c>
      <c r="K54" s="100">
        <f>+H54-G54</f>
        <v/>
      </c>
      <c r="L54" s="37">
        <f>I54/F54</f>
        <v/>
      </c>
      <c r="M54" s="27" t="n">
        <v>6837.26</v>
      </c>
      <c r="N54" s="27" t="n">
        <v>8255.91</v>
      </c>
      <c r="O54" s="37">
        <f>(M54-N54)/N54</f>
        <v/>
      </c>
      <c r="P54" s="100">
        <f>N54*0.9056*0.85</f>
        <v/>
      </c>
      <c r="Q54" s="100">
        <f>N54*1.15</f>
        <v/>
      </c>
      <c r="R54" s="100">
        <f>IF(M54&lt;N54*0.9056*0.85,N54*0.9056*0.85,IF(M54&gt;N54*1.15,N54*1.15,M54))</f>
        <v/>
      </c>
      <c r="S54" s="100">
        <f>+F54*M54</f>
        <v/>
      </c>
      <c r="T54" s="100">
        <f>S54+R54*I54</f>
        <v/>
      </c>
      <c r="U54" s="106">
        <f>S54+R54*J54</f>
        <v/>
      </c>
      <c r="V54" s="100">
        <f>U54-S54</f>
        <v/>
      </c>
      <c r="W54" s="106">
        <f>+U54-T54</f>
        <v/>
      </c>
      <c r="X54" s="107">
        <f>+U54-T54</f>
        <v/>
      </c>
      <c r="Y54" s="26" t="n"/>
      <c r="Z54" s="42" t="n"/>
    </row>
    <row r="55" ht="20" customFormat="1" customHeight="1" s="7">
      <c r="A55" s="26" t="n">
        <v>48</v>
      </c>
      <c r="B55" s="26" t="inlineStr">
        <is>
          <t>010515001023</t>
        </is>
      </c>
      <c r="C55" s="26" t="inlineStr">
        <is>
          <t>现浇构件钢筋</t>
        </is>
      </c>
      <c r="D55" s="26" t="inlineStr">
        <is>
          <t>1.钢筋种类、规格:现浇构件箍筋带肋钢筋(HRB400)φ10以外</t>
        </is>
      </c>
      <c r="E55" s="26" t="inlineStr">
        <is>
          <t>t</t>
        </is>
      </c>
      <c r="F55" s="27" t="n">
        <v>3.526</v>
      </c>
      <c r="G55" s="100" t="n">
        <v>4.1</v>
      </c>
      <c r="H55" s="109" t="n">
        <v>4.104</v>
      </c>
      <c r="I55" s="100">
        <f>G55-F55</f>
        <v/>
      </c>
      <c r="J55" s="100">
        <f>H55-F55</f>
        <v/>
      </c>
      <c r="K55" s="100">
        <f>+H55-G55</f>
        <v/>
      </c>
      <c r="L55" s="37">
        <f>I55/F55</f>
        <v/>
      </c>
      <c r="M55" s="27" t="n">
        <v>5844.44</v>
      </c>
      <c r="N55" s="27" t="n">
        <v>7106.92</v>
      </c>
      <c r="O55" s="37">
        <f>(M55-N55)/N55</f>
        <v/>
      </c>
      <c r="P55" s="100">
        <f>N55*0.9056*0.85</f>
        <v/>
      </c>
      <c r="Q55" s="100">
        <f>N55*1.15</f>
        <v/>
      </c>
      <c r="R55" s="100">
        <f>IF(M55&lt;N55*0.9056*0.85,N55*0.9056*0.85,IF(M55&gt;N55*1.15,N55*1.15,M55))</f>
        <v/>
      </c>
      <c r="S55" s="100">
        <f>+F55*M55</f>
        <v/>
      </c>
      <c r="T55" s="100">
        <f>S55+R55*I55</f>
        <v/>
      </c>
      <c r="U55" s="106">
        <f>S55+R55*J55</f>
        <v/>
      </c>
      <c r="V55" s="100">
        <f>U55-S55</f>
        <v/>
      </c>
      <c r="W55" s="106">
        <f>+U55-T55</f>
        <v/>
      </c>
      <c r="X55" s="107">
        <f>+U55-T55</f>
        <v/>
      </c>
      <c r="Y55" s="26" t="n"/>
      <c r="Z55" s="42" t="n"/>
    </row>
    <row r="56" ht="20" customFormat="1" customHeight="1" s="7">
      <c r="A56" s="26" t="n">
        <v>49</v>
      </c>
      <c r="B56" s="26" t="inlineStr">
        <is>
          <t>010516003001</t>
        </is>
      </c>
      <c r="C56" s="26" t="inlineStr">
        <is>
          <t>钢筋连接</t>
        </is>
      </c>
      <c r="D56" s="26" t="inlineStr">
        <is>
          <t>1.连接方式:电渣压力焊接
2.规格:φ18以内</t>
        </is>
      </c>
      <c r="E56" s="26" t="inlineStr">
        <is>
          <t>个</t>
        </is>
      </c>
      <c r="F56" s="27" t="n">
        <v>2456</v>
      </c>
      <c r="G56" s="100" t="n">
        <v>0</v>
      </c>
      <c r="H56" s="108" t="n">
        <v>0</v>
      </c>
      <c r="I56" s="100">
        <f>G56-F56</f>
        <v/>
      </c>
      <c r="J56" s="100">
        <f>H56-F56</f>
        <v/>
      </c>
      <c r="K56" s="100">
        <f>+H56-G56</f>
        <v/>
      </c>
      <c r="L56" s="37">
        <f>I56/F56</f>
        <v/>
      </c>
      <c r="M56" s="27" t="n">
        <v>7.47</v>
      </c>
      <c r="N56" s="27" t="n">
        <v>8.25</v>
      </c>
      <c r="O56" s="37">
        <f>(M56-N56)/N56</f>
        <v/>
      </c>
      <c r="P56" s="100">
        <f>N56*0.9056*0.85</f>
        <v/>
      </c>
      <c r="Q56" s="100">
        <f>N56*1.15</f>
        <v/>
      </c>
      <c r="R56" s="100">
        <f>IF(M56&lt;N56*0.9056*0.85,N56*0.9056*0.85,IF(M56&gt;N56*1.15,N56*1.15,M56))</f>
        <v/>
      </c>
      <c r="S56" s="100">
        <f>+F56*M56</f>
        <v/>
      </c>
      <c r="T56" s="100">
        <f>S56+R56*I56</f>
        <v/>
      </c>
      <c r="U56" s="106">
        <f>S56+R56*J56</f>
        <v/>
      </c>
      <c r="V56" s="100">
        <f>U56-S56</f>
        <v/>
      </c>
      <c r="W56" s="106">
        <f>+U56-T56</f>
        <v/>
      </c>
      <c r="X56" s="107">
        <f>+U56-T56</f>
        <v/>
      </c>
      <c r="Y56" s="26" t="n"/>
    </row>
    <row r="57" ht="20" customFormat="1" customHeight="1" s="7">
      <c r="A57" s="26" t="n">
        <v>50</v>
      </c>
      <c r="B57" s="26" t="inlineStr">
        <is>
          <t>010516003002</t>
        </is>
      </c>
      <c r="C57" s="26" t="inlineStr">
        <is>
          <t>钢筋连接</t>
        </is>
      </c>
      <c r="D57" s="26" t="inlineStr">
        <is>
          <t>1.连接方式:电渣压力焊接
2.规格:φ32以内</t>
        </is>
      </c>
      <c r="E57" s="26" t="inlineStr">
        <is>
          <t>个</t>
        </is>
      </c>
      <c r="F57" s="27" t="n">
        <v>2572</v>
      </c>
      <c r="G57" s="100" t="n">
        <v>0</v>
      </c>
      <c r="H57" s="108" t="n">
        <v>0</v>
      </c>
      <c r="I57" s="100">
        <f>G57-F57</f>
        <v/>
      </c>
      <c r="J57" s="100">
        <f>H57-F57</f>
        <v/>
      </c>
      <c r="K57" s="100">
        <f>+H57-G57</f>
        <v/>
      </c>
      <c r="L57" s="37">
        <f>I57/F57</f>
        <v/>
      </c>
      <c r="M57" s="27" t="n">
        <v>9.460000000000001</v>
      </c>
      <c r="N57" s="27" t="n">
        <v>10.44</v>
      </c>
      <c r="O57" s="37">
        <f>(M57-N57)/N57</f>
        <v/>
      </c>
      <c r="P57" s="100">
        <f>N57*0.9056*0.85</f>
        <v/>
      </c>
      <c r="Q57" s="100">
        <f>N57*1.15</f>
        <v/>
      </c>
      <c r="R57" s="100">
        <f>IF(M57&lt;N57*0.9056*0.85,N57*0.9056*0.85,IF(M57&gt;N57*1.15,N57*1.15,M57))</f>
        <v/>
      </c>
      <c r="S57" s="100">
        <f>+F57*M57</f>
        <v/>
      </c>
      <c r="T57" s="100">
        <f>S57+R57*I57</f>
        <v/>
      </c>
      <c r="U57" s="106">
        <f>S57+R57*J57</f>
        <v/>
      </c>
      <c r="V57" s="100">
        <f>U57-S57</f>
        <v/>
      </c>
      <c r="W57" s="106">
        <f>+U57-T57</f>
        <v/>
      </c>
      <c r="X57" s="107">
        <f>+U57-T57</f>
        <v/>
      </c>
      <c r="Y57" s="26" t="n"/>
    </row>
    <row r="58" ht="20" customFormat="1" customHeight="1" s="7">
      <c r="A58" s="26" t="n">
        <v>51</v>
      </c>
      <c r="B58" s="26" t="inlineStr">
        <is>
          <t>010516003003</t>
        </is>
      </c>
      <c r="C58" s="26" t="inlineStr">
        <is>
          <t>机械连接</t>
        </is>
      </c>
      <c r="D58" s="26" t="inlineStr">
        <is>
          <t>1.连接方式:套筒直螺纹钢筋接头
2.规格:φ32以内</t>
        </is>
      </c>
      <c r="E58" s="26" t="inlineStr">
        <is>
          <t>个</t>
        </is>
      </c>
      <c r="F58" s="27" t="n">
        <v>3536</v>
      </c>
      <c r="G58" s="100" t="n">
        <v>0</v>
      </c>
      <c r="H58" s="108" t="n">
        <v>0</v>
      </c>
      <c r="I58" s="100">
        <f>G58-F58</f>
        <v/>
      </c>
      <c r="J58" s="100">
        <f>H58-F58</f>
        <v/>
      </c>
      <c r="K58" s="100">
        <f>+H58-G58</f>
        <v/>
      </c>
      <c r="L58" s="37">
        <f>I58/F58</f>
        <v/>
      </c>
      <c r="M58" s="27" t="n">
        <v>16.67</v>
      </c>
      <c r="N58" s="27" t="n">
        <v>21.53</v>
      </c>
      <c r="O58" s="37">
        <f>(M58-N58)/N58</f>
        <v/>
      </c>
      <c r="P58" s="100">
        <f>N58*0.9056*0.85</f>
        <v/>
      </c>
      <c r="Q58" s="100">
        <f>N58*1.15</f>
        <v/>
      </c>
      <c r="R58" s="100">
        <f>IF(M58&lt;N58*0.9056*0.85,N58*0.9056*0.85,IF(M58&gt;N58*1.15,N58*1.15,M58))</f>
        <v/>
      </c>
      <c r="S58" s="100">
        <f>+F58*M58</f>
        <v/>
      </c>
      <c r="T58" s="100">
        <f>S58+R58*I58</f>
        <v/>
      </c>
      <c r="U58" s="106">
        <f>S58+R58*J58</f>
        <v/>
      </c>
      <c r="V58" s="100">
        <f>U58-S58</f>
        <v/>
      </c>
      <c r="W58" s="106">
        <f>+U58-T58</f>
        <v/>
      </c>
      <c r="X58" s="107">
        <f>+U58-T58</f>
        <v/>
      </c>
      <c r="Y58" s="26" t="n"/>
    </row>
    <row r="59" ht="20" customFormat="1" customHeight="1" s="7">
      <c r="A59" s="26" t="n"/>
      <c r="B59" s="26" t="n"/>
      <c r="C59" s="26" t="inlineStr">
        <is>
          <t>金属结构工程</t>
        </is>
      </c>
      <c r="D59" s="26" t="n"/>
      <c r="E59" s="26" t="n"/>
      <c r="F59" s="27" t="n"/>
      <c r="G59" s="100" t="n"/>
      <c r="H59" s="28" t="n"/>
      <c r="I59" s="100" t="n"/>
      <c r="J59" s="100" t="n"/>
      <c r="K59" s="100" t="n"/>
      <c r="L59" s="37" t="n"/>
      <c r="M59" s="27" t="n"/>
      <c r="N59" s="27" t="n"/>
      <c r="O59" s="27" t="n"/>
      <c r="P59" s="27" t="n"/>
      <c r="Q59" s="27" t="n"/>
      <c r="R59" s="100" t="n"/>
      <c r="S59" s="100">
        <f>+SUM(S60:S62)</f>
        <v/>
      </c>
      <c r="T59" s="100">
        <f>+SUM(T60:T62)</f>
        <v/>
      </c>
      <c r="U59" s="106">
        <f>SUM(U60:U62)</f>
        <v/>
      </c>
      <c r="V59" s="100">
        <f>U59-S59</f>
        <v/>
      </c>
      <c r="W59" s="106">
        <f>+U59-T59</f>
        <v/>
      </c>
      <c r="X59" s="107">
        <f>U59-T59</f>
        <v/>
      </c>
      <c r="Y59" s="26" t="n"/>
    </row>
    <row r="60" ht="20" customFormat="1" customHeight="1" s="7">
      <c r="A60" s="26" t="n">
        <v>52</v>
      </c>
      <c r="B60" s="26" t="inlineStr">
        <is>
          <t>010607005001</t>
        </is>
      </c>
      <c r="C60" s="26" t="inlineStr">
        <is>
          <t>砌块墙钢丝网加固</t>
        </is>
      </c>
      <c r="D60" s="26" t="inlineStr">
        <is>
          <t>1.镀锌钢丝网
2.材料品种、规格:Φ0.9@12.7*12.7</t>
        </is>
      </c>
      <c r="E60" s="26" t="inlineStr">
        <is>
          <t>m2</t>
        </is>
      </c>
      <c r="F60" s="27" t="n">
        <v>13762.06</v>
      </c>
      <c r="G60" s="100" t="n">
        <v>10786.52</v>
      </c>
      <c r="H60" s="106" t="n">
        <v>10786.52</v>
      </c>
      <c r="I60" s="100">
        <f>G60-F60</f>
        <v/>
      </c>
      <c r="J60" s="100">
        <f>H60-F60</f>
        <v/>
      </c>
      <c r="K60" s="100">
        <f>+H60-G60</f>
        <v/>
      </c>
      <c r="L60" s="37">
        <f>I60/F60</f>
        <v/>
      </c>
      <c r="M60" s="27" t="n">
        <v>6.91</v>
      </c>
      <c r="N60" s="27" t="n">
        <v>16.21</v>
      </c>
      <c r="O60" s="37">
        <f>(M60-N60)/N60</f>
        <v/>
      </c>
      <c r="P60" s="100">
        <f>N60*0.9056*0.85</f>
        <v/>
      </c>
      <c r="Q60" s="100">
        <f>N60*1.15</f>
        <v/>
      </c>
      <c r="R60" s="100">
        <f>IF(M60&lt;N60*0.9056*0.85,N60*0.9056*0.85,IF(M60&gt;N60*1.15,N60*1.15,M60))</f>
        <v/>
      </c>
      <c r="S60" s="100">
        <f>+F60*M60</f>
        <v/>
      </c>
      <c r="T60" s="100">
        <f>S60+R60*I60</f>
        <v/>
      </c>
      <c r="U60" s="106">
        <f>S60+R60*J60</f>
        <v/>
      </c>
      <c r="V60" s="100">
        <f>U60-S60</f>
        <v/>
      </c>
      <c r="W60" s="106">
        <f>+U60-T60</f>
        <v/>
      </c>
      <c r="X60" s="107">
        <f>+U60-T60</f>
        <v/>
      </c>
      <c r="Y60" s="26" t="n"/>
    </row>
    <row r="61" ht="20" customFormat="1" customHeight="1" s="7">
      <c r="A61" s="26" t="n">
        <v>53</v>
      </c>
      <c r="B61" s="26" t="inlineStr">
        <is>
          <t>010607005002</t>
        </is>
      </c>
      <c r="C61" s="26" t="inlineStr">
        <is>
          <t>砌块墙钢丝网加固</t>
        </is>
      </c>
      <c r="D61" s="26" t="inlineStr">
        <is>
          <t>1.耐碱玻璃纤维网布</t>
        </is>
      </c>
      <c r="E61" s="26" t="inlineStr">
        <is>
          <t>m2</t>
        </is>
      </c>
      <c r="F61" s="27" t="n">
        <v>3398.102</v>
      </c>
      <c r="G61" s="100" t="n">
        <v>1581.43</v>
      </c>
      <c r="H61" s="106" t="n">
        <v>1581.43</v>
      </c>
      <c r="I61" s="100">
        <f>G61-F61</f>
        <v/>
      </c>
      <c r="J61" s="100">
        <f>H61-F61</f>
        <v/>
      </c>
      <c r="K61" s="100">
        <f>+H61-G61</f>
        <v/>
      </c>
      <c r="L61" s="37">
        <f>I61/F61</f>
        <v/>
      </c>
      <c r="M61" s="27" t="n">
        <v>4.58</v>
      </c>
      <c r="N61" s="27" t="n">
        <v>11.97</v>
      </c>
      <c r="O61" s="37">
        <f>(M61-N61)/N61</f>
        <v/>
      </c>
      <c r="P61" s="100">
        <f>N61*0.9056*0.85</f>
        <v/>
      </c>
      <c r="Q61" s="100">
        <f>N61*1.15</f>
        <v/>
      </c>
      <c r="R61" s="100">
        <f>IF(M61&lt;N61*0.9056*0.85,N61*0.9056*0.85,IF(M61&gt;N61*1.15,N61*1.15,M61))</f>
        <v/>
      </c>
      <c r="S61" s="100">
        <f>+F61*M61</f>
        <v/>
      </c>
      <c r="T61" s="100">
        <f>S61+R61*I61</f>
        <v/>
      </c>
      <c r="U61" s="106">
        <f>S61+R61*J61</f>
        <v/>
      </c>
      <c r="V61" s="100">
        <f>U61-S61</f>
        <v/>
      </c>
      <c r="W61" s="106">
        <f>+U61-T61</f>
        <v/>
      </c>
      <c r="X61" s="107">
        <f>+U61-T61</f>
        <v/>
      </c>
      <c r="Y61" s="26" t="n"/>
    </row>
    <row r="62" ht="20" customFormat="1" customHeight="1" s="7">
      <c r="A62" s="26" t="n">
        <v>54</v>
      </c>
      <c r="B62" s="26" t="inlineStr">
        <is>
          <t>010606008002</t>
        </is>
      </c>
      <c r="C62" s="26" t="inlineStr">
        <is>
          <t>钢梯</t>
        </is>
      </c>
      <c r="D62" s="26" t="inlineStr">
        <is>
          <t>1.钢爬梯
2.防锈漆一道
3.图集:15J403</t>
        </is>
      </c>
      <c r="E62" s="26" t="inlineStr">
        <is>
          <t>t</t>
        </is>
      </c>
      <c r="F62" s="27" t="n">
        <v>0.25</v>
      </c>
      <c r="G62" s="100" t="n">
        <v>0.25</v>
      </c>
      <c r="H62" s="106" t="n">
        <v>0.25</v>
      </c>
      <c r="I62" s="100">
        <f>G62-F62</f>
        <v/>
      </c>
      <c r="J62" s="100">
        <f>H62-F62</f>
        <v/>
      </c>
      <c r="K62" s="100">
        <f>+H62-G62</f>
        <v/>
      </c>
      <c r="L62" s="37">
        <f>I62/F62</f>
        <v/>
      </c>
      <c r="M62" s="27" t="n">
        <v>11361.56</v>
      </c>
      <c r="N62" s="27" t="n">
        <v>9563.91</v>
      </c>
      <c r="O62" s="37">
        <f>(M62-N62)/N62</f>
        <v/>
      </c>
      <c r="P62" s="100">
        <f>N62*0.9056*0.85</f>
        <v/>
      </c>
      <c r="Q62" s="100">
        <f>N62*1.15</f>
        <v/>
      </c>
      <c r="R62" s="100">
        <f>IF(M62&lt;N62*0.9056*0.85,N62*0.9056*0.85,IF(M62&gt;N62*1.15,N62*1.15,M62))</f>
        <v/>
      </c>
      <c r="S62" s="100">
        <f>+F62*M62</f>
        <v/>
      </c>
      <c r="T62" s="100">
        <f>S62+R62*I62</f>
        <v/>
      </c>
      <c r="U62" s="106">
        <f>S62+R62*J62</f>
        <v/>
      </c>
      <c r="V62" s="100">
        <f>U62-S62</f>
        <v/>
      </c>
      <c r="W62" s="106">
        <f>+U62-T62</f>
        <v/>
      </c>
      <c r="X62" s="107">
        <f>+U62-T62</f>
        <v/>
      </c>
      <c r="Y62" s="26" t="n"/>
    </row>
    <row r="63" ht="20" customFormat="1" customHeight="1" s="7">
      <c r="A63" s="26" t="n"/>
      <c r="B63" s="26" t="n"/>
      <c r="C63" s="26" t="inlineStr">
        <is>
          <t>门窗工程</t>
        </is>
      </c>
      <c r="D63" s="26" t="n"/>
      <c r="E63" s="26" t="n"/>
      <c r="F63" s="27" t="n"/>
      <c r="G63" s="100" t="n"/>
      <c r="H63" s="28" t="n"/>
      <c r="I63" s="100" t="n"/>
      <c r="J63" s="100" t="n"/>
      <c r="K63" s="100" t="n"/>
      <c r="L63" s="37" t="n"/>
      <c r="M63" s="27" t="n"/>
      <c r="N63" s="27" t="n"/>
      <c r="O63" s="27" t="n"/>
      <c r="P63" s="27" t="n"/>
      <c r="Q63" s="27" t="n"/>
      <c r="R63" s="100" t="n"/>
      <c r="S63" s="100">
        <f>+SUM(S64:S76)</f>
        <v/>
      </c>
      <c r="T63" s="100">
        <f>+SUM(T64:T76)</f>
        <v/>
      </c>
      <c r="U63" s="106">
        <f>SUM(U64:U76)</f>
        <v/>
      </c>
      <c r="V63" s="100">
        <f>U63-S63</f>
        <v/>
      </c>
      <c r="W63" s="106">
        <f>+U63-T63</f>
        <v/>
      </c>
      <c r="X63" s="107">
        <f>U63-T63</f>
        <v/>
      </c>
      <c r="Y63" s="26" t="n"/>
    </row>
    <row r="64" ht="20" customFormat="1" customHeight="1" s="7">
      <c r="A64" s="26" t="n">
        <v>55</v>
      </c>
      <c r="B64" s="26" t="inlineStr">
        <is>
          <t>010802003013</t>
        </is>
      </c>
      <c r="C64" s="26" t="inlineStr">
        <is>
          <t>钢质防火门</t>
        </is>
      </c>
      <c r="D64" s="26" t="inlineStr">
        <is>
          <t>1.门类型:钢质防火门丙扇(级）
2.闭门器安装
3.其他详见施工设计图</t>
        </is>
      </c>
      <c r="E64" s="26" t="inlineStr">
        <is>
          <t>m2</t>
        </is>
      </c>
      <c r="F64" s="27" t="n">
        <v>30.24</v>
      </c>
      <c r="G64" s="100" t="n">
        <v>30.24</v>
      </c>
      <c r="H64" s="106" t="n">
        <v>30.24</v>
      </c>
      <c r="I64" s="100">
        <f>G64-F64</f>
        <v/>
      </c>
      <c r="J64" s="100">
        <f>H64-F64</f>
        <v/>
      </c>
      <c r="K64" s="100">
        <f>+H64-G64</f>
        <v/>
      </c>
      <c r="L64" s="37">
        <f>I64/F64</f>
        <v/>
      </c>
      <c r="M64" s="27" t="n">
        <v>545.42</v>
      </c>
      <c r="N64" s="27" t="n">
        <v>575.79</v>
      </c>
      <c r="O64" s="37">
        <f>(M64-N64)/N64</f>
        <v/>
      </c>
      <c r="P64" s="100">
        <f>N64*0.9056*0.85</f>
        <v/>
      </c>
      <c r="Q64" s="100">
        <f>N64*1.15</f>
        <v/>
      </c>
      <c r="R64" s="100">
        <f>IF(M64&lt;N64*0.9056*0.85,N64*0.9056*0.85,IF(M64&gt;N64*1.15,N64*1.15,M64))</f>
        <v/>
      </c>
      <c r="S64" s="100">
        <f>+F64*M64</f>
        <v/>
      </c>
      <c r="T64" s="100">
        <f>S64+R64*I64</f>
        <v/>
      </c>
      <c r="U64" s="106">
        <f>S64+R64*J64</f>
        <v/>
      </c>
      <c r="V64" s="100">
        <f>U64-S64</f>
        <v/>
      </c>
      <c r="W64" s="106">
        <f>+U64-T64</f>
        <v/>
      </c>
      <c r="X64" s="107">
        <f>+U64-T64</f>
        <v/>
      </c>
      <c r="Y64" s="26" t="n"/>
    </row>
    <row r="65" ht="20" customFormat="1" customHeight="1" s="7">
      <c r="A65" s="26" t="n">
        <v>56</v>
      </c>
      <c r="B65" s="26" t="inlineStr">
        <is>
          <t>010802003015</t>
        </is>
      </c>
      <c r="C65" s="26" t="inlineStr">
        <is>
          <t>钢质防火门</t>
        </is>
      </c>
      <c r="D65" s="26" t="inlineStr">
        <is>
          <t>1.门类型:钢质防火门单扇(甲级）
2.闭门器安装
3.其他详见施工设计图</t>
        </is>
      </c>
      <c r="E65" s="26" t="inlineStr">
        <is>
          <t>m2</t>
        </is>
      </c>
      <c r="F65" s="27" t="n">
        <v>15.35</v>
      </c>
      <c r="G65" s="100" t="n">
        <v>16.97</v>
      </c>
      <c r="H65" s="106" t="n">
        <v>16.97</v>
      </c>
      <c r="I65" s="100">
        <f>G65-F65</f>
        <v/>
      </c>
      <c r="J65" s="100">
        <f>H65-F65</f>
        <v/>
      </c>
      <c r="K65" s="100">
        <f>+H65-G65</f>
        <v/>
      </c>
      <c r="L65" s="37">
        <f>I65/F65</f>
        <v/>
      </c>
      <c r="M65" s="27" t="n">
        <v>559.8200000000001</v>
      </c>
      <c r="N65" s="27" t="n">
        <v>644.14</v>
      </c>
      <c r="O65" s="37">
        <f>(M65-N65)/N65</f>
        <v/>
      </c>
      <c r="P65" s="100">
        <f>N65*0.9056*0.85</f>
        <v/>
      </c>
      <c r="Q65" s="100">
        <f>N65*1.15</f>
        <v/>
      </c>
      <c r="R65" s="100">
        <f>IF(M65&lt;N65*0.9056*0.85,N65*0.9056*0.85,IF(M65&gt;N65*1.15,N65*1.15,M65))</f>
        <v/>
      </c>
      <c r="S65" s="100">
        <f>+F65*M65</f>
        <v/>
      </c>
      <c r="T65" s="100">
        <f>S65+R65*I65</f>
        <v/>
      </c>
      <c r="U65" s="106">
        <f>S65+R65*J65</f>
        <v/>
      </c>
      <c r="V65" s="100">
        <f>U65-S65</f>
        <v/>
      </c>
      <c r="W65" s="106">
        <f>+U65-T65</f>
        <v/>
      </c>
      <c r="X65" s="107">
        <f>+U65-T65</f>
        <v/>
      </c>
      <c r="Y65" s="26" t="n"/>
    </row>
    <row r="66" ht="20" customFormat="1" customHeight="1" s="7">
      <c r="A66" s="26" t="n">
        <v>57</v>
      </c>
      <c r="B66" s="26" t="inlineStr">
        <is>
          <t>010802003014</t>
        </is>
      </c>
      <c r="C66" s="26" t="inlineStr">
        <is>
          <t>钢质防火门</t>
        </is>
      </c>
      <c r="D66" s="26" t="inlineStr">
        <is>
          <t>1.门类型:钢质防火门双扇(乙级）
2.闭门器安装
3.其他详见施工设计图</t>
        </is>
      </c>
      <c r="E66" s="26" t="inlineStr">
        <is>
          <t>m2</t>
        </is>
      </c>
      <c r="F66" s="27" t="n">
        <v>48.3</v>
      </c>
      <c r="G66" s="100" t="n">
        <v>48.3</v>
      </c>
      <c r="H66" s="106" t="n">
        <v>48.3</v>
      </c>
      <c r="I66" s="100">
        <f>G66-F66</f>
        <v/>
      </c>
      <c r="J66" s="100">
        <f>H66-F66</f>
        <v/>
      </c>
      <c r="K66" s="100">
        <f>+H66-G66</f>
        <v/>
      </c>
      <c r="L66" s="37">
        <f>I66/F66</f>
        <v/>
      </c>
      <c r="M66" s="27" t="n">
        <v>547.91</v>
      </c>
      <c r="N66" s="27" t="n">
        <v>612.9400000000001</v>
      </c>
      <c r="O66" s="37">
        <f>(M66-N66)/N66</f>
        <v/>
      </c>
      <c r="P66" s="100">
        <f>N66*0.9056*0.85</f>
        <v/>
      </c>
      <c r="Q66" s="100">
        <f>N66*1.15</f>
        <v/>
      </c>
      <c r="R66" s="100">
        <f>IF(M66&lt;N66*0.9056*0.85,N66*0.9056*0.85,IF(M66&gt;N66*1.15,N66*1.15,M66))</f>
        <v/>
      </c>
      <c r="S66" s="100">
        <f>+F66*M66</f>
        <v/>
      </c>
      <c r="T66" s="100">
        <f>S66+R66*I66</f>
        <v/>
      </c>
      <c r="U66" s="106">
        <f>S66+R66*J66</f>
        <v/>
      </c>
      <c r="V66" s="100">
        <f>U66-S66</f>
        <v/>
      </c>
      <c r="W66" s="106">
        <f>+U66-T66</f>
        <v/>
      </c>
      <c r="X66" s="107">
        <f>+U66-T66</f>
        <v/>
      </c>
      <c r="Y66" s="26" t="n"/>
    </row>
    <row r="67" ht="20" customFormat="1" customHeight="1" s="7">
      <c r="A67" s="26" t="n">
        <v>58</v>
      </c>
      <c r="B67" s="26" t="inlineStr">
        <is>
          <t>010802003016</t>
        </is>
      </c>
      <c r="C67" s="26" t="inlineStr">
        <is>
          <t>钢质防火门</t>
        </is>
      </c>
      <c r="D67" s="26" t="inlineStr">
        <is>
          <t>1.门类型:钢质防火门单扇(乙级）
2.闭门器安装
3.其他详见施工设计图</t>
        </is>
      </c>
      <c r="E67" s="26" t="inlineStr">
        <is>
          <t>m2</t>
        </is>
      </c>
      <c r="F67" s="27" t="n">
        <v>2.415</v>
      </c>
      <c r="G67" s="100" t="n">
        <v>2.42</v>
      </c>
      <c r="H67" s="106" t="n">
        <v>2.42</v>
      </c>
      <c r="I67" s="100">
        <f>G67-F67</f>
        <v/>
      </c>
      <c r="J67" s="100">
        <f>H67-F67</f>
        <v/>
      </c>
      <c r="K67" s="100">
        <f>+H67-G67</f>
        <v/>
      </c>
      <c r="L67" s="37">
        <f>I67/F67</f>
        <v/>
      </c>
      <c r="M67" s="27" t="n">
        <v>547.91</v>
      </c>
      <c r="N67" s="27" t="n">
        <v>616.58</v>
      </c>
      <c r="O67" s="37">
        <f>(M67-N67)/N67</f>
        <v/>
      </c>
      <c r="P67" s="100">
        <f>N67*0.9056*0.85</f>
        <v/>
      </c>
      <c r="Q67" s="100">
        <f>N67*1.15</f>
        <v/>
      </c>
      <c r="R67" s="100">
        <f>IF(M67&lt;N67*0.9056*0.85,N67*0.9056*0.85,IF(M67&gt;N67*1.15,N67*1.15,M67))</f>
        <v/>
      </c>
      <c r="S67" s="100">
        <f>+F67*M67</f>
        <v/>
      </c>
      <c r="T67" s="100">
        <f>S67+R67*I67</f>
        <v/>
      </c>
      <c r="U67" s="106">
        <f>S67+R67*J67</f>
        <v/>
      </c>
      <c r="V67" s="100">
        <f>U67-S67</f>
        <v/>
      </c>
      <c r="W67" s="106">
        <f>+U67-T67</f>
        <v/>
      </c>
      <c r="X67" s="107">
        <f>+U67-T67</f>
        <v/>
      </c>
      <c r="Y67" s="26" t="n"/>
    </row>
    <row r="68" ht="20" customFormat="1" customHeight="1" s="7">
      <c r="A68" s="26" t="n">
        <v>59</v>
      </c>
      <c r="B68" s="26" t="inlineStr">
        <is>
          <t>010802001002</t>
        </is>
      </c>
      <c r="C68" s="26" t="inlineStr">
        <is>
          <t>金属(塑钢)门</t>
        </is>
      </c>
      <c r="D68" s="26" t="inlineStr">
        <is>
          <t>1.镀锌钢板门
2.1.5mm厚优质镀锌钢表面氟碳漆静电喷涂
3.304不锈钢五金件及门锁</t>
        </is>
      </c>
      <c r="E68" s="26" t="inlineStr">
        <is>
          <t>m2</t>
        </is>
      </c>
      <c r="F68" s="27" t="n">
        <v>5.865</v>
      </c>
      <c r="G68" s="100" t="n">
        <v>7.49</v>
      </c>
      <c r="H68" s="106" t="n">
        <v>7.49</v>
      </c>
      <c r="I68" s="100">
        <f>G68-F68</f>
        <v/>
      </c>
      <c r="J68" s="100">
        <f>H68-F68</f>
        <v/>
      </c>
      <c r="K68" s="100">
        <f>+H68-G68</f>
        <v/>
      </c>
      <c r="L68" s="37">
        <f>I68/F68</f>
        <v/>
      </c>
      <c r="M68" s="27" t="n">
        <v>777.73</v>
      </c>
      <c r="N68" s="27" t="n">
        <v>700.9</v>
      </c>
      <c r="O68" s="37">
        <f>(M68-N68)/N68</f>
        <v/>
      </c>
      <c r="P68" s="100">
        <f>N68*0.9056*0.85</f>
        <v/>
      </c>
      <c r="Q68" s="100">
        <f>N68*1.15</f>
        <v/>
      </c>
      <c r="R68" s="100">
        <f>IF(M68&lt;N68*0.9056*0.85,N68*0.9056*0.85,IF(M68&gt;N68*1.15,N68*1.15,M68))</f>
        <v/>
      </c>
      <c r="S68" s="100">
        <f>+F68*M68</f>
        <v/>
      </c>
      <c r="T68" s="100">
        <f>S68+R68*I68</f>
        <v/>
      </c>
      <c r="U68" s="106">
        <f>S68+R68*J68</f>
        <v/>
      </c>
      <c r="V68" s="100">
        <f>U68-S68</f>
        <v/>
      </c>
      <c r="W68" s="106">
        <f>+U68-T68</f>
        <v/>
      </c>
      <c r="X68" s="107">
        <f>+U68-T68</f>
        <v/>
      </c>
      <c r="Y68" s="26" t="n"/>
    </row>
    <row r="69" ht="20" customFormat="1" customHeight="1" s="7">
      <c r="A69" s="26" t="n">
        <v>60</v>
      </c>
      <c r="B69" s="26" t="inlineStr">
        <is>
          <t>010802001003</t>
        </is>
      </c>
      <c r="C69" s="26" t="inlineStr">
        <is>
          <t>金属(塑钢)门</t>
        </is>
      </c>
      <c r="D69" s="26" t="inlineStr">
        <is>
          <t>1.镀锌钢板门
2.1.5mm厚优质镀锌钢表面氟碳漆静电喷涂
3.304不锈钢五金件及门锁
4.上部开启窗6mm钢化玻璃</t>
        </is>
      </c>
      <c r="E69" s="26" t="inlineStr">
        <is>
          <t>m2</t>
        </is>
      </c>
      <c r="F69" s="27" t="n">
        <v>337.84</v>
      </c>
      <c r="G69" s="100" t="n">
        <v>337.84</v>
      </c>
      <c r="H69" s="106" t="n">
        <v>337.84</v>
      </c>
      <c r="I69" s="100">
        <f>G69-F69</f>
        <v/>
      </c>
      <c r="J69" s="100">
        <f>H69-F69</f>
        <v/>
      </c>
      <c r="K69" s="100">
        <f>+H69-G69</f>
        <v/>
      </c>
      <c r="L69" s="37">
        <f>I69/F69</f>
        <v/>
      </c>
      <c r="M69" s="27" t="n">
        <v>746.49</v>
      </c>
      <c r="N69" s="27" t="n">
        <v>662.8</v>
      </c>
      <c r="O69" s="37">
        <f>(M69-N69)/N69</f>
        <v/>
      </c>
      <c r="P69" s="100">
        <f>N69*0.9056*0.85</f>
        <v/>
      </c>
      <c r="Q69" s="100">
        <f>N69*1.15</f>
        <v/>
      </c>
      <c r="R69" s="100">
        <f>IF(M69&lt;N69*0.9056*0.85,N69*0.9056*0.85,IF(M69&gt;N69*1.15,N69*1.15,M69))</f>
        <v/>
      </c>
      <c r="S69" s="100">
        <f>+F69*M69</f>
        <v/>
      </c>
      <c r="T69" s="100">
        <f>S69+R69*I69</f>
        <v/>
      </c>
      <c r="U69" s="106">
        <f>S69+R69*J69</f>
        <v/>
      </c>
      <c r="V69" s="100">
        <f>U69-S69</f>
        <v/>
      </c>
      <c r="W69" s="106">
        <f>+U69-T69</f>
        <v/>
      </c>
      <c r="X69" s="107">
        <f>+U69-T69</f>
        <v/>
      </c>
      <c r="Y69" s="26" t="n"/>
    </row>
    <row r="70" ht="20" customFormat="1" customHeight="1" s="7">
      <c r="A70" s="26" t="n">
        <v>61</v>
      </c>
      <c r="B70" s="26" t="inlineStr">
        <is>
          <t>010807001014</t>
        </is>
      </c>
      <c r="C70" s="26" t="inlineStr">
        <is>
          <t>金属(塑钢、断桥)窗</t>
        </is>
      </c>
      <c r="D70" s="26" t="inlineStr">
        <is>
          <t>1.窗类型:90系列推拉窗
2.铝材厚度:1.8mm
3.玻璃品种、厚度:Low-E中空玻璃(6+12A+6)
4.排烟窗做法详见图纸
5.其他详见施工设计图</t>
        </is>
      </c>
      <c r="E70" s="26" t="inlineStr">
        <is>
          <t>m2</t>
        </is>
      </c>
      <c r="F70" s="27" t="n">
        <v>1315.21</v>
      </c>
      <c r="G70" s="100" t="n">
        <v>1315.21</v>
      </c>
      <c r="H70" s="106" t="n">
        <v>819.47</v>
      </c>
      <c r="I70" s="100">
        <f>G70-F70</f>
        <v/>
      </c>
      <c r="J70" s="100">
        <f>H70-F70</f>
        <v/>
      </c>
      <c r="K70" s="100">
        <f>+H70-G70</f>
        <v/>
      </c>
      <c r="L70" s="37">
        <f>I70/F70</f>
        <v/>
      </c>
      <c r="M70" s="27" t="n">
        <v>565.96</v>
      </c>
      <c r="N70" s="27" t="n">
        <v>605.7</v>
      </c>
      <c r="O70" s="37">
        <f>(M70-N70)/N70</f>
        <v/>
      </c>
      <c r="P70" s="100">
        <f>N70*0.9056*0.85</f>
        <v/>
      </c>
      <c r="Q70" s="100">
        <f>N70*1.15</f>
        <v/>
      </c>
      <c r="R70" s="100">
        <f>IF(M70&lt;N70*0.9056*0.85,N70*0.9056*0.85,IF(M70&gt;N70*1.15,N70*1.15,M70))</f>
        <v/>
      </c>
      <c r="S70" s="100">
        <f>+F70*M70</f>
        <v/>
      </c>
      <c r="T70" s="100">
        <f>S70+R70*I70</f>
        <v/>
      </c>
      <c r="U70" s="106">
        <f>S70+R70*J70</f>
        <v/>
      </c>
      <c r="V70" s="100">
        <f>U70-S70</f>
        <v/>
      </c>
      <c r="W70" s="106">
        <f>+U70-T70</f>
        <v/>
      </c>
      <c r="X70" s="107">
        <f>+U70-T70</f>
        <v/>
      </c>
      <c r="Y70" s="26" t="n"/>
    </row>
    <row r="71" ht="20" customFormat="1" customHeight="1" s="7">
      <c r="A71" s="26" t="n">
        <v>62</v>
      </c>
      <c r="B71" s="26" t="inlineStr">
        <is>
          <t>010807001015</t>
        </is>
      </c>
      <c r="C71" s="26" t="inlineStr">
        <is>
          <t>金属(塑钢、断桥)窗</t>
        </is>
      </c>
      <c r="D71" s="26" t="inlineStr">
        <is>
          <t>1.窗类型:70系列铝合金平开窗
2.铝材厚度:1.8mm
3.玻璃品种、厚度:Low-E中空玻璃(6+12A+6)
4.其他详见施工设计图</t>
        </is>
      </c>
      <c r="E71" s="26" t="inlineStr">
        <is>
          <t>m2</t>
        </is>
      </c>
      <c r="F71" s="27" t="n">
        <v>15.075</v>
      </c>
      <c r="G71" s="100" t="n">
        <v>15.08</v>
      </c>
      <c r="H71" s="106" t="n">
        <v>15.08</v>
      </c>
      <c r="I71" s="100">
        <f>G71-F71</f>
        <v/>
      </c>
      <c r="J71" s="100">
        <f>H71-F71</f>
        <v/>
      </c>
      <c r="K71" s="100">
        <f>+H71-G71</f>
        <v/>
      </c>
      <c r="L71" s="37">
        <f>I71/F71</f>
        <v/>
      </c>
      <c r="M71" s="27" t="n">
        <v>657.9299999999999</v>
      </c>
      <c r="N71" s="27" t="n">
        <v>568.34</v>
      </c>
      <c r="O71" s="37">
        <f>(M71-N71)/N71</f>
        <v/>
      </c>
      <c r="P71" s="100">
        <f>N71*0.9056*0.85</f>
        <v/>
      </c>
      <c r="Q71" s="100">
        <f>N71*1.15</f>
        <v/>
      </c>
      <c r="R71" s="100">
        <f>IF(M71&lt;N71*0.9056*0.85,N71*0.9056*0.85,IF(M71&gt;N71*1.15,N71*1.15,M71))</f>
        <v/>
      </c>
      <c r="S71" s="100">
        <f>+F71*M71</f>
        <v/>
      </c>
      <c r="T71" s="100">
        <f>S71+R71*I71</f>
        <v/>
      </c>
      <c r="U71" s="106">
        <f>S71+R71*J71</f>
        <v/>
      </c>
      <c r="V71" s="100">
        <f>U71-S71</f>
        <v/>
      </c>
      <c r="W71" s="106">
        <f>+U71-T71</f>
        <v/>
      </c>
      <c r="X71" s="107">
        <f>+U71-T71</f>
        <v/>
      </c>
      <c r="Y71" s="26" t="n"/>
    </row>
    <row r="72" ht="20" customFormat="1" customHeight="1" s="7">
      <c r="A72" s="26" t="n">
        <v>63</v>
      </c>
      <c r="B72" s="26" t="inlineStr">
        <is>
          <t>010807001016</t>
        </is>
      </c>
      <c r="C72" s="26" t="inlineStr">
        <is>
          <t>金属(塑钢、断桥)窗</t>
        </is>
      </c>
      <c r="D72" s="26" t="inlineStr">
        <is>
          <t>1.窗类型:铝合金固定窗
2.铝材厚度:1.8mm
3.玻璃品种、厚度:Low-E中空玻璃(6+12A+6)
4.其他详见施工设计图</t>
        </is>
      </c>
      <c r="E72" s="26" t="inlineStr">
        <is>
          <t>m2</t>
        </is>
      </c>
      <c r="F72" s="27" t="n">
        <v>310.21</v>
      </c>
      <c r="G72" s="100" t="n">
        <v>828.54</v>
      </c>
      <c r="H72" s="106" t="n">
        <v>828.54</v>
      </c>
      <c r="I72" s="100">
        <f>G72-F72</f>
        <v/>
      </c>
      <c r="J72" s="100">
        <f>H72-F72</f>
        <v/>
      </c>
      <c r="K72" s="100">
        <f>+H72-G72</f>
        <v/>
      </c>
      <c r="L72" s="37">
        <f>I72/F72</f>
        <v/>
      </c>
      <c r="M72" s="27" t="n">
        <v>568.25</v>
      </c>
      <c r="N72" s="27" t="n">
        <v>534.64</v>
      </c>
      <c r="O72" s="37">
        <f>(M72-N72)/N72</f>
        <v/>
      </c>
      <c r="P72" s="100">
        <f>N72*0.9056*0.85</f>
        <v/>
      </c>
      <c r="Q72" s="100">
        <f>N72*1.15</f>
        <v/>
      </c>
      <c r="R72" s="100">
        <f>IF(M72&lt;N72*0.9056*0.85,N72*0.9056*0.85,IF(M72&gt;N72*1.15,N72*1.15,M72))</f>
        <v/>
      </c>
      <c r="S72" s="100">
        <f>+F72*M72</f>
        <v/>
      </c>
      <c r="T72" s="100">
        <f>S72+R72*I72</f>
        <v/>
      </c>
      <c r="U72" s="106">
        <f>S72+R72*J72</f>
        <v/>
      </c>
      <c r="V72" s="100">
        <f>U72-S72</f>
        <v/>
      </c>
      <c r="W72" s="106">
        <f>+U72-T72</f>
        <v/>
      </c>
      <c r="X72" s="107">
        <f>+U72-T72</f>
        <v/>
      </c>
      <c r="Y72" s="26" t="n"/>
    </row>
    <row r="73" ht="20" customFormat="1" customHeight="1" s="7">
      <c r="A73" s="26" t="n">
        <v>64</v>
      </c>
      <c r="B73" s="26" t="inlineStr">
        <is>
          <t>010807002001</t>
        </is>
      </c>
      <c r="C73" s="26" t="inlineStr">
        <is>
          <t>金属防火窗</t>
        </is>
      </c>
      <c r="D73" s="26" t="inlineStr">
        <is>
          <t>1.铝合金乙级防火玻璃固定窗安装
2.其他详见施工设计图</t>
        </is>
      </c>
      <c r="E73" s="26" t="inlineStr">
        <is>
          <t>m2</t>
        </is>
      </c>
      <c r="F73" s="27" t="n">
        <v>4.88</v>
      </c>
      <c r="G73" s="100" t="n">
        <v>4.88</v>
      </c>
      <c r="H73" s="106" t="n">
        <v>4.88</v>
      </c>
      <c r="I73" s="100">
        <f>G73-F73</f>
        <v/>
      </c>
      <c r="J73" s="100">
        <f>H73-F73</f>
        <v/>
      </c>
      <c r="K73" s="100">
        <f>+H73-G73</f>
        <v/>
      </c>
      <c r="L73" s="37">
        <f>I73/F73</f>
        <v/>
      </c>
      <c r="M73" s="27" t="n">
        <v>537.53</v>
      </c>
      <c r="N73" s="27" t="n">
        <v>665.09</v>
      </c>
      <c r="O73" s="37">
        <f>(M73-N73)/N73</f>
        <v/>
      </c>
      <c r="P73" s="100">
        <f>N73*0.9056*0.85</f>
        <v/>
      </c>
      <c r="Q73" s="100">
        <f>N73*1.15</f>
        <v/>
      </c>
      <c r="R73" s="100">
        <f>IF(M73&lt;N73*0.9056*0.85,N73*0.9056*0.85,IF(M73&gt;N73*1.15,N73*1.15,M73))</f>
        <v/>
      </c>
      <c r="S73" s="100">
        <f>+F73*M73</f>
        <v/>
      </c>
      <c r="T73" s="100">
        <f>S73+R73*I73</f>
        <v/>
      </c>
      <c r="U73" s="106">
        <f>S73+R73*J73</f>
        <v/>
      </c>
      <c r="V73" s="100">
        <f>U73-S73</f>
        <v/>
      </c>
      <c r="W73" s="106">
        <f>+U73-T73</f>
        <v/>
      </c>
      <c r="X73" s="107">
        <f>+U73-T73</f>
        <v/>
      </c>
      <c r="Y73" s="26" t="n"/>
    </row>
    <row r="74" ht="20" customFormat="1" customHeight="1" s="7">
      <c r="A74" s="26" t="n">
        <v>65</v>
      </c>
      <c r="B74" s="26" t="inlineStr">
        <is>
          <t>010807003003</t>
        </is>
      </c>
      <c r="C74" s="26" t="inlineStr">
        <is>
          <t>金属百叶窗</t>
        </is>
      </c>
      <c r="D74" s="26" t="inlineStr">
        <is>
          <t>1.铝合金百叶窗
2.其他详见施工设计图</t>
        </is>
      </c>
      <c r="E74" s="26" t="inlineStr">
        <is>
          <t>m2</t>
        </is>
      </c>
      <c r="F74" s="27" t="n">
        <v>10.7</v>
      </c>
      <c r="G74" s="100" t="n">
        <v>10.7</v>
      </c>
      <c r="H74" s="106" t="n">
        <v>10.7</v>
      </c>
      <c r="I74" s="100">
        <f>G74-F74</f>
        <v/>
      </c>
      <c r="J74" s="100">
        <f>H74-F74</f>
        <v/>
      </c>
      <c r="K74" s="100">
        <f>+H74-G74</f>
        <v/>
      </c>
      <c r="L74" s="37">
        <f>I74/F74</f>
        <v/>
      </c>
      <c r="M74" s="27" t="n">
        <v>301.24</v>
      </c>
      <c r="N74" s="27" t="n">
        <v>404.84</v>
      </c>
      <c r="O74" s="37">
        <f>(M74-N74)/N74</f>
        <v/>
      </c>
      <c r="P74" s="100">
        <f>N74*0.9056*0.85</f>
        <v/>
      </c>
      <c r="Q74" s="100">
        <f>N74*1.15</f>
        <v/>
      </c>
      <c r="R74" s="100">
        <f>IF(M74&lt;N74*0.9056*0.85,N74*0.9056*0.85,IF(M74&gt;N74*1.15,N74*1.15,M74))</f>
        <v/>
      </c>
      <c r="S74" s="100">
        <f>+F74*M74</f>
        <v/>
      </c>
      <c r="T74" s="100">
        <f>S74+R74*I74</f>
        <v/>
      </c>
      <c r="U74" s="106">
        <f>S74+R74*J74</f>
        <v/>
      </c>
      <c r="V74" s="100">
        <f>U74-S74</f>
        <v/>
      </c>
      <c r="W74" s="106">
        <f>+U74-T74</f>
        <v/>
      </c>
      <c r="X74" s="107">
        <f>+U74-T74</f>
        <v/>
      </c>
      <c r="Y74" s="26" t="n"/>
    </row>
    <row r="75" ht="20" customFormat="1" customHeight="1" s="7">
      <c r="A75" s="26" t="n">
        <v>66</v>
      </c>
      <c r="B75" s="26" t="inlineStr">
        <is>
          <t>010807003004</t>
        </is>
      </c>
      <c r="C75" s="26" t="inlineStr">
        <is>
          <t>金属百叶窗</t>
        </is>
      </c>
      <c r="D75" s="26" t="inlineStr">
        <is>
          <t>1.铝合金空调百叶
2.30*30*2.0灰色铝方通
3.25*50*1.5灰色铝方通
4.其他详见施工设计图</t>
        </is>
      </c>
      <c r="E75" s="26" t="inlineStr">
        <is>
          <t>m2</t>
        </is>
      </c>
      <c r="F75" s="27" t="n">
        <v>321.13</v>
      </c>
      <c r="G75" s="100" t="n">
        <v>321.13</v>
      </c>
      <c r="H75" s="106" t="n">
        <v>321.13</v>
      </c>
      <c r="I75" s="100">
        <f>G75-F75</f>
        <v/>
      </c>
      <c r="J75" s="100">
        <f>H75-F75</f>
        <v/>
      </c>
      <c r="K75" s="100">
        <f>+H75-G75</f>
        <v/>
      </c>
      <c r="L75" s="37">
        <f>I75/F75</f>
        <v/>
      </c>
      <c r="M75" s="27" t="n">
        <v>301.24</v>
      </c>
      <c r="N75" s="27" t="n">
        <v>428.94</v>
      </c>
      <c r="O75" s="37">
        <f>(M75-N75)/N75</f>
        <v/>
      </c>
      <c r="P75" s="100">
        <f>N75*0.9056*0.85</f>
        <v/>
      </c>
      <c r="Q75" s="100">
        <f>N75*1.15</f>
        <v/>
      </c>
      <c r="R75" s="100">
        <f>IF(M75&lt;N75*0.9056*0.85,N75*0.9056*0.85,IF(M75&gt;N75*1.15,N75*1.15,M75))</f>
        <v/>
      </c>
      <c r="S75" s="100">
        <f>+F75*M75</f>
        <v/>
      </c>
      <c r="T75" s="100">
        <f>S75+R75*I75</f>
        <v/>
      </c>
      <c r="U75" s="106">
        <f>S75+R75*J75</f>
        <v/>
      </c>
      <c r="V75" s="100">
        <f>U75-S75</f>
        <v/>
      </c>
      <c r="W75" s="106">
        <f>+U75-T75</f>
        <v/>
      </c>
      <c r="X75" s="107">
        <f>+U75-T75</f>
        <v/>
      </c>
      <c r="Y75" s="26" t="n"/>
    </row>
    <row r="76" ht="20" customFormat="1" customHeight="1" s="7">
      <c r="A76" s="26" t="n">
        <v>67</v>
      </c>
      <c r="B76" s="26" t="inlineStr">
        <is>
          <t>010807005001</t>
        </is>
      </c>
      <c r="C76" s="26" t="inlineStr">
        <is>
          <t>金属格栅窗</t>
        </is>
      </c>
      <c r="D76" s="26" t="inlineStr">
        <is>
          <t>1.3.0厚300*100深灰色铝合金方管装饰格栅，中心间距300
2.其他详见施工设计图</t>
        </is>
      </c>
      <c r="E76" s="26" t="inlineStr">
        <is>
          <t>m</t>
        </is>
      </c>
      <c r="F76" s="27" t="n">
        <v>664.5</v>
      </c>
      <c r="G76" s="100" t="n">
        <v>669</v>
      </c>
      <c r="H76" s="106" t="n">
        <v>669</v>
      </c>
      <c r="I76" s="100">
        <f>G76-F76</f>
        <v/>
      </c>
      <c r="J76" s="100">
        <f>H76-F76</f>
        <v/>
      </c>
      <c r="K76" s="100">
        <f>+H76-G76</f>
        <v/>
      </c>
      <c r="L76" s="37">
        <f>I76/F76</f>
        <v/>
      </c>
      <c r="M76" s="27" t="n">
        <v>329</v>
      </c>
      <c r="N76" s="27" t="n">
        <v>380</v>
      </c>
      <c r="O76" s="37">
        <f>(M76-N76)/N76</f>
        <v/>
      </c>
      <c r="P76" s="100">
        <f>N76*0.9056*0.85</f>
        <v/>
      </c>
      <c r="Q76" s="100">
        <f>N76*1.15</f>
        <v/>
      </c>
      <c r="R76" s="100">
        <f>IF(M76&lt;N76*0.9056*0.85,N76*0.9056*0.85,IF(M76&gt;N76*1.15,N76*1.15,M76))</f>
        <v/>
      </c>
      <c r="S76" s="100">
        <f>+F76*M76</f>
        <v/>
      </c>
      <c r="T76" s="100">
        <f>S76+R76*I76</f>
        <v/>
      </c>
      <c r="U76" s="106">
        <f>S76+R76*J76</f>
        <v/>
      </c>
      <c r="V76" s="100">
        <f>U76-S76</f>
        <v/>
      </c>
      <c r="W76" s="106">
        <f>+U76-T76</f>
        <v/>
      </c>
      <c r="X76" s="107">
        <f>+U76-T76</f>
        <v/>
      </c>
      <c r="Y76" s="26" t="n"/>
    </row>
    <row r="77" ht="20" customFormat="1" customHeight="1" s="7">
      <c r="A77" s="26" t="n"/>
      <c r="B77" s="26" t="n"/>
      <c r="C77" s="26" t="inlineStr">
        <is>
          <t>屋面及防水工程</t>
        </is>
      </c>
      <c r="D77" s="26" t="n"/>
      <c r="E77" s="26" t="n"/>
      <c r="F77" s="27" t="n"/>
      <c r="G77" s="100" t="n"/>
      <c r="H77" s="28" t="n"/>
      <c r="I77" s="100" t="n"/>
      <c r="J77" s="100" t="n"/>
      <c r="K77" s="100" t="n"/>
      <c r="L77" s="37" t="n"/>
      <c r="M77" s="27" t="n"/>
      <c r="N77" s="27" t="n"/>
      <c r="O77" s="27" t="n"/>
      <c r="P77" s="27" t="n"/>
      <c r="Q77" s="27" t="n"/>
      <c r="R77" s="100" t="n"/>
      <c r="S77" s="100">
        <f>+SUM(S78:S91)</f>
        <v/>
      </c>
      <c r="T77" s="100">
        <f>+SUM(T78:T91)</f>
        <v/>
      </c>
      <c r="U77" s="106">
        <f>SUM(U78:U91)</f>
        <v/>
      </c>
      <c r="V77" s="100">
        <f>U77-S77</f>
        <v/>
      </c>
      <c r="W77" s="106">
        <f>+U77-T77</f>
        <v/>
      </c>
      <c r="X77" s="107">
        <f>U77-T77</f>
        <v/>
      </c>
      <c r="Y77" s="26" t="n"/>
    </row>
    <row r="78" ht="20" customFormat="1" customHeight="1" s="7">
      <c r="A78" s="26" t="n">
        <v>68</v>
      </c>
      <c r="B78" s="26" t="inlineStr">
        <is>
          <t>011102003008</t>
        </is>
      </c>
      <c r="C78" s="26" t="inlineStr">
        <is>
          <t>块料楼地面（屋1）</t>
        </is>
      </c>
      <c r="D78" s="26" t="inlineStr">
        <is>
          <t>1.面层:8~10厚防滑地砖,缝宽5~8
2.20厚M15干硬性水泥沙浆</t>
        </is>
      </c>
      <c r="E78" s="26" t="inlineStr">
        <is>
          <t>m2</t>
        </is>
      </c>
      <c r="F78" s="27" t="n">
        <v>127.5</v>
      </c>
      <c r="G78" s="100" t="n">
        <v>127.5</v>
      </c>
      <c r="H78" s="106" t="n">
        <v>127.5</v>
      </c>
      <c r="I78" s="100">
        <f>G78-F78</f>
        <v/>
      </c>
      <c r="J78" s="100">
        <f>H78-F78</f>
        <v/>
      </c>
      <c r="K78" s="100">
        <f>+H78-G78</f>
        <v/>
      </c>
      <c r="L78" s="37">
        <f>I78/F78</f>
        <v/>
      </c>
      <c r="M78" s="27" t="n">
        <v>116.74</v>
      </c>
      <c r="N78" s="27" t="n">
        <v>116.28</v>
      </c>
      <c r="O78" s="37">
        <f>(M78-N78)/N78</f>
        <v/>
      </c>
      <c r="P78" s="100">
        <f>N78*0.9056*0.85</f>
        <v/>
      </c>
      <c r="Q78" s="100">
        <f>N78*1.15</f>
        <v/>
      </c>
      <c r="R78" s="100">
        <f>IF(M78&lt;N78*0.9056*0.85,N78*0.9056*0.85,IF(M78&gt;N78*1.15,N78*1.15,M78))</f>
        <v/>
      </c>
      <c r="S78" s="100">
        <f>+F78*M78</f>
        <v/>
      </c>
      <c r="T78" s="100">
        <f>S78+R78*I78</f>
        <v/>
      </c>
      <c r="U78" s="106">
        <f>S78+R78*J78</f>
        <v/>
      </c>
      <c r="V78" s="100">
        <f>U78-S78</f>
        <v/>
      </c>
      <c r="W78" s="106">
        <f>+U78-T78</f>
        <v/>
      </c>
      <c r="X78" s="107">
        <f>+U78-T78</f>
        <v/>
      </c>
      <c r="Y78" s="26" t="n"/>
    </row>
    <row r="79" ht="20" customFormat="1" customHeight="1" s="7">
      <c r="A79" s="26" t="n">
        <v>69</v>
      </c>
      <c r="B79" s="26" t="inlineStr">
        <is>
          <t>010902003012</t>
        </is>
      </c>
      <c r="C79" s="26" t="inlineStr">
        <is>
          <t>屋面刚性层（屋1）</t>
        </is>
      </c>
      <c r="D79" s="26" t="inlineStr">
        <is>
          <t>1.40厚C20细石混凝土找平层,表面压光。(双向配筋ΦC4@150,每6米设缝,密封胶嵌缝。）</t>
        </is>
      </c>
      <c r="E79" s="26" t="inlineStr">
        <is>
          <t>m2</t>
        </is>
      </c>
      <c r="F79" s="27" t="n">
        <v>285.67</v>
      </c>
      <c r="G79" s="100" t="n">
        <v>418.55</v>
      </c>
      <c r="H79" s="106">
        <f>418.545</f>
        <v/>
      </c>
      <c r="I79" s="100">
        <f>G79-F79</f>
        <v/>
      </c>
      <c r="J79" s="100">
        <f>H79-F79</f>
        <v/>
      </c>
      <c r="K79" s="100">
        <f>+H79-G79</f>
        <v/>
      </c>
      <c r="L79" s="37">
        <f>I79/F79</f>
        <v/>
      </c>
      <c r="M79" s="27" t="n">
        <v>59.04</v>
      </c>
      <c r="N79" s="27" t="n">
        <v>56.42</v>
      </c>
      <c r="O79" s="37">
        <f>(M79-N79)/N79</f>
        <v/>
      </c>
      <c r="P79" s="100">
        <f>N79*0.9056*0.85</f>
        <v/>
      </c>
      <c r="Q79" s="100">
        <f>N79*1.15</f>
        <v/>
      </c>
      <c r="R79" s="100">
        <f>IF(M79&lt;N79*0.9056*0.85,N79*0.9056*0.85,IF(M79&gt;N79*1.15,N79*1.15,M79))</f>
        <v/>
      </c>
      <c r="S79" s="100">
        <f>+F79*M79</f>
        <v/>
      </c>
      <c r="T79" s="100">
        <f>S79+R79*I79</f>
        <v/>
      </c>
      <c r="U79" s="106">
        <f>S79+R79*J79</f>
        <v/>
      </c>
      <c r="V79" s="100">
        <f>U79-S79</f>
        <v/>
      </c>
      <c r="W79" s="106">
        <f>+U79-T79</f>
        <v/>
      </c>
      <c r="X79" s="107">
        <f>+U79-T79</f>
        <v/>
      </c>
      <c r="Y79" s="26" t="n"/>
    </row>
    <row r="80" ht="20" customFormat="1" customHeight="1" s="7">
      <c r="A80" s="26" t="n">
        <v>70</v>
      </c>
      <c r="B80" s="26" t="inlineStr">
        <is>
          <t>010902001007</t>
        </is>
      </c>
      <c r="C80" s="26" t="inlineStr">
        <is>
          <t>屋面卷材防水（屋1、屋4）</t>
        </is>
      </c>
      <c r="D80" s="26" t="inlineStr">
        <is>
          <t>1.1.5厚自粘聚合物改性沥青防水卷材(无胎)</t>
        </is>
      </c>
      <c r="E80" s="26" t="inlineStr">
        <is>
          <t>m2</t>
        </is>
      </c>
      <c r="F80" s="27" t="n">
        <v>2127.181</v>
      </c>
      <c r="G80" s="100" t="n">
        <v>2760.03</v>
      </c>
      <c r="H80" s="106">
        <f>2760.0325</f>
        <v/>
      </c>
      <c r="I80" s="100">
        <f>G80-F80</f>
        <v/>
      </c>
      <c r="J80" s="100">
        <f>H80-F80</f>
        <v/>
      </c>
      <c r="K80" s="100">
        <f>+H80-G80</f>
        <v/>
      </c>
      <c r="L80" s="37">
        <f>I80/F80</f>
        <v/>
      </c>
      <c r="M80" s="27" t="n">
        <v>38.75</v>
      </c>
      <c r="N80" s="27" t="n">
        <v>31.86</v>
      </c>
      <c r="O80" s="37">
        <f>(M80-N80)/N80</f>
        <v/>
      </c>
      <c r="P80" s="100">
        <f>N80*0.9056*0.85</f>
        <v/>
      </c>
      <c r="Q80" s="100">
        <f>N80*1.15</f>
        <v/>
      </c>
      <c r="R80" s="100">
        <f>IF(M80&lt;N80*0.9056*0.85,N80*0.9056*0.85,IF(M80&gt;N80*1.15,N80*1.15,M80))</f>
        <v/>
      </c>
      <c r="S80" s="100">
        <f>+F80*M80</f>
        <v/>
      </c>
      <c r="T80" s="100">
        <f>S80+R80*I80</f>
        <v/>
      </c>
      <c r="U80" s="106">
        <f>S80+R80*J80</f>
        <v/>
      </c>
      <c r="V80" s="100">
        <f>U80-S80</f>
        <v/>
      </c>
      <c r="W80" s="106">
        <f>+U80-T80</f>
        <v/>
      </c>
      <c r="X80" s="107">
        <f>+U80-T80</f>
        <v/>
      </c>
      <c r="Y80" s="26" t="n"/>
    </row>
    <row r="81" ht="20" customFormat="1" customHeight="1" s="7">
      <c r="A81" s="26" t="n">
        <v>71</v>
      </c>
      <c r="B81" s="26" t="inlineStr">
        <is>
          <t>010902003013</t>
        </is>
      </c>
      <c r="C81" s="26" t="inlineStr">
        <is>
          <t>屋面刚性层（屋1）</t>
        </is>
      </c>
      <c r="D81" s="26" t="inlineStr">
        <is>
          <t>1.40厚WSM20水泥浆找平层,纵横设置分格缝间距≤4000,缝宽15~20</t>
        </is>
      </c>
      <c r="E81" s="26" t="inlineStr">
        <is>
          <t>m2</t>
        </is>
      </c>
      <c r="F81" s="27" t="n">
        <v>301.37</v>
      </c>
      <c r="G81" s="100" t="n">
        <v>425.93</v>
      </c>
      <c r="H81" s="106">
        <f>425.925</f>
        <v/>
      </c>
      <c r="I81" s="100">
        <f>G81-F81</f>
        <v/>
      </c>
      <c r="J81" s="100">
        <f>H81-F81</f>
        <v/>
      </c>
      <c r="K81" s="100">
        <f>+H81-G81</f>
        <v/>
      </c>
      <c r="L81" s="37">
        <f>I81/F81</f>
        <v/>
      </c>
      <c r="M81" s="27" t="n">
        <v>37.14</v>
      </c>
      <c r="N81" s="27" t="n">
        <v>55.94</v>
      </c>
      <c r="O81" s="37">
        <f>(M81-N81)/N81</f>
        <v/>
      </c>
      <c r="P81" s="100">
        <f>N81*0.9056*0.85</f>
        <v/>
      </c>
      <c r="Q81" s="100">
        <f>N81*1.15</f>
        <v/>
      </c>
      <c r="R81" s="100">
        <f>IF(M81&lt;N81*0.9056*0.85,N81*0.9056*0.85,IF(M81&gt;N81*1.15,N81*1.15,M81))</f>
        <v/>
      </c>
      <c r="S81" s="100">
        <f>+F81*M81</f>
        <v/>
      </c>
      <c r="T81" s="100">
        <f>S81+R81*I81</f>
        <v/>
      </c>
      <c r="U81" s="106">
        <f>S81+R81*J81</f>
        <v/>
      </c>
      <c r="V81" s="100">
        <f>U81-S81</f>
        <v/>
      </c>
      <c r="W81" s="106">
        <f>+U81-T81</f>
        <v/>
      </c>
      <c r="X81" s="107">
        <f>+U81-T81</f>
        <v/>
      </c>
      <c r="Y81" s="26" t="n"/>
    </row>
    <row r="82" ht="20" customFormat="1" customHeight="1" s="7">
      <c r="A82" s="26" t="n">
        <v>72</v>
      </c>
      <c r="B82" s="26" t="inlineStr">
        <is>
          <t>010902002005</t>
        </is>
      </c>
      <c r="C82" s="26" t="inlineStr">
        <is>
          <t>屋面涂膜防水（屋1、屋4）</t>
        </is>
      </c>
      <c r="D82" s="26" t="inlineStr">
        <is>
          <t>1.1.5厚聚氨酯防水涂膜</t>
        </is>
      </c>
      <c r="E82" s="26" t="inlineStr">
        <is>
          <t>m2</t>
        </is>
      </c>
      <c r="F82" s="27" t="n">
        <v>2127.181</v>
      </c>
      <c r="G82" s="100" t="n">
        <v>2760.03</v>
      </c>
      <c r="H82" s="106">
        <f>2760.0325</f>
        <v/>
      </c>
      <c r="I82" s="100">
        <f>G82-F82</f>
        <v/>
      </c>
      <c r="J82" s="100">
        <f>H82-F82</f>
        <v/>
      </c>
      <c r="K82" s="100">
        <f>+H82-G82</f>
        <v/>
      </c>
      <c r="L82" s="37">
        <f>I82/F82</f>
        <v/>
      </c>
      <c r="M82" s="27" t="n">
        <v>33.79</v>
      </c>
      <c r="N82" s="27" t="n">
        <v>31.82</v>
      </c>
      <c r="O82" s="37">
        <f>(M82-N82)/N82</f>
        <v/>
      </c>
      <c r="P82" s="100">
        <f>N82*0.9056*0.85</f>
        <v/>
      </c>
      <c r="Q82" s="100">
        <f>N82*1.15</f>
        <v/>
      </c>
      <c r="R82" s="100">
        <f>IF(M82&lt;N82*0.9056*0.85,N82*0.9056*0.85,IF(M82&gt;N82*1.15,N82*1.15,M82))</f>
        <v/>
      </c>
      <c r="S82" s="100">
        <f>+F82*M82</f>
        <v/>
      </c>
      <c r="T82" s="100">
        <f>S82+R82*I82</f>
        <v/>
      </c>
      <c r="U82" s="106">
        <f>S82+R82*J82</f>
        <v/>
      </c>
      <c r="V82" s="100">
        <f>U82-S82</f>
        <v/>
      </c>
      <c r="W82" s="106">
        <f>+U82-T82</f>
        <v/>
      </c>
      <c r="X82" s="107">
        <f>+U82-T82</f>
        <v/>
      </c>
      <c r="Y82" s="26" t="n"/>
    </row>
    <row r="83" ht="20" customFormat="1" customHeight="1" s="7">
      <c r="A83" s="26" t="n">
        <v>73</v>
      </c>
      <c r="B83" s="26" t="inlineStr">
        <is>
          <t>010902001008</t>
        </is>
      </c>
      <c r="C83" s="26" t="inlineStr">
        <is>
          <t>屋面卷材防水（屋2）</t>
        </is>
      </c>
      <c r="D83" s="26" t="inlineStr">
        <is>
          <t>1.4.0厚塑性体改性沥青防水卷材(耐根穿刺防水层)</t>
        </is>
      </c>
      <c r="E83" s="26" t="inlineStr">
        <is>
          <t>m2</t>
        </is>
      </c>
      <c r="F83" s="27" t="n">
        <v>197.7197</v>
      </c>
      <c r="G83" s="100" t="n">
        <v>198.38</v>
      </c>
      <c r="H83" s="106" t="n">
        <v>198.38</v>
      </c>
      <c r="I83" s="100">
        <f>G83-F83</f>
        <v/>
      </c>
      <c r="J83" s="100">
        <f>H83-F83</f>
        <v/>
      </c>
      <c r="K83" s="100">
        <f>+H83-G83</f>
        <v/>
      </c>
      <c r="L83" s="37">
        <f>I83/F83</f>
        <v/>
      </c>
      <c r="M83" s="27" t="n">
        <v>63.61</v>
      </c>
      <c r="N83" s="27" t="n">
        <v>122.57</v>
      </c>
      <c r="O83" s="37">
        <f>(M83-N83)/N83</f>
        <v/>
      </c>
      <c r="P83" s="100">
        <f>N83*0.9056*0.85</f>
        <v/>
      </c>
      <c r="Q83" s="100">
        <f>N83*1.15</f>
        <v/>
      </c>
      <c r="R83" s="100">
        <f>IF(M83&lt;N83*0.9056*0.85,N83*0.9056*0.85,IF(M83&gt;N83*1.15,N83*1.15,M83))</f>
        <v/>
      </c>
      <c r="S83" s="100">
        <f>+F83*M83</f>
        <v/>
      </c>
      <c r="T83" s="100">
        <f>S83+R83*I83</f>
        <v/>
      </c>
      <c r="U83" s="106">
        <f>S83+R83*J83</f>
        <v/>
      </c>
      <c r="V83" s="100">
        <f>U83-S83</f>
        <v/>
      </c>
      <c r="W83" s="106">
        <f>+U83-T83</f>
        <v/>
      </c>
      <c r="X83" s="107">
        <f>+U83-T83</f>
        <v/>
      </c>
      <c r="Y83" s="26" t="n"/>
    </row>
    <row r="84" ht="20" customFormat="1" customHeight="1" s="7">
      <c r="A84" s="26" t="n">
        <v>74</v>
      </c>
      <c r="B84" s="26" t="inlineStr">
        <is>
          <t>010902002006</t>
        </is>
      </c>
      <c r="C84" s="26" t="inlineStr">
        <is>
          <t>屋面涂膜防水（屋2）</t>
        </is>
      </c>
      <c r="D84" s="26" t="inlineStr">
        <is>
          <t>1.2厚聚氨酯防水涂膜</t>
        </is>
      </c>
      <c r="E84" s="26" t="inlineStr">
        <is>
          <t>m2</t>
        </is>
      </c>
      <c r="F84" s="27" t="n">
        <v>197.7197</v>
      </c>
      <c r="G84" s="100" t="n">
        <v>198.38</v>
      </c>
      <c r="H84" s="106" t="n">
        <v>198.38</v>
      </c>
      <c r="I84" s="100">
        <f>G84-F84</f>
        <v/>
      </c>
      <c r="J84" s="100">
        <f>H84-F84</f>
        <v/>
      </c>
      <c r="K84" s="100">
        <f>+H84-G84</f>
        <v/>
      </c>
      <c r="L84" s="37">
        <f>I84/F84</f>
        <v/>
      </c>
      <c r="M84" s="27" t="n">
        <v>44.88</v>
      </c>
      <c r="N84" s="27" t="n">
        <v>42.2</v>
      </c>
      <c r="O84" s="37">
        <f>(M84-N84)/N84</f>
        <v/>
      </c>
      <c r="P84" s="100">
        <f>N84*0.9056*0.85</f>
        <v/>
      </c>
      <c r="Q84" s="100">
        <f>N84*1.15</f>
        <v/>
      </c>
      <c r="R84" s="100">
        <f>IF(M84&lt;N84*0.9056*0.85,N84*0.9056*0.85,IF(M84&gt;N84*1.15,N84*1.15,M84))</f>
        <v/>
      </c>
      <c r="S84" s="100">
        <f>+F84*M84</f>
        <v/>
      </c>
      <c r="T84" s="100">
        <f>S84+R84*I84</f>
        <v/>
      </c>
      <c r="U84" s="106">
        <f>S84+R84*J84</f>
        <v/>
      </c>
      <c r="V84" s="100">
        <f>U84-S84</f>
        <v/>
      </c>
      <c r="W84" s="106">
        <f>+U84-T84</f>
        <v/>
      </c>
      <c r="X84" s="107">
        <f>+U84-T84</f>
        <v/>
      </c>
      <c r="Y84" s="26" t="n"/>
    </row>
    <row r="85" ht="20" customFormat="1" customHeight="1" s="7">
      <c r="A85" s="26" t="n">
        <v>75</v>
      </c>
      <c r="B85" s="26" t="inlineStr">
        <is>
          <t>010902003014</t>
        </is>
      </c>
      <c r="C85" s="26" t="inlineStr">
        <is>
          <t>屋面刚性层（屋2、屋3）</t>
        </is>
      </c>
      <c r="D85" s="26" t="inlineStr">
        <is>
          <t>1.20厚(最薄处)WSM20水泥浆找2%坡,纵横设置分格缝间距≤6000,缝宽10~20的分格缝</t>
        </is>
      </c>
      <c r="E85" s="26" t="inlineStr">
        <is>
          <t>m2</t>
        </is>
      </c>
      <c r="F85" s="27" t="n">
        <v>174.74</v>
      </c>
      <c r="G85" s="100" t="n">
        <v>155.36</v>
      </c>
      <c r="H85" s="106" t="n">
        <v>155.36</v>
      </c>
      <c r="I85" s="100">
        <f>G85-F85</f>
        <v/>
      </c>
      <c r="J85" s="100">
        <f>H85-F85</f>
        <v/>
      </c>
      <c r="K85" s="100">
        <f>+H85-G85</f>
        <v/>
      </c>
      <c r="L85" s="37">
        <f>I85/F85</f>
        <v/>
      </c>
      <c r="M85" s="27" t="n">
        <v>28.13</v>
      </c>
      <c r="N85" s="27" t="n">
        <v>21.75</v>
      </c>
      <c r="O85" s="37">
        <f>(M85-N85)/N85</f>
        <v/>
      </c>
      <c r="P85" s="100">
        <f>N85*0.9056*0.85</f>
        <v/>
      </c>
      <c r="Q85" s="100">
        <f>N85*1.15</f>
        <v/>
      </c>
      <c r="R85" s="100">
        <f>IF(M85&lt;N85*0.9056*0.85,N85*0.9056*0.85,IF(M85&gt;N85*1.15,N85*1.15,M85))</f>
        <v/>
      </c>
      <c r="S85" s="100">
        <f>+F85*M85</f>
        <v/>
      </c>
      <c r="T85" s="100">
        <f>S85+R85*I85</f>
        <v/>
      </c>
      <c r="U85" s="106">
        <f>S85+R85*J85</f>
        <v/>
      </c>
      <c r="V85" s="100">
        <f>U85-S85</f>
        <v/>
      </c>
      <c r="W85" s="106">
        <f>+U85-T85</f>
        <v/>
      </c>
      <c r="X85" s="107">
        <f>+U85-T85</f>
        <v/>
      </c>
      <c r="Y85" s="26" t="n"/>
    </row>
    <row r="86" ht="20" customFormat="1" customHeight="1" s="7">
      <c r="A86" s="26" t="n">
        <v>76</v>
      </c>
      <c r="B86" s="26" t="inlineStr">
        <is>
          <t>010902003015</t>
        </is>
      </c>
      <c r="C86" s="26" t="inlineStr">
        <is>
          <t>屋面刚性层（屋2、屋3）</t>
        </is>
      </c>
      <c r="D86" s="26" t="inlineStr">
        <is>
          <t>1.20厚(最薄处)WSM20水泥浆找平,纵横设置分格缝间距≤4000,缝宽10~20的分格缝</t>
        </is>
      </c>
      <c r="E86" s="26" t="inlineStr">
        <is>
          <t>m2</t>
        </is>
      </c>
      <c r="F86" s="27" t="n">
        <v>174.74</v>
      </c>
      <c r="G86" s="100" t="n">
        <v>354.61</v>
      </c>
      <c r="H86" s="106" t="n">
        <v>354.61</v>
      </c>
      <c r="I86" s="100">
        <f>G86-F86</f>
        <v/>
      </c>
      <c r="J86" s="100">
        <f>H86-F86</f>
        <v/>
      </c>
      <c r="K86" s="100">
        <f>+H86-G86</f>
        <v/>
      </c>
      <c r="L86" s="37">
        <f>I86/F86</f>
        <v/>
      </c>
      <c r="M86" s="27" t="n">
        <v>25.06</v>
      </c>
      <c r="N86" s="27" t="n">
        <v>21.76</v>
      </c>
      <c r="O86" s="37">
        <f>(M86-N86)/N86</f>
        <v/>
      </c>
      <c r="P86" s="100">
        <f>N86*0.9056*0.85</f>
        <v/>
      </c>
      <c r="Q86" s="100">
        <f>N86*1.15</f>
        <v/>
      </c>
      <c r="R86" s="100">
        <f>IF(M86&lt;N86*0.9056*0.85,N86*0.9056*0.85,IF(M86&gt;N86*1.15,N86*1.15,M86))</f>
        <v/>
      </c>
      <c r="S86" s="100">
        <f>+F86*M86</f>
        <v/>
      </c>
      <c r="T86" s="100">
        <f>S86+R86*I86</f>
        <v/>
      </c>
      <c r="U86" s="106">
        <f>S86+R86*J86</f>
        <v/>
      </c>
      <c r="V86" s="100">
        <f>U86-S86</f>
        <v/>
      </c>
      <c r="W86" s="106">
        <f>+U86-T86</f>
        <v/>
      </c>
      <c r="X86" s="107">
        <f>+U86-T86</f>
        <v/>
      </c>
      <c r="Y86" s="26" t="n"/>
    </row>
    <row r="87" ht="20" customFormat="1" customHeight="1" s="7">
      <c r="A87" s="26" t="n">
        <v>77</v>
      </c>
      <c r="B87" s="26" t="inlineStr">
        <is>
          <t>010902003016</t>
        </is>
      </c>
      <c r="C87" s="26" t="inlineStr">
        <is>
          <t>屋面刚性层（屋4）</t>
        </is>
      </c>
      <c r="D87" s="26" t="inlineStr">
        <is>
          <t>1.20厚(最薄处)DSM15水泥浆找平</t>
        </is>
      </c>
      <c r="E87" s="26" t="inlineStr">
        <is>
          <t>m2</t>
        </is>
      </c>
      <c r="F87" s="27" t="n">
        <v>1772.31</v>
      </c>
      <c r="G87" s="100" t="n">
        <v>2238.69</v>
      </c>
      <c r="H87" s="106" t="n">
        <v>2238.69</v>
      </c>
      <c r="I87" s="100">
        <f>G87-F87</f>
        <v/>
      </c>
      <c r="J87" s="100">
        <f>H87-F87</f>
        <v/>
      </c>
      <c r="K87" s="100">
        <f>+H87-G87</f>
        <v/>
      </c>
      <c r="L87" s="37">
        <f>I87/F87</f>
        <v/>
      </c>
      <c r="M87" s="27" t="n">
        <v>24.44</v>
      </c>
      <c r="N87" s="27" t="n">
        <v>22.51</v>
      </c>
      <c r="O87" s="37">
        <f>(M87-N87)/N87</f>
        <v/>
      </c>
      <c r="P87" s="100">
        <f>N87*0.9056*0.85</f>
        <v/>
      </c>
      <c r="Q87" s="100">
        <f>N87*1.15</f>
        <v/>
      </c>
      <c r="R87" s="100">
        <f>IF(M87&lt;N87*0.9056*0.85,N87*0.9056*0.85,IF(M87&gt;N87*1.15,N87*1.15,M87))</f>
        <v/>
      </c>
      <c r="S87" s="100">
        <f>+F87*M87</f>
        <v/>
      </c>
      <c r="T87" s="100">
        <f>S87+R87*I87</f>
        <v/>
      </c>
      <c r="U87" s="106">
        <f>S87+R87*J87</f>
        <v/>
      </c>
      <c r="V87" s="100">
        <f>U87-S87</f>
        <v/>
      </c>
      <c r="W87" s="106">
        <f>+U87-T87</f>
        <v/>
      </c>
      <c r="X87" s="107">
        <f>+U87-T87</f>
        <v/>
      </c>
      <c r="Y87" s="26" t="n"/>
    </row>
    <row r="88" ht="20" customFormat="1" customHeight="1" s="7">
      <c r="A88" s="26" t="n">
        <v>78</v>
      </c>
      <c r="B88" s="26" t="inlineStr">
        <is>
          <t>010901001001</t>
        </is>
      </c>
      <c r="C88" s="26" t="inlineStr">
        <is>
          <t>瓦屋面（屋4、屋5）</t>
        </is>
      </c>
      <c r="D88" s="26" t="inlineStr">
        <is>
          <t>1.彩石金属瓦
2.冷弯型钢挂瓦条,中距按瓦材规格
3.其他详见施工设计图</t>
        </is>
      </c>
      <c r="E88" s="26" t="inlineStr">
        <is>
          <t>m2</t>
        </is>
      </c>
      <c r="F88" s="27" t="n">
        <v>1772.31</v>
      </c>
      <c r="G88" s="100" t="n">
        <v>1774.67</v>
      </c>
      <c r="H88" s="106" t="n">
        <v>1774.67</v>
      </c>
      <c r="I88" s="100">
        <f>G88-F88</f>
        <v/>
      </c>
      <c r="J88" s="100">
        <f>H88-F88</f>
        <v/>
      </c>
      <c r="K88" s="100">
        <f>+H88-G88</f>
        <v/>
      </c>
      <c r="L88" s="37">
        <f>I88/F88</f>
        <v/>
      </c>
      <c r="M88" s="27" t="n">
        <v>240.86</v>
      </c>
      <c r="N88" s="27" t="n">
        <v>182.42</v>
      </c>
      <c r="O88" s="37">
        <f>(M88-N88)/N88</f>
        <v/>
      </c>
      <c r="P88" s="100">
        <f>N88*0.9056*0.85</f>
        <v/>
      </c>
      <c r="Q88" s="100">
        <f>N88*1.15</f>
        <v/>
      </c>
      <c r="R88" s="100">
        <f>IF(M88&lt;N88*0.9056*0.85,N88*0.9056*0.85,IF(M88&gt;N88*1.15,N88*1.15,M88))</f>
        <v/>
      </c>
      <c r="S88" s="100">
        <f>+F88*M88</f>
        <v/>
      </c>
      <c r="T88" s="100">
        <f>S88+R88*I88</f>
        <v/>
      </c>
      <c r="U88" s="106">
        <f>S88+R88*J88</f>
        <v/>
      </c>
      <c r="V88" s="100">
        <f>U88-S88</f>
        <v/>
      </c>
      <c r="W88" s="106">
        <f>+U88-T88</f>
        <v/>
      </c>
      <c r="X88" s="107">
        <f>+U88-T88</f>
        <v/>
      </c>
      <c r="Y88" s="26" t="n"/>
    </row>
    <row r="89" ht="20" customFormat="1" customHeight="1" s="7">
      <c r="A89" s="44" t="n">
        <v>79</v>
      </c>
      <c r="B89" s="44" t="inlineStr">
        <is>
          <t>010904002003</t>
        </is>
      </c>
      <c r="C89" s="44" t="inlineStr">
        <is>
          <t>楼(地)面涂膜防水（沉池）</t>
        </is>
      </c>
      <c r="D89" s="44" t="inlineStr">
        <is>
          <t>1.1.5厚聚合物水泥基防水涂料
2.20厚M20水泥砂浆找平找坡层</t>
        </is>
      </c>
      <c r="E89" s="44" t="inlineStr">
        <is>
          <t>m2</t>
        </is>
      </c>
      <c r="F89" s="45" t="n">
        <v>657.4299999999999</v>
      </c>
      <c r="G89" s="111" t="n">
        <v>657.4299999999999</v>
      </c>
      <c r="H89" s="106" t="n">
        <v>657.4299999999999</v>
      </c>
      <c r="I89" s="111">
        <f>G89-F89</f>
        <v/>
      </c>
      <c r="J89" s="111">
        <f>H89-F89</f>
        <v/>
      </c>
      <c r="K89" s="111">
        <f>+H89-G89</f>
        <v/>
      </c>
      <c r="L89" s="47">
        <f>I89/F89</f>
        <v/>
      </c>
      <c r="M89" s="45" t="n">
        <v>63.95</v>
      </c>
      <c r="N89" s="45" t="n">
        <v>70.44</v>
      </c>
      <c r="O89" s="47">
        <f>(M89-N89)/N89</f>
        <v/>
      </c>
      <c r="P89" s="111">
        <f>N89*0.9056*0.85</f>
        <v/>
      </c>
      <c r="Q89" s="111">
        <f>N89*1.15</f>
        <v/>
      </c>
      <c r="R89" s="111">
        <f>IF(M89&lt;N89*0.9056*0.85,N89*0.9056*0.85,IF(M89&gt;N89*1.15,N89*1.15,M89))</f>
        <v/>
      </c>
      <c r="S89" s="111">
        <f>+F89*M89</f>
        <v/>
      </c>
      <c r="T89" s="111">
        <f>S89+R89*I89</f>
        <v/>
      </c>
      <c r="U89" s="106">
        <f>S89+R89*J89</f>
        <v/>
      </c>
      <c r="V89" s="100">
        <f>U89-S89</f>
        <v/>
      </c>
      <c r="W89" s="106">
        <f>+U89-T89</f>
        <v/>
      </c>
      <c r="X89" s="107">
        <f>+U89-T89</f>
        <v/>
      </c>
      <c r="Y89" s="44" t="n"/>
    </row>
    <row r="90" ht="20" customFormat="1" customHeight="1" s="7">
      <c r="A90" s="26" t="n">
        <v>80</v>
      </c>
      <c r="B90" s="26" t="inlineStr">
        <is>
          <t>010904002002</t>
        </is>
      </c>
      <c r="C90" s="26" t="inlineStr">
        <is>
          <t>楼(地)面涂膜防水（卫生间）</t>
        </is>
      </c>
      <c r="D90" s="26" t="inlineStr">
        <is>
          <t>1.1.5厚聚合物水泥基防水涂料</t>
        </is>
      </c>
      <c r="E90" s="26" t="inlineStr">
        <is>
          <t>m2</t>
        </is>
      </c>
      <c r="F90" s="27" t="n">
        <v>493.43</v>
      </c>
      <c r="G90" s="100" t="n">
        <v>0</v>
      </c>
      <c r="H90" s="106" t="n">
        <v>0</v>
      </c>
      <c r="I90" s="100">
        <f>G90-F90</f>
        <v/>
      </c>
      <c r="J90" s="100">
        <f>H90-F90</f>
        <v/>
      </c>
      <c r="K90" s="100">
        <f>+H90-G90</f>
        <v/>
      </c>
      <c r="L90" s="37">
        <f>I90/F90</f>
        <v/>
      </c>
      <c r="M90" s="27" t="n">
        <v>42.91</v>
      </c>
      <c r="N90" s="27" t="n">
        <v>46.07</v>
      </c>
      <c r="O90" s="37">
        <f>(M90-N90)/N90</f>
        <v/>
      </c>
      <c r="P90" s="100">
        <f>N90*0.9056*0.85</f>
        <v/>
      </c>
      <c r="Q90" s="100">
        <f>N90*1.15</f>
        <v/>
      </c>
      <c r="R90" s="100">
        <f>IF(M90&lt;N90*0.9056*0.85,N90*0.9056*0.85,IF(M90&gt;N90*1.15,N90*1.15,M90))</f>
        <v/>
      </c>
      <c r="S90" s="100">
        <f>+F90*M90</f>
        <v/>
      </c>
      <c r="T90" s="100">
        <f>S90+R90*I90</f>
        <v/>
      </c>
      <c r="U90" s="106">
        <f>S90+R90*J90</f>
        <v/>
      </c>
      <c r="V90" s="100">
        <f>U90-S90</f>
        <v/>
      </c>
      <c r="W90" s="106">
        <f>+U90-T90</f>
        <v/>
      </c>
      <c r="X90" s="107">
        <f>+U90-T90</f>
        <v/>
      </c>
      <c r="Y90" s="26" t="n"/>
    </row>
    <row r="91" ht="20" customFormat="1" customHeight="1" s="10">
      <c r="A91" s="26" t="n">
        <v>81</v>
      </c>
      <c r="B91" s="26" t="inlineStr">
        <is>
          <t>010903002001</t>
        </is>
      </c>
      <c r="C91" s="26" t="inlineStr">
        <is>
          <t>墙面涂膜防水（卫生间）</t>
        </is>
      </c>
      <c r="D91" s="26" t="inlineStr">
        <is>
          <t>1.卫生间墙身
2.1.5厚聚合物水泥基防水涂料
3.15厚WPM20水泥砂浆找平,分两遍成活,底层抹灰应压实搓毛</t>
        </is>
      </c>
      <c r="E91" s="26" t="inlineStr">
        <is>
          <t>m2</t>
        </is>
      </c>
      <c r="F91" s="27" t="n">
        <v>1721.84</v>
      </c>
      <c r="G91" s="100" t="n">
        <v>0</v>
      </c>
      <c r="H91" s="106" t="n">
        <v>0</v>
      </c>
      <c r="I91" s="100">
        <f>G91-F91</f>
        <v/>
      </c>
      <c r="J91" s="100">
        <f>H91-F91</f>
        <v/>
      </c>
      <c r="K91" s="100">
        <f>+H91-G91</f>
        <v/>
      </c>
      <c r="L91" s="37">
        <f>I91/F91</f>
        <v/>
      </c>
      <c r="M91" s="27" t="n">
        <v>76.48</v>
      </c>
      <c r="N91" s="27" t="n">
        <v>80.23</v>
      </c>
      <c r="O91" s="37">
        <f>(M91-N91)/N91</f>
        <v/>
      </c>
      <c r="P91" s="100">
        <f>N91*0.9056*0.85</f>
        <v/>
      </c>
      <c r="Q91" s="100">
        <f>N91*1.15</f>
        <v/>
      </c>
      <c r="R91" s="100">
        <f>IF(M91&lt;N91*0.9056*0.85,N91*0.9056*0.85,IF(M91&gt;N91*1.15,N91*1.15,M91))</f>
        <v/>
      </c>
      <c r="S91" s="100">
        <f>+F91*M91</f>
        <v/>
      </c>
      <c r="T91" s="100">
        <f>S91+R91*I91</f>
        <v/>
      </c>
      <c r="U91" s="106">
        <f>S91+R91*J91</f>
        <v/>
      </c>
      <c r="V91" s="100">
        <f>U91-S91</f>
        <v/>
      </c>
      <c r="W91" s="106">
        <f>+U91-T91</f>
        <v/>
      </c>
      <c r="X91" s="107">
        <f>+U91-T91</f>
        <v/>
      </c>
      <c r="Y91" s="26" t="n"/>
    </row>
    <row r="92" ht="20" customFormat="1" customHeight="1" s="7">
      <c r="A92" s="26" t="n"/>
      <c r="B92" s="26" t="n"/>
      <c r="C92" s="26" t="inlineStr">
        <is>
          <t>保温、隔热、防腐工程</t>
        </is>
      </c>
      <c r="D92" s="26" t="n"/>
      <c r="E92" s="26" t="n"/>
      <c r="F92" s="27" t="n"/>
      <c r="G92" s="100" t="n"/>
      <c r="H92" s="28" t="n"/>
      <c r="I92" s="100" t="n"/>
      <c r="J92" s="100" t="n"/>
      <c r="K92" s="100" t="n"/>
      <c r="L92" s="37" t="n"/>
      <c r="M92" s="27" t="n"/>
      <c r="N92" s="27" t="n"/>
      <c r="O92" s="27" t="n"/>
      <c r="P92" s="27" t="n"/>
      <c r="Q92" s="27" t="n"/>
      <c r="R92" s="100" t="n"/>
      <c r="S92" s="100">
        <f>+SUM(S93:S98)</f>
        <v/>
      </c>
      <c r="T92" s="100">
        <f>+SUM(T93:T98)</f>
        <v/>
      </c>
      <c r="U92" s="106">
        <f>SUM(U93:U98)</f>
        <v/>
      </c>
      <c r="V92" s="100">
        <f>U92-S92</f>
        <v/>
      </c>
      <c r="W92" s="106">
        <f>+U92-T92</f>
        <v/>
      </c>
      <c r="X92" s="107" t="n"/>
      <c r="Y92" s="26" t="n"/>
    </row>
    <row r="93" ht="20" customFormat="1" customHeight="1" s="7">
      <c r="A93" s="26" t="n">
        <v>82</v>
      </c>
      <c r="B93" s="26" t="inlineStr">
        <is>
          <t>011001001001</t>
        </is>
      </c>
      <c r="C93" s="26" t="inlineStr">
        <is>
          <t>保温隔热屋面（屋1）</t>
        </is>
      </c>
      <c r="D93" s="26" t="inlineStr">
        <is>
          <t>1.55厚RC型B2级挤塑聚苯乙烯泡沫塑料板</t>
        </is>
      </c>
      <c r="E93" s="26" t="inlineStr">
        <is>
          <t>m2</t>
        </is>
      </c>
      <c r="F93" s="27" t="n">
        <v>285.67</v>
      </c>
      <c r="G93" s="100" t="n">
        <v>285.67</v>
      </c>
      <c r="H93" s="106" t="n">
        <v>124.33</v>
      </c>
      <c r="I93" s="100">
        <f>G93-F93</f>
        <v/>
      </c>
      <c r="J93" s="100">
        <f>H93-F93</f>
        <v/>
      </c>
      <c r="K93" s="100">
        <f>+H93-G93</f>
        <v/>
      </c>
      <c r="L93" s="37">
        <f>I93/F93</f>
        <v/>
      </c>
      <c r="M93" s="27" t="n">
        <v>30.02</v>
      </c>
      <c r="N93" s="27" t="n">
        <v>54.05</v>
      </c>
      <c r="O93" s="37">
        <f>(M93-N93)/N93</f>
        <v/>
      </c>
      <c r="P93" s="100">
        <f>N93*0.9056*0.85</f>
        <v/>
      </c>
      <c r="Q93" s="100">
        <f>N93*1.15</f>
        <v/>
      </c>
      <c r="R93" s="100">
        <f>IF(M93&lt;N93*0.9056*0.85,N93*0.9056*0.85,IF(M93&gt;N93*1.15,N93*1.15,M93))</f>
        <v/>
      </c>
      <c r="S93" s="100">
        <f>+F93*M93</f>
        <v/>
      </c>
      <c r="T93" s="100">
        <f>S93+R93*I93</f>
        <v/>
      </c>
      <c r="U93" s="106">
        <f>S93+R93*J93</f>
        <v/>
      </c>
      <c r="V93" s="100">
        <f>U93-S93</f>
        <v/>
      </c>
      <c r="W93" s="106">
        <f>+U93-T93</f>
        <v/>
      </c>
      <c r="X93" s="107">
        <f>+U93-T93</f>
        <v/>
      </c>
      <c r="Y93" s="26" t="n"/>
    </row>
    <row r="94" ht="20" customFormat="1" customHeight="1" s="7">
      <c r="A94" s="26" t="n">
        <v>83</v>
      </c>
      <c r="B94" s="26" t="inlineStr">
        <is>
          <t>011003001001</t>
        </is>
      </c>
      <c r="C94" s="26" t="inlineStr">
        <is>
          <t>隔离层（屋2）</t>
        </is>
      </c>
      <c r="D94" s="26" t="inlineStr">
        <is>
          <t>1.部位:种植屋面
2.聚酯无纺布过滤层
3.凹凸型排(蓄)水板</t>
        </is>
      </c>
      <c r="E94" s="26" t="inlineStr">
        <is>
          <t>m2</t>
        </is>
      </c>
      <c r="F94" s="27" t="n">
        <v>174.74</v>
      </c>
      <c r="G94" s="100" t="n">
        <v>174.74</v>
      </c>
      <c r="H94" s="106" t="n">
        <v>174.74</v>
      </c>
      <c r="I94" s="100">
        <f>G94-F94</f>
        <v/>
      </c>
      <c r="J94" s="100">
        <f>H94-F94</f>
        <v/>
      </c>
      <c r="K94" s="100">
        <f>+H94-G94</f>
        <v/>
      </c>
      <c r="L94" s="37">
        <f>I94/F94</f>
        <v/>
      </c>
      <c r="M94" s="27" t="n">
        <v>14.58</v>
      </c>
      <c r="N94" s="27" t="n">
        <v>23.14</v>
      </c>
      <c r="O94" s="37">
        <f>(M94-N94)/N94</f>
        <v/>
      </c>
      <c r="P94" s="100">
        <f>N94*0.9056*0.85</f>
        <v/>
      </c>
      <c r="Q94" s="100">
        <f>N94*1.15</f>
        <v/>
      </c>
      <c r="R94" s="100">
        <f>IF(M94&lt;N94*0.9056*0.85,N94*0.9056*0.85,IF(M94&gt;N94*1.15,N94*1.15,M94))</f>
        <v/>
      </c>
      <c r="S94" s="100">
        <f>+F94*M94</f>
        <v/>
      </c>
      <c r="T94" s="100">
        <f>S94+R94*I94</f>
        <v/>
      </c>
      <c r="U94" s="106">
        <f>S94+R94*J94</f>
        <v/>
      </c>
      <c r="V94" s="100">
        <f>U94-S94</f>
        <v/>
      </c>
      <c r="W94" s="106">
        <f>+U94-T94</f>
        <v/>
      </c>
      <c r="X94" s="107">
        <f>+U94-T94</f>
        <v/>
      </c>
      <c r="Y94" s="26" t="n"/>
    </row>
    <row r="95" ht="20" customFormat="1" customHeight="1" s="7">
      <c r="A95" s="26" t="n">
        <v>84</v>
      </c>
      <c r="B95" s="26" t="inlineStr">
        <is>
          <t>011001001002</t>
        </is>
      </c>
      <c r="C95" s="26" t="inlineStr">
        <is>
          <t>保温隔热屋面（屋2）</t>
        </is>
      </c>
      <c r="D95" s="26" t="inlineStr">
        <is>
          <t>1.20厚RC型B2级挤塑聚苯乙烯泡沫塑料板</t>
        </is>
      </c>
      <c r="E95" s="26" t="inlineStr">
        <is>
          <t>m2</t>
        </is>
      </c>
      <c r="F95" s="27" t="n">
        <v>174.74</v>
      </c>
      <c r="G95" s="100" t="n">
        <v>174.74</v>
      </c>
      <c r="H95" s="106" t="n">
        <v>174.74</v>
      </c>
      <c r="I95" s="100">
        <f>G95-F95</f>
        <v/>
      </c>
      <c r="J95" s="100">
        <f>H95-F95</f>
        <v/>
      </c>
      <c r="K95" s="100">
        <f>+H95-G95</f>
        <v/>
      </c>
      <c r="L95" s="37">
        <f>I95/F95</f>
        <v/>
      </c>
      <c r="M95" s="27" t="n">
        <v>29</v>
      </c>
      <c r="N95" s="27" t="n">
        <v>29.53</v>
      </c>
      <c r="O95" s="37">
        <f>(M95-N95)/N95</f>
        <v/>
      </c>
      <c r="P95" s="100">
        <f>N95*0.9056*0.85</f>
        <v/>
      </c>
      <c r="Q95" s="100">
        <f>N95*1.15</f>
        <v/>
      </c>
      <c r="R95" s="100">
        <f>IF(M95&lt;N95*0.9056*0.85,N95*0.9056*0.85,IF(M95&gt;N95*1.15,N95*1.15,M95))</f>
        <v/>
      </c>
      <c r="S95" s="100">
        <f>+F95*M95</f>
        <v/>
      </c>
      <c r="T95" s="100">
        <f>S95+R95*I95</f>
        <v/>
      </c>
      <c r="U95" s="106">
        <f>S95+R95*J95</f>
        <v/>
      </c>
      <c r="V95" s="100">
        <f>U95-S95</f>
        <v/>
      </c>
      <c r="W95" s="106">
        <f>+U95-T95</f>
        <v/>
      </c>
      <c r="X95" s="107">
        <f>+U95-T95</f>
        <v/>
      </c>
      <c r="Y95" s="26" t="n"/>
    </row>
    <row r="96" ht="20" customFormat="1" customHeight="1" s="7">
      <c r="A96" s="34" t="n">
        <v>85</v>
      </c>
      <c r="B96" s="34" t="inlineStr">
        <is>
          <t>011003001002</t>
        </is>
      </c>
      <c r="C96" s="34" t="inlineStr">
        <is>
          <t>隔离层（屋1、屋2、屋3、屋4）</t>
        </is>
      </c>
      <c r="D96" s="34" t="inlineStr">
        <is>
          <t>1.0.4厚聚乙烯薄膜隔离层</t>
        </is>
      </c>
      <c r="E96" s="34" t="inlineStr">
        <is>
          <t>m2</t>
        </is>
      </c>
      <c r="F96" s="35" t="n">
        <v>2232.72</v>
      </c>
      <c r="G96" s="110" t="n">
        <v>2927.74</v>
      </c>
      <c r="H96" s="110">
        <f>2927.7425</f>
        <v/>
      </c>
      <c r="I96" s="110">
        <f>G96-F96</f>
        <v/>
      </c>
      <c r="J96" s="110">
        <f>H96-F96</f>
        <v/>
      </c>
      <c r="K96" s="110">
        <f>+H96-G96</f>
        <v/>
      </c>
      <c r="L96" s="39">
        <f>I96/F96</f>
        <v/>
      </c>
      <c r="M96" s="35" t="n">
        <v>4.06</v>
      </c>
      <c r="N96" s="35" t="n">
        <v>7.24</v>
      </c>
      <c r="O96" s="39">
        <f>(M96-N96)/N96</f>
        <v/>
      </c>
      <c r="P96" s="110">
        <f>N96*0.9056*0.85</f>
        <v/>
      </c>
      <c r="Q96" s="110">
        <f>N96*1.15</f>
        <v/>
      </c>
      <c r="R96" s="110">
        <f>IF(M96&lt;N96*0.9056*0.85,N96*0.9056*0.85,IF(M96&gt;N96*1.15,N96*1.15,M96))</f>
        <v/>
      </c>
      <c r="S96" s="110">
        <f>+F96*M96</f>
        <v/>
      </c>
      <c r="T96" s="110">
        <f>S96+R96*I96</f>
        <v/>
      </c>
      <c r="U96" s="110">
        <f>S96+R96*J96</f>
        <v/>
      </c>
      <c r="V96" s="100">
        <f>U96-S96</f>
        <v/>
      </c>
      <c r="W96" s="106">
        <f>+U96-T96</f>
        <v/>
      </c>
      <c r="X96" s="110">
        <f>+U96-T96</f>
        <v/>
      </c>
      <c r="Y96" s="34" t="n"/>
    </row>
    <row r="97" ht="20" customFormat="1" customHeight="1" s="7">
      <c r="A97" s="26" t="n">
        <v>86</v>
      </c>
      <c r="B97" s="26" t="inlineStr">
        <is>
          <t>011001001003</t>
        </is>
      </c>
      <c r="C97" s="26" t="inlineStr">
        <is>
          <t>保温隔热屋面（屋4）</t>
        </is>
      </c>
      <c r="D97" s="26" t="inlineStr">
        <is>
          <t>1.50厚RC型B2级挤塑聚苯乙烯泡沫塑料板</t>
        </is>
      </c>
      <c r="E97" s="26" t="inlineStr">
        <is>
          <t>m2</t>
        </is>
      </c>
      <c r="F97" s="27" t="n">
        <v>1772.31</v>
      </c>
      <c r="G97" s="100" t="n">
        <v>1774.67</v>
      </c>
      <c r="H97" s="106" t="n">
        <v>1774.67</v>
      </c>
      <c r="I97" s="100">
        <f>G97-F97</f>
        <v/>
      </c>
      <c r="J97" s="100">
        <f>H97-F97</f>
        <v/>
      </c>
      <c r="K97" s="100">
        <f>+H97-G97</f>
        <v/>
      </c>
      <c r="L97" s="37">
        <f>I97/F97</f>
        <v/>
      </c>
      <c r="M97" s="27" t="n">
        <v>30.02</v>
      </c>
      <c r="N97" s="27" t="n">
        <v>49.93</v>
      </c>
      <c r="O97" s="37">
        <f>(M97-N97)/N97</f>
        <v/>
      </c>
      <c r="P97" s="100">
        <f>N97*0.9056*0.85</f>
        <v/>
      </c>
      <c r="Q97" s="100">
        <f>N97*1.15</f>
        <v/>
      </c>
      <c r="R97" s="100">
        <f>IF(M97&lt;N97*0.9056*0.85,N97*0.9056*0.85,IF(M97&gt;N97*1.15,N97*1.15,M97))</f>
        <v/>
      </c>
      <c r="S97" s="100">
        <f>+F97*M97</f>
        <v/>
      </c>
      <c r="T97" s="100">
        <f>S97+R97*I97</f>
        <v/>
      </c>
      <c r="U97" s="106">
        <f>S97+R97*J97</f>
        <v/>
      </c>
      <c r="V97" s="100">
        <f>U97-S97</f>
        <v/>
      </c>
      <c r="W97" s="106">
        <f>+U97-T97</f>
        <v/>
      </c>
      <c r="X97" s="107">
        <f>+U97-T97</f>
        <v/>
      </c>
      <c r="Y97" s="26" t="n"/>
    </row>
    <row r="98" ht="20" customFormat="1" customHeight="1" s="8">
      <c r="A98" s="26" t="n">
        <v>87</v>
      </c>
      <c r="B98" s="26" t="inlineStr">
        <is>
          <t>011001003001</t>
        </is>
      </c>
      <c r="C98" s="26" t="inlineStr">
        <is>
          <t>保温隔热墙面</t>
        </is>
      </c>
      <c r="D98" s="26" t="inlineStr">
        <is>
          <t>1.西向外墙内保温10mm玻化微珠保温砂浆
2.5厚抗裂砂浆内置保温专用玻纤网(130g/m2)
3.做法详见图纸</t>
        </is>
      </c>
      <c r="E98" s="26" t="inlineStr">
        <is>
          <t>m2</t>
        </is>
      </c>
      <c r="F98" s="27" t="n">
        <v>625.6</v>
      </c>
      <c r="G98" s="100" t="n">
        <v>463.18</v>
      </c>
      <c r="H98" s="106" t="n">
        <v>463.18</v>
      </c>
      <c r="I98" s="100">
        <f>G98-F98</f>
        <v/>
      </c>
      <c r="J98" s="100">
        <f>H98-F98</f>
        <v/>
      </c>
      <c r="K98" s="100">
        <f>+H98-G98</f>
        <v/>
      </c>
      <c r="L98" s="37">
        <f>I98/F98</f>
        <v/>
      </c>
      <c r="M98" s="27" t="n">
        <v>85.13</v>
      </c>
      <c r="N98" s="27" t="n">
        <v>65.26000000000001</v>
      </c>
      <c r="O98" s="37">
        <f>(M98-N98)/N98</f>
        <v/>
      </c>
      <c r="P98" s="100">
        <f>N98*0.9056*0.85</f>
        <v/>
      </c>
      <c r="Q98" s="100">
        <f>N98*1.15</f>
        <v/>
      </c>
      <c r="R98" s="100">
        <f>IF(M98&lt;N98*0.9056*0.85,N98*0.9056*0.85,IF(M98&gt;N98*1.15,N98*1.15,M98))</f>
        <v/>
      </c>
      <c r="S98" s="100">
        <f>+F98*M98</f>
        <v/>
      </c>
      <c r="T98" s="100">
        <f>S98+R98*I98</f>
        <v/>
      </c>
      <c r="U98" s="106">
        <f>S98+R98*J98</f>
        <v/>
      </c>
      <c r="V98" s="100">
        <f>U98-S98</f>
        <v/>
      </c>
      <c r="W98" s="106">
        <f>+U98-T98</f>
        <v/>
      </c>
      <c r="X98" s="107">
        <f>+U98-T98</f>
        <v/>
      </c>
      <c r="Y98" s="26" t="n"/>
    </row>
    <row r="99" ht="20" customFormat="1" customHeight="1" s="7">
      <c r="A99" s="26" t="n"/>
      <c r="B99" s="26" t="n"/>
      <c r="C99" s="26" t="inlineStr">
        <is>
          <t>楼地面装饰工程</t>
        </is>
      </c>
      <c r="D99" s="26" t="n"/>
      <c r="E99" s="26" t="n"/>
      <c r="F99" s="27" t="n"/>
      <c r="G99" s="100" t="n"/>
      <c r="H99" s="28" t="n"/>
      <c r="I99" s="100" t="n"/>
      <c r="J99" s="100" t="n"/>
      <c r="K99" s="100" t="n"/>
      <c r="L99" s="37" t="n"/>
      <c r="M99" s="27" t="n"/>
      <c r="N99" s="27" t="n"/>
      <c r="O99" s="27" t="n"/>
      <c r="P99" s="27" t="n"/>
      <c r="Q99" s="27" t="n"/>
      <c r="R99" s="100" t="n"/>
      <c r="S99" s="100">
        <f>+SUM(S100:S114)</f>
        <v/>
      </c>
      <c r="T99" s="100">
        <f>+SUM(T100:T114)</f>
        <v/>
      </c>
      <c r="U99" s="106">
        <f>SUM(U100:U114)</f>
        <v/>
      </c>
      <c r="V99" s="100">
        <f>U99-S99</f>
        <v/>
      </c>
      <c r="W99" s="106">
        <f>+U99-T99</f>
        <v/>
      </c>
      <c r="X99" s="107">
        <f>U99-T99</f>
        <v/>
      </c>
      <c r="Y99" s="26" t="n"/>
    </row>
    <row r="100" ht="20" customFormat="1" customHeight="1" s="7">
      <c r="A100" s="26" t="n">
        <v>88</v>
      </c>
      <c r="B100" s="26" t="inlineStr">
        <is>
          <t>011101001004</t>
        </is>
      </c>
      <c r="C100" s="26" t="inlineStr">
        <is>
          <t>水泥砂浆楼地面（地1）（水电井）</t>
        </is>
      </c>
      <c r="D100" s="26" t="inlineStr">
        <is>
          <t>1.20厚M20水泥砂浆打底,加水泥粉随手抹光向地漏找坡</t>
        </is>
      </c>
      <c r="E100" s="26" t="inlineStr">
        <is>
          <t>m2</t>
        </is>
      </c>
      <c r="F100" s="27" t="n">
        <v>70.27</v>
      </c>
      <c r="G100" s="100" t="n">
        <v>124.44</v>
      </c>
      <c r="H100" s="106" t="n">
        <v>124.44</v>
      </c>
      <c r="I100" s="100">
        <f>G100-F100</f>
        <v/>
      </c>
      <c r="J100" s="100">
        <f>H100-F100</f>
        <v/>
      </c>
      <c r="K100" s="100">
        <f>+H100-G100</f>
        <v/>
      </c>
      <c r="L100" s="37">
        <f>I100/F100</f>
        <v/>
      </c>
      <c r="M100" s="27" t="n">
        <v>29.28</v>
      </c>
      <c r="N100" s="27" t="n">
        <v>24.37</v>
      </c>
      <c r="O100" s="37">
        <f>(M100-N100)/N100</f>
        <v/>
      </c>
      <c r="P100" s="100">
        <f>N100*0.9056*0.85</f>
        <v/>
      </c>
      <c r="Q100" s="100">
        <f>N100*1.15</f>
        <v/>
      </c>
      <c r="R100" s="100">
        <f>IF(M100&lt;N100*0.9056*0.85,N100*0.9056*0.85,IF(M100&gt;N100*1.15,N100*1.15,M100))</f>
        <v/>
      </c>
      <c r="S100" s="100">
        <f>+F100*M100</f>
        <v/>
      </c>
      <c r="T100" s="100">
        <f>S100+R100*I100</f>
        <v/>
      </c>
      <c r="U100" s="106">
        <f>S100+R100*J100</f>
        <v/>
      </c>
      <c r="V100" s="100">
        <f>U100-S100</f>
        <v/>
      </c>
      <c r="W100" s="106">
        <f>+U100-T100</f>
        <v/>
      </c>
      <c r="X100" s="107">
        <f>+U100-T100</f>
        <v/>
      </c>
      <c r="Y100" s="26" t="n"/>
    </row>
    <row r="101" ht="20" customFormat="1" customHeight="1" s="7">
      <c r="A101" s="26" t="n">
        <v>89</v>
      </c>
      <c r="B101" s="26" t="inlineStr">
        <is>
          <t>011102003016</t>
        </is>
      </c>
      <c r="C101" s="26" t="inlineStr">
        <is>
          <t>块料楼地面（地2）</t>
        </is>
      </c>
      <c r="D101" s="26" t="inlineStr">
        <is>
          <t>1.400*400mm防滑地砖铺平拍实,纯水泥浆擦缝
2.15厚DSM15水泥砂浆结合层</t>
        </is>
      </c>
      <c r="E101" s="26" t="inlineStr">
        <is>
          <t>m2</t>
        </is>
      </c>
      <c r="F101" s="27" t="n">
        <v>522.17</v>
      </c>
      <c r="G101" s="100" t="n">
        <v>520.8200000000001</v>
      </c>
      <c r="H101" s="106" t="n">
        <v>520.8200000000001</v>
      </c>
      <c r="I101" s="100">
        <f>G101-F101</f>
        <v/>
      </c>
      <c r="J101" s="100">
        <f>H101-F101</f>
        <v/>
      </c>
      <c r="K101" s="100">
        <f>+H101-G101</f>
        <v/>
      </c>
      <c r="L101" s="37">
        <f>I101/F101</f>
        <v/>
      </c>
      <c r="M101" s="27" t="n">
        <v>112.13</v>
      </c>
      <c r="N101" s="27" t="n">
        <v>74.23999999999999</v>
      </c>
      <c r="O101" s="37">
        <f>(M101-N101)/N101</f>
        <v/>
      </c>
      <c r="P101" s="100">
        <f>N101*0.9056*0.85</f>
        <v/>
      </c>
      <c r="Q101" s="100">
        <f>N101*1.15</f>
        <v/>
      </c>
      <c r="R101" s="100">
        <f>IF(M101&lt;N101*0.9056*0.85,N101*0.9056*0.85,IF(M101&gt;N101*1.15,N101*1.15,M101))</f>
        <v/>
      </c>
      <c r="S101" s="100">
        <f>+F101*M101</f>
        <v/>
      </c>
      <c r="T101" s="100">
        <f>S101+R101*I101</f>
        <v/>
      </c>
      <c r="U101" s="106">
        <f>S101+R101*J101</f>
        <v/>
      </c>
      <c r="V101" s="100">
        <f>U101-S101</f>
        <v/>
      </c>
      <c r="W101" s="106">
        <f>+U101-T101</f>
        <v/>
      </c>
      <c r="X101" s="107">
        <f>+U101-T101</f>
        <v/>
      </c>
      <c r="Y101" s="26" t="n"/>
    </row>
    <row r="102" ht="20" customFormat="1" customHeight="1" s="7">
      <c r="A102" s="26" t="n">
        <v>90</v>
      </c>
      <c r="B102" s="26" t="inlineStr">
        <is>
          <t>011103002001</t>
        </is>
      </c>
      <c r="C102" s="26" t="inlineStr">
        <is>
          <t>橡胶板卷材楼地面</t>
        </is>
      </c>
      <c r="D102" s="26" t="inlineStr">
        <is>
          <t>1.2.0mm厚PVC卷材木纹地板胶专用粘合剂粘贴
2.20~45厚M20水泥砂浆,压实赶光
3.做法详见图纸</t>
        </is>
      </c>
      <c r="E102" s="26" t="inlineStr">
        <is>
          <t>m2</t>
        </is>
      </c>
      <c r="F102" s="27" t="n">
        <v>149.22</v>
      </c>
      <c r="G102" s="100" t="n">
        <v>148.09</v>
      </c>
      <c r="H102" s="106" t="n">
        <v>148.09</v>
      </c>
      <c r="I102" s="100">
        <f>G102-F102</f>
        <v/>
      </c>
      <c r="J102" s="100">
        <f>H102-F102</f>
        <v/>
      </c>
      <c r="K102" s="100">
        <f>+H102-G102</f>
        <v/>
      </c>
      <c r="L102" s="37">
        <f>I102/F102</f>
        <v/>
      </c>
      <c r="M102" s="27" t="n">
        <v>142.46</v>
      </c>
      <c r="N102" s="27" t="n">
        <v>223.87</v>
      </c>
      <c r="O102" s="37">
        <f>(M102-N102)/N102</f>
        <v/>
      </c>
      <c r="P102" s="100">
        <f>N102*0.9056*0.85</f>
        <v/>
      </c>
      <c r="Q102" s="100">
        <f>N102*1.15</f>
        <v/>
      </c>
      <c r="R102" s="100">
        <f>IF(M102&lt;N102*0.9056*0.85,N102*0.9056*0.85,IF(M102&gt;N102*1.15,N102*1.15,M102))</f>
        <v/>
      </c>
      <c r="S102" s="100">
        <f>+F102*M102</f>
        <v/>
      </c>
      <c r="T102" s="100">
        <f>S102+R102*I102</f>
        <v/>
      </c>
      <c r="U102" s="106">
        <f>S102+R102*J102</f>
        <v/>
      </c>
      <c r="V102" s="100">
        <f>U102-S102</f>
        <v/>
      </c>
      <c r="W102" s="106">
        <f>+U102-T102</f>
        <v/>
      </c>
      <c r="X102" s="107">
        <f>+U102-T102</f>
        <v/>
      </c>
      <c r="Y102" s="26" t="n"/>
    </row>
    <row r="103" ht="20" customFormat="1" customHeight="1" s="7">
      <c r="A103" s="26" t="n">
        <v>91</v>
      </c>
      <c r="B103" s="26" t="inlineStr">
        <is>
          <t>011104002002</t>
        </is>
      </c>
      <c r="C103" s="26" t="inlineStr">
        <is>
          <t>竹、木(复合)地板</t>
        </is>
      </c>
      <c r="D103" s="26" t="inlineStr">
        <is>
          <t>1.成品2厚UPVC卷材(同质透心)专用粘合剂粘贴
2.18mm阻燃夹板面铺
3.40*40*2方钢底架(横竖间隔≤600)
4.做法详见图纸</t>
        </is>
      </c>
      <c r="E103" s="26" t="inlineStr">
        <is>
          <t>m2</t>
        </is>
      </c>
      <c r="F103" s="27" t="n">
        <v>8.99</v>
      </c>
      <c r="G103" s="100" t="n">
        <v>8.859999999999999</v>
      </c>
      <c r="H103" s="106" t="n">
        <v>8.859999999999999</v>
      </c>
      <c r="I103" s="100">
        <f>G103-F103</f>
        <v/>
      </c>
      <c r="J103" s="100">
        <f>H103-F103</f>
        <v/>
      </c>
      <c r="K103" s="100">
        <f>+H103-G103</f>
        <v/>
      </c>
      <c r="L103" s="37">
        <f>I103/F103</f>
        <v/>
      </c>
      <c r="M103" s="27" t="n">
        <v>275.97</v>
      </c>
      <c r="N103" s="27" t="n">
        <v>451.48</v>
      </c>
      <c r="O103" s="37">
        <f>(M103-N103)/N103</f>
        <v/>
      </c>
      <c r="P103" s="100">
        <f>N103*0.9056*0.85</f>
        <v/>
      </c>
      <c r="Q103" s="100">
        <f>N103*1.15</f>
        <v/>
      </c>
      <c r="R103" s="100">
        <f>IF(M103&lt;N103*0.9056*0.85,N103*0.9056*0.85,IF(M103&gt;N103*1.15,N103*1.15,M103))</f>
        <v/>
      </c>
      <c r="S103" s="100">
        <f>+F103*M103</f>
        <v/>
      </c>
      <c r="T103" s="100">
        <f>S103+R103*I103</f>
        <v/>
      </c>
      <c r="U103" s="106">
        <f>S103+R103*J103</f>
        <v/>
      </c>
      <c r="V103" s="100">
        <f>U103-S103</f>
        <v/>
      </c>
      <c r="W103" s="106">
        <f>+U103-T103</f>
        <v/>
      </c>
      <c r="X103" s="107">
        <f>+U103-T103</f>
        <v/>
      </c>
      <c r="Y103" s="26" t="n"/>
    </row>
    <row r="104" ht="20" customFormat="1" customHeight="1" s="7">
      <c r="A104" s="26" t="n">
        <v>92</v>
      </c>
      <c r="B104" s="26" t="inlineStr">
        <is>
          <t>011101003002</t>
        </is>
      </c>
      <c r="C104" s="26" t="inlineStr">
        <is>
          <t>细石混凝土楼地面（地5）</t>
        </is>
      </c>
      <c r="D104" s="26" t="inlineStr">
        <is>
          <t>1.40厚C20细石混凝土,随打随抹光(骨料用石灰石、白云石)</t>
        </is>
      </c>
      <c r="E104" s="26" t="inlineStr">
        <is>
          <t>m2</t>
        </is>
      </c>
      <c r="F104" s="27" t="n">
        <v>111.87</v>
      </c>
      <c r="G104" s="100" t="n">
        <v>96.72</v>
      </c>
      <c r="H104" s="106" t="n">
        <v>96.72</v>
      </c>
      <c r="I104" s="100">
        <f>G104-F104</f>
        <v/>
      </c>
      <c r="J104" s="100">
        <f>H104-F104</f>
        <v/>
      </c>
      <c r="K104" s="100">
        <f>+H104-G104</f>
        <v/>
      </c>
      <c r="L104" s="37">
        <f>I104/F104</f>
        <v/>
      </c>
      <c r="M104" s="27" t="n">
        <v>37.28</v>
      </c>
      <c r="N104" s="27" t="n">
        <v>45.52</v>
      </c>
      <c r="O104" s="37">
        <f>(M104-N104)/N104</f>
        <v/>
      </c>
      <c r="P104" s="100">
        <f>N104*0.9056*0.85</f>
        <v/>
      </c>
      <c r="Q104" s="100">
        <f>N104*1.15</f>
        <v/>
      </c>
      <c r="R104" s="100">
        <f>IF(M104&lt;N104*0.9056*0.85,N104*0.9056*0.85,IF(M104&gt;N104*1.15,N104*1.15,M104))</f>
        <v/>
      </c>
      <c r="S104" s="100">
        <f>+F104*M104</f>
        <v/>
      </c>
      <c r="T104" s="100">
        <f>S104+R104*I104</f>
        <v/>
      </c>
      <c r="U104" s="106">
        <f>S104+R104*J104</f>
        <v/>
      </c>
      <c r="V104" s="100">
        <f>U104-S104</f>
        <v/>
      </c>
      <c r="W104" s="106">
        <f>+U104-T104</f>
        <v/>
      </c>
      <c r="X104" s="107">
        <f>+U104-T104</f>
        <v/>
      </c>
      <c r="Y104" s="26" t="n"/>
    </row>
    <row r="105" ht="20" customFormat="1" customHeight="1" s="7">
      <c r="A105" s="26" t="n">
        <v>93</v>
      </c>
      <c r="B105" s="26" t="inlineStr">
        <is>
          <t>011104004002</t>
        </is>
      </c>
      <c r="C105" s="26" t="inlineStr">
        <is>
          <t>防静电活动地板（地6）</t>
        </is>
      </c>
      <c r="D105" s="26" t="inlineStr">
        <is>
          <t>1.150~250高架空防静电活动地板
2.20厚M20水泥砂浆,压实赶光,面层涂刷地板漆
3.做法详见图纸</t>
        </is>
      </c>
      <c r="E105" s="26" t="inlineStr">
        <is>
          <t>m2</t>
        </is>
      </c>
      <c r="F105" s="27" t="n">
        <v>28.42</v>
      </c>
      <c r="G105" s="100" t="n">
        <v>28.35</v>
      </c>
      <c r="H105" s="106" t="n">
        <v>28.35</v>
      </c>
      <c r="I105" s="100">
        <f>G105-F105</f>
        <v/>
      </c>
      <c r="J105" s="100">
        <f>H105-F105</f>
        <v/>
      </c>
      <c r="K105" s="100">
        <f>+H105-G105</f>
        <v/>
      </c>
      <c r="L105" s="37">
        <f>I105/F105</f>
        <v/>
      </c>
      <c r="M105" s="27" t="n">
        <v>371.27</v>
      </c>
      <c r="N105" s="27" t="n">
        <v>486.78</v>
      </c>
      <c r="O105" s="37">
        <f>(M105-N105)/N105</f>
        <v/>
      </c>
      <c r="P105" s="100">
        <f>N105*0.9056*0.85</f>
        <v/>
      </c>
      <c r="Q105" s="100">
        <f>N105*1.15</f>
        <v/>
      </c>
      <c r="R105" s="100">
        <f>IF(M105&lt;N105*0.9056*0.85,N105*0.9056*0.85,IF(M105&gt;N105*1.15,N105*1.15,M105))</f>
        <v/>
      </c>
      <c r="S105" s="100">
        <f>+F105*M105</f>
        <v/>
      </c>
      <c r="T105" s="100">
        <f>S105+R105*I105</f>
        <v/>
      </c>
      <c r="U105" s="106">
        <f>S105+R105*J105</f>
        <v/>
      </c>
      <c r="V105" s="100">
        <f>U105-S105</f>
        <v/>
      </c>
      <c r="W105" s="106">
        <f>+U105-T105</f>
        <v/>
      </c>
      <c r="X105" s="107">
        <f>+U105-T105</f>
        <v/>
      </c>
      <c r="Y105" s="26" t="n"/>
    </row>
    <row r="106" ht="20" customFormat="1" customHeight="1" s="7">
      <c r="A106" s="26" t="n">
        <v>94</v>
      </c>
      <c r="B106" s="26" t="inlineStr">
        <is>
          <t>011104002001</t>
        </is>
      </c>
      <c r="C106" s="26" t="inlineStr">
        <is>
          <t>竹、木(复合)地板</t>
        </is>
      </c>
      <c r="D106" s="26" t="inlineStr">
        <is>
          <t>1.12mm厚900*150实木地板
2.18mm阻燃夹板面铺
3.40*40*2方钢底架(横竖间隔≤600)
4.做法详见图纸</t>
        </is>
      </c>
      <c r="E106" s="26" t="inlineStr">
        <is>
          <t>m2</t>
        </is>
      </c>
      <c r="F106" s="27" t="n">
        <v>183.197</v>
      </c>
      <c r="G106" s="100" t="n">
        <v>182.5</v>
      </c>
      <c r="H106" s="106" t="n">
        <v>182.5</v>
      </c>
      <c r="I106" s="100">
        <f>G106-F106</f>
        <v/>
      </c>
      <c r="J106" s="100">
        <f>H106-F106</f>
        <v/>
      </c>
      <c r="K106" s="100">
        <f>+H106-G106</f>
        <v/>
      </c>
      <c r="L106" s="37">
        <f>I106/F106</f>
        <v/>
      </c>
      <c r="M106" s="27" t="n">
        <v>309.33</v>
      </c>
      <c r="N106" s="27" t="n">
        <v>499.73</v>
      </c>
      <c r="O106" s="37">
        <f>(M106-N106)/N106</f>
        <v/>
      </c>
      <c r="P106" s="100">
        <f>N106*0.9056*0.85</f>
        <v/>
      </c>
      <c r="Q106" s="100">
        <f>N106*1.15</f>
        <v/>
      </c>
      <c r="R106" s="100">
        <f>IF(M106&lt;N106*0.9056*0.85,N106*0.9056*0.85,IF(M106&gt;N106*1.15,N106*1.15,M106))</f>
        <v/>
      </c>
      <c r="S106" s="100">
        <f>+F106*M106</f>
        <v/>
      </c>
      <c r="T106" s="100">
        <f>S106+R106*I106</f>
        <v/>
      </c>
      <c r="U106" s="106">
        <f>S106+R106*J106</f>
        <v/>
      </c>
      <c r="V106" s="100">
        <f>U106-S106</f>
        <v/>
      </c>
      <c r="W106" s="106">
        <f>+U106-T106</f>
        <v/>
      </c>
      <c r="X106" s="107">
        <f>+U106-T106</f>
        <v/>
      </c>
      <c r="Y106" s="26" t="n"/>
    </row>
    <row r="107" ht="20" customFormat="1" customHeight="1" s="7">
      <c r="A107" s="26" t="n">
        <v>95</v>
      </c>
      <c r="B107" s="26" t="inlineStr">
        <is>
          <t>011102003017</t>
        </is>
      </c>
      <c r="C107" s="26" t="inlineStr">
        <is>
          <t>块料楼地面（地8）</t>
        </is>
      </c>
      <c r="D107" s="26" t="inlineStr">
        <is>
          <t>1.楼地面铺贴800X800mm仿古地砖,面用白水泥擦缝
2.30厚1:3干硬性水泥砂浆结合层
3.3厚ALE隔声涂料
4.做法详见图纸</t>
        </is>
      </c>
      <c r="E107" s="26" t="inlineStr">
        <is>
          <t>m2</t>
        </is>
      </c>
      <c r="F107" s="27" t="n">
        <v>3115.37</v>
      </c>
      <c r="G107" s="100" t="n">
        <v>3127.6</v>
      </c>
      <c r="H107" s="106" t="n">
        <v>3127.6</v>
      </c>
      <c r="I107" s="100">
        <f>G107-F107</f>
        <v/>
      </c>
      <c r="J107" s="100">
        <f>H107-F107</f>
        <v/>
      </c>
      <c r="K107" s="100">
        <f>+H107-G107</f>
        <v/>
      </c>
      <c r="L107" s="37">
        <f>I107/F107</f>
        <v/>
      </c>
      <c r="M107" s="27" t="n">
        <v>162.27</v>
      </c>
      <c r="N107" s="27" t="n">
        <v>181.82</v>
      </c>
      <c r="O107" s="37">
        <f>(M107-N107)/N107</f>
        <v/>
      </c>
      <c r="P107" s="100">
        <f>N107*0.9056*0.85</f>
        <v/>
      </c>
      <c r="Q107" s="100">
        <f>N107*1.15</f>
        <v/>
      </c>
      <c r="R107" s="100">
        <f>IF(M107&lt;N107*0.9056*0.85,N107*0.9056*0.85,IF(M107&gt;N107*1.15,N107*1.15,M107))</f>
        <v/>
      </c>
      <c r="S107" s="100">
        <f>+F107*M107</f>
        <v/>
      </c>
      <c r="T107" s="100">
        <f>S107+R107*I107</f>
        <v/>
      </c>
      <c r="U107" s="106">
        <f>S107+R107*J107</f>
        <v/>
      </c>
      <c r="V107" s="100">
        <f>U107-S107</f>
        <v/>
      </c>
      <c r="W107" s="106">
        <f>+U107-T107</f>
        <v/>
      </c>
      <c r="X107" s="107">
        <f>+U107-T107</f>
        <v/>
      </c>
      <c r="Y107" s="26" t="n"/>
    </row>
    <row r="108" ht="20" customFormat="1" customHeight="1" s="7">
      <c r="A108" s="26" t="n">
        <v>96</v>
      </c>
      <c r="B108" s="26" t="inlineStr">
        <is>
          <t>011102003019</t>
        </is>
      </c>
      <c r="C108" s="26" t="inlineStr">
        <is>
          <t>块料楼地面</t>
        </is>
      </c>
      <c r="D108" s="26" t="inlineStr">
        <is>
          <t>1.楼地面铺贴600X600mm仿古地砖,面用白水泥擦缝
2.30厚1:3干硬性水泥砂浆结合层
3.3厚ALE隔声涂料
4.做法详见图纸</t>
        </is>
      </c>
      <c r="E108" s="26" t="inlineStr">
        <is>
          <t>m2</t>
        </is>
      </c>
      <c r="F108" s="27" t="n">
        <v>293.97</v>
      </c>
      <c r="G108" s="100" t="n">
        <v>282.62</v>
      </c>
      <c r="H108" s="106" t="n">
        <v>282.62</v>
      </c>
      <c r="I108" s="100">
        <f>G108-F108</f>
        <v/>
      </c>
      <c r="J108" s="100">
        <f>H108-F108</f>
        <v/>
      </c>
      <c r="K108" s="100">
        <f>+H108-G108</f>
        <v/>
      </c>
      <c r="L108" s="37">
        <f>I108/F108</f>
        <v/>
      </c>
      <c r="M108" s="27" t="n">
        <v>160.56</v>
      </c>
      <c r="N108" s="27" t="n">
        <v>162.88</v>
      </c>
      <c r="O108" s="37">
        <f>(M108-N108)/N108</f>
        <v/>
      </c>
      <c r="P108" s="100">
        <f>N108*0.9056*0.85</f>
        <v/>
      </c>
      <c r="Q108" s="100">
        <f>N108*1.15</f>
        <v/>
      </c>
      <c r="R108" s="100">
        <f>IF(M108&lt;N108*0.9056*0.85,N108*0.9056*0.85,IF(M108&gt;N108*1.15,N108*1.15,M108))</f>
        <v/>
      </c>
      <c r="S108" s="100">
        <f>+F108*M108</f>
        <v/>
      </c>
      <c r="T108" s="100">
        <f>S108+R108*I108</f>
        <v/>
      </c>
      <c r="U108" s="106">
        <f>S108+R108*J108</f>
        <v/>
      </c>
      <c r="V108" s="100">
        <f>U108-S108</f>
        <v/>
      </c>
      <c r="W108" s="106">
        <f>+U108-T108</f>
        <v/>
      </c>
      <c r="X108" s="107">
        <f>+U108-T108</f>
        <v/>
      </c>
      <c r="Y108" s="26" t="n"/>
    </row>
    <row r="109" ht="20" customFormat="1" customHeight="1" s="7">
      <c r="A109" s="26" t="n">
        <v>97</v>
      </c>
      <c r="B109" s="26" t="inlineStr">
        <is>
          <t>011102003020</t>
        </is>
      </c>
      <c r="C109" s="26" t="inlineStr">
        <is>
          <t>块料楼地面</t>
        </is>
      </c>
      <c r="D109" s="26" t="inlineStr">
        <is>
          <t>1.楼地面铺贴600*600木纹砖,面用白水泥擦缝
2.30厚1:3干硬性水泥砂浆结合层
3.3厚ALE隔声涂料
4.做法详见图纸</t>
        </is>
      </c>
      <c r="E109" s="26" t="inlineStr">
        <is>
          <t>m2</t>
        </is>
      </c>
      <c r="F109" s="27" t="n">
        <v>86.09999999999999</v>
      </c>
      <c r="G109" s="100" t="n">
        <v>85.15000000000001</v>
      </c>
      <c r="H109" s="106" t="n">
        <v>85.15000000000001</v>
      </c>
      <c r="I109" s="100">
        <f>G109-F109</f>
        <v/>
      </c>
      <c r="J109" s="100">
        <f>H109-F109</f>
        <v/>
      </c>
      <c r="K109" s="100">
        <f>+H109-G109</f>
        <v/>
      </c>
      <c r="L109" s="37">
        <f>I109/F109</f>
        <v/>
      </c>
      <c r="M109" s="27" t="n">
        <v>160.56</v>
      </c>
      <c r="N109" s="27" t="n">
        <v>197.61</v>
      </c>
      <c r="O109" s="37">
        <f>(M109-N109)/N109</f>
        <v/>
      </c>
      <c r="P109" s="100">
        <f>N109*0.9056*0.85</f>
        <v/>
      </c>
      <c r="Q109" s="100">
        <f>N109*1.15</f>
        <v/>
      </c>
      <c r="R109" s="100">
        <f>IF(M109&lt;N109*0.9056*0.85,N109*0.9056*0.85,IF(M109&gt;N109*1.15,N109*1.15,M109))</f>
        <v/>
      </c>
      <c r="S109" s="100">
        <f>+F109*M109</f>
        <v/>
      </c>
      <c r="T109" s="100">
        <f>S109+R109*I109</f>
        <v/>
      </c>
      <c r="U109" s="106">
        <f>S109+R109*J109</f>
        <v/>
      </c>
      <c r="V109" s="100">
        <f>U109-S109</f>
        <v/>
      </c>
      <c r="W109" s="106">
        <f>+U109-T109</f>
        <v/>
      </c>
      <c r="X109" s="107">
        <f>+U109-T109</f>
        <v/>
      </c>
      <c r="Y109" s="26" t="n"/>
    </row>
    <row r="110" ht="20" customFormat="1" customHeight="1" s="7">
      <c r="A110" s="26" t="n">
        <v>98</v>
      </c>
      <c r="B110" s="26" t="inlineStr">
        <is>
          <t>011102003018</t>
        </is>
      </c>
      <c r="C110" s="26" t="inlineStr">
        <is>
          <t>块料楼地面（地10）</t>
        </is>
      </c>
      <c r="D110" s="26" t="inlineStr">
        <is>
          <t>1.8~10厚防滑地砖铺实拍平,水泥砂浆填缝
2.30厚1:3干硬性水泥砂浆结合层
3.做法详见图纸</t>
        </is>
      </c>
      <c r="E110" s="26" t="inlineStr">
        <is>
          <t>m2</t>
        </is>
      </c>
      <c r="F110" s="27" t="n">
        <v>3705.78</v>
      </c>
      <c r="G110" s="100" t="n">
        <v>3908.85</v>
      </c>
      <c r="H110" s="106" t="n">
        <v>3908.85</v>
      </c>
      <c r="I110" s="100">
        <f>G110-F110</f>
        <v/>
      </c>
      <c r="J110" s="100">
        <f>H110-F110</f>
        <v/>
      </c>
      <c r="K110" s="100">
        <f>+H110-G110</f>
        <v/>
      </c>
      <c r="L110" s="37">
        <f>I110/F110</f>
        <v/>
      </c>
      <c r="M110" s="27" t="n">
        <v>129.21</v>
      </c>
      <c r="N110" s="27" t="n">
        <v>90.73</v>
      </c>
      <c r="O110" s="37">
        <f>(M110-N110)/N110</f>
        <v/>
      </c>
      <c r="P110" s="100">
        <f>N110*0.9056*0.85</f>
        <v/>
      </c>
      <c r="Q110" s="100">
        <f>N110*1.15</f>
        <v/>
      </c>
      <c r="R110" s="100">
        <f>IF(M110&lt;N110*0.9056*0.85,N110*0.9056*0.85,IF(M110&gt;N110*1.15,N110*1.15,M110))</f>
        <v/>
      </c>
      <c r="S110" s="100">
        <f>+F110*M110</f>
        <v/>
      </c>
      <c r="T110" s="100">
        <f>S110+R110*I110</f>
        <v/>
      </c>
      <c r="U110" s="106">
        <f>S110+R110*J110</f>
        <v/>
      </c>
      <c r="V110" s="100">
        <f>U110-S110</f>
        <v/>
      </c>
      <c r="W110" s="106">
        <f>+U110-T110</f>
        <v/>
      </c>
      <c r="X110" s="107">
        <f>+U110-T110</f>
        <v/>
      </c>
      <c r="Y110" s="26" t="n"/>
    </row>
    <row r="111" ht="20" customFormat="1" customHeight="1" s="7">
      <c r="A111" s="26" t="n">
        <v>99</v>
      </c>
      <c r="B111" s="26" t="inlineStr">
        <is>
          <t>011106002001</t>
        </is>
      </c>
      <c r="C111" s="26" t="inlineStr">
        <is>
          <t>块料楼梯面层（地10）</t>
        </is>
      </c>
      <c r="D111" s="26" t="inlineStr">
        <is>
          <t>1.楼梯面层
2.8~10厚防滑地砖铺实拍平,水泥砂浆填缝
3.30厚1:3干硬性水泥砂浆结合层
4.做法详见图纸</t>
        </is>
      </c>
      <c r="E111" s="26" t="inlineStr">
        <is>
          <t>m2</t>
        </is>
      </c>
      <c r="F111" s="27" t="n">
        <v>721.1799999999999</v>
      </c>
      <c r="G111" s="100" t="n">
        <v>437.63</v>
      </c>
      <c r="H111" s="106" t="n">
        <v>437.63</v>
      </c>
      <c r="I111" s="100">
        <f>G111-F111</f>
        <v/>
      </c>
      <c r="J111" s="100">
        <f>H111-F111</f>
        <v/>
      </c>
      <c r="K111" s="100">
        <f>+H111-G111</f>
        <v/>
      </c>
      <c r="L111" s="37">
        <f>I111/F111</f>
        <v/>
      </c>
      <c r="M111" s="27" t="n">
        <v>256.98</v>
      </c>
      <c r="N111" s="27" t="n">
        <v>212.4</v>
      </c>
      <c r="O111" s="37">
        <f>(M111-N111)/N111</f>
        <v/>
      </c>
      <c r="P111" s="100">
        <f>N111*0.9056*0.85</f>
        <v/>
      </c>
      <c r="Q111" s="100">
        <f>N111*1.15</f>
        <v/>
      </c>
      <c r="R111" s="100">
        <f>IF(M111&lt;N111*0.9056*0.85,N111*0.9056*0.85,IF(M111&gt;N111*1.15,N111*1.15,M111))</f>
        <v/>
      </c>
      <c r="S111" s="100">
        <f>+F111*M111</f>
        <v/>
      </c>
      <c r="T111" s="100">
        <f>S111+R111*I111</f>
        <v/>
      </c>
      <c r="U111" s="106">
        <f>S111+R111*J111</f>
        <v/>
      </c>
      <c r="V111" s="100">
        <f>U111-S111</f>
        <v/>
      </c>
      <c r="W111" s="106">
        <f>+U111-T111</f>
        <v/>
      </c>
      <c r="X111" s="107">
        <f>+U111-T111</f>
        <v/>
      </c>
      <c r="Y111" s="26" t="n"/>
    </row>
    <row r="112" ht="20" customFormat="1" customHeight="1" s="7">
      <c r="A112" s="26" t="n">
        <v>100</v>
      </c>
      <c r="B112" s="26" t="inlineStr">
        <is>
          <t>011105001001</t>
        </is>
      </c>
      <c r="C112" s="26" t="inlineStr">
        <is>
          <t>水泥砂浆踢脚线</t>
        </is>
      </c>
      <c r="D112" s="26" t="inlineStr">
        <is>
          <t>1.水泥砂浆踢脚线
2.15厚M15水泥砂浆底+10厚M20水泥砂浆面
3.高度:120mm</t>
        </is>
      </c>
      <c r="E112" s="26" t="inlineStr">
        <is>
          <t>m2</t>
        </is>
      </c>
      <c r="F112" s="27" t="n">
        <v>11.6</v>
      </c>
      <c r="G112" s="100" t="n">
        <v>14.37</v>
      </c>
      <c r="H112" s="106" t="n">
        <v>14.37</v>
      </c>
      <c r="I112" s="100">
        <f>G112-F112</f>
        <v/>
      </c>
      <c r="J112" s="100">
        <f>H112-F112</f>
        <v/>
      </c>
      <c r="K112" s="100">
        <f>+H112-G112</f>
        <v/>
      </c>
      <c r="L112" s="37">
        <f>I112/F112</f>
        <v/>
      </c>
      <c r="M112" s="27" t="n">
        <v>61.3</v>
      </c>
      <c r="N112" s="27" t="n">
        <v>41.42</v>
      </c>
      <c r="O112" s="37">
        <f>(M112-N112)/N112</f>
        <v/>
      </c>
      <c r="P112" s="100">
        <f>N112*0.9056*0.85</f>
        <v/>
      </c>
      <c r="Q112" s="100">
        <f>N112*1.15</f>
        <v/>
      </c>
      <c r="R112" s="100">
        <f>IF(M112&lt;N112*0.9056*0.85,N112*0.9056*0.85,IF(M112&gt;N112*1.15,N112*1.15,M112))</f>
        <v/>
      </c>
      <c r="S112" s="100">
        <f>+F112*M112</f>
        <v/>
      </c>
      <c r="T112" s="100">
        <f>S112+R112*I112</f>
        <v/>
      </c>
      <c r="U112" s="106">
        <f>S112+R112*J112</f>
        <v/>
      </c>
      <c r="V112" s="100">
        <f>U112-S112</f>
        <v/>
      </c>
      <c r="W112" s="106">
        <f>+U112-T112</f>
        <v/>
      </c>
      <c r="X112" s="107">
        <f>+U112-T112</f>
        <v/>
      </c>
      <c r="Y112" s="26" t="n"/>
    </row>
    <row r="113" ht="20" customFormat="1" customHeight="1" s="7">
      <c r="A113" s="26" t="n">
        <v>101</v>
      </c>
      <c r="B113" s="26" t="inlineStr">
        <is>
          <t>011105003001</t>
        </is>
      </c>
      <c r="C113" s="26" t="inlineStr">
        <is>
          <t>块料踢脚线</t>
        </is>
      </c>
      <c r="D113" s="26" t="inlineStr">
        <is>
          <t>1.5~10厚砖块踢脚线,稀水泥浆(或彩色水泥浆)擦缝
2.高度:120mm
3.9厚M20水泥砂浆粘接层(内掺建筑胶)</t>
        </is>
      </c>
      <c r="E113" s="26" t="inlineStr">
        <is>
          <t>m2</t>
        </is>
      </c>
      <c r="F113" s="27" t="n">
        <v>299.7787</v>
      </c>
      <c r="G113" s="100" t="n">
        <v>99.41</v>
      </c>
      <c r="H113" s="106" t="n">
        <v>99.41</v>
      </c>
      <c r="I113" s="100">
        <f>G113-F113</f>
        <v/>
      </c>
      <c r="J113" s="100">
        <f>H113-F113</f>
        <v/>
      </c>
      <c r="K113" s="100">
        <f>+H113-G113</f>
        <v/>
      </c>
      <c r="L113" s="37">
        <f>I113/F113</f>
        <v/>
      </c>
      <c r="M113" s="27" t="n">
        <v>192.09</v>
      </c>
      <c r="N113" s="27" t="n">
        <v>190.61</v>
      </c>
      <c r="O113" s="37">
        <f>(M113-N113)/N113</f>
        <v/>
      </c>
      <c r="P113" s="100">
        <f>N113*0.9056*0.85</f>
        <v/>
      </c>
      <c r="Q113" s="100">
        <f>N113*1.15</f>
        <v/>
      </c>
      <c r="R113" s="100">
        <f>IF(M113&lt;N113*0.9056*0.85,N113*0.9056*0.85,IF(M113&gt;N113*1.15,N113*1.15,M113))</f>
        <v/>
      </c>
      <c r="S113" s="100">
        <f>+F113*M113</f>
        <v/>
      </c>
      <c r="T113" s="100">
        <f>S113+R113*I113</f>
        <v/>
      </c>
      <c r="U113" s="106">
        <f>S113+R113*J113</f>
        <v/>
      </c>
      <c r="V113" s="100">
        <f>U113-S113</f>
        <v/>
      </c>
      <c r="W113" s="106">
        <f>+U113-T113</f>
        <v/>
      </c>
      <c r="X113" s="107">
        <f>+U113-T113</f>
        <v/>
      </c>
      <c r="Y113" s="26" t="n"/>
    </row>
    <row r="114" ht="20" customFormat="1" customHeight="1" s="7">
      <c r="A114" s="26" t="n">
        <v>102</v>
      </c>
      <c r="B114" s="26" t="inlineStr">
        <is>
          <t>040201022001</t>
        </is>
      </c>
      <c r="C114" s="26" t="inlineStr">
        <is>
          <t>排水沟、截水沟</t>
        </is>
      </c>
      <c r="D114" s="26" t="inlineStr">
        <is>
          <t>1.排水沟
2.最薄15厚DSM20水泥砂找坡0.5%(沟底)阴角位置做R=50的圆弧处理
3.20厚DWM20防水砂浆
4.380mm成品不锈钢格栅</t>
        </is>
      </c>
      <c r="E114" s="26" t="inlineStr">
        <is>
          <t>m</t>
        </is>
      </c>
      <c r="F114" s="27" t="n">
        <v>37.3</v>
      </c>
      <c r="G114" s="100" t="n">
        <v>59.05</v>
      </c>
      <c r="H114" s="106" t="n">
        <v>59.05</v>
      </c>
      <c r="I114" s="100">
        <f>G114-F114</f>
        <v/>
      </c>
      <c r="J114" s="100">
        <f>H114-F114</f>
        <v/>
      </c>
      <c r="K114" s="100">
        <f>+H114-G114</f>
        <v/>
      </c>
      <c r="L114" s="37">
        <f>I114/F114</f>
        <v/>
      </c>
      <c r="M114" s="27" t="n">
        <v>240.47</v>
      </c>
      <c r="N114" s="27" t="n">
        <v>365.14</v>
      </c>
      <c r="O114" s="37">
        <f>(M114-N114)/N114</f>
        <v/>
      </c>
      <c r="P114" s="100">
        <f>N114*0.9056*0.85</f>
        <v/>
      </c>
      <c r="Q114" s="100">
        <f>N114*1.15</f>
        <v/>
      </c>
      <c r="R114" s="100">
        <f>IF(M114&lt;N114*0.9056*0.85,N114*0.9056*0.85,IF(M114&gt;N114*1.15,N114*1.15,M114))</f>
        <v/>
      </c>
      <c r="S114" s="100">
        <f>+F114*M114</f>
        <v/>
      </c>
      <c r="T114" s="100">
        <f>S114+R114*I114</f>
        <v/>
      </c>
      <c r="U114" s="106">
        <f>S114+R114*J114</f>
        <v/>
      </c>
      <c r="V114" s="100">
        <f>U114-S114</f>
        <v/>
      </c>
      <c r="W114" s="106">
        <f>+U114-T114</f>
        <v/>
      </c>
      <c r="X114" s="107">
        <f>+U114-T114</f>
        <v/>
      </c>
      <c r="Y114" s="26" t="n"/>
    </row>
    <row r="115" ht="20" customFormat="1" customHeight="1" s="7">
      <c r="A115" s="26" t="n"/>
      <c r="B115" s="26" t="n"/>
      <c r="C115" s="26" t="inlineStr">
        <is>
          <t>墙、柱面装饰与隔断、幕墙工程</t>
        </is>
      </c>
      <c r="D115" s="26" t="n"/>
      <c r="E115" s="26" t="n"/>
      <c r="F115" s="27" t="n"/>
      <c r="G115" s="100" t="n"/>
      <c r="H115" s="28" t="n"/>
      <c r="I115" s="100" t="n"/>
      <c r="J115" s="100" t="n"/>
      <c r="K115" s="100" t="n"/>
      <c r="L115" s="37" t="n"/>
      <c r="M115" s="27" t="n"/>
      <c r="N115" s="27" t="n"/>
      <c r="O115" s="27" t="n"/>
      <c r="P115" s="27" t="n"/>
      <c r="Q115" s="27" t="n"/>
      <c r="R115" s="100" t="n"/>
      <c r="S115" s="100">
        <f>+SUM(S116:S138)</f>
        <v/>
      </c>
      <c r="T115" s="100">
        <f>+SUM(T116:T138)</f>
        <v/>
      </c>
      <c r="U115" s="106">
        <f>SUM(U116:U138)</f>
        <v/>
      </c>
      <c r="V115" s="100">
        <f>U115-S115</f>
        <v/>
      </c>
      <c r="W115" s="106">
        <f>+U115-T115</f>
        <v/>
      </c>
      <c r="X115" s="107">
        <f>U115-T115</f>
        <v/>
      </c>
      <c r="Y115" s="26" t="n"/>
    </row>
    <row r="116" ht="20" customFormat="1" customHeight="1" s="7">
      <c r="A116" s="26" t="n">
        <v>103</v>
      </c>
      <c r="B116" s="26" t="inlineStr">
        <is>
          <t>011204003001</t>
        </is>
      </c>
      <c r="C116" s="26" t="inlineStr">
        <is>
          <t>块料墙面(外墙2)</t>
        </is>
      </c>
      <c r="D116" s="26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116" s="26" t="inlineStr">
        <is>
          <t>m2</t>
        </is>
      </c>
      <c r="F116" s="27" t="n">
        <v>4800.62</v>
      </c>
      <c r="G116" s="100" t="n">
        <v>5727.72</v>
      </c>
      <c r="H116" s="106" t="n">
        <v>5727.72</v>
      </c>
      <c r="I116" s="100">
        <f>G116-F116</f>
        <v/>
      </c>
      <c r="J116" s="100">
        <f>H116-F116</f>
        <v/>
      </c>
      <c r="K116" s="100">
        <f>+H116-G116</f>
        <v/>
      </c>
      <c r="L116" s="37">
        <f>I116/F116</f>
        <v/>
      </c>
      <c r="M116" s="27" t="n">
        <v>188.2</v>
      </c>
      <c r="N116" s="27" t="n">
        <v>140.67</v>
      </c>
      <c r="O116" s="37">
        <f>(M116-N116)/N116</f>
        <v/>
      </c>
      <c r="P116" s="100">
        <f>N116*0.9056*0.85</f>
        <v/>
      </c>
      <c r="Q116" s="100">
        <f>N116*1.15</f>
        <v/>
      </c>
      <c r="R116" s="100">
        <f>IF(M116&lt;N116*0.9056*0.85,N116*0.9056*0.85,IF(M116&gt;N116*1.15,N116*1.15,M116))</f>
        <v/>
      </c>
      <c r="S116" s="100">
        <f>+F116*M116</f>
        <v/>
      </c>
      <c r="T116" s="100">
        <f>S116+R116*I116</f>
        <v/>
      </c>
      <c r="U116" s="106">
        <f>S116+R116*J116</f>
        <v/>
      </c>
      <c r="V116" s="100">
        <f>U116-S116</f>
        <v/>
      </c>
      <c r="W116" s="106">
        <f>+U116-T116</f>
        <v/>
      </c>
      <c r="X116" s="107">
        <f>+U116-T116</f>
        <v/>
      </c>
      <c r="Y116" s="26" t="n"/>
    </row>
    <row r="117" ht="20" customFormat="1" customHeight="1" s="7">
      <c r="A117" s="26" t="n">
        <v>104</v>
      </c>
      <c r="B117" s="26" t="inlineStr">
        <is>
          <t>011407001002</t>
        </is>
      </c>
      <c r="C117" s="26" t="inlineStr">
        <is>
          <t>墙面喷刷涂料(外墙1)</t>
        </is>
      </c>
      <c r="D117" s="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17" s="26" t="inlineStr">
        <is>
          <t>m2</t>
        </is>
      </c>
      <c r="F117" s="27" t="n">
        <v>4141.885</v>
      </c>
      <c r="G117" s="100" t="n">
        <v>4617.49</v>
      </c>
      <c r="H117" s="106" t="n">
        <v>4617.49</v>
      </c>
      <c r="I117" s="100">
        <f>G117-F117</f>
        <v/>
      </c>
      <c r="J117" s="100">
        <f>H117-F117</f>
        <v/>
      </c>
      <c r="K117" s="100">
        <f>+H117-G117</f>
        <v/>
      </c>
      <c r="L117" s="37">
        <f>I117/F117</f>
        <v/>
      </c>
      <c r="M117" s="27" t="n">
        <v>133.2</v>
      </c>
      <c r="N117" s="27" t="n">
        <v>98.47</v>
      </c>
      <c r="O117" s="37">
        <f>(M117-N117)/N117</f>
        <v/>
      </c>
      <c r="P117" s="100">
        <f>N117*0.9056*0.85</f>
        <v/>
      </c>
      <c r="Q117" s="100">
        <f>N117*1.15</f>
        <v/>
      </c>
      <c r="R117" s="100">
        <f>IF(M117&lt;N117*0.9056*0.85,N117*0.9056*0.85,IF(M117&gt;N117*1.15,N117*1.15,M117))</f>
        <v/>
      </c>
      <c r="S117" s="100">
        <f>+F117*M117</f>
        <v/>
      </c>
      <c r="T117" s="100">
        <f>S117+R117*I117</f>
        <v/>
      </c>
      <c r="U117" s="106">
        <f>S117+R117*J117</f>
        <v/>
      </c>
      <c r="V117" s="100">
        <f>U117-S117</f>
        <v/>
      </c>
      <c r="W117" s="106">
        <f>+U117-T117</f>
        <v/>
      </c>
      <c r="X117" s="107">
        <f>+U117-T117</f>
        <v/>
      </c>
      <c r="Y117" s="26" t="n"/>
    </row>
    <row r="118" ht="20" customFormat="1" customHeight="1" s="7">
      <c r="A118" s="26" t="n">
        <v>105</v>
      </c>
      <c r="B118" s="26" t="inlineStr">
        <is>
          <t>011201001007</t>
        </is>
      </c>
      <c r="C118" s="26" t="inlineStr">
        <is>
          <t>墙面一般抹灰（墙1、墙5）</t>
        </is>
      </c>
      <c r="D118" s="26" t="inlineStr">
        <is>
          <t>1.20厚M10水泥砂浆抹面压光
2.甩浆拉毛刷108胶素水泥浆一道(内掺水重8%的胶料)</t>
        </is>
      </c>
      <c r="E118" s="26" t="inlineStr">
        <is>
          <t>m2</t>
        </is>
      </c>
      <c r="F118" s="27" t="n">
        <v>860.21</v>
      </c>
      <c r="G118" s="100" t="n">
        <v>1062.87</v>
      </c>
      <c r="H118" s="106" t="n">
        <v>1062.87</v>
      </c>
      <c r="I118" s="100">
        <f>G118-F118</f>
        <v/>
      </c>
      <c r="J118" s="100">
        <f>H118-F118</f>
        <v/>
      </c>
      <c r="K118" s="100">
        <f>+H118-G118</f>
        <v/>
      </c>
      <c r="L118" s="37">
        <f>I118/F118</f>
        <v/>
      </c>
      <c r="M118" s="27" t="n">
        <v>30.33</v>
      </c>
      <c r="N118" s="27" t="n">
        <v>31.52</v>
      </c>
      <c r="O118" s="37">
        <f>(M118-N118)/N118</f>
        <v/>
      </c>
      <c r="P118" s="100">
        <f>N118*0.9056*0.85</f>
        <v/>
      </c>
      <c r="Q118" s="100">
        <f>N118*1.15</f>
        <v/>
      </c>
      <c r="R118" s="100">
        <f>IF(M118&lt;N118*0.9056*0.85,N118*0.9056*0.85,IF(M118&gt;N118*1.15,N118*1.15,M118))</f>
        <v/>
      </c>
      <c r="S118" s="100">
        <f>+F118*M118</f>
        <v/>
      </c>
      <c r="T118" s="100">
        <f>S118+R118*I118</f>
        <v/>
      </c>
      <c r="U118" s="106">
        <f>S118+R118*J118</f>
        <v/>
      </c>
      <c r="V118" s="100">
        <f>U118-S118</f>
        <v/>
      </c>
      <c r="W118" s="106">
        <f>+U118-T118</f>
        <v/>
      </c>
      <c r="X118" s="107">
        <f>+U118-T118</f>
        <v/>
      </c>
      <c r="Y118" s="26" t="n"/>
    </row>
    <row r="119" ht="20" customFormat="1" customHeight="1" s="7">
      <c r="A119" s="26" t="n">
        <v>106</v>
      </c>
      <c r="B119" s="26" t="inlineStr">
        <is>
          <t>011207001002</t>
        </is>
      </c>
      <c r="C119" s="26" t="inlineStr">
        <is>
          <t>墙面装饰板（墙2）</t>
        </is>
      </c>
      <c r="D119" s="26" t="inlineStr">
        <is>
          <t>1.护墙板墙面
2.面层材料品种、规格、颜色:顶部:10*60mm浅金檀护墙板收口线
中部:9mm浅金檀护墙板
底部:17mm浅金檀护墙板地脚线
3.做法详见图纸</t>
        </is>
      </c>
      <c r="E119" s="26" t="inlineStr">
        <is>
          <t>m2</t>
        </is>
      </c>
      <c r="F119" s="27" t="n">
        <v>1005.89</v>
      </c>
      <c r="G119" s="100" t="n">
        <v>942.12</v>
      </c>
      <c r="H119" s="106" t="n">
        <v>942.12</v>
      </c>
      <c r="I119" s="100">
        <f>G119-F119</f>
        <v/>
      </c>
      <c r="J119" s="100">
        <f>H119-F119</f>
        <v/>
      </c>
      <c r="K119" s="100">
        <f>+H119-G119</f>
        <v/>
      </c>
      <c r="L119" s="37">
        <f>I119/F119</f>
        <v/>
      </c>
      <c r="M119" s="27" t="n">
        <v>334.46</v>
      </c>
      <c r="N119" s="27" t="n">
        <v>371.67</v>
      </c>
      <c r="O119" s="37">
        <f>(M119-N119)/N119</f>
        <v/>
      </c>
      <c r="P119" s="100">
        <f>N119*0.9056*0.85</f>
        <v/>
      </c>
      <c r="Q119" s="100">
        <f>N119*1.15</f>
        <v/>
      </c>
      <c r="R119" s="100">
        <f>IF(M119&lt;N119*0.9056*0.85,N119*0.9056*0.85,IF(M119&gt;N119*1.15,N119*1.15,M119))</f>
        <v/>
      </c>
      <c r="S119" s="100">
        <f>+F119*M119</f>
        <v/>
      </c>
      <c r="T119" s="100">
        <f>S119+R119*I119</f>
        <v/>
      </c>
      <c r="U119" s="106">
        <f>S119+R119*J119</f>
        <v/>
      </c>
      <c r="V119" s="100">
        <f>U119-S119</f>
        <v/>
      </c>
      <c r="W119" s="106">
        <f>+U119-T119</f>
        <v/>
      </c>
      <c r="X119" s="107">
        <f>+U119-T119</f>
        <v/>
      </c>
      <c r="Y119" s="26" t="n"/>
    </row>
    <row r="120" ht="20" customFormat="1" customHeight="1" s="7">
      <c r="A120" s="26" t="n">
        <v>107</v>
      </c>
      <c r="B120" s="26" t="inlineStr">
        <is>
          <t>011406001004</t>
        </is>
      </c>
      <c r="C120" s="26" t="inlineStr">
        <is>
          <t>墙面喷刷涂料(墙3）</t>
        </is>
      </c>
      <c r="D120" s="26" t="inlineStr">
        <is>
          <t>1.满刮腻子二道
2.刷内墙无机涂料,底漆一道,面漆两道</t>
        </is>
      </c>
      <c r="E120" s="26" t="inlineStr">
        <is>
          <t>m2</t>
        </is>
      </c>
      <c r="F120" s="27" t="n">
        <v>7636.76</v>
      </c>
      <c r="G120" s="100" t="n">
        <v>7636.76</v>
      </c>
      <c r="H120" s="106">
        <f>7215.09+29.99</f>
        <v/>
      </c>
      <c r="I120" s="100">
        <f>G120-F120</f>
        <v/>
      </c>
      <c r="J120" s="100">
        <f>H120-F120</f>
        <v/>
      </c>
      <c r="K120" s="100">
        <f>+H120-G120</f>
        <v/>
      </c>
      <c r="L120" s="37">
        <f>I120/F120</f>
        <v/>
      </c>
      <c r="M120" s="27" t="n">
        <v>36.95</v>
      </c>
      <c r="N120" s="27" t="n">
        <v>50.6</v>
      </c>
      <c r="O120" s="37">
        <f>(M120-N120)/N120</f>
        <v/>
      </c>
      <c r="P120" s="100">
        <f>N120*0.9056*0.85</f>
        <v/>
      </c>
      <c r="Q120" s="100">
        <f>N120*1.15</f>
        <v/>
      </c>
      <c r="R120" s="100">
        <f>IF(M120&lt;N120*0.9056*0.85,N120*0.9056*0.85,IF(M120&gt;N120*1.15,N120*1.15,M120))</f>
        <v/>
      </c>
      <c r="S120" s="100">
        <f>+F120*M120</f>
        <v/>
      </c>
      <c r="T120" s="100">
        <f>S120+R120*I120</f>
        <v/>
      </c>
      <c r="U120" s="106">
        <f>S120+R120*J120</f>
        <v/>
      </c>
      <c r="V120" s="100">
        <f>U120-S120</f>
        <v/>
      </c>
      <c r="W120" s="106">
        <f>+U120-T120</f>
        <v/>
      </c>
      <c r="X120" s="107">
        <f>+U120-T120</f>
        <v/>
      </c>
      <c r="Y120" s="26" t="n"/>
    </row>
    <row r="121" ht="20" customFormat="1" customHeight="1" s="7">
      <c r="A121" s="26" t="n">
        <v>108</v>
      </c>
      <c r="B121" s="26" t="inlineStr">
        <is>
          <t>011204003012</t>
        </is>
      </c>
      <c r="C121" s="26" t="inlineStr">
        <is>
          <t>块料墙面（墙4）</t>
        </is>
      </c>
      <c r="D121" s="26" t="inlineStr">
        <is>
          <t>1.镶贴400*400陶瓷面砖墙面建筑胶粘剂粘贴</t>
        </is>
      </c>
      <c r="E121" s="26" t="inlineStr">
        <is>
          <t>m2</t>
        </is>
      </c>
      <c r="F121" s="27" t="n">
        <v>1721.84</v>
      </c>
      <c r="G121" s="100" t="n">
        <v>1721.84</v>
      </c>
      <c r="H121" s="106" t="n">
        <v>1516.95</v>
      </c>
      <c r="I121" s="100">
        <f>G121-F121</f>
        <v/>
      </c>
      <c r="J121" s="100">
        <f>H121-F121</f>
        <v/>
      </c>
      <c r="K121" s="100">
        <f>+H121-G121</f>
        <v/>
      </c>
      <c r="L121" s="37">
        <f>I121/F121</f>
        <v/>
      </c>
      <c r="M121" s="27" t="n">
        <v>148.21</v>
      </c>
      <c r="N121" s="27" t="n">
        <v>117.46</v>
      </c>
      <c r="O121" s="37">
        <f>(M121-N121)/N121</f>
        <v/>
      </c>
      <c r="P121" s="100">
        <f>N121*0.9056*0.85</f>
        <v/>
      </c>
      <c r="Q121" s="100">
        <f>N121*1.15</f>
        <v/>
      </c>
      <c r="R121" s="100">
        <f>IF(M121&lt;N121*0.9056*0.85,N121*0.9056*0.85,IF(M121&gt;N121*1.15,N121*1.15,M121))</f>
        <v/>
      </c>
      <c r="S121" s="100">
        <f>+F121*M121</f>
        <v/>
      </c>
      <c r="T121" s="100">
        <f>S121+R121*I121</f>
        <v/>
      </c>
      <c r="U121" s="106">
        <f>S121+R121*J121</f>
        <v/>
      </c>
      <c r="V121" s="100">
        <f>U121-S121</f>
        <v/>
      </c>
      <c r="W121" s="106">
        <f>+U121-T121</f>
        <v/>
      </c>
      <c r="X121" s="107">
        <f>+U121-T121</f>
        <v/>
      </c>
      <c r="Y121" s="26" t="n"/>
    </row>
    <row r="122" ht="20" customFormat="1" customHeight="1" s="7">
      <c r="A122" s="26" t="n">
        <v>109</v>
      </c>
      <c r="B122" s="26" t="inlineStr">
        <is>
          <t>011201001008</t>
        </is>
      </c>
      <c r="C122" s="26" t="inlineStr">
        <is>
          <t>墙面一般抹灰（墙3、4）</t>
        </is>
      </c>
      <c r="D122" s="26" t="inlineStr">
        <is>
          <t>1.15厚WPM20水泥砂浆找平,分两遍成活,底层抹灰应压实搓毛</t>
        </is>
      </c>
      <c r="E122" s="26" t="inlineStr">
        <is>
          <t>m2</t>
        </is>
      </c>
      <c r="F122" s="27" t="n">
        <v>9577.91</v>
      </c>
      <c r="G122" s="100" t="n">
        <v>9577.91</v>
      </c>
      <c r="H122" s="106" t="n">
        <v>8407.99</v>
      </c>
      <c r="I122" s="100">
        <f>G122-F122</f>
        <v/>
      </c>
      <c r="J122" s="100">
        <f>H122-F122</f>
        <v/>
      </c>
      <c r="K122" s="100">
        <f>+H122-G122</f>
        <v/>
      </c>
      <c r="L122" s="37">
        <f>I122/F122</f>
        <v/>
      </c>
      <c r="M122" s="27" t="n">
        <v>22.12</v>
      </c>
      <c r="N122" s="27" t="n">
        <v>24.38</v>
      </c>
      <c r="O122" s="37">
        <f>(M122-N122)/N122</f>
        <v/>
      </c>
      <c r="P122" s="100">
        <f>N122*0.9056*0.85</f>
        <v/>
      </c>
      <c r="Q122" s="100">
        <f>N122*1.15</f>
        <v/>
      </c>
      <c r="R122" s="100">
        <f>IF(M122&lt;N122*0.9056*0.85,N122*0.9056*0.85,IF(M122&gt;N122*1.15,N122*1.15,M122))</f>
        <v/>
      </c>
      <c r="S122" s="100">
        <f>+F122*M122</f>
        <v/>
      </c>
      <c r="T122" s="100">
        <f>S122+R122*I122</f>
        <v/>
      </c>
      <c r="U122" s="106">
        <f>S122+R122*J122</f>
        <v/>
      </c>
      <c r="V122" s="100">
        <f>U122-S122</f>
        <v/>
      </c>
      <c r="W122" s="106">
        <f>+U122-T122</f>
        <v/>
      </c>
      <c r="X122" s="107">
        <f>+U122-T122</f>
        <v/>
      </c>
      <c r="Y122" s="26" t="n"/>
    </row>
    <row r="123" ht="20" customFormat="1" customHeight="1" s="7">
      <c r="A123" s="26" t="n">
        <v>110</v>
      </c>
      <c r="B123" s="26" t="inlineStr">
        <is>
          <t>011406001009</t>
        </is>
      </c>
      <c r="C123" s="26" t="inlineStr">
        <is>
          <t>墙面喷刷涂料(墙5）</t>
        </is>
      </c>
      <c r="D123" s="26" t="inlineStr">
        <is>
          <t>1.满刮耐水防霉白色腻子</t>
        </is>
      </c>
      <c r="E123" s="26" t="inlineStr">
        <is>
          <t>m2</t>
        </is>
      </c>
      <c r="F123" s="27" t="n">
        <v>439.79</v>
      </c>
      <c r="G123" s="100" t="n">
        <v>670.37</v>
      </c>
      <c r="H123" s="106" t="n">
        <v>670.37</v>
      </c>
      <c r="I123" s="100">
        <f>G123-F123</f>
        <v/>
      </c>
      <c r="J123" s="100">
        <f>H123-F123</f>
        <v/>
      </c>
      <c r="K123" s="100">
        <f>+H123-G123</f>
        <v/>
      </c>
      <c r="L123" s="37">
        <f>I123/F123</f>
        <v/>
      </c>
      <c r="M123" s="27" t="n">
        <v>17.13</v>
      </c>
      <c r="N123" s="27" t="n">
        <v>18.67</v>
      </c>
      <c r="O123" s="37">
        <f>(M123-N123)/N123</f>
        <v/>
      </c>
      <c r="P123" s="100">
        <f>N123*0.9056*0.85</f>
        <v/>
      </c>
      <c r="Q123" s="100">
        <f>N123*1.15</f>
        <v/>
      </c>
      <c r="R123" s="100">
        <f>IF(M123&lt;N123*0.9056*0.85,N123*0.9056*0.85,IF(M123&gt;N123*1.15,N123*1.15,M123))</f>
        <v/>
      </c>
      <c r="S123" s="100">
        <f>+F123*M123</f>
        <v/>
      </c>
      <c r="T123" s="100">
        <f>S123+R123*I123</f>
        <v/>
      </c>
      <c r="U123" s="106">
        <f>S123+R123*J123</f>
        <v/>
      </c>
      <c r="V123" s="100">
        <f>U123-S123</f>
        <v/>
      </c>
      <c r="W123" s="106">
        <f>+U123-T123</f>
        <v/>
      </c>
      <c r="X123" s="107">
        <f>+U123-T123</f>
        <v/>
      </c>
      <c r="Y123" s="26" t="n"/>
    </row>
    <row r="124" ht="20" customFormat="1" customHeight="1" s="7">
      <c r="A124" s="26" t="n">
        <v>111</v>
      </c>
      <c r="B124" s="26" t="inlineStr">
        <is>
          <t>011204003014</t>
        </is>
      </c>
      <c r="C124" s="26" t="inlineStr">
        <is>
          <t>块料墙面（墙8）</t>
        </is>
      </c>
      <c r="D124" s="26" t="inlineStr">
        <is>
          <t>1.镶贴300*600陶瓷面砖墙面建筑胶粘剂粘贴
2.15厚WPM20水泥砂浆找平</t>
        </is>
      </c>
      <c r="E124" s="26" t="inlineStr">
        <is>
          <t>m2</t>
        </is>
      </c>
      <c r="F124" s="27" t="n">
        <v>1696.13</v>
      </c>
      <c r="G124" s="100" t="n">
        <v>1696.13</v>
      </c>
      <c r="H124" s="106" t="n">
        <v>1350.87</v>
      </c>
      <c r="I124" s="100">
        <f>G124-F124</f>
        <v/>
      </c>
      <c r="J124" s="100">
        <f>H124-F124</f>
        <v/>
      </c>
      <c r="K124" s="100">
        <f>+H124-G124</f>
        <v/>
      </c>
      <c r="L124" s="37">
        <f>I124/F124</f>
        <v/>
      </c>
      <c r="M124" s="27" t="n">
        <v>162.51</v>
      </c>
      <c r="N124" s="27" t="n">
        <v>147.48</v>
      </c>
      <c r="O124" s="37">
        <f>(M124-N124)/N124</f>
        <v/>
      </c>
      <c r="P124" s="100">
        <f>N124*0.9056*0.85</f>
        <v/>
      </c>
      <c r="Q124" s="100">
        <f>N124*1.15</f>
        <v/>
      </c>
      <c r="R124" s="100">
        <f>IF(M124&lt;N124*0.9056*0.85,N124*0.9056*0.85,IF(M124&gt;N124*1.15,N124*1.15,M124))</f>
        <v/>
      </c>
      <c r="S124" s="100">
        <f>+F124*M124</f>
        <v/>
      </c>
      <c r="T124" s="100">
        <f>S124+R124*I124</f>
        <v/>
      </c>
      <c r="U124" s="106">
        <f>S124+R124*J124</f>
        <v/>
      </c>
      <c r="V124" s="100">
        <f>U124-S124</f>
        <v/>
      </c>
      <c r="W124" s="106">
        <f>+U124-T124</f>
        <v/>
      </c>
      <c r="X124" s="107">
        <f>+U124-T124</f>
        <v/>
      </c>
      <c r="Y124" s="26" t="n"/>
    </row>
    <row r="125" ht="20" customFormat="1" customHeight="1" s="7">
      <c r="A125" s="26" t="n">
        <v>112</v>
      </c>
      <c r="B125" s="26" t="inlineStr">
        <is>
          <t>011204003015</t>
        </is>
      </c>
      <c r="C125" s="26" t="inlineStr">
        <is>
          <t>块料墙面</t>
        </is>
      </c>
      <c r="D125" s="26" t="inlineStr">
        <is>
          <t>1.镶贴300*300仿古砖墙面建筑胶粘剂粘贴
2.15厚WPM20水泥砂浆找平</t>
        </is>
      </c>
      <c r="E125" s="26" t="inlineStr">
        <is>
          <t>m2</t>
        </is>
      </c>
      <c r="F125" s="27" t="n">
        <v>24.54</v>
      </c>
      <c r="G125" s="100" t="n">
        <v>24.54</v>
      </c>
      <c r="H125" s="106" t="n">
        <v>12.26</v>
      </c>
      <c r="I125" s="100">
        <f>G125-F125</f>
        <v/>
      </c>
      <c r="J125" s="100">
        <f>H125-F125</f>
        <v/>
      </c>
      <c r="K125" s="100">
        <f>+H125-G125</f>
        <v/>
      </c>
      <c r="L125" s="37">
        <f>I125/F125</f>
        <v/>
      </c>
      <c r="M125" s="27" t="n">
        <v>139.68</v>
      </c>
      <c r="N125" s="27" t="n">
        <v>141.12</v>
      </c>
      <c r="O125" s="37">
        <f>(M125-N125)/N125</f>
        <v/>
      </c>
      <c r="P125" s="100">
        <f>N125*0.9056*0.85</f>
        <v/>
      </c>
      <c r="Q125" s="100">
        <f>N125*1.15</f>
        <v/>
      </c>
      <c r="R125" s="100">
        <f>IF(M125&lt;N125*0.9056*0.85,N125*0.9056*0.85,IF(M125&gt;N125*1.15,N125*1.15,M125))</f>
        <v/>
      </c>
      <c r="S125" s="100">
        <f>+F125*M125</f>
        <v/>
      </c>
      <c r="T125" s="100">
        <f>S125+R125*I125</f>
        <v/>
      </c>
      <c r="U125" s="106">
        <f>S125+R125*J125</f>
        <v/>
      </c>
      <c r="V125" s="100">
        <f>U125-S125</f>
        <v/>
      </c>
      <c r="W125" s="106">
        <f>+U125-T125</f>
        <v/>
      </c>
      <c r="X125" s="107">
        <f>+U125-T125</f>
        <v/>
      </c>
      <c r="Y125" s="26" t="n"/>
    </row>
    <row r="126" ht="20" customFormat="1" customHeight="1" s="7">
      <c r="A126" s="34" t="n">
        <v>113</v>
      </c>
      <c r="B126" s="34" t="inlineStr">
        <is>
          <t>011205001001</t>
        </is>
      </c>
      <c r="C126" s="34" t="inlineStr">
        <is>
          <t>石材柱面</t>
        </is>
      </c>
      <c r="D126" s="34" t="inlineStr">
        <is>
          <t>1.首层柱脚
2.安装方式:挂贴米色大理石
3.其他详见施工设计图</t>
        </is>
      </c>
      <c r="E126" s="34" t="inlineStr">
        <is>
          <t>m2</t>
        </is>
      </c>
      <c r="F126" s="35" t="n">
        <v>259.648</v>
      </c>
      <c r="G126" s="110" t="n">
        <v>281.42</v>
      </c>
      <c r="H126" s="110" t="n">
        <v>281.42</v>
      </c>
      <c r="I126" s="110">
        <f>G126-F126</f>
        <v/>
      </c>
      <c r="J126" s="110">
        <f>H126-F126</f>
        <v/>
      </c>
      <c r="K126" s="110">
        <f>+H126-G126</f>
        <v/>
      </c>
      <c r="L126" s="39">
        <f>I126/F126</f>
        <v/>
      </c>
      <c r="M126" s="35" t="n">
        <v>666.3099999999999</v>
      </c>
      <c r="N126" s="35" t="n">
        <v>453.37</v>
      </c>
      <c r="O126" s="39">
        <f>(M126-N126)/N126</f>
        <v/>
      </c>
      <c r="P126" s="110">
        <f>N126*0.9056*0.85</f>
        <v/>
      </c>
      <c r="Q126" s="110">
        <f>N126*1.15</f>
        <v/>
      </c>
      <c r="R126" s="110">
        <f>IF(M126&lt;N126*0.9056*0.85,N126*0.9056*0.85,IF(M126&gt;N126*1.15,N126*1.15,M126))</f>
        <v/>
      </c>
      <c r="S126" s="110">
        <f>+F126*M126</f>
        <v/>
      </c>
      <c r="T126" s="110">
        <f>S126+R126*I126</f>
        <v/>
      </c>
      <c r="U126" s="110">
        <f>S126+R126*J126</f>
        <v/>
      </c>
      <c r="V126" s="100">
        <f>U126-S126</f>
        <v/>
      </c>
      <c r="W126" s="106">
        <f>+U126-T126</f>
        <v/>
      </c>
      <c r="X126" s="110">
        <f>+U126-T126</f>
        <v/>
      </c>
      <c r="Y126" s="34" t="n"/>
      <c r="Z126" s="48" t="n"/>
    </row>
    <row r="127" ht="20" customFormat="1" customHeight="1" s="7">
      <c r="A127" s="26" t="n">
        <v>114</v>
      </c>
      <c r="B127" s="26" t="inlineStr">
        <is>
          <t>010809004001</t>
        </is>
      </c>
      <c r="C127" s="26" t="inlineStr">
        <is>
          <t>石材窗台板</t>
        </is>
      </c>
      <c r="D127" s="26" t="inlineStr">
        <is>
          <t>1.米黄花岗石窗台石</t>
        </is>
      </c>
      <c r="E127" s="26" t="inlineStr">
        <is>
          <t>m2</t>
        </is>
      </c>
      <c r="F127" s="27" t="n">
        <v>16.8156</v>
      </c>
      <c r="G127" s="100" t="n">
        <v>16.82</v>
      </c>
      <c r="H127" s="106" t="n">
        <v>6.73</v>
      </c>
      <c r="I127" s="100">
        <f>G127-F127</f>
        <v/>
      </c>
      <c r="J127" s="100">
        <f>H127-F127</f>
        <v/>
      </c>
      <c r="K127" s="100">
        <f>+H127-G127</f>
        <v/>
      </c>
      <c r="L127" s="37">
        <f>I127/F127</f>
        <v/>
      </c>
      <c r="M127" s="27" t="n">
        <v>532.5599999999999</v>
      </c>
      <c r="N127" s="27" t="n">
        <v>490.86</v>
      </c>
      <c r="O127" s="37">
        <f>(M127-N127)/N127</f>
        <v/>
      </c>
      <c r="P127" s="100">
        <f>N127*0.9056*0.85</f>
        <v/>
      </c>
      <c r="Q127" s="100">
        <f>N127*1.15</f>
        <v/>
      </c>
      <c r="R127" s="100">
        <f>IF(M127&lt;N127*0.9056*0.85,N127*0.9056*0.85,IF(M127&gt;N127*1.15,N127*1.15,M127))</f>
        <v/>
      </c>
      <c r="S127" s="100">
        <f>+F127*M127</f>
        <v/>
      </c>
      <c r="T127" s="100">
        <f>S127+R127*I127</f>
        <v/>
      </c>
      <c r="U127" s="106">
        <f>S127+R127*J127</f>
        <v/>
      </c>
      <c r="V127" s="100">
        <f>U127-S127</f>
        <v/>
      </c>
      <c r="W127" s="106">
        <f>+U127-T127</f>
        <v/>
      </c>
      <c r="X127" s="107">
        <f>+U127-T127</f>
        <v/>
      </c>
      <c r="Y127" s="26" t="n"/>
    </row>
    <row r="128" ht="20" customFormat="1" customHeight="1" s="8">
      <c r="A128" s="26" t="n">
        <v>115</v>
      </c>
      <c r="B128" s="26" t="inlineStr">
        <is>
          <t>011207001003</t>
        </is>
      </c>
      <c r="C128" s="26" t="inlineStr">
        <is>
          <t>墙面装饰板</t>
        </is>
      </c>
      <c r="D128" s="26" t="inlineStr">
        <is>
          <t>1.18MM厚A级防火吸音板
2.50厚超细玻璃棉容重:32KG/m3外包吸声无纺布
3.15mm阻燃夹板
4.50*50阻燃木龙骨底架
5.1.2厚黑色不锈钢压槽</t>
        </is>
      </c>
      <c r="E128" s="26" t="inlineStr">
        <is>
          <t>m2</t>
        </is>
      </c>
      <c r="F128" s="27" t="n">
        <v>129.335</v>
      </c>
      <c r="G128" s="100" t="n">
        <v>136.49</v>
      </c>
      <c r="H128" s="106" t="n">
        <v>136.49</v>
      </c>
      <c r="I128" s="100">
        <f>G128-F128</f>
        <v/>
      </c>
      <c r="J128" s="100">
        <f>H128-F128</f>
        <v/>
      </c>
      <c r="K128" s="100">
        <f>+H128-G128</f>
        <v/>
      </c>
      <c r="L128" s="37">
        <f>I128/F128</f>
        <v/>
      </c>
      <c r="M128" s="27" t="n">
        <v>314.41</v>
      </c>
      <c r="N128" s="27" t="n">
        <v>271.64</v>
      </c>
      <c r="O128" s="37">
        <f>(M128-N128)/N128</f>
        <v/>
      </c>
      <c r="P128" s="100">
        <f>N128*0.9056*0.85</f>
        <v/>
      </c>
      <c r="Q128" s="100">
        <f>N128*1.15</f>
        <v/>
      </c>
      <c r="R128" s="100">
        <f>IF(M128&lt;N128*0.9056*0.85,N128*0.9056*0.85,IF(M128&gt;N128*1.15,N128*1.15,M128))</f>
        <v/>
      </c>
      <c r="S128" s="100">
        <f>+F128*M128</f>
        <v/>
      </c>
      <c r="T128" s="100">
        <f>S128+R128*I128</f>
        <v/>
      </c>
      <c r="U128" s="106">
        <f>S128+R128*J128</f>
        <v/>
      </c>
      <c r="V128" s="100">
        <f>U128-S128</f>
        <v/>
      </c>
      <c r="W128" s="106">
        <f>+U128-T128</f>
        <v/>
      </c>
      <c r="X128" s="107">
        <f>+U128-T128</f>
        <v/>
      </c>
      <c r="Y128" s="26" t="n"/>
    </row>
    <row r="129" ht="20" customFormat="1" customHeight="1" s="7">
      <c r="A129" s="26" t="n">
        <v>116</v>
      </c>
      <c r="B129" s="26" t="inlineStr">
        <is>
          <t>011207001004</t>
        </is>
      </c>
      <c r="C129" s="26" t="inlineStr">
        <is>
          <t>墙面装饰板</t>
        </is>
      </c>
      <c r="D129" s="26" t="inlineStr">
        <is>
          <t>1.4MM蓝色免漆板
2.15mm阻燃夹板
3.30*30阻燃木龙骨底架</t>
        </is>
      </c>
      <c r="E129" s="26" t="inlineStr">
        <is>
          <t>m2</t>
        </is>
      </c>
      <c r="F129" s="27" t="n">
        <v>56.123</v>
      </c>
      <c r="G129" s="100" t="n">
        <v>70.04000000000001</v>
      </c>
      <c r="H129" s="106" t="n">
        <v>14.82</v>
      </c>
      <c r="I129" s="100">
        <f>G129-F129</f>
        <v/>
      </c>
      <c r="J129" s="100">
        <f>H129-F129</f>
        <v/>
      </c>
      <c r="K129" s="100">
        <f>+H129-G129</f>
        <v/>
      </c>
      <c r="L129" s="37">
        <f>I129/F129</f>
        <v/>
      </c>
      <c r="M129" s="27" t="n">
        <v>341.48</v>
      </c>
      <c r="N129" s="27" t="n">
        <v>151.55</v>
      </c>
      <c r="O129" s="37">
        <f>(M129-N129)/N129</f>
        <v/>
      </c>
      <c r="P129" s="100">
        <f>N129*0.9056*0.85</f>
        <v/>
      </c>
      <c r="Q129" s="100">
        <f>N129*1.15</f>
        <v/>
      </c>
      <c r="R129" s="100">
        <f>IF(M129&lt;N129*0.9056*0.85,N129*0.9056*0.85,IF(M129&gt;N129*1.15,N129*1.15,M129))</f>
        <v/>
      </c>
      <c r="S129" s="100">
        <f>+F129*M129</f>
        <v/>
      </c>
      <c r="T129" s="100">
        <f>S129+R129*I129</f>
        <v/>
      </c>
      <c r="U129" s="106">
        <f>S129+R129*J129</f>
        <v/>
      </c>
      <c r="V129" s="100">
        <f>U129-S129</f>
        <v/>
      </c>
      <c r="W129" s="106">
        <f>+U129-T129</f>
        <v/>
      </c>
      <c r="X129" s="107">
        <f>+U129-T129</f>
        <v/>
      </c>
      <c r="Y129" s="26" t="n"/>
    </row>
    <row r="130" ht="20" customFormat="1" customHeight="1" s="7">
      <c r="A130" s="26" t="n">
        <v>117</v>
      </c>
      <c r="B130" s="26" t="inlineStr">
        <is>
          <t>011207001007</t>
        </is>
      </c>
      <c r="C130" s="26" t="inlineStr">
        <is>
          <t>墙面装饰板</t>
        </is>
      </c>
      <c r="D130" s="26" t="inlineStr">
        <is>
          <t>1.5MM厚清镜
2.15mm阻燃夹板
3.50*50阻燃木龙骨底架</t>
        </is>
      </c>
      <c r="E130" s="26" t="inlineStr">
        <is>
          <t>m2</t>
        </is>
      </c>
      <c r="F130" s="27" t="n">
        <v>31.04</v>
      </c>
      <c r="G130" s="100" t="n">
        <v>32.05</v>
      </c>
      <c r="H130" s="106" t="n">
        <v>32.05</v>
      </c>
      <c r="I130" s="100">
        <f>G130-F130</f>
        <v/>
      </c>
      <c r="J130" s="100">
        <f>H130-F130</f>
        <v/>
      </c>
      <c r="K130" s="100">
        <f>+H130-G130</f>
        <v/>
      </c>
      <c r="L130" s="37">
        <f>I130/F130</f>
        <v/>
      </c>
      <c r="M130" s="27" t="n">
        <v>437.33</v>
      </c>
      <c r="N130" s="27" t="n">
        <v>228.53</v>
      </c>
      <c r="O130" s="37">
        <f>(M130-N130)/N130</f>
        <v/>
      </c>
      <c r="P130" s="100">
        <f>N130*0.9056*0.85</f>
        <v/>
      </c>
      <c r="Q130" s="100">
        <f>N130*1.15</f>
        <v/>
      </c>
      <c r="R130" s="100">
        <f>IF(M130&lt;N130*0.9056*0.85,N130*0.9056*0.85,IF(M130&gt;N130*1.15,N130*1.15,M130))</f>
        <v/>
      </c>
      <c r="S130" s="100">
        <f>+F130*M130</f>
        <v/>
      </c>
      <c r="T130" s="100">
        <f>S130+R130*I130</f>
        <v/>
      </c>
      <c r="U130" s="106">
        <f>S130+R130*J130</f>
        <v/>
      </c>
      <c r="V130" s="100">
        <f>U130-S130</f>
        <v/>
      </c>
      <c r="W130" s="106">
        <f>+U130-T130</f>
        <v/>
      </c>
      <c r="X130" s="107">
        <f>+U130-T130</f>
        <v/>
      </c>
      <c r="Y130" s="26" t="n"/>
    </row>
    <row r="131" ht="20" customFormat="1" customHeight="1" s="7">
      <c r="A131" s="26" t="n">
        <v>118</v>
      </c>
      <c r="B131" s="26" t="inlineStr">
        <is>
          <t>011207001006</t>
        </is>
      </c>
      <c r="C131" s="26" t="inlineStr">
        <is>
          <t>墙面装饰板（logo）</t>
        </is>
      </c>
      <c r="D131" s="26" t="inlineStr">
        <is>
          <t>1.15MM蓝色免漆板
2.15mm阻燃夹板
3.30*30阻燃木龙骨底架</t>
        </is>
      </c>
      <c r="E131" s="26" t="inlineStr">
        <is>
          <t>m2</t>
        </is>
      </c>
      <c r="F131" s="27" t="n">
        <v>4.77</v>
      </c>
      <c r="G131" s="100" t="n">
        <v>4.77</v>
      </c>
      <c r="H131" s="106" t="n">
        <v>1.76</v>
      </c>
      <c r="I131" s="100">
        <f>G131-F131</f>
        <v/>
      </c>
      <c r="J131" s="100">
        <f>H131-F131</f>
        <v/>
      </c>
      <c r="K131" s="100">
        <f>+H131-G131</f>
        <v/>
      </c>
      <c r="L131" s="37">
        <f>I131/F131</f>
        <v/>
      </c>
      <c r="M131" s="27" t="n">
        <v>429.48</v>
      </c>
      <c r="N131" s="27" t="n">
        <v>300.05</v>
      </c>
      <c r="O131" s="37">
        <f>(M131-N131)/N131</f>
        <v/>
      </c>
      <c r="P131" s="100">
        <f>N131*0.9056*0.85</f>
        <v/>
      </c>
      <c r="Q131" s="100">
        <f>N131*1.15</f>
        <v/>
      </c>
      <c r="R131" s="100">
        <f>IF(M131&lt;N131*0.9056*0.85,N131*0.9056*0.85,IF(M131&gt;N131*1.15,N131*1.15,M131))</f>
        <v/>
      </c>
      <c r="S131" s="100">
        <f>+F131*M131</f>
        <v/>
      </c>
      <c r="T131" s="100">
        <f>S131+R131*I131</f>
        <v/>
      </c>
      <c r="U131" s="106">
        <f>S131+R131*J131</f>
        <v/>
      </c>
      <c r="V131" s="100">
        <f>U131-S131</f>
        <v/>
      </c>
      <c r="W131" s="106">
        <f>+U131-T131</f>
        <v/>
      </c>
      <c r="X131" s="107">
        <f>+U131-T131</f>
        <v/>
      </c>
      <c r="Y131" s="26" t="n"/>
    </row>
    <row r="132" ht="20" customFormat="1" customHeight="1" s="7">
      <c r="A132" s="26" t="n">
        <v>119</v>
      </c>
      <c r="B132" s="26" t="inlineStr">
        <is>
          <t>011207001009</t>
        </is>
      </c>
      <c r="C132" s="26" t="inlineStr">
        <is>
          <t>墙面装饰板</t>
        </is>
      </c>
      <c r="D132" s="26" t="inlineStr">
        <is>
          <t>1.9mm欧松板
2.15mm阻燃夹板
3.30*30阻燃木龙骨底架
4.30mm透明亚克力板</t>
        </is>
      </c>
      <c r="E132" s="26" t="inlineStr">
        <is>
          <t>m2</t>
        </is>
      </c>
      <c r="F132" s="27" t="n">
        <v>9.449999999999999</v>
      </c>
      <c r="G132" s="100" t="n">
        <v>9.449999999999999</v>
      </c>
      <c r="H132" s="106" t="n">
        <v>9.449999999999999</v>
      </c>
      <c r="I132" s="100">
        <f>G132-F132</f>
        <v/>
      </c>
      <c r="J132" s="100">
        <f>H132-F132</f>
        <v/>
      </c>
      <c r="K132" s="100">
        <f>+H132-G132</f>
        <v/>
      </c>
      <c r="L132" s="37">
        <f>I132/F132</f>
        <v/>
      </c>
      <c r="M132" s="27" t="n">
        <v>419.95</v>
      </c>
      <c r="N132" s="27" t="n">
        <v>250.86</v>
      </c>
      <c r="O132" s="37">
        <f>(M132-N132)/N132</f>
        <v/>
      </c>
      <c r="P132" s="100">
        <f>N132*0.9056*0.85</f>
        <v/>
      </c>
      <c r="Q132" s="100">
        <f>N132*1.15</f>
        <v/>
      </c>
      <c r="R132" s="100">
        <f>IF(M132&lt;N132*0.9056*0.85,N132*0.9056*0.85,IF(M132&gt;N132*1.15,N132*1.15,M132))</f>
        <v/>
      </c>
      <c r="S132" s="100">
        <f>+F132*M132</f>
        <v/>
      </c>
      <c r="T132" s="100">
        <f>S132+R132*I132</f>
        <v/>
      </c>
      <c r="U132" s="106">
        <f>S132+R132*J132</f>
        <v/>
      </c>
      <c r="V132" s="100">
        <f>U132-S132</f>
        <v/>
      </c>
      <c r="W132" s="106">
        <f>+U132-T132</f>
        <v/>
      </c>
      <c r="X132" s="107">
        <f>+U132-T132</f>
        <v/>
      </c>
      <c r="Y132" s="26" t="n"/>
    </row>
    <row r="133" ht="20" customFormat="1" customHeight="1" s="7">
      <c r="A133" s="26" t="n">
        <v>120</v>
      </c>
      <c r="B133" s="26" t="inlineStr">
        <is>
          <t>011207001005</t>
        </is>
      </c>
      <c r="C133" s="26" t="inlineStr">
        <is>
          <t>墙面装饰板</t>
        </is>
      </c>
      <c r="D133" s="26" t="inlineStr">
        <is>
          <t>1.贴黄色墙布
2.9mm阻燃夹板
3.30*30阻燃木龙骨底架
4.1.2厚黑色不锈钢压槽</t>
        </is>
      </c>
      <c r="E133" s="26" t="inlineStr">
        <is>
          <t>m2</t>
        </is>
      </c>
      <c r="F133" s="27" t="n">
        <v>20.52</v>
      </c>
      <c r="G133" s="100" t="n">
        <v>20.58</v>
      </c>
      <c r="H133" s="106" t="n">
        <v>20.58</v>
      </c>
      <c r="I133" s="100">
        <f>G133-F133</f>
        <v/>
      </c>
      <c r="J133" s="100">
        <f>H133-F133</f>
        <v/>
      </c>
      <c r="K133" s="100">
        <f>+H133-G133</f>
        <v/>
      </c>
      <c r="L133" s="37">
        <f>I133/F133</f>
        <v/>
      </c>
      <c r="M133" s="27" t="n">
        <v>217.33</v>
      </c>
      <c r="N133" s="27" t="n">
        <v>149.29</v>
      </c>
      <c r="O133" s="37">
        <f>(M133-N133)/N133</f>
        <v/>
      </c>
      <c r="P133" s="100">
        <f>N133*0.9056*0.85</f>
        <v/>
      </c>
      <c r="Q133" s="100">
        <f>N133*1.15</f>
        <v/>
      </c>
      <c r="R133" s="100">
        <f>IF(M133&lt;N133*0.9056*0.85,N133*0.9056*0.85,IF(M133&gt;N133*1.15,N133*1.15,M133))</f>
        <v/>
      </c>
      <c r="S133" s="100">
        <f>+F133*M133</f>
        <v/>
      </c>
      <c r="T133" s="100">
        <f>S133+R133*I133</f>
        <v/>
      </c>
      <c r="U133" s="106">
        <f>S133+R133*J133</f>
        <v/>
      </c>
      <c r="V133" s="100">
        <f>U133-S133</f>
        <v/>
      </c>
      <c r="W133" s="106">
        <f>+U133-T133</f>
        <v/>
      </c>
      <c r="X133" s="107">
        <f>+U133-T133</f>
        <v/>
      </c>
      <c r="Y133" s="26" t="n"/>
    </row>
    <row r="134" ht="20" customFormat="1" customHeight="1" s="7">
      <c r="A134" s="26" t="n">
        <v>121</v>
      </c>
      <c r="B134" s="26" t="inlineStr">
        <is>
          <t>011207001008</t>
        </is>
      </c>
      <c r="C134" s="26" t="inlineStr">
        <is>
          <t>墙面装饰板</t>
        </is>
      </c>
      <c r="D134" s="26" t="inlineStr">
        <is>
          <t>1.刮塑油浅橙色无机装修涂料
2.5mm阻燃夹板
3.30*30阻燃木龙骨底架</t>
        </is>
      </c>
      <c r="E134" s="26" t="inlineStr">
        <is>
          <t>m2</t>
        </is>
      </c>
      <c r="F134" s="27" t="n">
        <v>36.5</v>
      </c>
      <c r="G134" s="100" t="n">
        <v>36.5</v>
      </c>
      <c r="H134" s="106" t="n">
        <v>36.5</v>
      </c>
      <c r="I134" s="100">
        <f>G134-F134</f>
        <v/>
      </c>
      <c r="J134" s="100">
        <f>H134-F134</f>
        <v/>
      </c>
      <c r="K134" s="100">
        <f>+H134-G134</f>
        <v/>
      </c>
      <c r="L134" s="37">
        <f>I134/F134</f>
        <v/>
      </c>
      <c r="M134" s="27" t="n">
        <v>111.44</v>
      </c>
      <c r="N134" s="27" t="n">
        <v>113.84</v>
      </c>
      <c r="O134" s="37">
        <f>(M134-N134)/N134</f>
        <v/>
      </c>
      <c r="P134" s="100">
        <f>N134*0.9056*0.85</f>
        <v/>
      </c>
      <c r="Q134" s="100">
        <f>N134*1.15</f>
        <v/>
      </c>
      <c r="R134" s="100">
        <f>IF(M134&lt;N134*0.9056*0.85,N134*0.9056*0.85,IF(M134&gt;N134*1.15,N134*1.15,M134))</f>
        <v/>
      </c>
      <c r="S134" s="100">
        <f>+F134*M134</f>
        <v/>
      </c>
      <c r="T134" s="100">
        <f>S134+R134*I134</f>
        <v/>
      </c>
      <c r="U134" s="106">
        <f>S134+R134*J134</f>
        <v/>
      </c>
      <c r="V134" s="100">
        <f>U134-S134</f>
        <v/>
      </c>
      <c r="W134" s="106">
        <f>+U134-T134</f>
        <v/>
      </c>
      <c r="X134" s="107">
        <f>+U134-T134</f>
        <v/>
      </c>
      <c r="Y134" s="26" t="n"/>
    </row>
    <row r="135" ht="20" customFormat="1" customHeight="1" s="7">
      <c r="A135" s="26" t="n">
        <v>122</v>
      </c>
      <c r="B135" s="26" t="inlineStr">
        <is>
          <t>011105005001</t>
        </is>
      </c>
      <c r="C135" s="26" t="inlineStr">
        <is>
          <t>木质踢脚线</t>
        </is>
      </c>
      <c r="D135" s="26" t="inlineStr">
        <is>
          <t>1.实木地板原木色地脚线
2.踢脚线高度:100mm</t>
        </is>
      </c>
      <c r="E135" s="26" t="inlineStr">
        <is>
          <t>m2</t>
        </is>
      </c>
      <c r="F135" s="27" t="n">
        <v>7.217</v>
      </c>
      <c r="G135" s="100" t="n">
        <v>20.92</v>
      </c>
      <c r="H135" s="106" t="n">
        <v>20.92</v>
      </c>
      <c r="I135" s="100">
        <f>G135-F135</f>
        <v/>
      </c>
      <c r="J135" s="100">
        <f>H135-F135</f>
        <v/>
      </c>
      <c r="K135" s="100">
        <f>+H135-G135</f>
        <v/>
      </c>
      <c r="L135" s="37">
        <f>I135/F135</f>
        <v/>
      </c>
      <c r="M135" s="27" t="n">
        <v>151.13</v>
      </c>
      <c r="N135" s="27" t="n">
        <v>392.16</v>
      </c>
      <c r="O135" s="37">
        <f>(M135-N135)/N135</f>
        <v/>
      </c>
      <c r="P135" s="100">
        <f>N135*0.9056*0.85</f>
        <v/>
      </c>
      <c r="Q135" s="100">
        <f>N135*1.15</f>
        <v/>
      </c>
      <c r="R135" s="100">
        <f>IF(M135&lt;N135*0.9056*0.85,N135*0.9056*0.85,IF(M135&gt;N135*1.15,N135*1.15,M135))</f>
        <v/>
      </c>
      <c r="S135" s="100">
        <f>+F135*M135</f>
        <v/>
      </c>
      <c r="T135" s="100">
        <f>S135+R135*I135</f>
        <v/>
      </c>
      <c r="U135" s="106">
        <f>S135+R135*J135</f>
        <v/>
      </c>
      <c r="V135" s="100">
        <f>U135-S135</f>
        <v/>
      </c>
      <c r="W135" s="106">
        <f>+U135-T135</f>
        <v/>
      </c>
      <c r="X135" s="107">
        <f>+U135-T135</f>
        <v/>
      </c>
      <c r="Y135" s="26" t="n"/>
    </row>
    <row r="136" ht="20" customFormat="1" customHeight="1" s="7">
      <c r="A136" s="26" t="n">
        <v>123</v>
      </c>
      <c r="B136" s="26" t="inlineStr">
        <is>
          <t>011210003001</t>
        </is>
      </c>
      <c r="C136" s="26" t="inlineStr">
        <is>
          <t>玻璃隔断</t>
        </is>
      </c>
      <c r="D136" s="26" t="inlineStr">
        <is>
          <t>1.8mm厚钢化清玻璃隔断</t>
        </is>
      </c>
      <c r="E136" s="26" t="inlineStr">
        <is>
          <t>m2</t>
        </is>
      </c>
      <c r="F136" s="27" t="n">
        <v>3.9</v>
      </c>
      <c r="G136" s="100" t="n">
        <v>6.27</v>
      </c>
      <c r="H136" s="106" t="n">
        <v>6.27</v>
      </c>
      <c r="I136" s="100">
        <f>G136-F136</f>
        <v/>
      </c>
      <c r="J136" s="100">
        <f>H136-F136</f>
        <v/>
      </c>
      <c r="K136" s="100">
        <f>+H136-G136</f>
        <v/>
      </c>
      <c r="L136" s="37">
        <f>I136/F136</f>
        <v/>
      </c>
      <c r="M136" s="27" t="n">
        <v>149.62</v>
      </c>
      <c r="N136" s="27" t="n">
        <v>182.2</v>
      </c>
      <c r="O136" s="37">
        <f>(M136-N136)/N136</f>
        <v/>
      </c>
      <c r="P136" s="100">
        <f>N136*0.9056*0.85</f>
        <v/>
      </c>
      <c r="Q136" s="100">
        <f>N136*1.15</f>
        <v/>
      </c>
      <c r="R136" s="100">
        <f>IF(M136&lt;N136*0.9056*0.85,N136*0.9056*0.85,IF(M136&gt;N136*1.15,N136*1.15,M136))</f>
        <v/>
      </c>
      <c r="S136" s="100">
        <f>+F136*M136</f>
        <v/>
      </c>
      <c r="T136" s="100">
        <f>S136+R136*I136</f>
        <v/>
      </c>
      <c r="U136" s="106">
        <f>S136+R136*J136</f>
        <v/>
      </c>
      <c r="V136" s="100">
        <f>U136-S136</f>
        <v/>
      </c>
      <c r="W136" s="106">
        <f>+U136-T136</f>
        <v/>
      </c>
      <c r="X136" s="107">
        <f>+U136-T136</f>
        <v/>
      </c>
      <c r="Y136" s="26" t="n"/>
    </row>
    <row r="137" ht="20" customFormat="1" customHeight="1" s="7">
      <c r="A137" s="26" t="n">
        <v>124</v>
      </c>
      <c r="B137" s="26" t="inlineStr">
        <is>
          <t>011210006001</t>
        </is>
      </c>
      <c r="C137" s="26" t="inlineStr">
        <is>
          <t>其他隔断</t>
        </is>
      </c>
      <c r="D137" s="26" t="inlineStr">
        <is>
          <t>1.轻钢龙骨12mm硅钙板隔墙(包龙骨)双面</t>
        </is>
      </c>
      <c r="E137" s="26" t="inlineStr">
        <is>
          <t>m2</t>
        </is>
      </c>
      <c r="F137" s="27" t="n">
        <v>39.888</v>
      </c>
      <c r="G137" s="100" t="n">
        <v>39.89</v>
      </c>
      <c r="H137" s="106" t="n">
        <v>35.67</v>
      </c>
      <c r="I137" s="100">
        <f>G137-F137</f>
        <v/>
      </c>
      <c r="J137" s="100">
        <f>H137-F137</f>
        <v/>
      </c>
      <c r="K137" s="100">
        <f>+H137-G137</f>
        <v/>
      </c>
      <c r="L137" s="37">
        <f>I137/F137</f>
        <v/>
      </c>
      <c r="M137" s="27" t="n">
        <v>100.87</v>
      </c>
      <c r="N137" s="27" t="n">
        <v>103.02</v>
      </c>
      <c r="O137" s="37">
        <f>(M137-N137)/N137</f>
        <v/>
      </c>
      <c r="P137" s="100">
        <f>N137*0.9056*0.85</f>
        <v/>
      </c>
      <c r="Q137" s="100">
        <f>N137*1.15</f>
        <v/>
      </c>
      <c r="R137" s="100">
        <f>IF(M137&lt;N137*0.9056*0.85,N137*0.9056*0.85,IF(M137&gt;N137*1.15,N137*1.15,M137))</f>
        <v/>
      </c>
      <c r="S137" s="100">
        <f>+F137*M137</f>
        <v/>
      </c>
      <c r="T137" s="100">
        <f>S137+R137*I137</f>
        <v/>
      </c>
      <c r="U137" s="106">
        <f>S137+R137*J137</f>
        <v/>
      </c>
      <c r="V137" s="100">
        <f>U137-S137</f>
        <v/>
      </c>
      <c r="W137" s="106">
        <f>+U137-T137</f>
        <v/>
      </c>
      <c r="X137" s="107">
        <f>+U137-T137</f>
        <v/>
      </c>
      <c r="Y137" s="26" t="n"/>
    </row>
    <row r="138" ht="20" customFormat="1" customHeight="1" s="7">
      <c r="A138" s="26" t="n">
        <v>125</v>
      </c>
      <c r="B138" s="26" t="inlineStr">
        <is>
          <t>011508002001</t>
        </is>
      </c>
      <c r="C138" s="26" t="inlineStr">
        <is>
          <t>有机玻璃字</t>
        </is>
      </c>
      <c r="D138" s="26" t="inlineStr">
        <is>
          <t>1.订做亚克力广告字体logo
2.H=190mm</t>
        </is>
      </c>
      <c r="E138" s="26" t="inlineStr">
        <is>
          <t>个</t>
        </is>
      </c>
      <c r="F138" s="27" t="n">
        <v>19</v>
      </c>
      <c r="G138" s="100" t="n">
        <v>19</v>
      </c>
      <c r="H138" s="108" t="n">
        <v>19</v>
      </c>
      <c r="I138" s="100">
        <f>G138-F138</f>
        <v/>
      </c>
      <c r="J138" s="100">
        <f>H138-F138</f>
        <v/>
      </c>
      <c r="K138" s="100">
        <f>+H138-G138</f>
        <v/>
      </c>
      <c r="L138" s="37">
        <f>I138/F138</f>
        <v/>
      </c>
      <c r="M138" s="27" t="n">
        <v>148.45</v>
      </c>
      <c r="N138" s="27" t="n">
        <v>199.33</v>
      </c>
      <c r="O138" s="37">
        <f>(M138-N138)/N138</f>
        <v/>
      </c>
      <c r="P138" s="100">
        <f>N138*0.9056*0.85</f>
        <v/>
      </c>
      <c r="Q138" s="100">
        <f>N138*1.15</f>
        <v/>
      </c>
      <c r="R138" s="100">
        <f>IF(M138&lt;N138*0.9056*0.85,N138*0.9056*0.85,IF(M138&gt;N138*1.15,N138*1.15,M138))</f>
        <v/>
      </c>
      <c r="S138" s="100">
        <f>+F138*M138</f>
        <v/>
      </c>
      <c r="T138" s="100">
        <f>S138+R138*I138</f>
        <v/>
      </c>
      <c r="U138" s="106">
        <f>S138+R138*J138</f>
        <v/>
      </c>
      <c r="V138" s="100">
        <f>U138-S138</f>
        <v/>
      </c>
      <c r="W138" s="106">
        <f>+U138-T138</f>
        <v/>
      </c>
      <c r="X138" s="107">
        <f>+U138-T138</f>
        <v/>
      </c>
      <c r="Y138" s="26" t="n"/>
    </row>
    <row r="139" ht="20" customFormat="1" customHeight="1" s="7">
      <c r="A139" s="26" t="n"/>
      <c r="B139" s="26" t="n"/>
      <c r="C139" s="26" t="inlineStr">
        <is>
          <t>天棚工程</t>
        </is>
      </c>
      <c r="D139" s="26" t="n"/>
      <c r="E139" s="26" t="n"/>
      <c r="F139" s="27" t="n"/>
      <c r="G139" s="100" t="n"/>
      <c r="H139" s="28" t="n"/>
      <c r="I139" s="100" t="n"/>
      <c r="J139" s="100" t="n"/>
      <c r="K139" s="100" t="n"/>
      <c r="L139" s="37" t="n"/>
      <c r="M139" s="27" t="n"/>
      <c r="N139" s="27" t="n"/>
      <c r="O139" s="37" t="n"/>
      <c r="P139" s="100" t="n"/>
      <c r="Q139" s="100" t="n"/>
      <c r="R139" s="100" t="n"/>
      <c r="S139" s="100">
        <f>+SUM(S140:S145)</f>
        <v/>
      </c>
      <c r="T139" s="100">
        <f>+SUM(T140:T145)</f>
        <v/>
      </c>
      <c r="U139" s="106">
        <f>SUM(U140:U145)</f>
        <v/>
      </c>
      <c r="V139" s="100">
        <f>U139-S139</f>
        <v/>
      </c>
      <c r="W139" s="106">
        <f>+U139-T139</f>
        <v/>
      </c>
      <c r="X139" s="107">
        <f>U139-T139</f>
        <v/>
      </c>
      <c r="Y139" s="26" t="n"/>
    </row>
    <row r="140" ht="20" customFormat="1" customHeight="1" s="7">
      <c r="A140" s="26" t="n">
        <v>126</v>
      </c>
      <c r="B140" s="26" t="inlineStr">
        <is>
          <t>011407002003</t>
        </is>
      </c>
      <c r="C140" s="26" t="inlineStr">
        <is>
          <t>天棚喷刷涂料（顶1）</t>
        </is>
      </c>
      <c r="D140" s="26" t="inlineStr">
        <is>
          <t>1.加强型腻子找平层5厚
2.无机涂料,三遍成活</t>
        </is>
      </c>
      <c r="E140" s="26" t="inlineStr">
        <is>
          <t>m2</t>
        </is>
      </c>
      <c r="F140" s="27" t="n">
        <v>7757.446</v>
      </c>
      <c r="G140" s="100" t="n">
        <v>7886.13</v>
      </c>
      <c r="H140" s="106" t="n">
        <v>7886.13</v>
      </c>
      <c r="I140" s="100">
        <f>G140-F140</f>
        <v/>
      </c>
      <c r="J140" s="100">
        <f>H140-F140</f>
        <v/>
      </c>
      <c r="K140" s="100">
        <f>+H140-G140</f>
        <v/>
      </c>
      <c r="L140" s="37">
        <f>I140/F140</f>
        <v/>
      </c>
      <c r="M140" s="27" t="n">
        <v>39.44</v>
      </c>
      <c r="N140" s="27" t="n">
        <v>48.24</v>
      </c>
      <c r="O140" s="37">
        <f>(M140-N140)/N140</f>
        <v/>
      </c>
      <c r="P140" s="100">
        <f>N140*0.9056*0.85</f>
        <v/>
      </c>
      <c r="Q140" s="100">
        <f>N140*1.15</f>
        <v/>
      </c>
      <c r="R140" s="100">
        <f>IF(M140&lt;N140*0.9056*0.85,N140*0.9056*0.85,IF(M140&gt;N140*1.15,N140*1.15,M140))</f>
        <v/>
      </c>
      <c r="S140" s="100">
        <f>+F140*M140</f>
        <v/>
      </c>
      <c r="T140" s="100">
        <f>S140+R140*I140</f>
        <v/>
      </c>
      <c r="U140" s="106">
        <f>S140+R140*J140</f>
        <v/>
      </c>
      <c r="V140" s="100">
        <f>U140-S140</f>
        <v/>
      </c>
      <c r="W140" s="106">
        <f>+U140-T140</f>
        <v/>
      </c>
      <c r="X140" s="107">
        <f>+U140-T140</f>
        <v/>
      </c>
      <c r="Y140" s="26" t="n"/>
    </row>
    <row r="141" ht="20" customFormat="1" customHeight="1" s="7">
      <c r="A141" s="26" t="n">
        <v>127</v>
      </c>
      <c r="B141" s="26" t="inlineStr">
        <is>
          <t>011406001007</t>
        </is>
      </c>
      <c r="C141" s="26" t="inlineStr">
        <is>
          <t>抹灰面油漆（顶2）</t>
        </is>
      </c>
      <c r="D141" s="26" t="inlineStr">
        <is>
          <t>1.扫白色灰水二道</t>
        </is>
      </c>
      <c r="E141" s="26" t="inlineStr">
        <is>
          <t>m2</t>
        </is>
      </c>
      <c r="F141" s="27" t="n">
        <v>27.24</v>
      </c>
      <c r="G141" s="100" t="n">
        <v>40.3</v>
      </c>
      <c r="H141" s="106" t="n">
        <v>40.3</v>
      </c>
      <c r="I141" s="100">
        <f>G141-F141</f>
        <v/>
      </c>
      <c r="J141" s="100">
        <f>H141-F141</f>
        <v/>
      </c>
      <c r="K141" s="100">
        <f>+H141-G141</f>
        <v/>
      </c>
      <c r="L141" s="37">
        <f>I141/F141</f>
        <v/>
      </c>
      <c r="M141" s="27" t="n">
        <v>19.62</v>
      </c>
      <c r="N141" s="27" t="n">
        <v>17.11</v>
      </c>
      <c r="O141" s="37">
        <f>(M141-N141)/N141</f>
        <v/>
      </c>
      <c r="P141" s="100">
        <f>N141*0.9056*0.85</f>
        <v/>
      </c>
      <c r="Q141" s="100">
        <f>N141*1.15</f>
        <v/>
      </c>
      <c r="R141" s="100">
        <f>IF(M141&lt;N141*0.9056*0.85,N141*0.9056*0.85,IF(M141&gt;N141*1.15,N141*1.15,M141))</f>
        <v/>
      </c>
      <c r="S141" s="100">
        <f>+F141*M141</f>
        <v/>
      </c>
      <c r="T141" s="100">
        <f>S141+R141*I141</f>
        <v/>
      </c>
      <c r="U141" s="106">
        <f>S141+R141*J141</f>
        <v/>
      </c>
      <c r="V141" s="100">
        <f>U141-S141</f>
        <v/>
      </c>
      <c r="W141" s="106">
        <f>+U141-T141</f>
        <v/>
      </c>
      <c r="X141" s="107">
        <f>+U141-T141</f>
        <v/>
      </c>
      <c r="Y141" s="26" t="inlineStr">
        <is>
          <t>变更</t>
        </is>
      </c>
    </row>
    <row r="142" ht="20" customFormat="1" customHeight="1" s="7">
      <c r="A142" s="26" t="n">
        <v>128</v>
      </c>
      <c r="B142" s="26" t="inlineStr">
        <is>
          <t>011302001006</t>
        </is>
      </c>
      <c r="C142" s="26" t="inlineStr">
        <is>
          <t>吊顶天棚</t>
        </is>
      </c>
      <c r="D142" s="26" t="inlineStr">
        <is>
          <t>1.装配式U型轻钢天棚龙骨(不上人型)面层规格(mm)600×600平面
2.600*600*8mm厚穿孔硅钙板天花
3.做法详见图纸</t>
        </is>
      </c>
      <c r="E142" s="26" t="inlineStr">
        <is>
          <t>m2</t>
        </is>
      </c>
      <c r="F142" s="27" t="n">
        <v>122.4</v>
      </c>
      <c r="G142" s="100" t="n">
        <v>122.4</v>
      </c>
      <c r="H142" s="106" t="n">
        <v>122.4</v>
      </c>
      <c r="I142" s="100">
        <f>G142-F142</f>
        <v/>
      </c>
      <c r="J142" s="100">
        <f>H142-F142</f>
        <v/>
      </c>
      <c r="K142" s="100">
        <f>+H142-G142</f>
        <v/>
      </c>
      <c r="L142" s="37">
        <f>I142/F142</f>
        <v/>
      </c>
      <c r="M142" s="27" t="n">
        <v>127.13</v>
      </c>
      <c r="N142" s="27" t="n">
        <v>53.7</v>
      </c>
      <c r="O142" s="37">
        <f>(M142-N142)/N142</f>
        <v/>
      </c>
      <c r="P142" s="100">
        <f>N142*0.9056*0.85</f>
        <v/>
      </c>
      <c r="Q142" s="100">
        <f>N142*1.15</f>
        <v/>
      </c>
      <c r="R142" s="100">
        <f>IF(M142&lt;N142*0.9056*0.85,N142*0.9056*0.85,IF(M142&gt;N142*1.15,N142*1.15,M142))</f>
        <v/>
      </c>
      <c r="S142" s="100">
        <f>+F142*M142</f>
        <v/>
      </c>
      <c r="T142" s="100">
        <f>S142+R142*I142</f>
        <v/>
      </c>
      <c r="U142" s="106">
        <f>S142+R142*J142</f>
        <v/>
      </c>
      <c r="V142" s="100">
        <f>U142-S142</f>
        <v/>
      </c>
      <c r="W142" s="106">
        <f>+U142-T142</f>
        <v/>
      </c>
      <c r="X142" s="107">
        <f>+U142-T142</f>
        <v/>
      </c>
      <c r="Y142" s="26" t="n"/>
    </row>
    <row r="143" ht="20" customFormat="1" customHeight="1" s="7">
      <c r="A143" s="26" t="n">
        <v>129</v>
      </c>
      <c r="B143" s="26" t="inlineStr">
        <is>
          <t>011406001008</t>
        </is>
      </c>
      <c r="C143" s="26" t="inlineStr">
        <is>
          <t>抹灰面油漆（顶5）</t>
        </is>
      </c>
      <c r="D143" s="26" t="inlineStr">
        <is>
          <t>1.耐水防霉白色腻子两遍</t>
        </is>
      </c>
      <c r="E143" s="26" t="inlineStr">
        <is>
          <t>m2</t>
        </is>
      </c>
      <c r="F143" s="27" t="n">
        <v>3599.223</v>
      </c>
      <c r="G143" s="100" t="n">
        <v>5402.28</v>
      </c>
      <c r="H143" s="106" t="n">
        <v>5402.28</v>
      </c>
      <c r="I143" s="100">
        <f>G143-F143</f>
        <v/>
      </c>
      <c r="J143" s="100">
        <f>H143-F143</f>
        <v/>
      </c>
      <c r="K143" s="100">
        <f>+H143-G143</f>
        <v/>
      </c>
      <c r="L143" s="37">
        <f>I143/F143</f>
        <v/>
      </c>
      <c r="M143" s="27" t="n">
        <v>19.62</v>
      </c>
      <c r="N143" s="27" t="n">
        <v>21.48</v>
      </c>
      <c r="O143" s="37">
        <f>(M143-N143)/N143</f>
        <v/>
      </c>
      <c r="P143" s="100">
        <f>N143*0.9056*0.85</f>
        <v/>
      </c>
      <c r="Q143" s="100">
        <f>N143*1.15</f>
        <v/>
      </c>
      <c r="R143" s="100">
        <f>IF(M143&lt;N143*0.9056*0.85,N143*0.9056*0.85,IF(M143&gt;N143*1.15,N143*1.15,M143))</f>
        <v/>
      </c>
      <c r="S143" s="100">
        <f>+F143*M143</f>
        <v/>
      </c>
      <c r="T143" s="100">
        <f>S143+R143*I143</f>
        <v/>
      </c>
      <c r="U143" s="106">
        <f>S143+R143*J143</f>
        <v/>
      </c>
      <c r="V143" s="100">
        <f>U143-S143</f>
        <v/>
      </c>
      <c r="W143" s="106">
        <f>+U143-T143</f>
        <v/>
      </c>
      <c r="X143" s="107">
        <f>+U143-T143</f>
        <v/>
      </c>
      <c r="Y143" s="26" t="n"/>
    </row>
    <row r="144" ht="20" customFormat="1" customHeight="1" s="7">
      <c r="A144" s="26" t="n">
        <v>130</v>
      </c>
      <c r="B144" s="26" t="inlineStr">
        <is>
          <t>011302002001</t>
        </is>
      </c>
      <c r="C144" s="26" t="inlineStr">
        <is>
          <t>格栅吊顶</t>
        </is>
      </c>
      <c r="D144" s="26" t="inlineStr">
        <is>
          <t>1.50*100*1.0铝方管格栅天花(木纹转印)
2.做法详见图纸</t>
        </is>
      </c>
      <c r="E144" s="26" t="inlineStr">
        <is>
          <t>m2</t>
        </is>
      </c>
      <c r="F144" s="27" t="n">
        <v>22.36</v>
      </c>
      <c r="G144" s="100" t="n">
        <v>22.36</v>
      </c>
      <c r="H144" s="106" t="n">
        <v>22.36</v>
      </c>
      <c r="I144" s="100">
        <f>G144-F144</f>
        <v/>
      </c>
      <c r="J144" s="100">
        <f>H144-F144</f>
        <v/>
      </c>
      <c r="K144" s="100">
        <f>+H144-G144</f>
        <v/>
      </c>
      <c r="L144" s="37">
        <f>I144/F144</f>
        <v/>
      </c>
      <c r="M144" s="27" t="n">
        <v>203.6</v>
      </c>
      <c r="N144" s="27" t="n">
        <v>174.62</v>
      </c>
      <c r="O144" s="37">
        <f>(M144-N144)/N144</f>
        <v/>
      </c>
      <c r="P144" s="100">
        <f>N144*0.9056*0.85</f>
        <v/>
      </c>
      <c r="Q144" s="100">
        <f>N144*1.15</f>
        <v/>
      </c>
      <c r="R144" s="100">
        <f>IF(M144&lt;N144*0.9056*0.85,N144*0.9056*0.85,IF(M144&gt;N144*1.15,N144*1.15,M144))</f>
        <v/>
      </c>
      <c r="S144" s="100">
        <f>+F144*M144</f>
        <v/>
      </c>
      <c r="T144" s="100">
        <f>S144+R144*I144</f>
        <v/>
      </c>
      <c r="U144" s="106">
        <f>S144+R144*J144</f>
        <v/>
      </c>
      <c r="V144" s="100">
        <f>U144-S144</f>
        <v/>
      </c>
      <c r="W144" s="106">
        <f>+U144-T144</f>
        <v/>
      </c>
      <c r="X144" s="107">
        <f>+U144-T144</f>
        <v/>
      </c>
      <c r="Y144" s="26" t="n"/>
    </row>
    <row r="145" ht="20" customFormat="1" customHeight="1" s="7">
      <c r="A145" s="26" t="n">
        <v>131</v>
      </c>
      <c r="B145" s="26" t="inlineStr">
        <is>
          <t>011302001007</t>
        </is>
      </c>
      <c r="C145" s="26" t="inlineStr">
        <is>
          <t>吊顶天棚</t>
        </is>
      </c>
      <c r="D145" s="26" t="inlineStr">
        <is>
          <t>1.装配式U型轻钢天棚龙骨(不上人型)面层规格(mm)600×600跌级
2.9mm胶合板基层
3.8MM厚硅钙板天花面层
4.加强型腻子找平层5厚
5.无机涂料,三遍成活</t>
        </is>
      </c>
      <c r="E145" s="26" t="inlineStr">
        <is>
          <t>m2</t>
        </is>
      </c>
      <c r="F145" s="27" t="n">
        <v>92.34</v>
      </c>
      <c r="G145" s="100" t="n">
        <v>103.1</v>
      </c>
      <c r="H145" s="106" t="n">
        <v>103.1</v>
      </c>
      <c r="I145" s="100">
        <f>G145-F145</f>
        <v/>
      </c>
      <c r="J145" s="100">
        <f>H145-F145</f>
        <v/>
      </c>
      <c r="K145" s="100">
        <f>+H145-G145</f>
        <v/>
      </c>
      <c r="L145" s="37">
        <f>I145/F145</f>
        <v/>
      </c>
      <c r="M145" s="27" t="n">
        <v>173.89</v>
      </c>
      <c r="N145" s="27" t="n">
        <v>176.34</v>
      </c>
      <c r="O145" s="37">
        <f>(M145-N145)/N145</f>
        <v/>
      </c>
      <c r="P145" s="100">
        <f>N145*0.9056*0.85</f>
        <v/>
      </c>
      <c r="Q145" s="100">
        <f>N145*1.15</f>
        <v/>
      </c>
      <c r="R145" s="100">
        <f>IF(M145&lt;N145*0.9056*0.85,N145*0.9056*0.85,IF(M145&gt;N145*1.15,N145*1.15,M145))</f>
        <v/>
      </c>
      <c r="S145" s="100">
        <f>+F145*M145</f>
        <v/>
      </c>
      <c r="T145" s="100">
        <f>S145+R145*I145</f>
        <v/>
      </c>
      <c r="U145" s="106">
        <f>S145+R145*J145</f>
        <v/>
      </c>
      <c r="V145" s="100">
        <f>U145-S145</f>
        <v/>
      </c>
      <c r="W145" s="106">
        <f>+U145-T145</f>
        <v/>
      </c>
      <c r="X145" s="107">
        <f>+U145-T145</f>
        <v/>
      </c>
      <c r="Y145" s="26" t="n"/>
    </row>
    <row r="146" ht="20" customFormat="1" customHeight="1" s="7">
      <c r="A146" s="26" t="n"/>
      <c r="B146" s="26" t="n"/>
      <c r="C146" s="26" t="inlineStr">
        <is>
          <t>其他装饰工程</t>
        </is>
      </c>
      <c r="D146" s="26" t="n"/>
      <c r="E146" s="26" t="n"/>
      <c r="F146" s="27" t="n"/>
      <c r="G146" s="100" t="n"/>
      <c r="H146" s="28" t="n"/>
      <c r="I146" s="100" t="n"/>
      <c r="J146" s="100" t="n"/>
      <c r="K146" s="100" t="n"/>
      <c r="L146" s="37" t="n"/>
      <c r="M146" s="27" t="n"/>
      <c r="N146" s="27" t="n"/>
      <c r="O146" s="27" t="n"/>
      <c r="P146" s="27" t="n"/>
      <c r="Q146" s="27" t="n"/>
      <c r="R146" s="100" t="n"/>
      <c r="S146" s="100">
        <f>+SUM(S147:S164)</f>
        <v/>
      </c>
      <c r="T146" s="100">
        <f>+SUM(T147:T164)</f>
        <v/>
      </c>
      <c r="U146" s="106">
        <f>SUM(U147:U164)</f>
        <v/>
      </c>
      <c r="V146" s="100">
        <f>U146-S146</f>
        <v/>
      </c>
      <c r="W146" s="106">
        <f>+U146-T146</f>
        <v/>
      </c>
      <c r="X146" s="107">
        <f>U146-T146</f>
        <v/>
      </c>
      <c r="Y146" s="26" t="n"/>
    </row>
    <row r="147" ht="20" customFormat="1" customHeight="1" s="7">
      <c r="A147" s="26" t="n">
        <v>132</v>
      </c>
      <c r="B147" s="26" t="inlineStr">
        <is>
          <t>011503001007</t>
        </is>
      </c>
      <c r="C147" s="26" t="inlineStr">
        <is>
          <t>金属扶手、栏杆、栏板</t>
        </is>
      </c>
      <c r="D147" s="26" t="inlineStr">
        <is>
          <t>1.名称:不锈钢护窗栏杆H=900mm
2.上扶手:Φ60x2.5不锈钢管
3.栏杆:Φ30x2.0不锈钢管
4.含热镀锌预埋件及螺栓</t>
        </is>
      </c>
      <c r="E147" s="26" t="inlineStr">
        <is>
          <t>m</t>
        </is>
      </c>
      <c r="F147" s="27" t="n">
        <v>182.16</v>
      </c>
      <c r="G147" s="100" t="n">
        <v>224.19</v>
      </c>
      <c r="H147" s="106" t="n">
        <v>194.56</v>
      </c>
      <c r="I147" s="100">
        <f>G147-F147</f>
        <v/>
      </c>
      <c r="J147" s="100">
        <f>H147-F147</f>
        <v/>
      </c>
      <c r="K147" s="100">
        <f>+H147-G147</f>
        <v/>
      </c>
      <c r="L147" s="37">
        <f>I147/F147</f>
        <v/>
      </c>
      <c r="M147" s="27" t="n">
        <v>527.8</v>
      </c>
      <c r="N147" s="27" t="n">
        <v>781.46</v>
      </c>
      <c r="O147" s="37">
        <f>(M147-N147)/N147</f>
        <v/>
      </c>
      <c r="P147" s="100">
        <f>N147*0.9056*0.85</f>
        <v/>
      </c>
      <c r="Q147" s="100">
        <f>N147*1.15</f>
        <v/>
      </c>
      <c r="R147" s="100">
        <f>IF(M147&lt;N147*0.9056*0.85,N147*0.9056*0.85,IF(M147&gt;N147*1.15,N147*1.15,M147))</f>
        <v/>
      </c>
      <c r="S147" s="100">
        <f>+F147*M147</f>
        <v/>
      </c>
      <c r="T147" s="100">
        <f>S147+R147*I147</f>
        <v/>
      </c>
      <c r="U147" s="106">
        <f>S147+R147*J147</f>
        <v/>
      </c>
      <c r="V147" s="100">
        <f>U147-S147</f>
        <v/>
      </c>
      <c r="W147" s="106">
        <f>+U147-T147</f>
        <v/>
      </c>
      <c r="X147" s="107">
        <f>+U147-T147</f>
        <v/>
      </c>
      <c r="Y147" s="26" t="n"/>
    </row>
    <row r="148" ht="20" customFormat="1" customHeight="1" s="7">
      <c r="A148" s="26" t="n">
        <v>133</v>
      </c>
      <c r="B148" s="26" t="inlineStr">
        <is>
          <t>011503001003</t>
        </is>
      </c>
      <c r="C148" s="26" t="inlineStr">
        <is>
          <t>金属扶手、栏杆、栏板</t>
        </is>
      </c>
      <c r="D148" s="26" t="inlineStr">
        <is>
          <t>1.名称:不锈钢楼梯栏杆H=1200mm
2.上扶手:Φ60x3.0不锈钢管
3.栏杆:Φ28x1.2不锈钢管
4.含热镀锌预埋件及螺栓
5.做法参照国标15J403-1</t>
        </is>
      </c>
      <c r="E148" s="26" t="inlineStr">
        <is>
          <t>m</t>
        </is>
      </c>
      <c r="F148" s="27" t="n">
        <v>153.8</v>
      </c>
      <c r="G148" s="100" t="n">
        <v>159.85</v>
      </c>
      <c r="H148" s="106" t="n">
        <v>159.85</v>
      </c>
      <c r="I148" s="100">
        <f>G148-F148</f>
        <v/>
      </c>
      <c r="J148" s="100">
        <f>H148-F148</f>
        <v/>
      </c>
      <c r="K148" s="100">
        <f>+H148-G148</f>
        <v/>
      </c>
      <c r="L148" s="37">
        <f>I148/F148</f>
        <v/>
      </c>
      <c r="M148" s="27" t="n">
        <v>508.12</v>
      </c>
      <c r="N148" s="27" t="n">
        <v>816.95</v>
      </c>
      <c r="O148" s="37">
        <f>(M148-N148)/N148</f>
        <v/>
      </c>
      <c r="P148" s="100">
        <f>N148*0.9056*0.85</f>
        <v/>
      </c>
      <c r="Q148" s="100">
        <f>N148*1.15</f>
        <v/>
      </c>
      <c r="R148" s="100">
        <f>IF(M148&lt;N148*0.9056*0.85,N148*0.9056*0.85,IF(M148&gt;N148*1.15,N148*1.15,M148))</f>
        <v/>
      </c>
      <c r="S148" s="100">
        <f>+F148*M148</f>
        <v/>
      </c>
      <c r="T148" s="100">
        <f>S148+R148*I148</f>
        <v/>
      </c>
      <c r="U148" s="106">
        <f>S148+R148*J148</f>
        <v/>
      </c>
      <c r="V148" s="100">
        <f>U148-S148</f>
        <v/>
      </c>
      <c r="W148" s="106">
        <f>+U148-T148</f>
        <v/>
      </c>
      <c r="X148" s="107">
        <f>+U148-T148</f>
        <v/>
      </c>
      <c r="Y148" s="26" t="n"/>
    </row>
    <row r="149" ht="20" customFormat="1" customHeight="1" s="7">
      <c r="A149" s="26" t="n">
        <v>134</v>
      </c>
      <c r="B149" s="26" t="inlineStr">
        <is>
          <t>011503001009</t>
        </is>
      </c>
      <c r="C149" s="26" t="inlineStr">
        <is>
          <t>金属扶手、栏杆、栏板</t>
        </is>
      </c>
      <c r="D149" s="26" t="inlineStr">
        <is>
          <t>1.名称:走廊拉丝不锈钢烤漆栏杆H=1200mm
2.上扶手:Φ60x3.0不锈钢管
3.栏杆:Φ28x1.2不锈钢管
4.含热镀锌预埋件及螺栓
5.做法参照国标15J403-1</t>
        </is>
      </c>
      <c r="E149" s="26" t="inlineStr">
        <is>
          <t>m</t>
        </is>
      </c>
      <c r="F149" s="27" t="n">
        <v>429.913</v>
      </c>
      <c r="G149" s="100" t="n">
        <v>442.35</v>
      </c>
      <c r="H149" s="106" t="n">
        <v>442.35</v>
      </c>
      <c r="I149" s="100">
        <f>G149-F149</f>
        <v/>
      </c>
      <c r="J149" s="100">
        <f>H149-F149</f>
        <v/>
      </c>
      <c r="K149" s="100">
        <f>+H149-G149</f>
        <v/>
      </c>
      <c r="L149" s="37">
        <f>I149/F149</f>
        <v/>
      </c>
      <c r="M149" s="27" t="n">
        <v>618.48</v>
      </c>
      <c r="N149" s="27" t="n">
        <v>849.58</v>
      </c>
      <c r="O149" s="37">
        <f>(M149-N149)/N149</f>
        <v/>
      </c>
      <c r="P149" s="100">
        <f>N149*0.9056*0.85</f>
        <v/>
      </c>
      <c r="Q149" s="100">
        <f>N149*1.15</f>
        <v/>
      </c>
      <c r="R149" s="100">
        <f>IF(M149&lt;N149*0.9056*0.85,N149*0.9056*0.85,IF(M149&gt;N149*1.15,N149*1.15,M149))</f>
        <v/>
      </c>
      <c r="S149" s="100">
        <f>+F149*M149</f>
        <v/>
      </c>
      <c r="T149" s="100">
        <f>S149+R149*I149</f>
        <v/>
      </c>
      <c r="U149" s="106">
        <f>S149+R149*J149</f>
        <v/>
      </c>
      <c r="V149" s="100">
        <f>U149-S149</f>
        <v/>
      </c>
      <c r="W149" s="106">
        <f>+U149-T149</f>
        <v/>
      </c>
      <c r="X149" s="107">
        <f>+U149-T149</f>
        <v/>
      </c>
      <c r="Y149" s="26" t="n"/>
    </row>
    <row r="150" ht="20" customFormat="1" customHeight="1" s="7">
      <c r="A150" s="26" t="n">
        <v>135</v>
      </c>
      <c r="B150" s="26" t="inlineStr">
        <is>
          <t>011503008001</t>
        </is>
      </c>
      <c r="C150" s="26" t="inlineStr">
        <is>
          <t>玻璃栏板</t>
        </is>
      </c>
      <c r="D150" s="26" t="inlineStr">
        <is>
          <t>1.不锈钢立柱玻璃栏板
2.H=1250mm
3.不锈钢扶手Φ50x3.0直型
4.做法参照国标15J403-1</t>
        </is>
      </c>
      <c r="E150" s="26" t="inlineStr">
        <is>
          <t>m</t>
        </is>
      </c>
      <c r="F150" s="27" t="n">
        <v>25.228</v>
      </c>
      <c r="G150" s="100" t="n">
        <v>25.23</v>
      </c>
      <c r="H150" s="106" t="n">
        <v>25.23</v>
      </c>
      <c r="I150" s="100">
        <f>G150-F150</f>
        <v/>
      </c>
      <c r="J150" s="100">
        <f>H150-F150</f>
        <v/>
      </c>
      <c r="K150" s="100">
        <f>+H150-G150</f>
        <v/>
      </c>
      <c r="L150" s="37">
        <f>I150/F150</f>
        <v/>
      </c>
      <c r="M150" s="27" t="n">
        <v>895.61</v>
      </c>
      <c r="N150" s="27" t="n">
        <v>1040.81</v>
      </c>
      <c r="O150" s="37">
        <f>(M150-N150)/N150</f>
        <v/>
      </c>
      <c r="P150" s="100">
        <f>N150*0.9056*0.85</f>
        <v/>
      </c>
      <c r="Q150" s="100">
        <f>N150*1.15</f>
        <v/>
      </c>
      <c r="R150" s="100">
        <f>IF(M150&lt;N150*0.9056*0.85,N150*0.9056*0.85,IF(M150&gt;N150*1.15,N150*1.15,M150))</f>
        <v/>
      </c>
      <c r="S150" s="100">
        <f>+F150*M150</f>
        <v/>
      </c>
      <c r="T150" s="100">
        <f>S150+R150*I150</f>
        <v/>
      </c>
      <c r="U150" s="106">
        <f>S150+R150*J150</f>
        <v/>
      </c>
      <c r="V150" s="100">
        <f>U150-S150</f>
        <v/>
      </c>
      <c r="W150" s="106">
        <f>+U150-T150</f>
        <v/>
      </c>
      <c r="X150" s="107">
        <f>+U150-T150</f>
        <v/>
      </c>
      <c r="Y150" s="26" t="n"/>
    </row>
    <row r="151" ht="20" customFormat="1" customHeight="1" s="7">
      <c r="A151" s="26" t="n">
        <v>136</v>
      </c>
      <c r="B151" s="26" t="inlineStr">
        <is>
          <t>011503005001</t>
        </is>
      </c>
      <c r="C151" s="26" t="inlineStr">
        <is>
          <t>金属靠墙扶手</t>
        </is>
      </c>
      <c r="D151" s="26" t="inlineStr">
        <is>
          <t>1.楼梯靠墙扶手
2.Φ60x2不锈钢管靠墙扶手
3.做法参照国标15J403-1</t>
        </is>
      </c>
      <c r="E151" s="26" t="inlineStr">
        <is>
          <t>m</t>
        </is>
      </c>
      <c r="F151" s="27" t="n">
        <v>175.552</v>
      </c>
      <c r="G151" s="100" t="n">
        <v>187.84</v>
      </c>
      <c r="H151" s="106" t="n">
        <v>187.84</v>
      </c>
      <c r="I151" s="100">
        <f>G151-F151</f>
        <v/>
      </c>
      <c r="J151" s="100">
        <f>H151-F151</f>
        <v/>
      </c>
      <c r="K151" s="100">
        <f>+H151-G151</f>
        <v/>
      </c>
      <c r="L151" s="37">
        <f>I151/F151</f>
        <v/>
      </c>
      <c r="M151" s="27" t="n">
        <v>473.06</v>
      </c>
      <c r="N151" s="27" t="n">
        <v>331.37</v>
      </c>
      <c r="O151" s="37">
        <f>(M151-N151)/N151</f>
        <v/>
      </c>
      <c r="P151" s="100">
        <f>N151*0.9056*0.85</f>
        <v/>
      </c>
      <c r="Q151" s="100">
        <f>N151*1.15</f>
        <v/>
      </c>
      <c r="R151" s="100">
        <f>IF(M151&lt;N151*0.9056*0.85,N151*0.9056*0.85,IF(M151&gt;N151*1.15,N151*1.15,M151))</f>
        <v/>
      </c>
      <c r="S151" s="100">
        <f>+F151*M151</f>
        <v/>
      </c>
      <c r="T151" s="100">
        <f>S151+R151*I151</f>
        <v/>
      </c>
      <c r="U151" s="106">
        <f>S151+R151*J151</f>
        <v/>
      </c>
      <c r="V151" s="100">
        <f>U151-S151</f>
        <v/>
      </c>
      <c r="W151" s="106">
        <f>+U151-T151</f>
        <v/>
      </c>
      <c r="X151" s="107">
        <f>+U151-T151</f>
        <v/>
      </c>
      <c r="Y151" s="26" t="n"/>
    </row>
    <row r="152" ht="20" customFormat="1" customHeight="1" s="7">
      <c r="A152" s="26" t="n">
        <v>137</v>
      </c>
      <c r="B152" s="26" t="inlineStr">
        <is>
          <t>011503005003</t>
        </is>
      </c>
      <c r="C152" s="26" t="inlineStr">
        <is>
          <t>金属靠墙扶手</t>
        </is>
      </c>
      <c r="D152" s="26" t="inlineStr">
        <is>
          <t>1.卫生间无障碍扶手
2.Φ40x1.5不锈钢管靠墙扶手</t>
        </is>
      </c>
      <c r="E152" s="26" t="inlineStr">
        <is>
          <t>m</t>
        </is>
      </c>
      <c r="F152" s="27" t="n">
        <v>6.7</v>
      </c>
      <c r="G152" s="100" t="n">
        <v>6.7</v>
      </c>
      <c r="H152" s="106" t="n">
        <v>6.7</v>
      </c>
      <c r="I152" s="100">
        <f>G152-F152</f>
        <v/>
      </c>
      <c r="J152" s="100">
        <f>H152-F152</f>
        <v/>
      </c>
      <c r="K152" s="100">
        <f>+H152-G152</f>
        <v/>
      </c>
      <c r="L152" s="37">
        <f>I152/F152</f>
        <v/>
      </c>
      <c r="M152" s="27" t="n">
        <v>468.51</v>
      </c>
      <c r="N152" s="27" t="n">
        <v>272</v>
      </c>
      <c r="O152" s="37">
        <f>(M152-N152)/N152</f>
        <v/>
      </c>
      <c r="P152" s="100">
        <f>N152*0.9056*0.85</f>
        <v/>
      </c>
      <c r="Q152" s="100">
        <f>N152*1.15</f>
        <v/>
      </c>
      <c r="R152" s="100">
        <f>IF(M152&lt;N152*0.9056*0.85,N152*0.9056*0.85,IF(M152&gt;N152*1.15,N152*1.15,M152))</f>
        <v/>
      </c>
      <c r="S152" s="100">
        <f>+F152*M152</f>
        <v/>
      </c>
      <c r="T152" s="100">
        <f>S152+R152*I152</f>
        <v/>
      </c>
      <c r="U152" s="106">
        <f>S152+R152*J152</f>
        <v/>
      </c>
      <c r="V152" s="100">
        <f>U152-S152</f>
        <v/>
      </c>
      <c r="W152" s="106">
        <f>+U152-T152</f>
        <v/>
      </c>
      <c r="X152" s="107">
        <f>+U152-T152</f>
        <v/>
      </c>
      <c r="Y152" s="26" t="n"/>
    </row>
    <row r="153" ht="20" customFormat="1" customHeight="1" s="7">
      <c r="A153" s="26" t="n">
        <v>138</v>
      </c>
      <c r="B153" s="26" t="inlineStr">
        <is>
          <t>011210005001</t>
        </is>
      </c>
      <c r="C153" s="26" t="inlineStr">
        <is>
          <t>成品隔断</t>
        </is>
      </c>
      <c r="D153" s="26" t="inlineStr">
        <is>
          <t>1.卫生间成品抗培特饰面隔断
2.其他详见图纸</t>
        </is>
      </c>
      <c r="E153" s="26" t="inlineStr">
        <is>
          <t>m2</t>
        </is>
      </c>
      <c r="F153" s="27" t="n">
        <v>516.3150000000001</v>
      </c>
      <c r="G153" s="100" t="n">
        <v>516.3200000000001</v>
      </c>
      <c r="H153" s="106" t="n">
        <v>516.3200000000001</v>
      </c>
      <c r="I153" s="100">
        <f>G153-F153</f>
        <v/>
      </c>
      <c r="J153" s="100">
        <f>H153-F153</f>
        <v/>
      </c>
      <c r="K153" s="100">
        <f>+H153-G153</f>
        <v/>
      </c>
      <c r="L153" s="37">
        <f>I153/F153</f>
        <v/>
      </c>
      <c r="M153" s="27" t="n">
        <v>205.48</v>
      </c>
      <c r="N153" s="27" t="n">
        <v>308.59</v>
      </c>
      <c r="O153" s="37">
        <f>(M153-N153)/N153</f>
        <v/>
      </c>
      <c r="P153" s="100">
        <f>N153*0.9056*0.85</f>
        <v/>
      </c>
      <c r="Q153" s="100">
        <f>N153*1.15</f>
        <v/>
      </c>
      <c r="R153" s="100">
        <f>IF(M153&lt;N153*0.9056*0.85,N153*0.9056*0.85,IF(M153&gt;N153*1.15,N153*1.15,M153))</f>
        <v/>
      </c>
      <c r="S153" s="100">
        <f>+F153*M153</f>
        <v/>
      </c>
      <c r="T153" s="100">
        <f>S153+R153*I153</f>
        <v/>
      </c>
      <c r="U153" s="106">
        <f>S153+R153*J153</f>
        <v/>
      </c>
      <c r="V153" s="100">
        <f>U153-S153</f>
        <v/>
      </c>
      <c r="W153" s="106">
        <f>+U153-T153</f>
        <v/>
      </c>
      <c r="X153" s="107">
        <f>+U153-T153</f>
        <v/>
      </c>
      <c r="Y153" s="26" t="n"/>
    </row>
    <row r="154" ht="20" customFormat="1" customHeight="1" s="7">
      <c r="A154" s="26" t="n">
        <v>139</v>
      </c>
      <c r="B154" s="26" t="inlineStr">
        <is>
          <t>011505001002</t>
        </is>
      </c>
      <c r="C154" s="26" t="inlineStr">
        <is>
          <t>洗漱台</t>
        </is>
      </c>
      <c r="D154" s="26" t="inlineStr">
        <is>
          <t>1.20mm厚国产金沙黑洗漱台（洗手台）L40*4镀锌角钢底架
2.台面开水龙头孔
3.台面开洗手盆孔
4.石材水磨斜边</t>
        </is>
      </c>
      <c r="E154" s="26" t="inlineStr">
        <is>
          <t>m2</t>
        </is>
      </c>
      <c r="F154" s="27" t="n">
        <v>42.81</v>
      </c>
      <c r="G154" s="100" t="n">
        <v>42.81</v>
      </c>
      <c r="H154" s="106" t="n">
        <v>42.81</v>
      </c>
      <c r="I154" s="100">
        <f>G154-F154</f>
        <v/>
      </c>
      <c r="J154" s="100">
        <f>H154-F154</f>
        <v/>
      </c>
      <c r="K154" s="100">
        <f>+H154-G154</f>
        <v/>
      </c>
      <c r="L154" s="37">
        <f>I154/F154</f>
        <v/>
      </c>
      <c r="M154" s="27" t="n">
        <v>801.02</v>
      </c>
      <c r="N154" s="27" t="n">
        <v>639.0599999999999</v>
      </c>
      <c r="O154" s="37">
        <f>(M154-N154)/N154</f>
        <v/>
      </c>
      <c r="P154" s="100">
        <f>N154*0.9056*0.85</f>
        <v/>
      </c>
      <c r="Q154" s="100">
        <f>N154*1.15</f>
        <v/>
      </c>
      <c r="R154" s="100">
        <f>IF(M154&lt;N154*0.9056*0.85,N154*0.9056*0.85,IF(M154&gt;N154*1.15,N154*1.15,M154))</f>
        <v/>
      </c>
      <c r="S154" s="100">
        <f>+F154*M154</f>
        <v/>
      </c>
      <c r="T154" s="100">
        <f>S154+R154*I154</f>
        <v/>
      </c>
      <c r="U154" s="106">
        <f>S154+R154*J154</f>
        <v/>
      </c>
      <c r="V154" s="100">
        <f>U154-S154</f>
        <v/>
      </c>
      <c r="W154" s="106">
        <f>+U154-T154</f>
        <v/>
      </c>
      <c r="X154" s="107">
        <f>+U154-T154</f>
        <v/>
      </c>
      <c r="Y154" s="26" t="n"/>
    </row>
    <row r="155" ht="20" customFormat="1" customHeight="1" s="7">
      <c r="A155" s="26" t="n">
        <v>140</v>
      </c>
      <c r="B155" s="26" t="inlineStr">
        <is>
          <t>011505010001</t>
        </is>
      </c>
      <c r="C155" s="26" t="inlineStr">
        <is>
          <t>镜面玻璃</t>
        </is>
      </c>
      <c r="D155" s="26" t="inlineStr">
        <is>
          <t>1.卫生间镜
2.6mm车边银镜
3.具体做法详见图纸</t>
        </is>
      </c>
      <c r="E155" s="26" t="inlineStr">
        <is>
          <t>m2</t>
        </is>
      </c>
      <c r="F155" s="27" t="n">
        <v>42.24</v>
      </c>
      <c r="G155" s="100" t="n">
        <v>42.24</v>
      </c>
      <c r="H155" s="106" t="n">
        <v>42.24</v>
      </c>
      <c r="I155" s="100">
        <f>G155-F155</f>
        <v/>
      </c>
      <c r="J155" s="100">
        <f>H155-F155</f>
        <v/>
      </c>
      <c r="K155" s="100">
        <f>+H155-G155</f>
        <v/>
      </c>
      <c r="L155" s="37">
        <f>I155/F155</f>
        <v/>
      </c>
      <c r="M155" s="27" t="n">
        <v>328.86</v>
      </c>
      <c r="N155" s="27" t="n">
        <v>295.82</v>
      </c>
      <c r="O155" s="37">
        <f>(M155-N155)/N155</f>
        <v/>
      </c>
      <c r="P155" s="100">
        <f>N155*0.9056*0.85</f>
        <v/>
      </c>
      <c r="Q155" s="100">
        <f>N155*1.15</f>
        <v/>
      </c>
      <c r="R155" s="100">
        <f>IF(M155&lt;N155*0.9056*0.85,N155*0.9056*0.85,IF(M155&gt;N155*1.15,N155*1.15,M155))</f>
        <v/>
      </c>
      <c r="S155" s="100">
        <f>+F155*M155</f>
        <v/>
      </c>
      <c r="T155" s="100">
        <f>S155+R155*I155</f>
        <v/>
      </c>
      <c r="U155" s="106">
        <f>S155+R155*J155</f>
        <v/>
      </c>
      <c r="V155" s="100">
        <f>U155-S155</f>
        <v/>
      </c>
      <c r="W155" s="106">
        <f>+U155-T155</f>
        <v/>
      </c>
      <c r="X155" s="107">
        <f>+U155-T155</f>
        <v/>
      </c>
      <c r="Y155" s="26" t="n"/>
    </row>
    <row r="156" ht="20" customFormat="1" customHeight="1" s="7">
      <c r="A156" s="26" t="n">
        <v>141</v>
      </c>
      <c r="B156" s="26" t="inlineStr">
        <is>
          <t>011501001003</t>
        </is>
      </c>
      <c r="C156" s="26" t="inlineStr">
        <is>
          <t>直播台</t>
        </is>
      </c>
      <c r="D156" s="26" t="inlineStr">
        <is>
          <t>1.直播台
2.H=800
3.4MM阻燃夹板底面刮离子灰喷光面漆
4.做法详见设计图纸</t>
        </is>
      </c>
      <c r="E156" s="26" t="inlineStr">
        <is>
          <t>m</t>
        </is>
      </c>
      <c r="F156" s="27" t="n">
        <v>2.77</v>
      </c>
      <c r="G156" s="100" t="n">
        <v>2.77</v>
      </c>
      <c r="H156" s="106" t="n">
        <v>2.77</v>
      </c>
      <c r="I156" s="100">
        <f>G156-F156</f>
        <v/>
      </c>
      <c r="J156" s="100">
        <f>H156-F156</f>
        <v/>
      </c>
      <c r="K156" s="100">
        <f>+H156-G156</f>
        <v/>
      </c>
      <c r="L156" s="37">
        <f>I156/F156</f>
        <v/>
      </c>
      <c r="M156" s="27" t="n">
        <v>1630</v>
      </c>
      <c r="N156" s="27" t="n">
        <v>841.97</v>
      </c>
      <c r="O156" s="37">
        <f>(M156-N156)/N156</f>
        <v/>
      </c>
      <c r="P156" s="100">
        <f>N156*0.9056*0.85</f>
        <v/>
      </c>
      <c r="Q156" s="100">
        <f>N156*1.15</f>
        <v/>
      </c>
      <c r="R156" s="100">
        <f>IF(M156&lt;N156*0.9056*0.85,N156*0.9056*0.85,IF(M156&gt;N156*1.15,N156*1.15,M156))</f>
        <v/>
      </c>
      <c r="S156" s="100">
        <f>+F156*M156</f>
        <v/>
      </c>
      <c r="T156" s="100">
        <f>S156+R156*I156</f>
        <v/>
      </c>
      <c r="U156" s="106">
        <f>S156+R156*J156</f>
        <v/>
      </c>
      <c r="V156" s="100">
        <f>U156-S156</f>
        <v/>
      </c>
      <c r="W156" s="106">
        <f>+U156-T156</f>
        <v/>
      </c>
      <c r="X156" s="107">
        <f>+U156-T156</f>
        <v/>
      </c>
      <c r="Y156" s="26" t="n"/>
    </row>
    <row r="157" ht="20" customFormat="1" customHeight="1" s="7">
      <c r="A157" s="26" t="n">
        <v>142</v>
      </c>
      <c r="B157" s="26" t="inlineStr">
        <is>
          <t>011501001005</t>
        </is>
      </c>
      <c r="C157" s="26" t="inlineStr">
        <is>
          <t>洗手柜</t>
        </is>
      </c>
      <c r="D157" s="26" t="inlineStr">
        <is>
          <t>1.4mm蓝色免漆板洗手柜
2.H=650
3.做法详见设计图纸</t>
        </is>
      </c>
      <c r="E157" s="26" t="inlineStr">
        <is>
          <t>m</t>
        </is>
      </c>
      <c r="F157" s="27" t="n">
        <v>12.61</v>
      </c>
      <c r="G157" s="100" t="n">
        <v>12.61</v>
      </c>
      <c r="H157" s="106" t="n">
        <v>12.61</v>
      </c>
      <c r="I157" s="100">
        <f>G157-F157</f>
        <v/>
      </c>
      <c r="J157" s="100">
        <f>H157-F157</f>
        <v/>
      </c>
      <c r="K157" s="100">
        <f>+H157-G157</f>
        <v/>
      </c>
      <c r="L157" s="37">
        <f>I157/F157</f>
        <v/>
      </c>
      <c r="M157" s="27" t="n">
        <v>1030</v>
      </c>
      <c r="N157" s="27" t="n">
        <v>991.97</v>
      </c>
      <c r="O157" s="37">
        <f>(M157-N157)/N157</f>
        <v/>
      </c>
      <c r="P157" s="100">
        <f>N157*0.9056*0.85</f>
        <v/>
      </c>
      <c r="Q157" s="100">
        <f>N157*1.15</f>
        <v/>
      </c>
      <c r="R157" s="100">
        <f>IF(M157&lt;N157*0.9056*0.85,N157*0.9056*0.85,IF(M157&gt;N157*1.15,N157*1.15,M157))</f>
        <v/>
      </c>
      <c r="S157" s="100">
        <f>+F157*M157</f>
        <v/>
      </c>
      <c r="T157" s="100">
        <f>S157+R157*I157</f>
        <v/>
      </c>
      <c r="U157" s="106">
        <f>S157+R157*J157</f>
        <v/>
      </c>
      <c r="V157" s="100">
        <f>U157-S157</f>
        <v/>
      </c>
      <c r="W157" s="106">
        <f>+U157-T157</f>
        <v/>
      </c>
      <c r="X157" s="107">
        <f>+U157-T157</f>
        <v/>
      </c>
      <c r="Y157" s="26" t="n"/>
    </row>
    <row r="158" ht="20" customFormat="1" customHeight="1" s="7">
      <c r="A158" s="26" t="n">
        <v>143</v>
      </c>
      <c r="B158" s="26" t="inlineStr">
        <is>
          <t>011501001008</t>
        </is>
      </c>
      <c r="C158" s="26" t="inlineStr">
        <is>
          <t>电脑桌</t>
        </is>
      </c>
      <c r="D158" s="26" t="inlineStr">
        <is>
          <t>1.4mm白橡木免漆板电脑桌
2.H=700
3.做法详见设计图纸</t>
        </is>
      </c>
      <c r="E158" s="26" t="inlineStr">
        <is>
          <t>m</t>
        </is>
      </c>
      <c r="F158" s="27" t="n">
        <v>3</v>
      </c>
      <c r="G158" s="100" t="n">
        <v>3</v>
      </c>
      <c r="H158" s="106" t="n">
        <v>3</v>
      </c>
      <c r="I158" s="100">
        <f>G158-F158</f>
        <v/>
      </c>
      <c r="J158" s="100">
        <f>H158-F158</f>
        <v/>
      </c>
      <c r="K158" s="100">
        <f>+H158-G158</f>
        <v/>
      </c>
      <c r="L158" s="37">
        <f>I158/F158</f>
        <v/>
      </c>
      <c r="M158" s="27" t="n">
        <v>1470</v>
      </c>
      <c r="N158" s="27" t="n">
        <v>841.97</v>
      </c>
      <c r="O158" s="37">
        <f>(M158-N158)/N158</f>
        <v/>
      </c>
      <c r="P158" s="100">
        <f>N158*0.9056*0.85</f>
        <v/>
      </c>
      <c r="Q158" s="100">
        <f>N158*1.15</f>
        <v/>
      </c>
      <c r="R158" s="100">
        <f>IF(M158&lt;N158*0.9056*0.85,N158*0.9056*0.85,IF(M158&gt;N158*1.15,N158*1.15,M158))</f>
        <v/>
      </c>
      <c r="S158" s="100">
        <f>+F158*M158</f>
        <v/>
      </c>
      <c r="T158" s="100">
        <f>S158+R158*I158</f>
        <v/>
      </c>
      <c r="U158" s="106">
        <f>S158+R158*J158</f>
        <v/>
      </c>
      <c r="V158" s="100">
        <f>U158-S158</f>
        <v/>
      </c>
      <c r="W158" s="106">
        <f>+U158-T158</f>
        <v/>
      </c>
      <c r="X158" s="107">
        <f>+U158-T158</f>
        <v/>
      </c>
      <c r="Y158" s="26" t="n"/>
    </row>
    <row r="159" ht="20" customFormat="1" customHeight="1" s="7">
      <c r="A159" s="26" t="n">
        <v>144</v>
      </c>
      <c r="B159" s="26" t="inlineStr">
        <is>
          <t>011501001007</t>
        </is>
      </c>
      <c r="C159" s="26" t="inlineStr">
        <is>
          <t>讲台</t>
        </is>
      </c>
      <c r="D159" s="26" t="inlineStr">
        <is>
          <t>1.4mm蓝色免漆板讲台
2.H=650
3.做法详见设计图纸</t>
        </is>
      </c>
      <c r="E159" s="26" t="inlineStr">
        <is>
          <t>m</t>
        </is>
      </c>
      <c r="F159" s="27" t="n">
        <v>5.27</v>
      </c>
      <c r="G159" s="100" t="n">
        <v>5.27</v>
      </c>
      <c r="H159" s="106" t="n">
        <v>5.27</v>
      </c>
      <c r="I159" s="100">
        <f>G159-F159</f>
        <v/>
      </c>
      <c r="J159" s="100">
        <f>H159-F159</f>
        <v/>
      </c>
      <c r="K159" s="100">
        <f>+H159-G159</f>
        <v/>
      </c>
      <c r="L159" s="37">
        <f>I159/F159</f>
        <v/>
      </c>
      <c r="M159" s="27" t="n">
        <v>1670</v>
      </c>
      <c r="N159" s="27" t="n">
        <v>1026.97</v>
      </c>
      <c r="O159" s="37">
        <f>(M159-N159)/N159</f>
        <v/>
      </c>
      <c r="P159" s="100">
        <f>N159*0.9056*0.85</f>
        <v/>
      </c>
      <c r="Q159" s="100">
        <f>N159*1.15</f>
        <v/>
      </c>
      <c r="R159" s="100">
        <f>IF(M159&lt;N159*0.9056*0.85,N159*0.9056*0.85,IF(M159&gt;N159*1.15,N159*1.15,M159))</f>
        <v/>
      </c>
      <c r="S159" s="100">
        <f>+F159*M159</f>
        <v/>
      </c>
      <c r="T159" s="100">
        <f>S159+R159*I159</f>
        <v/>
      </c>
      <c r="U159" s="106">
        <f>S159+R159*J159</f>
        <v/>
      </c>
      <c r="V159" s="100">
        <f>U159-S159</f>
        <v/>
      </c>
      <c r="W159" s="106">
        <f>+U159-T159</f>
        <v/>
      </c>
      <c r="X159" s="107">
        <f>+U159-T159</f>
        <v/>
      </c>
      <c r="Y159" s="26" t="n"/>
    </row>
    <row r="160" ht="20" customFormat="1" customHeight="1" s="7">
      <c r="A160" s="26" t="n">
        <v>145</v>
      </c>
      <c r="B160" s="26" t="inlineStr">
        <is>
          <t>011501001006</t>
        </is>
      </c>
      <c r="C160" s="26" t="inlineStr">
        <is>
          <t>4MM白橡木免漆板书架</t>
        </is>
      </c>
      <c r="D160" s="26" t="inlineStr">
        <is>
          <t>1.4MM白橡木免漆板书架
2.做法详见设计图纸</t>
        </is>
      </c>
      <c r="E160" s="26" t="inlineStr">
        <is>
          <t>m2</t>
        </is>
      </c>
      <c r="F160" s="27" t="n">
        <v>61.49</v>
      </c>
      <c r="G160" s="100" t="n">
        <v>61.49</v>
      </c>
      <c r="H160" s="106" t="n">
        <v>61.49</v>
      </c>
      <c r="I160" s="100">
        <f>G160-F160</f>
        <v/>
      </c>
      <c r="J160" s="100">
        <f>H160-F160</f>
        <v/>
      </c>
      <c r="K160" s="100">
        <f>+H160-G160</f>
        <v/>
      </c>
      <c r="L160" s="37">
        <f>I160/F160</f>
        <v/>
      </c>
      <c r="M160" s="27" t="n">
        <v>1390</v>
      </c>
      <c r="N160" s="27" t="n">
        <v>761.97</v>
      </c>
      <c r="O160" s="37">
        <f>(M160-N160)/N160</f>
        <v/>
      </c>
      <c r="P160" s="100">
        <f>N160*0.9056*0.85</f>
        <v/>
      </c>
      <c r="Q160" s="100">
        <f>N160*1.15</f>
        <v/>
      </c>
      <c r="R160" s="100">
        <f>IF(M160&lt;N160*0.9056*0.85,N160*0.9056*0.85,IF(M160&gt;N160*1.15,N160*1.15,M160))</f>
        <v/>
      </c>
      <c r="S160" s="100">
        <f>+F160*M160</f>
        <v/>
      </c>
      <c r="T160" s="100">
        <f>S160+R160*I160</f>
        <v/>
      </c>
      <c r="U160" s="106">
        <f>S160+R160*J160</f>
        <v/>
      </c>
      <c r="V160" s="100">
        <f>U160-S160</f>
        <v/>
      </c>
      <c r="W160" s="106">
        <f>+U160-T160</f>
        <v/>
      </c>
      <c r="X160" s="107">
        <f>+U160-T160</f>
        <v/>
      </c>
      <c r="Y160" s="26" t="n"/>
    </row>
    <row r="161" ht="20" customFormat="1" customHeight="1" s="7">
      <c r="A161" s="26" t="n">
        <v>146</v>
      </c>
      <c r="B161" s="26" t="inlineStr">
        <is>
          <t>011508001001</t>
        </is>
      </c>
      <c r="C161" s="26" t="inlineStr">
        <is>
          <t>装饰构件</t>
        </is>
      </c>
      <c r="D161" s="26" t="inlineStr">
        <is>
          <t>1.01装饰构件
2.白色发泡陶瓷构件
3.规格:2m
4.做法详见设计图纸</t>
        </is>
      </c>
      <c r="E161" s="26" t="inlineStr">
        <is>
          <t>个</t>
        </is>
      </c>
      <c r="F161" s="27" t="n">
        <v>1</v>
      </c>
      <c r="G161" s="100" t="n">
        <v>8</v>
      </c>
      <c r="H161" s="108" t="n">
        <v>8</v>
      </c>
      <c r="I161" s="100">
        <f>G161-F161</f>
        <v/>
      </c>
      <c r="J161" s="100">
        <f>H161-F161</f>
        <v/>
      </c>
      <c r="K161" s="100">
        <f>+H161-G161</f>
        <v/>
      </c>
      <c r="L161" s="37">
        <f>I161/F161</f>
        <v/>
      </c>
      <c r="M161" s="27" t="n">
        <v>148</v>
      </c>
      <c r="N161" s="27" t="n">
        <v>1235.9</v>
      </c>
      <c r="O161" s="37">
        <f>(M161-N161)/N161</f>
        <v/>
      </c>
      <c r="P161" s="100">
        <f>N161*0.9056*0.85</f>
        <v/>
      </c>
      <c r="Q161" s="100">
        <f>N161*1.15</f>
        <v/>
      </c>
      <c r="R161" s="100">
        <f>IF(M161&lt;N161*0.9056*0.85,N161*0.9056*0.85,IF(M161&gt;N161*1.15,N161*1.15,M161))</f>
        <v/>
      </c>
      <c r="S161" s="100">
        <f>+F161*M161</f>
        <v/>
      </c>
      <c r="T161" s="100">
        <f>S161+R161*I161</f>
        <v/>
      </c>
      <c r="U161" s="106">
        <f>S161+R161*J161</f>
        <v/>
      </c>
      <c r="V161" s="100">
        <f>U161-S161</f>
        <v/>
      </c>
      <c r="W161" s="106">
        <f>+U161-T161</f>
        <v/>
      </c>
      <c r="X161" s="107">
        <f>+U161-T161</f>
        <v/>
      </c>
      <c r="Y161" s="26" t="n"/>
    </row>
    <row r="162" ht="20" customFormat="1" customHeight="1" s="7">
      <c r="A162" s="26" t="n">
        <v>147</v>
      </c>
      <c r="B162" s="26" t="inlineStr">
        <is>
          <t>011508001002</t>
        </is>
      </c>
      <c r="C162" s="26" t="inlineStr">
        <is>
          <t>装饰构件</t>
        </is>
      </c>
      <c r="D162" s="26" t="inlineStr">
        <is>
          <t>1.02装饰构件
2.白色发泡陶瓷构件
3.规格:1.6m
4.做法详见设计图纸</t>
        </is>
      </c>
      <c r="E162" s="26" t="inlineStr">
        <is>
          <t>个</t>
        </is>
      </c>
      <c r="F162" s="27" t="n">
        <v>2</v>
      </c>
      <c r="G162" s="100" t="n">
        <v>2</v>
      </c>
      <c r="H162" s="108" t="n">
        <v>2</v>
      </c>
      <c r="I162" s="100">
        <f>G162-F162</f>
        <v/>
      </c>
      <c r="J162" s="100">
        <f>H162-F162</f>
        <v/>
      </c>
      <c r="K162" s="100">
        <f>+H162-G162</f>
        <v/>
      </c>
      <c r="L162" s="37">
        <f>I162/F162</f>
        <v/>
      </c>
      <c r="M162" s="27" t="n">
        <v>110</v>
      </c>
      <c r="N162" s="27" t="n">
        <v>885.9</v>
      </c>
      <c r="O162" s="37">
        <f>(M162-N162)/N162</f>
        <v/>
      </c>
      <c r="P162" s="100">
        <f>N162*0.9056*0.85</f>
        <v/>
      </c>
      <c r="Q162" s="100">
        <f>N162*1.15</f>
        <v/>
      </c>
      <c r="R162" s="100">
        <f>IF(M162&lt;N162*0.9056*0.85,N162*0.9056*0.85,IF(M162&gt;N162*1.15,N162*1.15,M162))</f>
        <v/>
      </c>
      <c r="S162" s="100">
        <f>+F162*M162</f>
        <v/>
      </c>
      <c r="T162" s="100">
        <f>S162+R162*I162</f>
        <v/>
      </c>
      <c r="U162" s="106">
        <f>S162+R162*J162</f>
        <v/>
      </c>
      <c r="V162" s="100">
        <f>U162-S162</f>
        <v/>
      </c>
      <c r="W162" s="106">
        <f>+U162-T162</f>
        <v/>
      </c>
      <c r="X162" s="107">
        <f>+U162-T162</f>
        <v/>
      </c>
      <c r="Y162" s="26" t="n"/>
    </row>
    <row r="163" ht="20" customFormat="1" customHeight="1" s="7">
      <c r="A163" s="26" t="n">
        <v>148</v>
      </c>
      <c r="B163" s="26" t="inlineStr">
        <is>
          <t>011508001003</t>
        </is>
      </c>
      <c r="C163" s="26" t="inlineStr">
        <is>
          <t>成品塔钟</t>
        </is>
      </c>
      <c r="D163" s="26" t="inlineStr">
        <is>
          <t>1.成品塔钟
2.规格:R=2m
3.做法详见设计图纸</t>
        </is>
      </c>
      <c r="E163" s="26" t="inlineStr">
        <is>
          <t>个</t>
        </is>
      </c>
      <c r="F163" s="27" t="n">
        <v>2</v>
      </c>
      <c r="G163" s="100" t="n">
        <v>2</v>
      </c>
      <c r="H163" s="108" t="n">
        <v>2</v>
      </c>
      <c r="I163" s="100">
        <f>G163-F163</f>
        <v/>
      </c>
      <c r="J163" s="100">
        <f>H163-F163</f>
        <v/>
      </c>
      <c r="K163" s="100">
        <f>+H163-G163</f>
        <v/>
      </c>
      <c r="L163" s="37">
        <f>I163/F163</f>
        <v/>
      </c>
      <c r="M163" s="27" t="n">
        <v>98676.85000000001</v>
      </c>
      <c r="N163" s="27" t="n">
        <v>68323.99000000001</v>
      </c>
      <c r="O163" s="37">
        <f>(M163-N163)/N163</f>
        <v/>
      </c>
      <c r="P163" s="100">
        <f>N163*0.9056*0.85</f>
        <v/>
      </c>
      <c r="Q163" s="100">
        <f>N163*1.15</f>
        <v/>
      </c>
      <c r="R163" s="100">
        <f>IF(M163&lt;N163*0.9056*0.85,N163*0.9056*0.85,IF(M163&gt;N163*1.15,N163*1.15,M163))</f>
        <v/>
      </c>
      <c r="S163" s="100">
        <f>+F163*M163</f>
        <v/>
      </c>
      <c r="T163" s="100">
        <f>S163+R163*I163</f>
        <v/>
      </c>
      <c r="U163" s="106">
        <f>S163+R163*J163</f>
        <v/>
      </c>
      <c r="V163" s="100">
        <f>U163-S163</f>
        <v/>
      </c>
      <c r="W163" s="106">
        <f>+U163-T163</f>
        <v/>
      </c>
      <c r="X163" s="107">
        <f>+U163-T163</f>
        <v/>
      </c>
      <c r="Y163" s="26" t="n"/>
    </row>
    <row r="164" ht="20" customFormat="1" customHeight="1" s="7">
      <c r="A164" s="34" t="n">
        <v>149</v>
      </c>
      <c r="B164" s="34" t="inlineStr">
        <is>
          <t>01B001</t>
        </is>
      </c>
      <c r="C164" s="34" t="inlineStr">
        <is>
          <t>白蚁防治</t>
        </is>
      </c>
      <c r="D164" s="34" t="inlineStr">
        <is>
          <t>1.白蚁防治</t>
        </is>
      </c>
      <c r="E164" s="34" t="inlineStr">
        <is>
          <t>m2</t>
        </is>
      </c>
      <c r="F164" s="35" t="n">
        <v>8993.09</v>
      </c>
      <c r="G164" s="110" t="n">
        <v>10082.69</v>
      </c>
      <c r="H164" s="106" t="n">
        <v>8993.09</v>
      </c>
      <c r="I164" s="110">
        <f>G164-F164</f>
        <v/>
      </c>
      <c r="J164" s="110">
        <f>H164-F164</f>
        <v/>
      </c>
      <c r="K164" s="110">
        <f>+H164-G164</f>
        <v/>
      </c>
      <c r="L164" s="39">
        <f>I164/F164</f>
        <v/>
      </c>
      <c r="M164" s="35" t="n">
        <v>2</v>
      </c>
      <c r="N164" s="35" t="n">
        <v>3</v>
      </c>
      <c r="O164" s="39">
        <f>(M164-N164)/N164</f>
        <v/>
      </c>
      <c r="P164" s="110">
        <f>N164*0.9056*0.85</f>
        <v/>
      </c>
      <c r="Q164" s="110">
        <f>N164*1.15</f>
        <v/>
      </c>
      <c r="R164" s="110">
        <f>IF(M164&lt;N164*0.9056*0.85,N164*0.9056*0.85,IF(M164&gt;N164*1.15,N164*1.15,M164))</f>
        <v/>
      </c>
      <c r="S164" s="110">
        <f>+F164*M164</f>
        <v/>
      </c>
      <c r="T164" s="110">
        <f>S164+R164*I164</f>
        <v/>
      </c>
      <c r="U164" s="106">
        <f>S164+R164*J164</f>
        <v/>
      </c>
      <c r="V164" s="100">
        <f>U164-S164</f>
        <v/>
      </c>
      <c r="W164" s="106">
        <f>+U164-T164</f>
        <v/>
      </c>
      <c r="X164" s="107">
        <f>+U164-T164</f>
        <v/>
      </c>
      <c r="Y164" s="34" t="n"/>
    </row>
    <row r="165" ht="20" customFormat="1" customHeight="1" s="7">
      <c r="A165" s="49" t="n"/>
      <c r="B165" s="5" t="n"/>
      <c r="C165" s="5" t="inlineStr">
        <is>
          <t>分部分项合计</t>
        </is>
      </c>
      <c r="D165" s="5" t="n"/>
      <c r="E165" s="5" t="n"/>
      <c r="F165" s="6" t="n"/>
      <c r="G165" s="74" t="n"/>
      <c r="H165" s="28" t="n"/>
      <c r="I165" s="100" t="n"/>
      <c r="J165" s="100" t="n"/>
      <c r="K165" s="100" t="n"/>
      <c r="L165" s="37" t="n"/>
      <c r="M165" s="78" t="n"/>
      <c r="N165" s="6" t="n"/>
      <c r="O165" s="37" t="n"/>
      <c r="P165" s="100" t="n"/>
      <c r="Q165" s="100" t="n"/>
      <c r="R165" s="100" t="n"/>
      <c r="S165" s="100">
        <f>+S146+S139+S115+S99+S92+S77+S63+S59+S27+S17+S10+S4</f>
        <v/>
      </c>
      <c r="T165" s="100">
        <f>+T146+T139+T115+T99+T92+T77+T59+T63+T27+T17+T10+T4</f>
        <v/>
      </c>
      <c r="U165" s="106">
        <f>+U146+U139+U115+U99+U92+U77+U59+U63+U27+U17+U10+U4</f>
        <v/>
      </c>
      <c r="V165" s="100">
        <f>U165-S165</f>
        <v/>
      </c>
      <c r="W165" s="106">
        <f>+U165-T165</f>
        <v/>
      </c>
      <c r="X165" s="107">
        <f>+U165-T165</f>
        <v/>
      </c>
      <c r="Y165" s="5" t="n"/>
    </row>
    <row r="166" ht="20" customFormat="1" customHeight="1" s="8">
      <c r="A166" s="49" t="n"/>
      <c r="B166" s="5" t="n"/>
      <c r="C166" s="5" t="inlineStr">
        <is>
          <t>措施合计</t>
        </is>
      </c>
      <c r="D166" s="5" t="n"/>
      <c r="E166" s="5" t="n"/>
      <c r="F166" s="6" t="n"/>
      <c r="G166" s="74" t="n"/>
      <c r="H166" s="28" t="n"/>
      <c r="I166" s="100" t="n"/>
      <c r="J166" s="100" t="n"/>
      <c r="K166" s="100" t="n"/>
      <c r="L166" s="37" t="n"/>
      <c r="M166" s="78" t="n"/>
      <c r="N166" s="6" t="n"/>
      <c r="O166" s="37" t="n"/>
      <c r="P166" s="100" t="n"/>
      <c r="Q166" s="100" t="n"/>
      <c r="R166" s="100" t="n"/>
      <c r="S166" s="100">
        <f>SUM(S168:S211)</f>
        <v/>
      </c>
      <c r="T166" s="100">
        <f>SUM(T168:T211)</f>
        <v/>
      </c>
      <c r="U166" s="106">
        <f>SUM(U168:U211)</f>
        <v/>
      </c>
      <c r="V166" s="100">
        <f>U166-S166</f>
        <v/>
      </c>
      <c r="W166" s="106">
        <f>+U166-T166</f>
        <v/>
      </c>
      <c r="X166" s="107">
        <f>+U166-T166</f>
        <v/>
      </c>
      <c r="Y166" s="5" t="n"/>
    </row>
    <row r="167" ht="20" customFormat="1" customHeight="1" s="11">
      <c r="A167" s="49" t="n">
        <v>1</v>
      </c>
      <c r="B167" s="5" t="n"/>
      <c r="C167" s="5" t="inlineStr">
        <is>
          <t>安全文明施工措施费</t>
        </is>
      </c>
      <c r="D167" s="5" t="n"/>
      <c r="E167" s="5" t="n"/>
      <c r="F167" s="6" t="n"/>
      <c r="G167" s="74" t="n"/>
      <c r="H167" s="28" t="n"/>
      <c r="I167" s="100" t="n"/>
      <c r="J167" s="100" t="n"/>
      <c r="K167" s="100" t="n"/>
      <c r="L167" s="37" t="n"/>
      <c r="M167" s="78" t="n"/>
      <c r="N167" s="6" t="n"/>
      <c r="O167" s="37" t="n"/>
      <c r="P167" s="100" t="n"/>
      <c r="Q167" s="100" t="n"/>
      <c r="R167" s="100" t="n"/>
      <c r="S167" s="100" t="n"/>
      <c r="T167" s="100" t="n"/>
      <c r="U167" s="106" t="n"/>
      <c r="V167" s="100" t="n"/>
      <c r="W167" s="82" t="n"/>
      <c r="X167" s="83" t="n"/>
      <c r="Y167" s="5" t="n"/>
    </row>
    <row r="168" ht="20" customFormat="1" customHeight="1" s="11">
      <c r="A168" s="49" t="inlineStr">
        <is>
          <t>1.1</t>
        </is>
      </c>
      <c r="B168" s="26" t="inlineStr">
        <is>
          <t>01B001</t>
        </is>
      </c>
      <c r="C168" s="26" t="inlineStr">
        <is>
          <t>绿色施工安全防护措施费</t>
        </is>
      </c>
      <c r="D168" s="5" t="n"/>
      <c r="E168" s="5" t="n"/>
      <c r="F168" s="6" t="n"/>
      <c r="G168" s="74" t="n"/>
      <c r="H168" s="28" t="n"/>
      <c r="I168" s="100" t="n"/>
      <c r="J168" s="100" t="n"/>
      <c r="K168" s="100" t="n"/>
      <c r="L168" s="37" t="n"/>
      <c r="M168" s="78" t="n"/>
      <c r="N168" s="6" t="n"/>
      <c r="O168" s="37" t="n"/>
      <c r="P168" s="100" t="n"/>
      <c r="Q168" s="100" t="n"/>
      <c r="R168" s="100" t="n"/>
      <c r="S168" s="100" t="n">
        <v>703317.3100000001</v>
      </c>
      <c r="T168" s="100" t="n">
        <v>703317.3100000001</v>
      </c>
      <c r="U168" s="106" t="n">
        <v>703317.3100000001</v>
      </c>
      <c r="V168" s="100">
        <f>U168-S168</f>
        <v/>
      </c>
      <c r="W168" s="106">
        <f>+U168-T168</f>
        <v/>
      </c>
      <c r="X168" s="83" t="n"/>
      <c r="Y168" s="5" t="n"/>
    </row>
    <row r="169" ht="20" customFormat="1" customHeight="1" s="12">
      <c r="A169" s="26" t="n">
        <v>150</v>
      </c>
      <c r="B169" s="26" t="inlineStr">
        <is>
          <t>粤011701008003</t>
        </is>
      </c>
      <c r="C169" s="26" t="inlineStr">
        <is>
          <t>综合钢脚手架</t>
        </is>
      </c>
      <c r="D169" s="26" t="inlineStr">
        <is>
          <t>1.搭设高度:综合钢脚手架搭拆高度(m以内)39
2.建筑用综合脚手架使用费</t>
        </is>
      </c>
      <c r="E169" s="26" t="inlineStr">
        <is>
          <t>m2</t>
        </is>
      </c>
      <c r="F169" s="27" t="n">
        <v>639.8</v>
      </c>
      <c r="G169" s="100" t="n">
        <v>645.1</v>
      </c>
      <c r="H169" s="106" t="n">
        <v>645.1</v>
      </c>
      <c r="I169" s="100">
        <f>G169-F169</f>
        <v/>
      </c>
      <c r="J169" s="100">
        <f>H169-F169</f>
        <v/>
      </c>
      <c r="K169" s="100">
        <f>+H169-G169</f>
        <v/>
      </c>
      <c r="L169" s="37">
        <f>I169/F169</f>
        <v/>
      </c>
      <c r="M169" s="27" t="n">
        <v>69.7</v>
      </c>
      <c r="N169" s="100" t="n">
        <v>75.62</v>
      </c>
      <c r="O169" s="37">
        <f>(M169-N169)/N169</f>
        <v/>
      </c>
      <c r="P169" s="100">
        <f>N169*0.9056*0.85</f>
        <v/>
      </c>
      <c r="Q169" s="100">
        <f>N169*1.15</f>
        <v/>
      </c>
      <c r="R169" s="100">
        <f>IF(M169&lt;N169*0.9056*0.85,N169*0.9056*0.85,IF(M169&gt;N169*1.15,N169*1.15,M169))</f>
        <v/>
      </c>
      <c r="S169" s="100">
        <f>+F169*M169</f>
        <v/>
      </c>
      <c r="T169" s="100">
        <f>S169+R169*I169</f>
        <v/>
      </c>
      <c r="U169" s="106">
        <f>S169+R169*J169</f>
        <v/>
      </c>
      <c r="V169" s="100">
        <f>U169-S169</f>
        <v/>
      </c>
      <c r="W169" s="106">
        <f>+U169-T169</f>
        <v/>
      </c>
      <c r="X169" s="107">
        <f>+U169-T169</f>
        <v/>
      </c>
      <c r="Y169" s="26" t="n"/>
    </row>
    <row r="170" ht="20" customFormat="1" customHeight="1" s="12">
      <c r="A170" s="26" t="n">
        <v>151</v>
      </c>
      <c r="B170" s="26" t="inlineStr">
        <is>
          <t>粤011701008005</t>
        </is>
      </c>
      <c r="C170" s="26" t="inlineStr">
        <is>
          <t>综合钢脚手架</t>
        </is>
      </c>
      <c r="D170" s="26" t="inlineStr">
        <is>
          <t>1.搭设高度:综合钢脚手架搭拆高度(m以内)25.1
2.建筑用综合脚手架使用费</t>
        </is>
      </c>
      <c r="E170" s="26" t="inlineStr">
        <is>
          <t>m2</t>
        </is>
      </c>
      <c r="F170" s="27" t="n">
        <v>8201.799999999999</v>
      </c>
      <c r="G170" s="100" t="n">
        <v>8699.790000000001</v>
      </c>
      <c r="H170" s="106" t="n">
        <v>8699.790000000001</v>
      </c>
      <c r="I170" s="100">
        <f>G170-F170</f>
        <v/>
      </c>
      <c r="J170" s="100">
        <f>H170-F170</f>
        <v/>
      </c>
      <c r="K170" s="100">
        <f>+H170-G170</f>
        <v/>
      </c>
      <c r="L170" s="37">
        <f>I170/F170</f>
        <v/>
      </c>
      <c r="M170" s="27" t="n">
        <v>65.34999999999999</v>
      </c>
      <c r="N170" s="100" t="n">
        <v>70.8</v>
      </c>
      <c r="O170" s="37">
        <f>(M170-N170)/N170</f>
        <v/>
      </c>
      <c r="P170" s="100">
        <f>N170*0.9056*0.85</f>
        <v/>
      </c>
      <c r="Q170" s="100">
        <f>N170*1.15</f>
        <v/>
      </c>
      <c r="R170" s="100">
        <f>IF(M170&lt;N170*0.9056*0.85,N170*0.9056*0.85,IF(M170&gt;N170*1.15,N170*1.15,M170))</f>
        <v/>
      </c>
      <c r="S170" s="100">
        <f>+F170*M170</f>
        <v/>
      </c>
      <c r="T170" s="100">
        <f>S170+R170*I170</f>
        <v/>
      </c>
      <c r="U170" s="106">
        <f>S170+R170*J170</f>
        <v/>
      </c>
      <c r="V170" s="100">
        <f>U170-S170</f>
        <v/>
      </c>
      <c r="W170" s="106">
        <f>+U170-T170</f>
        <v/>
      </c>
      <c r="X170" s="107">
        <f>+U170-T170</f>
        <v/>
      </c>
      <c r="Y170" s="26" t="n"/>
    </row>
    <row r="171" ht="20" customFormat="1" customHeight="1" s="7">
      <c r="A171" s="26" t="n">
        <v>152</v>
      </c>
      <c r="B171" s="26" t="inlineStr">
        <is>
          <t>粤011701008004</t>
        </is>
      </c>
      <c r="C171" s="26" t="inlineStr">
        <is>
          <t>综合钢脚手架</t>
        </is>
      </c>
      <c r="D171" s="26" t="inlineStr">
        <is>
          <t>1.搭设高度:综合钢脚手架搭拆高度(m以内)9.6
2.建筑用综合脚手架使用费</t>
        </is>
      </c>
      <c r="E171" s="26" t="inlineStr">
        <is>
          <t>m2</t>
        </is>
      </c>
      <c r="F171" s="27" t="n">
        <v>704.64</v>
      </c>
      <c r="G171" s="100" t="n">
        <v>836.14</v>
      </c>
      <c r="H171" s="106" t="n">
        <v>836.14</v>
      </c>
      <c r="I171" s="100">
        <f>G171-F171</f>
        <v/>
      </c>
      <c r="J171" s="100">
        <f>H171-F171</f>
        <v/>
      </c>
      <c r="K171" s="100">
        <f>+H171-G171</f>
        <v/>
      </c>
      <c r="L171" s="37">
        <f>I171/F171</f>
        <v/>
      </c>
      <c r="M171" s="27" t="n">
        <v>50.23</v>
      </c>
      <c r="N171" s="100" t="n">
        <v>54.32</v>
      </c>
      <c r="O171" s="37">
        <f>(M171-N171)/N171</f>
        <v/>
      </c>
      <c r="P171" s="100">
        <f>N171*0.9056*0.85</f>
        <v/>
      </c>
      <c r="Q171" s="100">
        <f>N171*1.15</f>
        <v/>
      </c>
      <c r="R171" s="100">
        <f>IF(M171&lt;N171*0.9056*0.85,N171*0.9056*0.85,IF(M171&gt;N171*1.15,N171*1.15,M171))</f>
        <v/>
      </c>
      <c r="S171" s="100">
        <f>+F171*M171</f>
        <v/>
      </c>
      <c r="T171" s="100">
        <f>S171+R171*I171</f>
        <v/>
      </c>
      <c r="U171" s="106">
        <f>S171+R171*J171</f>
        <v/>
      </c>
      <c r="V171" s="100">
        <f>U171-S171</f>
        <v/>
      </c>
      <c r="W171" s="106">
        <f>+U171-T171</f>
        <v/>
      </c>
      <c r="X171" s="107">
        <f>+U171-T171</f>
        <v/>
      </c>
      <c r="Y171" s="26" t="n"/>
    </row>
    <row r="172" ht="20" customFormat="1" customHeight="1" s="7">
      <c r="A172" s="26" t="n">
        <v>153</v>
      </c>
      <c r="B172" s="26" t="inlineStr">
        <is>
          <t>MBZC001</t>
        </is>
      </c>
      <c r="C172" s="26" t="inlineStr">
        <is>
          <t>模板的支架</t>
        </is>
      </c>
      <c r="D172" s="26" t="inlineStr">
        <is>
          <t>1.模板钢支撑</t>
        </is>
      </c>
      <c r="E172" s="26" t="inlineStr">
        <is>
          <t>t</t>
        </is>
      </c>
      <c r="F172" s="27" t="n">
        <v>24.003</v>
      </c>
      <c r="G172" s="100" t="n">
        <v>24</v>
      </c>
      <c r="H172" s="106" t="n">
        <v>24</v>
      </c>
      <c r="I172" s="100">
        <f>G172-F172</f>
        <v/>
      </c>
      <c r="J172" s="100">
        <f>H172-F172</f>
        <v/>
      </c>
      <c r="K172" s="100">
        <f>+H172-G172</f>
        <v/>
      </c>
      <c r="L172" s="37">
        <f>I172/F172</f>
        <v/>
      </c>
      <c r="M172" s="27" t="n">
        <v>6313.66</v>
      </c>
      <c r="N172" s="100" t="n">
        <v>6000</v>
      </c>
      <c r="O172" s="37">
        <f>(M172-N172)/N172</f>
        <v/>
      </c>
      <c r="P172" s="100">
        <f>N172*0.9056*0.85</f>
        <v/>
      </c>
      <c r="Q172" s="100">
        <f>N172*1.15</f>
        <v/>
      </c>
      <c r="R172" s="100">
        <f>IF(M172&lt;N172*0.9056*0.85,N172*0.9056*0.85,IF(M172&gt;N172*1.15,N172*1.15,M172))</f>
        <v/>
      </c>
      <c r="S172" s="100">
        <f>+F172*M172</f>
        <v/>
      </c>
      <c r="T172" s="100">
        <f>S172+R172*I172</f>
        <v/>
      </c>
      <c r="U172" s="106">
        <f>S172+R172*J172</f>
        <v/>
      </c>
      <c r="V172" s="100">
        <f>U172-S172</f>
        <v/>
      </c>
      <c r="W172" s="106">
        <f>+U172-T172</f>
        <v/>
      </c>
      <c r="X172" s="107">
        <f>+U172-T172</f>
        <v/>
      </c>
      <c r="Y172" s="26" t="n"/>
    </row>
    <row r="173" ht="20" customFormat="1" customHeight="1" s="7">
      <c r="A173" s="26" t="n"/>
      <c r="B173" s="26" t="n"/>
      <c r="C173" s="26" t="inlineStr">
        <is>
          <t>措施其他项目</t>
        </is>
      </c>
      <c r="D173" s="26" t="n"/>
      <c r="E173" s="26" t="n"/>
      <c r="F173" s="100" t="n"/>
      <c r="G173" s="100" t="n"/>
      <c r="H173" s="28" t="n"/>
      <c r="I173" s="100" t="n"/>
      <c r="J173" s="100" t="n"/>
      <c r="K173" s="100" t="n"/>
      <c r="L173" s="37" t="n"/>
      <c r="M173" s="27" t="n"/>
      <c r="N173" s="27" t="n"/>
      <c r="O173" s="37" t="n"/>
      <c r="P173" s="100" t="n"/>
      <c r="Q173" s="100" t="n"/>
      <c r="R173" s="100" t="n"/>
      <c r="S173" s="100" t="n"/>
      <c r="T173" s="100" t="n"/>
      <c r="U173" s="106" t="n"/>
      <c r="V173" s="100" t="n"/>
      <c r="W173" s="106" t="n"/>
      <c r="X173" s="107" t="n"/>
      <c r="Y173" s="26" t="n"/>
      <c r="Z173" s="42" t="n"/>
    </row>
    <row r="174" ht="20" customFormat="1" customHeight="1" s="7">
      <c r="A174" s="26" t="n">
        <v>154</v>
      </c>
      <c r="B174" s="26" t="inlineStr">
        <is>
          <t>粤011701011002</t>
        </is>
      </c>
      <c r="C174" s="26" t="inlineStr">
        <is>
          <t>里脚手架</t>
        </is>
      </c>
      <c r="D174" s="26" t="inlineStr">
        <is>
          <t>1.里脚手架(钢管)民用建筑实际高度﹤3.6m</t>
        </is>
      </c>
      <c r="E174" s="26" t="inlineStr">
        <is>
          <t>m2</t>
        </is>
      </c>
      <c r="F174" s="27" t="n">
        <v>7803.84</v>
      </c>
      <c r="G174" s="100" t="n">
        <v>6989.45</v>
      </c>
      <c r="H174" s="106" t="n">
        <v>6989.45</v>
      </c>
      <c r="I174" s="100">
        <f>G174-F174</f>
        <v/>
      </c>
      <c r="J174" s="100">
        <f>H174-F174</f>
        <v/>
      </c>
      <c r="K174" s="100">
        <f>+H174-G174</f>
        <v/>
      </c>
      <c r="L174" s="37">
        <f>I174/F174</f>
        <v/>
      </c>
      <c r="M174" s="27" t="n">
        <v>14.69</v>
      </c>
      <c r="N174" s="27" t="n">
        <v>16.25</v>
      </c>
      <c r="O174" s="37">
        <f>(M174-N174)/N174</f>
        <v/>
      </c>
      <c r="P174" s="100">
        <f>N174*0.9056*0.85</f>
        <v/>
      </c>
      <c r="Q174" s="100">
        <f>N174*1.15</f>
        <v/>
      </c>
      <c r="R174" s="100">
        <f>IF(M174&lt;N174*0.9056*0.85,N174*0.9056*0.85,IF(M174&gt;N174*1.15,N174*1.15,M174))</f>
        <v/>
      </c>
      <c r="S174" s="100">
        <f>+F174*M174</f>
        <v/>
      </c>
      <c r="T174" s="100">
        <f>S174+R174*I174</f>
        <v/>
      </c>
      <c r="U174" s="106">
        <f>S174+R174*J174</f>
        <v/>
      </c>
      <c r="V174" s="100">
        <f>U174-S174</f>
        <v/>
      </c>
      <c r="W174" s="106">
        <f>+U174-T174</f>
        <v/>
      </c>
      <c r="X174" s="107">
        <f>+U174-T174</f>
        <v/>
      </c>
      <c r="Y174" s="26" t="n"/>
    </row>
    <row r="175" ht="20" customFormat="1" customHeight="1" s="7">
      <c r="A175" s="26" t="n">
        <v>155</v>
      </c>
      <c r="B175" s="26" t="inlineStr">
        <is>
          <t>粤011701011003</t>
        </is>
      </c>
      <c r="C175" s="26" t="inlineStr">
        <is>
          <t>里脚手架</t>
        </is>
      </c>
      <c r="D175" s="26" t="inlineStr">
        <is>
          <t>1.里脚手架(钢管)民用建筑实际高度4.2m</t>
        </is>
      </c>
      <c r="E175" s="26" t="inlineStr">
        <is>
          <t>m2</t>
        </is>
      </c>
      <c r="F175" s="27" t="n">
        <v>742.8099999999999</v>
      </c>
      <c r="G175" s="100" t="n">
        <v>224.14</v>
      </c>
      <c r="H175" s="106" t="n">
        <v>224.14</v>
      </c>
      <c r="I175" s="100">
        <f>G175-F175</f>
        <v/>
      </c>
      <c r="J175" s="100">
        <f>H175-F175</f>
        <v/>
      </c>
      <c r="K175" s="100">
        <f>+H175-G175</f>
        <v/>
      </c>
      <c r="L175" s="37">
        <f>I175/F175</f>
        <v/>
      </c>
      <c r="M175" s="27" t="n">
        <v>19.66</v>
      </c>
      <c r="N175" s="27" t="n">
        <v>21.74</v>
      </c>
      <c r="O175" s="37">
        <f>(M175-N175)/N175</f>
        <v/>
      </c>
      <c r="P175" s="100">
        <f>N175*0.9056*0.85</f>
        <v/>
      </c>
      <c r="Q175" s="100">
        <f>N175*1.15</f>
        <v/>
      </c>
      <c r="R175" s="100">
        <f>IF(M175&lt;N175*0.9056*0.85,N175*0.9056*0.85,IF(M175&gt;N175*1.15,N175*1.15,M175))</f>
        <v/>
      </c>
      <c r="S175" s="100">
        <f>+F175*M175</f>
        <v/>
      </c>
      <c r="T175" s="100">
        <f>S175+R175*I175</f>
        <v/>
      </c>
      <c r="U175" s="106">
        <f>S175+R175*J175</f>
        <v/>
      </c>
      <c r="V175" s="100">
        <f>U175-S175</f>
        <v/>
      </c>
      <c r="W175" s="106">
        <f>+U175-T175</f>
        <v/>
      </c>
      <c r="X175" s="107">
        <f>+U175-T175</f>
        <v/>
      </c>
      <c r="Y175" s="26" t="n"/>
    </row>
    <row r="176" ht="20" customFormat="1" customHeight="1" s="7">
      <c r="A176" s="26" t="n">
        <v>156</v>
      </c>
      <c r="B176" s="26" t="inlineStr">
        <is>
          <t>粤011701011004</t>
        </is>
      </c>
      <c r="C176" s="26" t="inlineStr">
        <is>
          <t>里脚手架</t>
        </is>
      </c>
      <c r="D176" s="26" t="inlineStr">
        <is>
          <t>1.里脚手架(钢管)民用建筑实际高度7.8m</t>
        </is>
      </c>
      <c r="E176" s="26" t="inlineStr">
        <is>
          <t>m2</t>
        </is>
      </c>
      <c r="F176" s="27" t="n">
        <v>107.7</v>
      </c>
      <c r="G176" s="100" t="n">
        <v>7.65</v>
      </c>
      <c r="H176" s="106" t="n">
        <v>7.65</v>
      </c>
      <c r="I176" s="100">
        <f>G176-F176</f>
        <v/>
      </c>
      <c r="J176" s="100">
        <f>H176-F176</f>
        <v/>
      </c>
      <c r="K176" s="100">
        <f>+H176-G176</f>
        <v/>
      </c>
      <c r="L176" s="37">
        <f>I176/F176</f>
        <v/>
      </c>
      <c r="M176" s="27" t="n">
        <v>34.57</v>
      </c>
      <c r="N176" s="27" t="n">
        <v>38.2</v>
      </c>
      <c r="O176" s="37">
        <f>(M176-N176)/N176</f>
        <v/>
      </c>
      <c r="P176" s="100">
        <f>N176*0.9056*0.85</f>
        <v/>
      </c>
      <c r="Q176" s="100">
        <f>N176*1.15</f>
        <v/>
      </c>
      <c r="R176" s="100">
        <f>IF(M176&lt;N176*0.9056*0.85,N176*0.9056*0.85,IF(M176&gt;N176*1.15,N176*1.15,M176))</f>
        <v/>
      </c>
      <c r="S176" s="100">
        <f>+F176*M176</f>
        <v/>
      </c>
      <c r="T176" s="100">
        <f>S176+R176*I176</f>
        <v/>
      </c>
      <c r="U176" s="106">
        <f>S176+R176*J176</f>
        <v/>
      </c>
      <c r="V176" s="100">
        <f>U176-S176</f>
        <v/>
      </c>
      <c r="W176" s="106">
        <f>+U176-T176</f>
        <v/>
      </c>
      <c r="X176" s="107">
        <f>+U176-T176</f>
        <v/>
      </c>
      <c r="Y176" s="26" t="n"/>
    </row>
    <row r="177" ht="20" customFormat="1" customHeight="1" s="7">
      <c r="A177" s="26" t="n">
        <v>157</v>
      </c>
      <c r="B177" s="26" t="inlineStr">
        <is>
          <t>粤011701011005</t>
        </is>
      </c>
      <c r="C177" s="26" t="inlineStr">
        <is>
          <t>里脚手架</t>
        </is>
      </c>
      <c r="D177" s="26" t="inlineStr">
        <is>
          <t>1.里脚手架(钢管)民用建筑实际高度11.4m</t>
        </is>
      </c>
      <c r="E177" s="26" t="inlineStr">
        <is>
          <t>m2</t>
        </is>
      </c>
      <c r="F177" s="27" t="n">
        <v>198.87</v>
      </c>
      <c r="G177" s="100" t="n">
        <v>74.61</v>
      </c>
      <c r="H177" s="106" t="n">
        <v>74.61</v>
      </c>
      <c r="I177" s="100">
        <f>G177-F177</f>
        <v/>
      </c>
      <c r="J177" s="100">
        <f>H177-F177</f>
        <v/>
      </c>
      <c r="K177" s="100">
        <f>+H177-G177</f>
        <v/>
      </c>
      <c r="L177" s="37">
        <f>I177/F177</f>
        <v/>
      </c>
      <c r="M177" s="27" t="n">
        <v>49.49</v>
      </c>
      <c r="N177" s="27" t="n">
        <v>54.67</v>
      </c>
      <c r="O177" s="37">
        <f>(M177-N177)/N177</f>
        <v/>
      </c>
      <c r="P177" s="100">
        <f>N177*0.9056*0.85</f>
        <v/>
      </c>
      <c r="Q177" s="100">
        <f>N177*1.15</f>
        <v/>
      </c>
      <c r="R177" s="100">
        <f>IF(M177&lt;N177*0.9056*0.85,N177*0.9056*0.85,IF(M177&gt;N177*1.15,N177*1.15,M177))</f>
        <v/>
      </c>
      <c r="S177" s="100">
        <f>+F177*M177</f>
        <v/>
      </c>
      <c r="T177" s="100">
        <f>S177+R177*I177</f>
        <v/>
      </c>
      <c r="U177" s="106">
        <f>S177+R177*J177</f>
        <v/>
      </c>
      <c r="V177" s="100">
        <f>U177-S177</f>
        <v/>
      </c>
      <c r="W177" s="106">
        <f>+U177-T177</f>
        <v/>
      </c>
      <c r="X177" s="107">
        <f>+U177-T177</f>
        <v/>
      </c>
      <c r="Y177" s="26" t="n"/>
    </row>
    <row r="178" ht="20" customFormat="1" customHeight="1" s="7">
      <c r="A178" s="26" t="n">
        <v>158</v>
      </c>
      <c r="B178" s="26" t="inlineStr">
        <is>
          <t>粤011701010001</t>
        </is>
      </c>
      <c r="C178" s="26" t="inlineStr">
        <is>
          <t>满堂脚手架</t>
        </is>
      </c>
      <c r="D178" s="26" t="inlineStr">
        <is>
          <t>1.满堂脚手架(钢管)基本层4.2m</t>
        </is>
      </c>
      <c r="E178" s="26" t="inlineStr">
        <is>
          <t>m2</t>
        </is>
      </c>
      <c r="F178" s="27" t="n">
        <v>1485.61</v>
      </c>
      <c r="G178" s="100" t="n">
        <v>1344.77</v>
      </c>
      <c r="H178" s="106" t="n">
        <v>1344.77</v>
      </c>
      <c r="I178" s="100">
        <f>G178-F178</f>
        <v/>
      </c>
      <c r="J178" s="100">
        <f>H178-F178</f>
        <v/>
      </c>
      <c r="K178" s="100">
        <f>+H178-G178</f>
        <v/>
      </c>
      <c r="L178" s="37">
        <f>I178/F178</f>
        <v/>
      </c>
      <c r="M178" s="27" t="n">
        <v>12.36</v>
      </c>
      <c r="N178" s="27" t="n">
        <v>13.43</v>
      </c>
      <c r="O178" s="37">
        <f>(M178-N178)/N178</f>
        <v/>
      </c>
      <c r="P178" s="100">
        <f>N178*0.9056*0.85</f>
        <v/>
      </c>
      <c r="Q178" s="100">
        <f>N178*1.15</f>
        <v/>
      </c>
      <c r="R178" s="100">
        <f>IF(M178&lt;N178*0.9056*0.85,N178*0.9056*0.85,IF(M178&gt;N178*1.15,N178*1.15,M178))</f>
        <v/>
      </c>
      <c r="S178" s="100">
        <f>+F178*M178</f>
        <v/>
      </c>
      <c r="T178" s="100">
        <f>S178+R178*I178</f>
        <v/>
      </c>
      <c r="U178" s="106">
        <f>S178+R178*J178</f>
        <v/>
      </c>
      <c r="V178" s="100">
        <f>U178-S178</f>
        <v/>
      </c>
      <c r="W178" s="106">
        <f>+U178-T178</f>
        <v/>
      </c>
      <c r="X178" s="107">
        <f>+U178-T178</f>
        <v/>
      </c>
      <c r="Y178" s="26" t="n"/>
    </row>
    <row r="179" ht="20" customFormat="1" customHeight="1" s="7">
      <c r="A179" s="26" t="n">
        <v>159</v>
      </c>
      <c r="B179" s="26" t="inlineStr">
        <is>
          <t>粤011701010002</t>
        </is>
      </c>
      <c r="C179" s="26" t="inlineStr">
        <is>
          <t>满堂脚手架</t>
        </is>
      </c>
      <c r="D179" s="26" t="inlineStr">
        <is>
          <t>1.满堂脚手架(钢管)基本层7.8m</t>
        </is>
      </c>
      <c r="E179" s="26" t="inlineStr">
        <is>
          <t>m2</t>
        </is>
      </c>
      <c r="F179" s="27" t="n">
        <v>215.39</v>
      </c>
      <c r="G179" s="100" t="n">
        <v>149.55</v>
      </c>
      <c r="H179" s="106" t="n">
        <v>149.55</v>
      </c>
      <c r="I179" s="100">
        <f>G179-F179</f>
        <v/>
      </c>
      <c r="J179" s="100">
        <f>H179-F179</f>
        <v/>
      </c>
      <c r="K179" s="100">
        <f>+H179-G179</f>
        <v/>
      </c>
      <c r="L179" s="37">
        <f>I179/F179</f>
        <v/>
      </c>
      <c r="M179" s="27" t="n">
        <v>20.41</v>
      </c>
      <c r="N179" s="27" t="n">
        <v>22.27</v>
      </c>
      <c r="O179" s="37">
        <f>(M179-N179)/N179</f>
        <v/>
      </c>
      <c r="P179" s="100">
        <f>N179*0.9056*0.85</f>
        <v/>
      </c>
      <c r="Q179" s="100">
        <f>N179*1.15</f>
        <v/>
      </c>
      <c r="R179" s="100">
        <f>IF(M179&lt;N179*0.9056*0.85,N179*0.9056*0.85,IF(M179&gt;N179*1.15,N179*1.15,M179))</f>
        <v/>
      </c>
      <c r="S179" s="100">
        <f>+F179*M179</f>
        <v/>
      </c>
      <c r="T179" s="100">
        <f>S179+R179*I179</f>
        <v/>
      </c>
      <c r="U179" s="106">
        <f>S179+R179*J179</f>
        <v/>
      </c>
      <c r="V179" s="100">
        <f>U179-S179</f>
        <v/>
      </c>
      <c r="W179" s="106">
        <f>+U179-T179</f>
        <v/>
      </c>
      <c r="X179" s="107">
        <f>+U179-T179</f>
        <v/>
      </c>
      <c r="Y179" s="26" t="n"/>
    </row>
    <row r="180" ht="20" customFormat="1" customHeight="1" s="7">
      <c r="A180" s="26" t="n">
        <v>160</v>
      </c>
      <c r="B180" s="26" t="inlineStr">
        <is>
          <t>粤011701010003</t>
        </is>
      </c>
      <c r="C180" s="26" t="inlineStr">
        <is>
          <t>满堂脚手架</t>
        </is>
      </c>
      <c r="D180" s="26" t="inlineStr">
        <is>
          <t>1.满堂脚手架(钢管)基本层11.4m</t>
        </is>
      </c>
      <c r="E180" s="26" t="inlineStr">
        <is>
          <t>m2</t>
        </is>
      </c>
      <c r="F180" s="27" t="n">
        <v>397.73</v>
      </c>
      <c r="G180" s="100" t="n">
        <v>361.79</v>
      </c>
      <c r="H180" s="106" t="n">
        <v>361.79</v>
      </c>
      <c r="I180" s="100">
        <f>G180-F180</f>
        <v/>
      </c>
      <c r="J180" s="100">
        <f>H180-F180</f>
        <v/>
      </c>
      <c r="K180" s="100">
        <f>+H180-G180</f>
        <v/>
      </c>
      <c r="L180" s="37">
        <f>I180/F180</f>
        <v/>
      </c>
      <c r="M180" s="27" t="n">
        <v>32.47</v>
      </c>
      <c r="N180" s="27" t="n">
        <v>35.54</v>
      </c>
      <c r="O180" s="37">
        <f>(M180-N180)/N180</f>
        <v/>
      </c>
      <c r="P180" s="100">
        <f>N180*0.9056*0.85</f>
        <v/>
      </c>
      <c r="Q180" s="100">
        <f>N180*1.15</f>
        <v/>
      </c>
      <c r="R180" s="100">
        <f>IF(M180&lt;N180*0.9056*0.85,N180*0.9056*0.85,IF(M180&gt;N180*1.15,N180*1.15,M180))</f>
        <v/>
      </c>
      <c r="S180" s="100">
        <f>+F180*M180</f>
        <v/>
      </c>
      <c r="T180" s="100">
        <f>S180+R180*I180</f>
        <v/>
      </c>
      <c r="U180" s="106">
        <f>S180+R180*J180</f>
        <v/>
      </c>
      <c r="V180" s="100">
        <f>U180-S180</f>
        <v/>
      </c>
      <c r="W180" s="106">
        <f>+U180-T180</f>
        <v/>
      </c>
      <c r="X180" s="107">
        <f>+U180-T180</f>
        <v/>
      </c>
      <c r="Y180" s="26" t="n"/>
    </row>
    <row r="181" ht="20" customFormat="1" customHeight="1" s="7">
      <c r="A181" s="26" t="n">
        <v>161</v>
      </c>
      <c r="B181" s="26" t="inlineStr">
        <is>
          <t>粤011701015001</t>
        </is>
      </c>
      <c r="C181" s="26" t="inlineStr">
        <is>
          <t>电梯井脚手架</t>
        </is>
      </c>
      <c r="D181" s="26" t="inlineStr">
        <is>
          <t>1.电梯井脚手架(钢管)高度(m以内)30</t>
        </is>
      </c>
      <c r="E181" s="26" t="inlineStr">
        <is>
          <t>座</t>
        </is>
      </c>
      <c r="F181" s="27" t="n">
        <v>1</v>
      </c>
      <c r="G181" s="100" t="n">
        <v>1</v>
      </c>
      <c r="H181" s="108" t="n">
        <v>1</v>
      </c>
      <c r="I181" s="100">
        <f>G181-F181</f>
        <v/>
      </c>
      <c r="J181" s="100">
        <f>H181-F181</f>
        <v/>
      </c>
      <c r="K181" s="100">
        <f>+H181-G181</f>
        <v/>
      </c>
      <c r="L181" s="37">
        <f>I181/F181</f>
        <v/>
      </c>
      <c r="M181" s="27" t="n">
        <v>2876.01</v>
      </c>
      <c r="N181" s="27" t="n">
        <v>3126.05</v>
      </c>
      <c r="O181" s="37">
        <f>(M181-N181)/N181</f>
        <v/>
      </c>
      <c r="P181" s="100">
        <f>N181*0.9056*0.85</f>
        <v/>
      </c>
      <c r="Q181" s="100">
        <f>N181*1.15</f>
        <v/>
      </c>
      <c r="R181" s="100">
        <f>IF(M181&lt;N181*0.9056*0.85,N181*0.9056*0.85,IF(M181&gt;N181*1.15,N181*1.15,M181))</f>
        <v/>
      </c>
      <c r="S181" s="100">
        <f>+F181*M181</f>
        <v/>
      </c>
      <c r="T181" s="100">
        <f>S181+R181*I181</f>
        <v/>
      </c>
      <c r="U181" s="106">
        <f>S181+R181*J181</f>
        <v/>
      </c>
      <c r="V181" s="100">
        <f>U181-S181</f>
        <v/>
      </c>
      <c r="W181" s="106">
        <f>+U181-T181</f>
        <v/>
      </c>
      <c r="X181" s="107">
        <f>+U181-T181</f>
        <v/>
      </c>
      <c r="Y181" s="26" t="n"/>
    </row>
    <row r="182" ht="20" customFormat="1" customHeight="1" s="7">
      <c r="A182" s="26" t="n">
        <v>162</v>
      </c>
      <c r="B182" s="26" t="inlineStr">
        <is>
          <t>粤011701009001</t>
        </is>
      </c>
      <c r="C182" s="26" t="inlineStr">
        <is>
          <t>单排钢脚手架</t>
        </is>
      </c>
      <c r="D182" s="26" t="inlineStr">
        <is>
          <t>1.搭设高度:高度(m以内)10
2.建筑用单排脚手架使用费</t>
        </is>
      </c>
      <c r="E182" s="26" t="inlineStr">
        <is>
          <t>m2</t>
        </is>
      </c>
      <c r="F182" s="27" t="n">
        <v>119.5</v>
      </c>
      <c r="G182" s="100" t="n">
        <v>119.5</v>
      </c>
      <c r="H182" s="106" t="n">
        <v>119.5</v>
      </c>
      <c r="I182" s="100">
        <f>G182-F182</f>
        <v/>
      </c>
      <c r="J182" s="100">
        <f>H182-F182</f>
        <v/>
      </c>
      <c r="K182" s="100">
        <f>+H182-G182</f>
        <v/>
      </c>
      <c r="L182" s="37">
        <f>I182/F182</f>
        <v/>
      </c>
      <c r="M182" s="27" t="n">
        <v>8.300000000000001</v>
      </c>
      <c r="N182" s="27" t="n">
        <v>18.05</v>
      </c>
      <c r="O182" s="37">
        <f>(M182-N182)/N182</f>
        <v/>
      </c>
      <c r="P182" s="100">
        <f>N182*0.9056*0.85</f>
        <v/>
      </c>
      <c r="Q182" s="100">
        <f>N182*1.15</f>
        <v/>
      </c>
      <c r="R182" s="100">
        <f>IF(M182&lt;N182*0.9056*0.85,N182*0.9056*0.85,IF(M182&gt;N182*1.15,N182*1.15,M182))</f>
        <v/>
      </c>
      <c r="S182" s="100">
        <f>+F182*M182</f>
        <v/>
      </c>
      <c r="T182" s="100">
        <f>S182+R182*I182</f>
        <v/>
      </c>
      <c r="U182" s="106">
        <f>S182+R182*J182</f>
        <v/>
      </c>
      <c r="V182" s="100">
        <f>U182-S182</f>
        <v/>
      </c>
      <c r="W182" s="106">
        <f>+U182-T182</f>
        <v/>
      </c>
      <c r="X182" s="107">
        <f>+U182-T182</f>
        <v/>
      </c>
      <c r="Y182" s="26" t="n"/>
    </row>
    <row r="183" ht="20" customFormat="1" customHeight="1" s="7">
      <c r="A183" s="26" t="n">
        <v>163</v>
      </c>
      <c r="B183" s="26" t="inlineStr">
        <is>
          <t>011702001007</t>
        </is>
      </c>
      <c r="C183" s="26" t="inlineStr">
        <is>
          <t>基础</t>
        </is>
      </c>
      <c r="D183" s="26" t="inlineStr">
        <is>
          <t>1.基础垫层模板</t>
        </is>
      </c>
      <c r="E183" s="26" t="inlineStr">
        <is>
          <t>m2</t>
        </is>
      </c>
      <c r="F183" s="27" t="n">
        <v>194.52</v>
      </c>
      <c r="G183" s="100" t="n">
        <v>325.82</v>
      </c>
      <c r="H183" s="106" t="n">
        <v>310.3</v>
      </c>
      <c r="I183" s="100">
        <f>G183-F183</f>
        <v/>
      </c>
      <c r="J183" s="100">
        <f>H183-F183</f>
        <v/>
      </c>
      <c r="K183" s="100">
        <f>+H183-G183</f>
        <v/>
      </c>
      <c r="L183" s="37">
        <f>I183/F183</f>
        <v/>
      </c>
      <c r="M183" s="27" t="n">
        <v>31.42</v>
      </c>
      <c r="N183" s="27" t="n">
        <v>34.37</v>
      </c>
      <c r="O183" s="37">
        <f>(M183-N183)/N183</f>
        <v/>
      </c>
      <c r="P183" s="100">
        <f>N183*0.9056*0.85</f>
        <v/>
      </c>
      <c r="Q183" s="100">
        <f>N183*1.15</f>
        <v/>
      </c>
      <c r="R183" s="100">
        <f>IF(M183&lt;N183*0.9056*0.85,N183*0.9056*0.85,IF(M183&gt;N183*1.15,N183*1.15,M183))</f>
        <v/>
      </c>
      <c r="S183" s="100">
        <f>+F183*M183</f>
        <v/>
      </c>
      <c r="T183" s="100">
        <f>S183+R183*I183</f>
        <v/>
      </c>
      <c r="U183" s="106">
        <f>S183+R183*J183</f>
        <v/>
      </c>
      <c r="V183" s="100">
        <f>U183-S183</f>
        <v/>
      </c>
      <c r="W183" s="106">
        <f>+U183-T183</f>
        <v/>
      </c>
      <c r="X183" s="107">
        <f>+U183-T183</f>
        <v/>
      </c>
      <c r="Y183" s="26" t="n"/>
    </row>
    <row r="184" ht="20" customFormat="1" customHeight="1" s="7">
      <c r="A184" s="26" t="n">
        <v>164</v>
      </c>
      <c r="B184" s="26" t="inlineStr">
        <is>
          <t>011702001005</t>
        </is>
      </c>
      <c r="C184" s="26" t="inlineStr">
        <is>
          <t>基础</t>
        </is>
      </c>
      <c r="D184" s="26" t="inlineStr">
        <is>
          <t>1.基础类型:桩承台模板</t>
        </is>
      </c>
      <c r="E184" s="26" t="inlineStr">
        <is>
          <t>m2</t>
        </is>
      </c>
      <c r="F184" s="27" t="n">
        <v>449.65</v>
      </c>
      <c r="G184" s="100" t="n">
        <v>0</v>
      </c>
      <c r="H184" s="106" t="n">
        <v>0</v>
      </c>
      <c r="I184" s="100">
        <f>G184-F184</f>
        <v/>
      </c>
      <c r="J184" s="100">
        <f>H184-F184</f>
        <v/>
      </c>
      <c r="K184" s="100">
        <f>+H184-G184</f>
        <v/>
      </c>
      <c r="L184" s="37">
        <f>I184/F184</f>
        <v/>
      </c>
      <c r="M184" s="27" t="n">
        <v>47.62</v>
      </c>
      <c r="N184" s="27" t="n">
        <v>54.22</v>
      </c>
      <c r="O184" s="37">
        <f>(M184-N184)/N184</f>
        <v/>
      </c>
      <c r="P184" s="100">
        <f>N184*0.9056*0.85</f>
        <v/>
      </c>
      <c r="Q184" s="100">
        <f>N184*1.15</f>
        <v/>
      </c>
      <c r="R184" s="100">
        <f>IF(M184&lt;N184*0.9056*0.85,N184*0.9056*0.85,IF(M184&gt;N184*1.15,N184*1.15,M184))</f>
        <v/>
      </c>
      <c r="S184" s="100">
        <f>+F184*M184</f>
        <v/>
      </c>
      <c r="T184" s="100">
        <f>S184+R184*I184</f>
        <v/>
      </c>
      <c r="U184" s="106">
        <f>S184+R184*J184</f>
        <v/>
      </c>
      <c r="V184" s="100">
        <f>U184-S184</f>
        <v/>
      </c>
      <c r="W184" s="106">
        <f>+U184-T184</f>
        <v/>
      </c>
      <c r="X184" s="107">
        <f>+U184-T184</f>
        <v/>
      </c>
      <c r="Y184" s="26" t="n"/>
    </row>
    <row r="185" ht="20" customFormat="1" customHeight="1" s="7">
      <c r="A185" s="26" t="n">
        <v>165</v>
      </c>
      <c r="B185" s="26" t="inlineStr">
        <is>
          <t>011702001006</t>
        </is>
      </c>
      <c r="C185" s="26" t="inlineStr">
        <is>
          <t>基础</t>
        </is>
      </c>
      <c r="D185" s="26" t="inlineStr">
        <is>
          <t>1.基础类型:满堂基础模板</t>
        </is>
      </c>
      <c r="E185" s="26" t="inlineStr">
        <is>
          <t>m2</t>
        </is>
      </c>
      <c r="F185" s="27" t="n">
        <v>24.83</v>
      </c>
      <c r="G185" s="100" t="n">
        <v>35.11</v>
      </c>
      <c r="H185" s="106" t="n">
        <v>33.44</v>
      </c>
      <c r="I185" s="100">
        <f>G185-F185</f>
        <v/>
      </c>
      <c r="J185" s="100">
        <f>H185-F185</f>
        <v/>
      </c>
      <c r="K185" s="100">
        <f>+H185-G185</f>
        <v/>
      </c>
      <c r="L185" s="37">
        <f>I185/F185</f>
        <v/>
      </c>
      <c r="M185" s="27" t="n">
        <v>51.46</v>
      </c>
      <c r="N185" s="27" t="n">
        <v>58.36</v>
      </c>
      <c r="O185" s="37">
        <f>(M185-N185)/N185</f>
        <v/>
      </c>
      <c r="P185" s="100">
        <f>N185*0.9056*0.85</f>
        <v/>
      </c>
      <c r="Q185" s="100">
        <f>N185*1.15</f>
        <v/>
      </c>
      <c r="R185" s="100">
        <f>IF(M185&lt;N185*0.9056*0.85,N185*0.9056*0.85,IF(M185&gt;N185*1.15,N185*1.15,M185))</f>
        <v/>
      </c>
      <c r="S185" s="100">
        <f>+F185*M185</f>
        <v/>
      </c>
      <c r="T185" s="100">
        <f>S185+R185*I185</f>
        <v/>
      </c>
      <c r="U185" s="106">
        <f>S185+R185*J185</f>
        <v/>
      </c>
      <c r="V185" s="100">
        <f>U185-S185</f>
        <v/>
      </c>
      <c r="W185" s="106">
        <f>+U185-T185</f>
        <v/>
      </c>
      <c r="X185" s="107">
        <f>+U185-T185</f>
        <v/>
      </c>
      <c r="Y185" s="26" t="n"/>
    </row>
    <row r="186" ht="20" customFormat="1" customHeight="1" s="7">
      <c r="A186" s="26" t="n">
        <v>166</v>
      </c>
      <c r="B186" s="26" t="inlineStr">
        <is>
          <t>011702002002</t>
        </is>
      </c>
      <c r="C186" s="26" t="inlineStr">
        <is>
          <t>矩形柱</t>
        </is>
      </c>
      <c r="D186" s="26" t="inlineStr">
        <is>
          <t>1.矩形柱模板(周长m)支模高度4.5m1.8外</t>
        </is>
      </c>
      <c r="E186" s="26" t="inlineStr">
        <is>
          <t>m2</t>
        </is>
      </c>
      <c r="F186" s="27" t="n">
        <v>754.35</v>
      </c>
      <c r="G186" s="100" t="n">
        <v>459.38</v>
      </c>
      <c r="H186" s="106" t="n">
        <v>459.38</v>
      </c>
      <c r="I186" s="100">
        <f>G186-F186</f>
        <v/>
      </c>
      <c r="J186" s="100">
        <f>H186-F186</f>
        <v/>
      </c>
      <c r="K186" s="100">
        <f>+H186-G186</f>
        <v/>
      </c>
      <c r="L186" s="37">
        <f>I186/F186</f>
        <v/>
      </c>
      <c r="M186" s="27" t="n">
        <v>62.37</v>
      </c>
      <c r="N186" s="27" t="n">
        <v>67.88</v>
      </c>
      <c r="O186" s="37">
        <f>(M186-N186)/N186</f>
        <v/>
      </c>
      <c r="P186" s="100">
        <f>N186*0.9056*0.85</f>
        <v/>
      </c>
      <c r="Q186" s="100">
        <f>N186*1.15</f>
        <v/>
      </c>
      <c r="R186" s="100">
        <f>IF(M186&lt;N186*0.9056*0.85,N186*0.9056*0.85,IF(M186&gt;N186*1.15,N186*1.15,M186))</f>
        <v/>
      </c>
      <c r="S186" s="100">
        <f>+F186*M186</f>
        <v/>
      </c>
      <c r="T186" s="100">
        <f>S186+R186*I186</f>
        <v/>
      </c>
      <c r="U186" s="106">
        <f>S186+R186*J186</f>
        <v/>
      </c>
      <c r="V186" s="100">
        <f>U186-S186</f>
        <v/>
      </c>
      <c r="W186" s="106">
        <f>+U186-T186</f>
        <v/>
      </c>
      <c r="X186" s="107">
        <f>+U186-T186</f>
        <v/>
      </c>
      <c r="Y186" s="26" t="n"/>
    </row>
    <row r="187" ht="20" customFormat="1" customHeight="1" s="7">
      <c r="A187" s="26" t="n">
        <v>167</v>
      </c>
      <c r="B187" s="26" t="inlineStr">
        <is>
          <t>011702002008</t>
        </is>
      </c>
      <c r="C187" s="26" t="inlineStr">
        <is>
          <t>矩形柱</t>
        </is>
      </c>
      <c r="D187" s="26" t="inlineStr">
        <is>
          <t>1.矩形柱模板(周长m)支模高度3.6m内1.8外</t>
        </is>
      </c>
      <c r="E187" s="26" t="inlineStr">
        <is>
          <t>m2</t>
        </is>
      </c>
      <c r="F187" s="27" t="n">
        <v>2599.236</v>
      </c>
      <c r="G187" s="100" t="n">
        <v>1914.88</v>
      </c>
      <c r="H187" s="106" t="n">
        <v>1823.69</v>
      </c>
      <c r="I187" s="100">
        <f>G187-F187</f>
        <v/>
      </c>
      <c r="J187" s="100">
        <f>H187-F187</f>
        <v/>
      </c>
      <c r="K187" s="100">
        <f>+H187-G187</f>
        <v/>
      </c>
      <c r="L187" s="37">
        <f>I187/F187</f>
        <v/>
      </c>
      <c r="M187" s="27" t="n">
        <v>58.27</v>
      </c>
      <c r="N187" s="27" t="n">
        <v>63.57</v>
      </c>
      <c r="O187" s="37">
        <f>(M187-N187)/N187</f>
        <v/>
      </c>
      <c r="P187" s="100">
        <f>N187*0.9056*0.85</f>
        <v/>
      </c>
      <c r="Q187" s="100">
        <f>N187*1.15</f>
        <v/>
      </c>
      <c r="R187" s="100">
        <f>IF(M187&lt;N187*0.9056*0.85,N187*0.9056*0.85,IF(M187&gt;N187*1.15,N187*1.15,M187))</f>
        <v/>
      </c>
      <c r="S187" s="100">
        <f>+F187*M187</f>
        <v/>
      </c>
      <c r="T187" s="100">
        <f>S187+R187*I187</f>
        <v/>
      </c>
      <c r="U187" s="106">
        <f>S187+R187*J187</f>
        <v/>
      </c>
      <c r="V187" s="100">
        <f>U187-S187</f>
        <v/>
      </c>
      <c r="W187" s="106">
        <f>+U187-T187</f>
        <v/>
      </c>
      <c r="X187" s="107">
        <f>+U187-T187</f>
        <v/>
      </c>
      <c r="Y187" s="26" t="n"/>
    </row>
    <row r="188" ht="20" customFormat="1" customHeight="1" s="7">
      <c r="A188" s="26" t="n">
        <v>168</v>
      </c>
      <c r="B188" s="26" t="inlineStr">
        <is>
          <t>011702002006</t>
        </is>
      </c>
      <c r="C188" s="26" t="inlineStr">
        <is>
          <t>矩形柱</t>
        </is>
      </c>
      <c r="D188" s="26" t="inlineStr">
        <is>
          <t>1.矩形柱模板(周长m)支模高度3.6m内1.8内</t>
        </is>
      </c>
      <c r="E188" s="26" t="inlineStr">
        <is>
          <t>m2</t>
        </is>
      </c>
      <c r="F188" s="27" t="n">
        <v>17.184</v>
      </c>
      <c r="G188" s="100" t="n">
        <v>682.21</v>
      </c>
      <c r="H188" s="106" t="n">
        <v>649.72</v>
      </c>
      <c r="I188" s="100">
        <f>G188-F188</f>
        <v/>
      </c>
      <c r="J188" s="100">
        <f>H188-F188</f>
        <v/>
      </c>
      <c r="K188" s="100">
        <f>+H188-G188</f>
        <v/>
      </c>
      <c r="L188" s="37">
        <f>I188/F188</f>
        <v/>
      </c>
      <c r="M188" s="27" t="n">
        <v>53.08</v>
      </c>
      <c r="N188" s="27" t="n">
        <v>57.93</v>
      </c>
      <c r="O188" s="37">
        <f>(M188-N188)/N188</f>
        <v/>
      </c>
      <c r="P188" s="100">
        <f>N188*0.9056*0.85</f>
        <v/>
      </c>
      <c r="Q188" s="100">
        <f>N188*1.15</f>
        <v/>
      </c>
      <c r="R188" s="100">
        <f>IF(M188&lt;N188*0.9056*0.85,N188*0.9056*0.85,IF(M188&gt;N188*1.15,N188*1.15,M188))</f>
        <v/>
      </c>
      <c r="S188" s="100">
        <f>+F188*M188</f>
        <v/>
      </c>
      <c r="T188" s="100">
        <f>S188+R188*I188</f>
        <v/>
      </c>
      <c r="U188" s="106">
        <f>S188+R188*J188</f>
        <v/>
      </c>
      <c r="V188" s="100">
        <f>U188-S188</f>
        <v/>
      </c>
      <c r="W188" s="106">
        <f>+U188-T188</f>
        <v/>
      </c>
      <c r="X188" s="107">
        <f>+U188-T188</f>
        <v/>
      </c>
      <c r="Y188" s="26" t="n"/>
    </row>
    <row r="189" ht="20" customFormat="1" customHeight="1" s="7">
      <c r="A189" s="26" t="n">
        <v>169</v>
      </c>
      <c r="B189" s="26" t="inlineStr">
        <is>
          <t>011702004003</t>
        </is>
      </c>
      <c r="C189" s="26" t="inlineStr">
        <is>
          <t>异形柱</t>
        </is>
      </c>
      <c r="D189" s="26" t="inlineStr">
        <is>
          <t>1.异形柱模板支模高度3.6m内实际支模高度(m):4.2</t>
        </is>
      </c>
      <c r="E189" s="26" t="inlineStr">
        <is>
          <t>m2</t>
        </is>
      </c>
      <c r="F189" s="27" t="n">
        <v>105.36</v>
      </c>
      <c r="G189" s="100" t="n">
        <v>60.86</v>
      </c>
      <c r="H189" s="106" t="n">
        <v>60.86</v>
      </c>
      <c r="I189" s="100">
        <f>G189-F189</f>
        <v/>
      </c>
      <c r="J189" s="100">
        <f>H189-F189</f>
        <v/>
      </c>
      <c r="K189" s="100">
        <f>+H189-G189</f>
        <v/>
      </c>
      <c r="L189" s="37">
        <f>I189/F189</f>
        <v/>
      </c>
      <c r="M189" s="27" t="n">
        <v>78.64</v>
      </c>
      <c r="N189" s="27" t="n">
        <v>89.79000000000001</v>
      </c>
      <c r="O189" s="37">
        <f>(M189-N189)/N189</f>
        <v/>
      </c>
      <c r="P189" s="100">
        <f>N189*0.9056*0.85</f>
        <v/>
      </c>
      <c r="Q189" s="100">
        <f>N189*1.15</f>
        <v/>
      </c>
      <c r="R189" s="100">
        <f>IF(M189&lt;N189*0.9056*0.85,N189*0.9056*0.85,IF(M189&gt;N189*1.15,N189*1.15,M189))</f>
        <v/>
      </c>
      <c r="S189" s="100">
        <f>+F189*M189</f>
        <v/>
      </c>
      <c r="T189" s="100">
        <f>S189+R189*I189</f>
        <v/>
      </c>
      <c r="U189" s="106">
        <f>S189+R189*J189</f>
        <v/>
      </c>
      <c r="V189" s="100">
        <f>U189-S189</f>
        <v/>
      </c>
      <c r="W189" s="106">
        <f>+U189-T189</f>
        <v/>
      </c>
      <c r="X189" s="107">
        <f>+U189-T189</f>
        <v/>
      </c>
      <c r="Y189" s="26" t="n"/>
    </row>
    <row r="190" ht="20" customFormat="1" customHeight="1" s="7">
      <c r="A190" s="26" t="n">
        <v>170</v>
      </c>
      <c r="B190" s="26" t="inlineStr">
        <is>
          <t>011702004002</t>
        </is>
      </c>
      <c r="C190" s="26" t="inlineStr">
        <is>
          <t>异形柱</t>
        </is>
      </c>
      <c r="D190" s="26" t="inlineStr">
        <is>
          <t>1.异形柱模板支模高度3.6m内</t>
        </is>
      </c>
      <c r="E190" s="26" t="inlineStr">
        <is>
          <t>m2</t>
        </is>
      </c>
      <c r="F190" s="27" t="n">
        <v>160.18</v>
      </c>
      <c r="G190" s="100" t="n">
        <v>147.26</v>
      </c>
      <c r="H190" s="106" t="n">
        <v>147.26</v>
      </c>
      <c r="I190" s="100">
        <f>G190-F190</f>
        <v/>
      </c>
      <c r="J190" s="100">
        <f>H190-F190</f>
        <v/>
      </c>
      <c r="K190" s="100">
        <f>+H190-G190</f>
        <v/>
      </c>
      <c r="L190" s="37">
        <f>I190/F190</f>
        <v/>
      </c>
      <c r="M190" s="27" t="n">
        <v>74.53</v>
      </c>
      <c r="N190" s="27" t="n">
        <v>85.23</v>
      </c>
      <c r="O190" s="37">
        <f>(M190-N190)/N190</f>
        <v/>
      </c>
      <c r="P190" s="100">
        <f>N190*0.9056*0.85</f>
        <v/>
      </c>
      <c r="Q190" s="100">
        <f>N190*1.15</f>
        <v/>
      </c>
      <c r="R190" s="100">
        <f>IF(M190&lt;N190*0.9056*0.85,N190*0.9056*0.85,IF(M190&gt;N190*1.15,N190*1.15,M190))</f>
        <v/>
      </c>
      <c r="S190" s="100">
        <f>+F190*M190</f>
        <v/>
      </c>
      <c r="T190" s="100">
        <f>S190+R190*I190</f>
        <v/>
      </c>
      <c r="U190" s="106">
        <f>S190+R190*J190</f>
        <v/>
      </c>
      <c r="V190" s="100">
        <f>U190-S190</f>
        <v/>
      </c>
      <c r="W190" s="106">
        <f>+U190-T190</f>
        <v/>
      </c>
      <c r="X190" s="107">
        <f>+U190-T190</f>
        <v/>
      </c>
      <c r="Y190" s="26" t="n"/>
    </row>
    <row r="191" ht="20" customFormat="1" customHeight="1" s="7">
      <c r="A191" s="26" t="n">
        <v>171</v>
      </c>
      <c r="B191" s="26" t="inlineStr">
        <is>
          <t>011702003003</t>
        </is>
      </c>
      <c r="C191" s="26" t="inlineStr">
        <is>
          <t>构造柱</t>
        </is>
      </c>
      <c r="D191" s="26" t="inlineStr">
        <is>
          <t>1.构造柱模板(周长m)支模高度3.6m内1.2内</t>
        </is>
      </c>
      <c r="E191" s="26" t="inlineStr">
        <is>
          <t>m2</t>
        </is>
      </c>
      <c r="F191" s="27" t="n">
        <v>1955.16</v>
      </c>
      <c r="G191" s="100" t="n">
        <v>1955.16</v>
      </c>
      <c r="H191" s="106" t="n">
        <v>1689.13</v>
      </c>
      <c r="I191" s="100">
        <f>G191-F191</f>
        <v/>
      </c>
      <c r="J191" s="100">
        <f>H191-F191</f>
        <v/>
      </c>
      <c r="K191" s="100">
        <f>+H191-G191</f>
        <v/>
      </c>
      <c r="L191" s="37">
        <f>I191/F191</f>
        <v/>
      </c>
      <c r="M191" s="27" t="n">
        <v>66.62</v>
      </c>
      <c r="N191" s="27" t="n">
        <v>78.81</v>
      </c>
      <c r="O191" s="37">
        <f>(M191-N191)/N191</f>
        <v/>
      </c>
      <c r="P191" s="100">
        <f>N191*0.9056*0.85</f>
        <v/>
      </c>
      <c r="Q191" s="100">
        <f>N191*1.15</f>
        <v/>
      </c>
      <c r="R191" s="100">
        <f>IF(M191&lt;N191*0.9056*0.85,N191*0.9056*0.85,IF(M191&gt;N191*1.15,N191*1.15,M191))</f>
        <v/>
      </c>
      <c r="S191" s="100">
        <f>+F191*M191</f>
        <v/>
      </c>
      <c r="T191" s="100">
        <f>S191+R191*I191</f>
        <v/>
      </c>
      <c r="U191" s="106">
        <f>S191+R191*J191</f>
        <v/>
      </c>
      <c r="V191" s="100">
        <f>U191-S191</f>
        <v/>
      </c>
      <c r="W191" s="106">
        <f>+U191-T191</f>
        <v/>
      </c>
      <c r="X191" s="107">
        <f>+U191-T191</f>
        <v/>
      </c>
      <c r="Y191" s="26" t="n"/>
    </row>
    <row r="192" ht="20" customFormat="1" customHeight="1" s="7">
      <c r="A192" s="26" t="n">
        <v>172</v>
      </c>
      <c r="B192" s="26" t="inlineStr">
        <is>
          <t>011702003004</t>
        </is>
      </c>
      <c r="C192" s="26" t="inlineStr">
        <is>
          <t>构造柱</t>
        </is>
      </c>
      <c r="D192" s="26" t="inlineStr">
        <is>
          <t>1.构造柱模板(周长m)支模高度4.5m内1.2内</t>
        </is>
      </c>
      <c r="E192" s="26" t="inlineStr">
        <is>
          <t>m2</t>
        </is>
      </c>
      <c r="F192" s="27" t="n">
        <v>343.48</v>
      </c>
      <c r="G192" s="100" t="n">
        <v>343.48</v>
      </c>
      <c r="H192" s="106" t="n">
        <v>293.8</v>
      </c>
      <c r="I192" s="100">
        <f>G192-F192</f>
        <v/>
      </c>
      <c r="J192" s="100">
        <f>H192-F192</f>
        <v/>
      </c>
      <c r="K192" s="100">
        <f>+H192-G192</f>
        <v/>
      </c>
      <c r="L192" s="37">
        <f>I192/F192</f>
        <v/>
      </c>
      <c r="M192" s="27" t="n">
        <v>70.72</v>
      </c>
      <c r="N192" s="27" t="n">
        <v>83.12</v>
      </c>
      <c r="O192" s="37">
        <f>(M192-N192)/N192</f>
        <v/>
      </c>
      <c r="P192" s="100">
        <f>N192*0.9056*0.85</f>
        <v/>
      </c>
      <c r="Q192" s="100">
        <f>N192*1.15</f>
        <v/>
      </c>
      <c r="R192" s="100">
        <f>IF(M192&lt;N192*0.9056*0.85,N192*0.9056*0.85,IF(M192&gt;N192*1.15,N192*1.15,M192))</f>
        <v/>
      </c>
      <c r="S192" s="100">
        <f>+F192*M192</f>
        <v/>
      </c>
      <c r="T192" s="100">
        <f>S192+R192*I192</f>
        <v/>
      </c>
      <c r="U192" s="106">
        <f>S192+R192*J192</f>
        <v/>
      </c>
      <c r="V192" s="100">
        <f>U192-S192</f>
        <v/>
      </c>
      <c r="W192" s="106">
        <f>+U192-T192</f>
        <v/>
      </c>
      <c r="X192" s="107">
        <f>+U192-T192</f>
        <v/>
      </c>
      <c r="Y192" s="26" t="n"/>
    </row>
    <row r="193" ht="20" customFormat="1" customHeight="1" s="7">
      <c r="A193" s="26" t="n">
        <v>173</v>
      </c>
      <c r="B193" s="26" t="inlineStr">
        <is>
          <t>011702011002</t>
        </is>
      </c>
      <c r="C193" s="26" t="inlineStr">
        <is>
          <t>直形墙</t>
        </is>
      </c>
      <c r="D193" s="26" t="inlineStr">
        <is>
          <t>1.直形墙模板墙厚(cm以内)40支模高度3.6m内</t>
        </is>
      </c>
      <c r="E193" s="26" t="inlineStr">
        <is>
          <t>m2</t>
        </is>
      </c>
      <c r="F193" s="27" t="n">
        <v>1956.61</v>
      </c>
      <c r="G193" s="100" t="n">
        <v>2114.52</v>
      </c>
      <c r="H193" s="106" t="n">
        <v>2013.47</v>
      </c>
      <c r="I193" s="100">
        <f>G193-F193</f>
        <v/>
      </c>
      <c r="J193" s="100">
        <f>H193-F193</f>
        <v/>
      </c>
      <c r="K193" s="100">
        <f>+H193-G193</f>
        <v/>
      </c>
      <c r="L193" s="37">
        <f>I193/F193</f>
        <v/>
      </c>
      <c r="M193" s="27" t="n">
        <v>43.27</v>
      </c>
      <c r="N193" s="27" t="n">
        <v>45.5</v>
      </c>
      <c r="O193" s="37">
        <f>(M193-N193)/N193</f>
        <v/>
      </c>
      <c r="P193" s="100">
        <f>N193*0.9056*0.85</f>
        <v/>
      </c>
      <c r="Q193" s="100">
        <f>N193*1.15</f>
        <v/>
      </c>
      <c r="R193" s="100">
        <f>IF(M193&lt;N193*0.9056*0.85,N193*0.9056*0.85,IF(M193&gt;N193*1.15,N193*1.15,M193))</f>
        <v/>
      </c>
      <c r="S193" s="100">
        <f>+F193*M193</f>
        <v/>
      </c>
      <c r="T193" s="100">
        <f>S193+R193*I193</f>
        <v/>
      </c>
      <c r="U193" s="106">
        <f>S193+R193*J193</f>
        <v/>
      </c>
      <c r="V193" s="100">
        <f>U193-S193</f>
        <v/>
      </c>
      <c r="W193" s="106">
        <f>+U193-T193</f>
        <v/>
      </c>
      <c r="X193" s="107">
        <f>+U193-T193</f>
        <v/>
      </c>
      <c r="Y193" s="26" t="n"/>
    </row>
    <row r="194" ht="20" customFormat="1" customHeight="1" s="7">
      <c r="A194" s="26" t="n">
        <v>174</v>
      </c>
      <c r="B194" s="26" t="inlineStr">
        <is>
          <t>011702011003</t>
        </is>
      </c>
      <c r="C194" s="26" t="inlineStr">
        <is>
          <t>直形墙</t>
        </is>
      </c>
      <c r="D194" s="26" t="inlineStr">
        <is>
          <t>1.直形墙模板墙厚(cm以内)40支模高度4.2m</t>
        </is>
      </c>
      <c r="E194" s="26" t="inlineStr">
        <is>
          <t>m2</t>
        </is>
      </c>
      <c r="F194" s="27" t="n">
        <v>421.32</v>
      </c>
      <c r="G194" s="100" t="n">
        <v>418.14</v>
      </c>
      <c r="H194" s="106" t="n">
        <v>398.23</v>
      </c>
      <c r="I194" s="100">
        <f>G194-F194</f>
        <v/>
      </c>
      <c r="J194" s="100">
        <f>H194-F194</f>
        <v/>
      </c>
      <c r="K194" s="100">
        <f>+H194-G194</f>
        <v/>
      </c>
      <c r="L194" s="37">
        <f>I194/F194</f>
        <v/>
      </c>
      <c r="M194" s="27" t="n">
        <v>45.51</v>
      </c>
      <c r="N194" s="27" t="n">
        <v>47.89</v>
      </c>
      <c r="O194" s="37">
        <f>(M194-N194)/N194</f>
        <v/>
      </c>
      <c r="P194" s="100">
        <f>N194*0.9056*0.85</f>
        <v/>
      </c>
      <c r="Q194" s="100">
        <f>N194*1.15</f>
        <v/>
      </c>
      <c r="R194" s="100">
        <f>IF(M194&lt;N194*0.9056*0.85,N194*0.9056*0.85,IF(M194&gt;N194*1.15,N194*1.15,M194))</f>
        <v/>
      </c>
      <c r="S194" s="100">
        <f>+F194*M194</f>
        <v/>
      </c>
      <c r="T194" s="100">
        <f>S194+R194*I194</f>
        <v/>
      </c>
      <c r="U194" s="106">
        <f>S194+R194*J194</f>
        <v/>
      </c>
      <c r="V194" s="100">
        <f>U194-S194</f>
        <v/>
      </c>
      <c r="W194" s="106">
        <f>+U194-T194</f>
        <v/>
      </c>
      <c r="X194" s="107">
        <f>+U194-T194</f>
        <v/>
      </c>
      <c r="Y194" s="26" t="n"/>
    </row>
    <row r="195" ht="20" customFormat="1" customHeight="1" s="7">
      <c r="A195" s="26" t="n">
        <v>175</v>
      </c>
      <c r="B195" s="26" t="inlineStr">
        <is>
          <t>011702014004</t>
        </is>
      </c>
      <c r="C195" s="26" t="inlineStr">
        <is>
          <t>有梁板</t>
        </is>
      </c>
      <c r="D195" s="26" t="inlineStr">
        <is>
          <t>1.有梁板模板支模高度4.2m内</t>
        </is>
      </c>
      <c r="E195" s="26" t="inlineStr">
        <is>
          <t>m2</t>
        </is>
      </c>
      <c r="F195" s="27" t="n">
        <v>1188.2744</v>
      </c>
      <c r="G195" s="100" t="n">
        <v>1340.7</v>
      </c>
      <c r="H195" s="106" t="n">
        <v>1276.86</v>
      </c>
      <c r="I195" s="100">
        <f>G195-F195</f>
        <v/>
      </c>
      <c r="J195" s="100">
        <f>H195-F195</f>
        <v/>
      </c>
      <c r="K195" s="100">
        <f>+H195-G195</f>
        <v/>
      </c>
      <c r="L195" s="37">
        <f>I195/F195</f>
        <v/>
      </c>
      <c r="M195" s="27" t="n">
        <v>67.34</v>
      </c>
      <c r="N195" s="27" t="n">
        <v>87.18000000000001</v>
      </c>
      <c r="O195" s="37">
        <f>(M195-N195)/N195</f>
        <v/>
      </c>
      <c r="P195" s="100">
        <f>N195*0.9056*0.85</f>
        <v/>
      </c>
      <c r="Q195" s="100">
        <f>N195*1.15</f>
        <v/>
      </c>
      <c r="R195" s="100">
        <f>IF(M195&lt;N195*0.9056*0.85,N195*0.9056*0.85,IF(M195&gt;N195*1.15,N195*1.15,M195))</f>
        <v/>
      </c>
      <c r="S195" s="100">
        <f>+F195*M195</f>
        <v/>
      </c>
      <c r="T195" s="100">
        <f>S195+R195*I195</f>
        <v/>
      </c>
      <c r="U195" s="106">
        <f>S195+R195*J195</f>
        <v/>
      </c>
      <c r="V195" s="100">
        <f>U195-S195</f>
        <v/>
      </c>
      <c r="W195" s="106">
        <f>+U195-T195</f>
        <v/>
      </c>
      <c r="X195" s="107">
        <f>+U195-T195</f>
        <v/>
      </c>
      <c r="Y195" s="26" t="n"/>
    </row>
    <row r="196" ht="20" customFormat="1" customHeight="1" s="7">
      <c r="A196" s="26" t="n">
        <v>176</v>
      </c>
      <c r="B196" s="26" t="inlineStr">
        <is>
          <t>011702014005</t>
        </is>
      </c>
      <c r="C196" s="26" t="inlineStr">
        <is>
          <t>有梁板</t>
        </is>
      </c>
      <c r="D196" s="26" t="inlineStr">
        <is>
          <t>1.有梁板模板支模高度3.6m内</t>
        </is>
      </c>
      <c r="E196" s="26" t="inlineStr">
        <is>
          <t>m2</t>
        </is>
      </c>
      <c r="F196" s="27" t="n">
        <v>6368.315</v>
      </c>
      <c r="G196" s="100" t="n">
        <v>6572.67</v>
      </c>
      <c r="H196" s="106">
        <f>8032.06-H197</f>
        <v/>
      </c>
      <c r="I196" s="100">
        <f>G196-F196</f>
        <v/>
      </c>
      <c r="J196" s="100">
        <f>H196-F196</f>
        <v/>
      </c>
      <c r="K196" s="100">
        <f>+H196-G196</f>
        <v/>
      </c>
      <c r="L196" s="37">
        <f>I196/F196</f>
        <v/>
      </c>
      <c r="M196" s="27" t="n">
        <v>59.25</v>
      </c>
      <c r="N196" s="27" t="n">
        <v>63.21</v>
      </c>
      <c r="O196" s="37">
        <f>(M196-N196)/N196</f>
        <v/>
      </c>
      <c r="P196" s="100">
        <f>N196*0.9056*0.85</f>
        <v/>
      </c>
      <c r="Q196" s="100">
        <f>N196*1.15</f>
        <v/>
      </c>
      <c r="R196" s="100">
        <f>IF(M196&lt;N196*0.9056*0.85,N196*0.9056*0.85,IF(M196&gt;N196*1.15,N196*1.15,M196))</f>
        <v/>
      </c>
      <c r="S196" s="100">
        <f>+F196*M196</f>
        <v/>
      </c>
      <c r="T196" s="100">
        <f>S196+R196*I196</f>
        <v/>
      </c>
      <c r="U196" s="106">
        <f>S196+R196*J196</f>
        <v/>
      </c>
      <c r="V196" s="100">
        <f>U196-S196</f>
        <v/>
      </c>
      <c r="W196" s="106">
        <f>+U196-T196</f>
        <v/>
      </c>
      <c r="X196" s="107">
        <f>+U196-T196</f>
        <v/>
      </c>
      <c r="Y196" s="26" t="n"/>
    </row>
    <row r="197" ht="20" customFormat="1" customHeight="1" s="7">
      <c r="A197" s="26" t="n">
        <v>177</v>
      </c>
      <c r="B197" s="26" t="inlineStr">
        <is>
          <t>011702014006</t>
        </is>
      </c>
      <c r="C197" s="26" t="inlineStr">
        <is>
          <t>有梁板（斜板）</t>
        </is>
      </c>
      <c r="D197" s="26" t="inlineStr">
        <is>
          <t>1.有梁板模板支模高度3.6m内</t>
        </is>
      </c>
      <c r="E197" s="26" t="inlineStr">
        <is>
          <t>m2</t>
        </is>
      </c>
      <c r="F197" s="27" t="n">
        <v>1772.374</v>
      </c>
      <c r="G197" s="100" t="n">
        <v>1860.99</v>
      </c>
      <c r="H197" s="106" t="n">
        <v>1860.99</v>
      </c>
      <c r="I197" s="100">
        <f>G197-F197</f>
        <v/>
      </c>
      <c r="J197" s="100">
        <f>H197-F197</f>
        <v/>
      </c>
      <c r="K197" s="100">
        <f>+H197-G197</f>
        <v/>
      </c>
      <c r="L197" s="37">
        <f>I197/F197</f>
        <v/>
      </c>
      <c r="M197" s="27" t="n">
        <v>59.25</v>
      </c>
      <c r="N197" s="27" t="n">
        <v>72.38</v>
      </c>
      <c r="O197" s="37">
        <f>(M197-N197)/N197</f>
        <v/>
      </c>
      <c r="P197" s="100">
        <f>N197*0.9056*0.85</f>
        <v/>
      </c>
      <c r="Q197" s="100">
        <f>N197*1.15</f>
        <v/>
      </c>
      <c r="R197" s="100">
        <f>IF(M197&lt;N197*0.9056*0.85,N197*0.9056*0.85,IF(M197&gt;N197*1.15,N197*1.15,M197))</f>
        <v/>
      </c>
      <c r="S197" s="100">
        <f>+F197*M197</f>
        <v/>
      </c>
      <c r="T197" s="100">
        <f>S197+R197*I197</f>
        <v/>
      </c>
      <c r="U197" s="106">
        <f>S197+R197*J197</f>
        <v/>
      </c>
      <c r="V197" s="100">
        <f>U197-S197</f>
        <v/>
      </c>
      <c r="W197" s="106">
        <f>+U197-T197</f>
        <v/>
      </c>
      <c r="X197" s="107">
        <f>+U197-T197</f>
        <v/>
      </c>
      <c r="Y197" s="26" t="n"/>
    </row>
    <row r="198" ht="20" customFormat="1" customHeight="1" s="7">
      <c r="A198" s="26" t="n">
        <v>178</v>
      </c>
      <c r="B198" s="26" t="inlineStr">
        <is>
          <t>011702006003</t>
        </is>
      </c>
      <c r="C198" s="26" t="inlineStr">
        <is>
          <t>矩形梁</t>
        </is>
      </c>
      <c r="D198" s="26" t="inlineStr">
        <is>
          <t>1.单梁、连续梁模板(梁宽cm)25以内支模高度4.2m内</t>
        </is>
      </c>
      <c r="E198" s="26" t="inlineStr">
        <is>
          <t>m2</t>
        </is>
      </c>
      <c r="F198" s="27" t="n">
        <v>1534.1</v>
      </c>
      <c r="G198" s="100" t="n">
        <v>1554.47</v>
      </c>
      <c r="H198" s="106" t="n">
        <v>1480.28</v>
      </c>
      <c r="I198" s="100">
        <f>G198-F198</f>
        <v/>
      </c>
      <c r="J198" s="100">
        <f>H198-F198</f>
        <v/>
      </c>
      <c r="K198" s="100">
        <f>+H198-G198</f>
        <v/>
      </c>
      <c r="L198" s="37">
        <f>I198/F198</f>
        <v/>
      </c>
      <c r="M198" s="27" t="n">
        <v>69.20999999999999</v>
      </c>
      <c r="N198" s="27" t="n">
        <v>86.95999999999999</v>
      </c>
      <c r="O198" s="37">
        <f>(M198-N198)/N198</f>
        <v/>
      </c>
      <c r="P198" s="100">
        <f>N198*0.9056*0.85</f>
        <v/>
      </c>
      <c r="Q198" s="100">
        <f>N198*1.15</f>
        <v/>
      </c>
      <c r="R198" s="100">
        <f>IF(M198&lt;N198*0.9056*0.85,N198*0.9056*0.85,IF(M198&gt;N198*1.15,N198*1.15,M198))</f>
        <v/>
      </c>
      <c r="S198" s="100">
        <f>+F198*M198</f>
        <v/>
      </c>
      <c r="T198" s="100">
        <f>S198+R198*I198</f>
        <v/>
      </c>
      <c r="U198" s="106">
        <f>S198+R198*J198</f>
        <v/>
      </c>
      <c r="V198" s="100">
        <f>U198-S198</f>
        <v/>
      </c>
      <c r="W198" s="106">
        <f>+U198-T198</f>
        <v/>
      </c>
      <c r="X198" s="107">
        <f>+U198-T198</f>
        <v/>
      </c>
      <c r="Y198" s="26" t="n"/>
    </row>
    <row r="199" ht="20" customFormat="1" customHeight="1" s="7">
      <c r="A199" s="26" t="n">
        <v>179</v>
      </c>
      <c r="B199" s="26" t="inlineStr">
        <is>
          <t>011702006006</t>
        </is>
      </c>
      <c r="C199" s="26" t="inlineStr">
        <is>
          <t>矩形梁</t>
        </is>
      </c>
      <c r="D199" s="26" t="inlineStr">
        <is>
          <t>1.单梁、连续梁模板(梁宽cm)25以外支模高度4.2m内</t>
        </is>
      </c>
      <c r="E199" s="26" t="inlineStr">
        <is>
          <t>m2</t>
        </is>
      </c>
      <c r="F199" s="27" t="n">
        <v>31.648</v>
      </c>
      <c r="G199" s="100" t="n">
        <v>31.17</v>
      </c>
      <c r="H199" s="106" t="n">
        <v>29.68</v>
      </c>
      <c r="I199" s="100">
        <f>G199-F199</f>
        <v/>
      </c>
      <c r="J199" s="100">
        <f>H199-F199</f>
        <v/>
      </c>
      <c r="K199" s="100">
        <f>+H199-G199</f>
        <v/>
      </c>
      <c r="L199" s="37">
        <f>I199/F199</f>
        <v/>
      </c>
      <c r="M199" s="27" t="n">
        <v>75.31999999999999</v>
      </c>
      <c r="N199" s="27" t="n">
        <v>79.58</v>
      </c>
      <c r="O199" s="37">
        <f>(M199-N199)/N199</f>
        <v/>
      </c>
      <c r="P199" s="100">
        <f>N199*0.9056*0.85</f>
        <v/>
      </c>
      <c r="Q199" s="100">
        <f>N199*1.15</f>
        <v/>
      </c>
      <c r="R199" s="100">
        <f>IF(M199&lt;N199*0.9056*0.85,N199*0.9056*0.85,IF(M199&gt;N199*1.15,N199*1.15,M199))</f>
        <v/>
      </c>
      <c r="S199" s="100">
        <f>+F199*M199</f>
        <v/>
      </c>
      <c r="T199" s="100">
        <f>S199+R199*I199</f>
        <v/>
      </c>
      <c r="U199" s="106">
        <f>S199+R199*J199</f>
        <v/>
      </c>
      <c r="V199" s="100">
        <f>U199-S199</f>
        <v/>
      </c>
      <c r="W199" s="106">
        <f>+U199-T199</f>
        <v/>
      </c>
      <c r="X199" s="107">
        <f>+U199-T199</f>
        <v/>
      </c>
      <c r="Y199" s="26" t="n"/>
    </row>
    <row r="200" ht="20" customFormat="1" customHeight="1" s="7">
      <c r="A200" s="26" t="n">
        <v>180</v>
      </c>
      <c r="B200" s="26" t="inlineStr">
        <is>
          <t>011702006007</t>
        </is>
      </c>
      <c r="C200" s="26" t="inlineStr">
        <is>
          <t>矩形梁</t>
        </is>
      </c>
      <c r="D200" s="26" t="inlineStr">
        <is>
          <t>1.单梁、连续梁模板(梁宽cm)25以内支模高度3.6m内</t>
        </is>
      </c>
      <c r="E200" s="26" t="inlineStr">
        <is>
          <t>m2</t>
        </is>
      </c>
      <c r="F200" s="27" t="n">
        <v>7386.904</v>
      </c>
      <c r="G200" s="100" t="n">
        <v>8480.66</v>
      </c>
      <c r="H200" s="106" t="n">
        <v>8076.15</v>
      </c>
      <c r="I200" s="100">
        <f>G200-F200</f>
        <v/>
      </c>
      <c r="J200" s="100">
        <f>H200-F200</f>
        <v/>
      </c>
      <c r="K200" s="100">
        <f>+H200-G200</f>
        <v/>
      </c>
      <c r="L200" s="37">
        <f>I200/F200</f>
        <v/>
      </c>
      <c r="M200" s="27" t="n">
        <v>61.79</v>
      </c>
      <c r="N200" s="27" t="n">
        <v>65.84</v>
      </c>
      <c r="O200" s="37">
        <f>(M200-N200)/N200</f>
        <v/>
      </c>
      <c r="P200" s="100">
        <f>N200*0.9056*0.85</f>
        <v/>
      </c>
      <c r="Q200" s="100">
        <f>N200*1.15</f>
        <v/>
      </c>
      <c r="R200" s="100">
        <f>IF(M200&lt;N200*0.9056*0.85,N200*0.9056*0.85,IF(M200&gt;N200*1.15,N200*1.15,M200))</f>
        <v/>
      </c>
      <c r="S200" s="100">
        <f>+F200*M200</f>
        <v/>
      </c>
      <c r="T200" s="100">
        <f>S200+R200*I200</f>
        <v/>
      </c>
      <c r="U200" s="106">
        <f>S200+R200*J200</f>
        <v/>
      </c>
      <c r="V200" s="100">
        <f>U200-S200</f>
        <v/>
      </c>
      <c r="W200" s="106">
        <f>+U200-T200</f>
        <v/>
      </c>
      <c r="X200" s="107">
        <f>+U200-T200</f>
        <v/>
      </c>
      <c r="Y200" s="26" t="n"/>
    </row>
    <row r="201" ht="20" customFormat="1" customHeight="1" s="7">
      <c r="A201" s="26" t="n">
        <v>181</v>
      </c>
      <c r="B201" s="26" t="inlineStr">
        <is>
          <t>011702006005</t>
        </is>
      </c>
      <c r="C201" s="26" t="inlineStr">
        <is>
          <t>矩形梁</t>
        </is>
      </c>
      <c r="D201" s="26" t="inlineStr">
        <is>
          <t>1.单梁、连续梁模板(梁宽cm)25以外支模高度3.6m内</t>
        </is>
      </c>
      <c r="E201" s="26" t="inlineStr">
        <is>
          <t>m2</t>
        </is>
      </c>
      <c r="F201" s="27" t="n">
        <v>523.652</v>
      </c>
      <c r="G201" s="100" t="n">
        <v>550.6</v>
      </c>
      <c r="H201" s="106" t="n">
        <v>524.38</v>
      </c>
      <c r="I201" s="100">
        <f>G201-F201</f>
        <v/>
      </c>
      <c r="J201" s="100">
        <f>H201-F201</f>
        <v/>
      </c>
      <c r="K201" s="100">
        <f>+H201-G201</f>
        <v/>
      </c>
      <c r="L201" s="37">
        <f>I201/F201</f>
        <v/>
      </c>
      <c r="M201" s="27" t="n">
        <v>67.90000000000001</v>
      </c>
      <c r="N201" s="27" t="n">
        <v>72.20999999999999</v>
      </c>
      <c r="O201" s="37">
        <f>(M201-N201)/N201</f>
        <v/>
      </c>
      <c r="P201" s="100">
        <f>N201*0.9056*0.85</f>
        <v/>
      </c>
      <c r="Q201" s="100">
        <f>N201*1.15</f>
        <v/>
      </c>
      <c r="R201" s="100">
        <f>IF(M201&lt;N201*0.9056*0.85,N201*0.9056*0.85,IF(M201&gt;N201*1.15,N201*1.15,M201))</f>
        <v/>
      </c>
      <c r="S201" s="100">
        <f>+F201*M201</f>
        <v/>
      </c>
      <c r="T201" s="100">
        <f>S201+R201*I201</f>
        <v/>
      </c>
      <c r="U201" s="106">
        <f>S201+R201*J201</f>
        <v/>
      </c>
      <c r="V201" s="100">
        <f>U201-S201</f>
        <v/>
      </c>
      <c r="W201" s="106">
        <f>+U201-T201</f>
        <v/>
      </c>
      <c r="X201" s="107">
        <f>+U201-T201</f>
        <v/>
      </c>
      <c r="Y201" s="26" t="n"/>
    </row>
    <row r="202" ht="20" customFormat="1" customHeight="1" s="7">
      <c r="A202" s="26" t="n">
        <v>182</v>
      </c>
      <c r="B202" s="26" t="inlineStr">
        <is>
          <t>011702006008</t>
        </is>
      </c>
      <c r="C202" s="26" t="inlineStr">
        <is>
          <t>矩形梁（斜梁）</t>
        </is>
      </c>
      <c r="D202" s="26" t="inlineStr">
        <is>
          <t>1.单梁、连续梁模板(梁宽cm)25以内支模高度3.6m内</t>
        </is>
      </c>
      <c r="E202" s="26" t="inlineStr">
        <is>
          <t>m2</t>
        </is>
      </c>
      <c r="F202" s="27" t="n">
        <v>1014.696</v>
      </c>
      <c r="G202" s="100" t="n">
        <v>488.32</v>
      </c>
      <c r="H202" s="106" t="n">
        <v>465.07</v>
      </c>
      <c r="I202" s="100">
        <f>G202-F202</f>
        <v/>
      </c>
      <c r="J202" s="100">
        <f>H202-F202</f>
        <v/>
      </c>
      <c r="K202" s="100">
        <f>+H202-G202</f>
        <v/>
      </c>
      <c r="L202" s="37">
        <f>I202/F202</f>
        <v/>
      </c>
      <c r="M202" s="27" t="n">
        <v>61.79</v>
      </c>
      <c r="N202" s="27" t="n">
        <v>76.23</v>
      </c>
      <c r="O202" s="37">
        <f>(M202-N202)/N202</f>
        <v/>
      </c>
      <c r="P202" s="100">
        <f>N202*0.9056*0.85</f>
        <v/>
      </c>
      <c r="Q202" s="100">
        <f>N202*1.15</f>
        <v/>
      </c>
      <c r="R202" s="100">
        <f>IF(M202&lt;N202*0.9056*0.85,N202*0.9056*0.85,IF(M202&gt;N202*1.15,N202*1.15,M202))</f>
        <v/>
      </c>
      <c r="S202" s="100">
        <f>+F202*M202</f>
        <v/>
      </c>
      <c r="T202" s="100">
        <f>S202+R202*I202</f>
        <v/>
      </c>
      <c r="U202" s="106">
        <f>S202+R202*J202</f>
        <v/>
      </c>
      <c r="V202" s="100">
        <f>U202-S202</f>
        <v/>
      </c>
      <c r="W202" s="106">
        <f>+U202-T202</f>
        <v/>
      </c>
      <c r="X202" s="107">
        <f>+U202-T202</f>
        <v/>
      </c>
      <c r="Y202" s="26" t="n"/>
    </row>
    <row r="203" ht="20" customFormat="1" customHeight="1" s="7">
      <c r="A203" s="26" t="n">
        <v>183</v>
      </c>
      <c r="B203" s="26" t="inlineStr">
        <is>
          <t>011702023002</t>
        </is>
      </c>
      <c r="C203" s="26" t="inlineStr">
        <is>
          <t>雨篷、悬挑板、阳台板</t>
        </is>
      </c>
      <c r="D203" s="26" t="inlineStr">
        <is>
          <t>1.雨篷、悬挑板、阳台板</t>
        </is>
      </c>
      <c r="E203" s="26" t="inlineStr">
        <is>
          <t>m2</t>
        </is>
      </c>
      <c r="F203" s="27" t="n">
        <v>1556.026</v>
      </c>
      <c r="G203" s="100" t="n">
        <v>1035.73</v>
      </c>
      <c r="H203" s="106" t="n">
        <v>1035.73</v>
      </c>
      <c r="I203" s="100">
        <f>G203-F203</f>
        <v/>
      </c>
      <c r="J203" s="100">
        <f>H203-F203</f>
        <v/>
      </c>
      <c r="K203" s="100">
        <f>+H203-G203</f>
        <v/>
      </c>
      <c r="L203" s="37">
        <f>I203/F203</f>
        <v/>
      </c>
      <c r="M203" s="27" t="n">
        <v>69.34999999999999</v>
      </c>
      <c r="N203" s="27" t="n">
        <v>74.27</v>
      </c>
      <c r="O203" s="37">
        <f>(M203-N203)/N203</f>
        <v/>
      </c>
      <c r="P203" s="100">
        <f>N203*0.9056*0.85</f>
        <v/>
      </c>
      <c r="Q203" s="100">
        <f>N203*1.15</f>
        <v/>
      </c>
      <c r="R203" s="100">
        <f>IF(M203&lt;N203*0.9056*0.85,N203*0.9056*0.85,IF(M203&gt;N203*1.15,N203*1.15,M203))</f>
        <v/>
      </c>
      <c r="S203" s="100">
        <f>+F203*M203</f>
        <v/>
      </c>
      <c r="T203" s="100">
        <f>S203+R203*I203</f>
        <v/>
      </c>
      <c r="U203" s="106">
        <f>S203+R203*J203</f>
        <v/>
      </c>
      <c r="V203" s="100">
        <f>U203-S203</f>
        <v/>
      </c>
      <c r="W203" s="106">
        <f>+U203-T203</f>
        <v/>
      </c>
      <c r="X203" s="107">
        <f>+U203-T203</f>
        <v/>
      </c>
      <c r="Y203" s="26" t="n"/>
    </row>
    <row r="204" ht="20" customFormat="1" customHeight="1" s="7">
      <c r="A204" s="26" t="n">
        <v>184</v>
      </c>
      <c r="B204" s="26" t="inlineStr">
        <is>
          <t>011702021002</t>
        </is>
      </c>
      <c r="C204" s="26" t="inlineStr">
        <is>
          <t>栏板、反檐</t>
        </is>
      </c>
      <c r="D204" s="26" t="inlineStr">
        <is>
          <t>1.栏板、反檐模板</t>
        </is>
      </c>
      <c r="E204" s="26" t="inlineStr">
        <is>
          <t>m2</t>
        </is>
      </c>
      <c r="F204" s="27" t="n">
        <v>357.9</v>
      </c>
      <c r="G204" s="100" t="n">
        <v>1595.69</v>
      </c>
      <c r="H204" s="106" t="n">
        <v>1595.69</v>
      </c>
      <c r="I204" s="100">
        <f>G204-F204</f>
        <v/>
      </c>
      <c r="J204" s="100">
        <f>H204-F204</f>
        <v/>
      </c>
      <c r="K204" s="100">
        <f>+H204-G204</f>
        <v/>
      </c>
      <c r="L204" s="37">
        <f>I204/F204</f>
        <v/>
      </c>
      <c r="M204" s="27" t="n">
        <v>64.39</v>
      </c>
      <c r="N204" s="27" t="n">
        <v>69.66</v>
      </c>
      <c r="O204" s="37">
        <f>(M204-N204)/N204</f>
        <v/>
      </c>
      <c r="P204" s="100">
        <f>N204*0.9056*0.85</f>
        <v/>
      </c>
      <c r="Q204" s="100">
        <f>N204*1.15</f>
        <v/>
      </c>
      <c r="R204" s="100">
        <f>IF(M204&lt;N204*0.9056*0.85,N204*0.9056*0.85,IF(M204&gt;N204*1.15,N204*1.15,M204))</f>
        <v/>
      </c>
      <c r="S204" s="100">
        <f>+F204*M204</f>
        <v/>
      </c>
      <c r="T204" s="100">
        <f>S204+R204*I204</f>
        <v/>
      </c>
      <c r="U204" s="106">
        <f>S204+R204*J204</f>
        <v/>
      </c>
      <c r="V204" s="100">
        <f>U204-S204</f>
        <v/>
      </c>
      <c r="W204" s="106">
        <f>+U204-T204</f>
        <v/>
      </c>
      <c r="X204" s="107">
        <f>+U204-T204</f>
        <v/>
      </c>
      <c r="Y204" s="26" t="n"/>
    </row>
    <row r="205" ht="20" customFormat="1" customHeight="1" s="7">
      <c r="A205" s="26" t="n">
        <v>185</v>
      </c>
      <c r="B205" s="26" t="inlineStr">
        <is>
          <t>011702008001</t>
        </is>
      </c>
      <c r="C205" s="26" t="inlineStr">
        <is>
          <t>圈梁</t>
        </is>
      </c>
      <c r="D205" s="26" t="inlineStr">
        <is>
          <t>1.圈梁模板支模高度3.6m内</t>
        </is>
      </c>
      <c r="E205" s="26" t="inlineStr">
        <is>
          <t>m2</t>
        </is>
      </c>
      <c r="F205" s="27" t="n">
        <v>426</v>
      </c>
      <c r="G205" s="100" t="n">
        <v>426</v>
      </c>
      <c r="H205" s="106" t="n">
        <v>226.27</v>
      </c>
      <c r="I205" s="100">
        <f>G205-F205</f>
        <v/>
      </c>
      <c r="J205" s="100">
        <f>H205-F205</f>
        <v/>
      </c>
      <c r="K205" s="100">
        <f>+H205-G205</f>
        <v/>
      </c>
      <c r="L205" s="37">
        <f>I205/F205</f>
        <v/>
      </c>
      <c r="M205" s="27" t="n">
        <v>48.71</v>
      </c>
      <c r="N205" s="27" t="n">
        <v>69.5</v>
      </c>
      <c r="O205" s="37">
        <f>(M205-N205)/N205</f>
        <v/>
      </c>
      <c r="P205" s="100">
        <f>N205*0.9056*0.85</f>
        <v/>
      </c>
      <c r="Q205" s="100">
        <f>N205*1.15</f>
        <v/>
      </c>
      <c r="R205" s="100">
        <f>IF(M205&lt;N205*0.9056*0.85,N205*0.9056*0.85,IF(M205&gt;N205*1.15,N205*1.15,M205))</f>
        <v/>
      </c>
      <c r="S205" s="100">
        <f>+F205*M205</f>
        <v/>
      </c>
      <c r="T205" s="100">
        <f>S205+R205*I205</f>
        <v/>
      </c>
      <c r="U205" s="106">
        <f>S205+R205*J205</f>
        <v/>
      </c>
      <c r="V205" s="100">
        <f>U205-S205</f>
        <v/>
      </c>
      <c r="W205" s="106">
        <f>+U205-T205</f>
        <v/>
      </c>
      <c r="X205" s="107">
        <f>+U205-T205</f>
        <v/>
      </c>
      <c r="Y205" s="26" t="n"/>
    </row>
    <row r="206" ht="20" customFormat="1" customHeight="1" s="7">
      <c r="A206" s="26" t="n">
        <v>186</v>
      </c>
      <c r="B206" s="26" t="inlineStr">
        <is>
          <t>011702008004</t>
        </is>
      </c>
      <c r="C206" s="26" t="inlineStr">
        <is>
          <t>过梁</t>
        </is>
      </c>
      <c r="D206" s="26" t="inlineStr">
        <is>
          <t>1.过梁模板支模高度3.6m内</t>
        </is>
      </c>
      <c r="E206" s="26" t="inlineStr">
        <is>
          <t>m2</t>
        </is>
      </c>
      <c r="F206" s="27" t="n">
        <v>151.22</v>
      </c>
      <c r="G206" s="100" t="n">
        <v>151.22</v>
      </c>
      <c r="H206" s="106" t="n">
        <v>103.99</v>
      </c>
      <c r="I206" s="100">
        <f>G206-F206</f>
        <v/>
      </c>
      <c r="J206" s="100">
        <f>H206-F206</f>
        <v/>
      </c>
      <c r="K206" s="100">
        <f>+H206-G206</f>
        <v/>
      </c>
      <c r="L206" s="37">
        <f>I206/F206</f>
        <v/>
      </c>
      <c r="M206" s="27" t="n">
        <v>48.71</v>
      </c>
      <c r="N206" s="27" t="n">
        <v>69.5</v>
      </c>
      <c r="O206" s="37">
        <f>(M206-N206)/N206</f>
        <v/>
      </c>
      <c r="P206" s="100">
        <f>N206*0.9056*0.85</f>
        <v/>
      </c>
      <c r="Q206" s="100">
        <f>N206*1.15</f>
        <v/>
      </c>
      <c r="R206" s="100">
        <f>IF(M206&lt;N206*0.9056*0.85,N206*0.9056*0.85,IF(M206&gt;N206*1.15,N206*1.15,M206))</f>
        <v/>
      </c>
      <c r="S206" s="100">
        <f>+F206*M206</f>
        <v/>
      </c>
      <c r="T206" s="100">
        <f>S206+R206*I206</f>
        <v/>
      </c>
      <c r="U206" s="106">
        <f>S206+R206*J206</f>
        <v/>
      </c>
      <c r="V206" s="100">
        <f>U206-S206</f>
        <v/>
      </c>
      <c r="W206" s="106">
        <f>+U206-T206</f>
        <v/>
      </c>
      <c r="X206" s="107">
        <f>+U206-T206</f>
        <v/>
      </c>
      <c r="Y206" s="26" t="n"/>
    </row>
    <row r="207" ht="20" customFormat="1" customHeight="1" s="7">
      <c r="A207" s="26" t="n">
        <v>187</v>
      </c>
      <c r="B207" s="26" t="inlineStr">
        <is>
          <t>011702008003</t>
        </is>
      </c>
      <c r="C207" s="26" t="inlineStr">
        <is>
          <t>反坎</t>
        </is>
      </c>
      <c r="D207" s="26" t="inlineStr">
        <is>
          <t>1.反坎模板支模高度3.6m内</t>
        </is>
      </c>
      <c r="E207" s="26" t="inlineStr">
        <is>
          <t>m2</t>
        </is>
      </c>
      <c r="F207" s="27" t="n">
        <v>181.06</v>
      </c>
      <c r="G207" s="100" t="n">
        <v>308.44</v>
      </c>
      <c r="H207" s="106" t="n">
        <v>308.44</v>
      </c>
      <c r="I207" s="100">
        <f>G207-F207</f>
        <v/>
      </c>
      <c r="J207" s="100">
        <f>H207-F207</f>
        <v/>
      </c>
      <c r="K207" s="100">
        <f>+H207-G207</f>
        <v/>
      </c>
      <c r="L207" s="37">
        <f>I207/F207</f>
        <v/>
      </c>
      <c r="M207" s="27" t="n">
        <v>64.39</v>
      </c>
      <c r="N207" s="27" t="n">
        <v>69.5</v>
      </c>
      <c r="O207" s="37">
        <f>(M207-N207)/N207</f>
        <v/>
      </c>
      <c r="P207" s="100">
        <f>N207*0.9056*0.85</f>
        <v/>
      </c>
      <c r="Q207" s="100">
        <f>N207*1.15</f>
        <v/>
      </c>
      <c r="R207" s="100">
        <f>IF(M207&lt;N207*0.9056*0.85,N207*0.9056*0.85,IF(M207&gt;N207*1.15,N207*1.15,M207))</f>
        <v/>
      </c>
      <c r="S207" s="100">
        <f>+F207*M207</f>
        <v/>
      </c>
      <c r="T207" s="100">
        <f>S207+R207*I207</f>
        <v/>
      </c>
      <c r="U207" s="106">
        <f>S207+R207*J207</f>
        <v/>
      </c>
      <c r="V207" s="100">
        <f>U207-S207</f>
        <v/>
      </c>
      <c r="W207" s="106">
        <f>+U207-T207</f>
        <v/>
      </c>
      <c r="X207" s="107">
        <f>+U207-T207</f>
        <v/>
      </c>
      <c r="Y207" s="26" t="n"/>
    </row>
    <row r="208" ht="20" customFormat="1" customHeight="1" s="7">
      <c r="A208" s="26" t="n">
        <v>188</v>
      </c>
      <c r="B208" s="26" t="inlineStr">
        <is>
          <t>011702024001</t>
        </is>
      </c>
      <c r="C208" s="26" t="inlineStr">
        <is>
          <t>楼梯</t>
        </is>
      </c>
      <c r="D208" s="26" t="inlineStr">
        <is>
          <t>1.楼梯模板直形</t>
        </is>
      </c>
      <c r="E208" s="26" t="inlineStr">
        <is>
          <t>m2</t>
        </is>
      </c>
      <c r="F208" s="27" t="n">
        <v>579.55</v>
      </c>
      <c r="G208" s="100" t="n">
        <v>540.67</v>
      </c>
      <c r="H208" s="106" t="n">
        <v>514.92</v>
      </c>
      <c r="I208" s="100">
        <f>G208-F208</f>
        <v/>
      </c>
      <c r="J208" s="100">
        <f>H208-F208</f>
        <v/>
      </c>
      <c r="K208" s="100">
        <f>+H208-G208</f>
        <v/>
      </c>
      <c r="L208" s="37">
        <f>I208/F208</f>
        <v/>
      </c>
      <c r="M208" s="27" t="n">
        <v>174.23</v>
      </c>
      <c r="N208" s="27" t="n">
        <v>190.32</v>
      </c>
      <c r="O208" s="37">
        <f>(M208-N208)/N208</f>
        <v/>
      </c>
      <c r="P208" s="100">
        <f>N208*0.9056*0.85</f>
        <v/>
      </c>
      <c r="Q208" s="100">
        <f>N208*1.15</f>
        <v/>
      </c>
      <c r="R208" s="100">
        <f>IF(M208&lt;N208*0.9056*0.85,N208*0.9056*0.85,IF(M208&gt;N208*1.15,N208*1.15,M208))</f>
        <v/>
      </c>
      <c r="S208" s="100">
        <f>+F208*M208</f>
        <v/>
      </c>
      <c r="T208" s="100">
        <f>S208+R208*I208</f>
        <v/>
      </c>
      <c r="U208" s="106">
        <f>S208+R208*J208</f>
        <v/>
      </c>
      <c r="V208" s="100">
        <f>U208-S208</f>
        <v/>
      </c>
      <c r="W208" s="106">
        <f>+U208-T208</f>
        <v/>
      </c>
      <c r="X208" s="107">
        <f>+U208-T208</f>
        <v/>
      </c>
      <c r="Y208" s="26" t="n"/>
    </row>
    <row r="209" ht="20" customFormat="1" customHeight="1" s="7">
      <c r="A209" s="34" t="n">
        <v>189</v>
      </c>
      <c r="B209" s="34" t="inlineStr">
        <is>
          <t>010401001002</t>
        </is>
      </c>
      <c r="C209" s="34" t="inlineStr">
        <is>
          <t>砖基础</t>
        </is>
      </c>
      <c r="D209" s="34" t="inlineStr">
        <is>
          <t>1.砖胎膜
2.砖品种、规格、强度等级:Mu15蒸压灰砂砖
3.砂浆强度等级:WMM5专用砌筑砂浆</t>
        </is>
      </c>
      <c r="E209" s="34" t="inlineStr">
        <is>
          <t>m3</t>
        </is>
      </c>
      <c r="F209" s="35" t="n">
        <v>130.7376</v>
      </c>
      <c r="G209" s="110" t="n">
        <v>361.58</v>
      </c>
      <c r="H209" s="106" t="n">
        <v>361.58</v>
      </c>
      <c r="I209" s="110">
        <f>G209-F209</f>
        <v/>
      </c>
      <c r="J209" s="110">
        <f>H209-F209</f>
        <v/>
      </c>
      <c r="K209" s="110">
        <f>+H209-G209</f>
        <v/>
      </c>
      <c r="L209" s="39">
        <f>I209/F209</f>
        <v/>
      </c>
      <c r="M209" s="35" t="n">
        <v>527.28</v>
      </c>
      <c r="N209" s="35" t="n">
        <v>641.05</v>
      </c>
      <c r="O209" s="39">
        <f>(M209-N209)/N209</f>
        <v/>
      </c>
      <c r="P209" s="110">
        <f>N209*0.9056*0.85</f>
        <v/>
      </c>
      <c r="Q209" s="110">
        <f>N209*1.15</f>
        <v/>
      </c>
      <c r="R209" s="110">
        <f>IF(M209&lt;N209*0.9056*0.85,N209*0.9056*0.85,IF(M209&gt;N209*1.15,N209*1.15,M209))</f>
        <v/>
      </c>
      <c r="S209" s="110">
        <f>+F209*M209</f>
        <v/>
      </c>
      <c r="T209" s="110">
        <f>S209+R209*I209</f>
        <v/>
      </c>
      <c r="U209" s="106">
        <f>S209+R209*J209</f>
        <v/>
      </c>
      <c r="V209" s="100">
        <f>U209-S209</f>
        <v/>
      </c>
      <c r="W209" s="106">
        <f>+U209-T209</f>
        <v/>
      </c>
      <c r="X209" s="107">
        <f>+U209-T209</f>
        <v/>
      </c>
      <c r="Y209" s="34" t="n"/>
    </row>
    <row r="210" ht="20" customFormat="1" customHeight="1" s="7">
      <c r="A210" s="34" t="n">
        <v>190</v>
      </c>
      <c r="B210" s="34" t="inlineStr">
        <is>
          <t>011703001001</t>
        </is>
      </c>
      <c r="C210" s="34" t="inlineStr">
        <is>
          <t>垂直运输</t>
        </is>
      </c>
      <c r="D210" s="34" t="inlineStr">
        <is>
          <t>1.建筑物20m以上的垂直运输30m以内</t>
        </is>
      </c>
      <c r="E210" s="34" t="inlineStr">
        <is>
          <t>m2</t>
        </is>
      </c>
      <c r="F210" s="35" t="n">
        <v>8993.09</v>
      </c>
      <c r="G210" s="110" t="n">
        <v>10082.59</v>
      </c>
      <c r="H210" s="106" t="n">
        <v>9367.66</v>
      </c>
      <c r="I210" s="110">
        <f>G210-F210</f>
        <v/>
      </c>
      <c r="J210" s="110">
        <f>H210-F210</f>
        <v/>
      </c>
      <c r="K210" s="110">
        <f>+H210-G210</f>
        <v/>
      </c>
      <c r="L210" s="39">
        <f>I210/F210</f>
        <v/>
      </c>
      <c r="M210" s="35" t="n">
        <v>35.03</v>
      </c>
      <c r="N210" s="35" t="n">
        <v>37.72</v>
      </c>
      <c r="O210" s="39">
        <f>(M210-N210)/N210</f>
        <v/>
      </c>
      <c r="P210" s="110">
        <f>N210*0.9056*0.85</f>
        <v/>
      </c>
      <c r="Q210" s="110">
        <f>N210*1.15</f>
        <v/>
      </c>
      <c r="R210" s="110">
        <f>IF(M210&lt;N210*0.9056*0.85,N210*0.9056*0.85,IF(M210&gt;N210*1.15,N210*1.15,M210))</f>
        <v/>
      </c>
      <c r="S210" s="110">
        <f>+F210*M210</f>
        <v/>
      </c>
      <c r="T210" s="110">
        <f>S210+R210*I210</f>
        <v/>
      </c>
      <c r="U210" s="106">
        <f>S210+R210*J210</f>
        <v/>
      </c>
      <c r="V210" s="100">
        <f>U210-S210</f>
        <v/>
      </c>
      <c r="W210" s="106">
        <f>+U210-T210</f>
        <v/>
      </c>
      <c r="X210" s="107">
        <f>+U210-T210</f>
        <v/>
      </c>
      <c r="Y210" s="34" t="n"/>
    </row>
    <row r="211" ht="20" customFormat="1" customHeight="1" s="8">
      <c r="A211" s="26" t="n">
        <v>191</v>
      </c>
      <c r="B211" s="26" t="inlineStr">
        <is>
          <t>011704001001</t>
        </is>
      </c>
      <c r="C211" s="26" t="inlineStr">
        <is>
          <t>超高施工增加</t>
        </is>
      </c>
      <c r="D211" s="26" t="inlineStr">
        <is>
          <t>1.建筑物超高增加人工、机械降效率高度30m以内</t>
        </is>
      </c>
      <c r="E211" s="26" t="inlineStr">
        <is>
          <t>项</t>
        </is>
      </c>
      <c r="F211" s="27" t="n">
        <v>1</v>
      </c>
      <c r="G211" s="100" t="n">
        <v>1</v>
      </c>
      <c r="H211" s="108" t="n">
        <v>1</v>
      </c>
      <c r="I211" s="100">
        <f>G211-F211</f>
        <v/>
      </c>
      <c r="J211" s="100">
        <f>H211-F211</f>
        <v/>
      </c>
      <c r="K211" s="100">
        <f>+H211-G211</f>
        <v/>
      </c>
      <c r="L211" s="37">
        <f>I211/F211</f>
        <v/>
      </c>
      <c r="M211" s="27" t="n">
        <v>47756.39</v>
      </c>
      <c r="N211" s="27" t="n">
        <v>88431.92</v>
      </c>
      <c r="O211" s="37">
        <f>(M211-N211)/N211</f>
        <v/>
      </c>
      <c r="P211" s="100">
        <f>N211*0.9056*0.85</f>
        <v/>
      </c>
      <c r="Q211" s="100">
        <f>N211*1.15</f>
        <v/>
      </c>
      <c r="R211" s="100">
        <f>IF(M211&lt;N211*0.9056*0.85,N211*0.9056*0.85,IF(M211&gt;N211*1.15,N211*1.15,M211))</f>
        <v/>
      </c>
      <c r="S211" s="100">
        <f>+F211*M211</f>
        <v/>
      </c>
      <c r="T211" s="100">
        <f>S211+R211*I211</f>
        <v/>
      </c>
      <c r="U211" s="106">
        <f>S211+R211*J211</f>
        <v/>
      </c>
      <c r="V211" s="100">
        <f>U211-S211</f>
        <v/>
      </c>
      <c r="W211" s="106">
        <f>+U211-T211</f>
        <v/>
      </c>
      <c r="X211" s="107">
        <f>+U211-T211</f>
        <v/>
      </c>
      <c r="Y211" s="26" t="n"/>
    </row>
    <row r="212" ht="20" customFormat="1" customHeight="1" s="8">
      <c r="A212" s="26" t="inlineStr">
        <is>
          <t>三</t>
        </is>
      </c>
      <c r="B212" s="26" t="n"/>
      <c r="C212" s="26" t="inlineStr">
        <is>
          <t>不含税造价</t>
        </is>
      </c>
      <c r="D212" s="5" t="n"/>
      <c r="E212" s="26" t="n"/>
      <c r="F212" s="27" t="n"/>
      <c r="G212" s="100" t="n"/>
      <c r="H212" s="28" t="n"/>
      <c r="I212" s="27" t="n"/>
      <c r="J212" s="27" t="n"/>
      <c r="K212" s="27" t="n"/>
      <c r="L212" s="37" t="n"/>
      <c r="M212" s="27" t="n"/>
      <c r="N212" s="27" t="n"/>
      <c r="O212" s="37" t="n"/>
      <c r="P212" s="100" t="n"/>
      <c r="Q212" s="100" t="n"/>
      <c r="R212" s="100" t="n"/>
      <c r="S212" s="100">
        <f>+S165+S166</f>
        <v/>
      </c>
      <c r="T212" s="100">
        <f>+T165+T166</f>
        <v/>
      </c>
      <c r="U212" s="106">
        <f>+U165+U166</f>
        <v/>
      </c>
      <c r="V212" s="100">
        <f>U212-S212</f>
        <v/>
      </c>
      <c r="W212" s="106">
        <f>+U212-T212</f>
        <v/>
      </c>
      <c r="X212" s="107">
        <f>+U212-T212</f>
        <v/>
      </c>
      <c r="Y212" s="103" t="n"/>
      <c r="Z212" s="58" t="n"/>
      <c r="AA212" s="7" t="n"/>
    </row>
    <row r="213" ht="20" customFormat="1" customHeight="1" s="7">
      <c r="A213" s="26" t="inlineStr">
        <is>
          <t>四</t>
        </is>
      </c>
      <c r="B213" s="26" t="n"/>
      <c r="C213" s="26" t="inlineStr">
        <is>
          <t>税金（9%）</t>
        </is>
      </c>
      <c r="D213" s="5" t="n"/>
      <c r="E213" s="26" t="n"/>
      <c r="F213" s="27" t="n"/>
      <c r="G213" s="100" t="n"/>
      <c r="H213" s="28" t="n"/>
      <c r="I213" s="27" t="n"/>
      <c r="J213" s="27" t="n"/>
      <c r="K213" s="27" t="n"/>
      <c r="L213" s="37" t="n"/>
      <c r="M213" s="27" t="n"/>
      <c r="N213" s="27" t="n"/>
      <c r="O213" s="37" t="n"/>
      <c r="P213" s="100" t="n"/>
      <c r="Q213" s="100" t="n"/>
      <c r="R213" s="100" t="n"/>
      <c r="S213" s="100">
        <f>S212*0.09</f>
        <v/>
      </c>
      <c r="T213" s="100">
        <f>T212*0.09</f>
        <v/>
      </c>
      <c r="U213" s="106">
        <f>U212*0.09</f>
        <v/>
      </c>
      <c r="V213" s="100">
        <f>U213-S213</f>
        <v/>
      </c>
      <c r="W213" s="106">
        <f>+U213-T213</f>
        <v/>
      </c>
      <c r="X213" s="107">
        <f>+U213-T213</f>
        <v/>
      </c>
      <c r="Y213" s="103" t="n"/>
      <c r="Z213" s="58" t="n"/>
    </row>
    <row r="214" ht="20" customFormat="1" customHeight="1" s="13">
      <c r="A214" s="5" t="inlineStr">
        <is>
          <t>五</t>
        </is>
      </c>
      <c r="B214" s="5" t="n"/>
      <c r="C214" s="5" t="inlineStr">
        <is>
          <t>含税造价</t>
        </is>
      </c>
      <c r="D214" s="5" t="n"/>
      <c r="E214" s="5" t="n"/>
      <c r="F214" s="78" t="n"/>
      <c r="G214" s="74" t="n"/>
      <c r="H214" s="28" t="n"/>
      <c r="I214" s="78" t="n"/>
      <c r="J214" s="78" t="n"/>
      <c r="K214" s="78" t="n"/>
      <c r="L214" s="55" t="n"/>
      <c r="M214" s="78" t="n"/>
      <c r="N214" s="78" t="n"/>
      <c r="O214" s="55" t="n"/>
      <c r="P214" s="74" t="n"/>
      <c r="Q214" s="74" t="n"/>
      <c r="R214" s="74" t="n"/>
      <c r="S214" s="74">
        <f>S212+S213</f>
        <v/>
      </c>
      <c r="T214" s="74">
        <f>T212+T213</f>
        <v/>
      </c>
      <c r="U214" s="82">
        <f>U212+U213</f>
        <v/>
      </c>
      <c r="V214" s="100">
        <f>U214-S214</f>
        <v/>
      </c>
      <c r="W214" s="106">
        <f>+U214-T214</f>
        <v/>
      </c>
      <c r="X214" s="107">
        <f>+U214-T214</f>
        <v/>
      </c>
      <c r="Y214" s="79" t="n"/>
      <c r="Z214" s="60" t="n"/>
    </row>
    <row r="215" ht="20" customFormat="1" customHeight="1" s="13">
      <c r="A215" s="5" t="n"/>
      <c r="B215" s="5" t="n"/>
      <c r="C215" s="5" t="n"/>
      <c r="D215" s="5" t="n"/>
      <c r="E215" s="5" t="n"/>
      <c r="F215" s="27" t="n"/>
      <c r="G215" s="27" t="n"/>
      <c r="H215" s="28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106" t="n"/>
      <c r="V215" s="100" t="n"/>
      <c r="W215" s="106" t="n"/>
      <c r="X215" s="107" t="n"/>
      <c r="Y215" s="26" t="n"/>
    </row>
    <row r="216" ht="20" customFormat="1" customHeight="1" s="14">
      <c r="A216" s="5" t="n"/>
      <c r="B216" s="5" t="n"/>
      <c r="C216" s="5" t="n"/>
      <c r="D216" s="5" t="n"/>
      <c r="E216" s="5" t="n"/>
      <c r="F216" s="27" t="n"/>
      <c r="G216" s="27" t="n"/>
      <c r="H216" s="28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106" t="n"/>
      <c r="V216" s="100" t="n"/>
      <c r="W216" s="106" t="n"/>
      <c r="X216" s="107" t="n"/>
      <c r="Y216" s="26" t="n"/>
    </row>
    <row r="217" ht="20" customFormat="1" customHeight="1" s="7">
      <c r="A217" s="5" t="n"/>
      <c r="B217" s="5" t="n"/>
      <c r="C217" s="5" t="n"/>
      <c r="D217" s="5" t="n"/>
      <c r="E217" s="5" t="n"/>
      <c r="F217" s="27" t="n"/>
      <c r="G217" s="27" t="n"/>
      <c r="H217" s="28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106" t="n"/>
      <c r="V217" s="100" t="n"/>
      <c r="W217" s="106" t="n"/>
      <c r="X217" s="107" t="n"/>
      <c r="Y217" s="26" t="n"/>
    </row>
    <row r="218" ht="20" customFormat="1" customHeight="1" s="7">
      <c r="A218" s="5" t="n"/>
      <c r="B218" s="5" t="n"/>
      <c r="C218" s="5" t="n"/>
      <c r="D218" s="5" t="n"/>
      <c r="E218" s="5" t="n"/>
      <c r="F218" s="27" t="n"/>
      <c r="G218" s="27" t="n"/>
      <c r="H218" s="28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106" t="n"/>
      <c r="V218" s="100" t="n"/>
      <c r="W218" s="106" t="n"/>
      <c r="X218" s="107" t="n"/>
      <c r="Y218" s="26" t="n"/>
    </row>
    <row r="219" ht="20" customFormat="1" customHeight="1" s="7">
      <c r="A219" s="5" t="n"/>
      <c r="B219" s="5" t="n"/>
      <c r="C219" s="5" t="n"/>
      <c r="D219" s="5" t="n"/>
      <c r="E219" s="5" t="n"/>
      <c r="F219" s="27" t="n"/>
      <c r="G219" s="27" t="n"/>
      <c r="H219" s="28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106" t="n"/>
      <c r="V219" s="100" t="n"/>
      <c r="W219" s="106" t="n"/>
      <c r="X219" s="107" t="n"/>
      <c r="Y219" s="26" t="n"/>
    </row>
    <row r="220" ht="20" customFormat="1" customHeight="1" s="7">
      <c r="A220" s="5" t="n"/>
      <c r="B220" s="5" t="n"/>
      <c r="C220" s="5" t="n"/>
      <c r="D220" s="5" t="n"/>
      <c r="E220" s="5" t="n"/>
      <c r="F220" s="27" t="n"/>
      <c r="G220" s="27" t="n"/>
      <c r="H220" s="28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106" t="n"/>
      <c r="V220" s="100" t="n"/>
      <c r="W220" s="106" t="n"/>
      <c r="X220" s="107" t="n"/>
      <c r="Y220" s="26" t="n"/>
    </row>
    <row r="221" ht="20" customFormat="1" customHeight="1" s="7">
      <c r="A221" s="5" t="n"/>
      <c r="B221" s="5" t="n"/>
      <c r="C221" s="5" t="n"/>
      <c r="D221" s="5" t="n"/>
      <c r="E221" s="5" t="n"/>
      <c r="F221" s="27" t="n"/>
      <c r="G221" s="27" t="n"/>
      <c r="H221" s="28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106" t="n"/>
      <c r="V221" s="100" t="n"/>
      <c r="W221" s="106" t="n"/>
      <c r="X221" s="56">
        <f>X214/T214</f>
        <v/>
      </c>
      <c r="Y221" s="26" t="n"/>
    </row>
    <row r="222" ht="20" customFormat="1" customHeight="1" s="7">
      <c r="A222" s="5" t="n"/>
      <c r="B222" s="5" t="n"/>
      <c r="C222" s="5" t="n"/>
      <c r="D222" s="5" t="n"/>
      <c r="E222" s="5" t="n"/>
      <c r="F222" s="27" t="n"/>
      <c r="G222" s="27" t="n"/>
      <c r="H222" s="28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106" t="n"/>
      <c r="V222" s="100" t="n"/>
      <c r="W222" s="106" t="n"/>
      <c r="X222" s="107" t="n"/>
      <c r="Y222" s="26" t="n"/>
    </row>
    <row r="223" ht="20" customFormat="1" customHeight="1" s="7">
      <c r="A223" s="5" t="n"/>
      <c r="B223" s="5" t="n"/>
      <c r="C223" s="5" t="n"/>
      <c r="D223" s="5" t="n"/>
      <c r="E223" s="5" t="n"/>
      <c r="F223" s="27" t="n"/>
      <c r="G223" s="27" t="n"/>
      <c r="H223" s="28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106" t="n"/>
      <c r="V223" s="100" t="n"/>
      <c r="W223" s="106" t="n"/>
      <c r="X223" s="107" t="n"/>
      <c r="Y223" s="26" t="n"/>
    </row>
    <row r="224" ht="20" customFormat="1" customHeight="1" s="7">
      <c r="A224" s="5" t="n"/>
      <c r="B224" s="5" t="n"/>
      <c r="C224" s="5" t="n"/>
      <c r="D224" s="5" t="n"/>
      <c r="E224" s="5" t="n"/>
      <c r="F224" s="27" t="n"/>
      <c r="G224" s="27" t="n"/>
      <c r="H224" s="28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106" t="n"/>
      <c r="V224" s="100" t="n"/>
      <c r="W224" s="106" t="n"/>
      <c r="X224" s="107" t="n"/>
      <c r="Y224" s="26" t="n"/>
    </row>
    <row r="225" ht="20" customFormat="1" customHeight="1" s="7">
      <c r="A225" s="5" t="n"/>
      <c r="B225" s="5" t="n"/>
      <c r="C225" s="5" t="n"/>
      <c r="D225" s="5" t="n"/>
      <c r="E225" s="5" t="n"/>
      <c r="F225" s="27" t="n"/>
      <c r="G225" s="27" t="n"/>
      <c r="H225" s="28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106" t="n"/>
      <c r="V225" s="100" t="n"/>
      <c r="W225" s="106" t="n"/>
      <c r="X225" s="107" t="n"/>
      <c r="Y225" s="26" t="n"/>
    </row>
    <row r="226" ht="20" customFormat="1" customHeight="1" s="7">
      <c r="A226" s="5" t="n"/>
      <c r="B226" s="5" t="n"/>
      <c r="C226" s="5" t="n"/>
      <c r="D226" s="5" t="n"/>
      <c r="E226" s="5" t="n"/>
      <c r="F226" s="27" t="n"/>
      <c r="G226" s="27" t="n"/>
      <c r="H226" s="28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106" t="n"/>
      <c r="V226" s="100" t="n"/>
      <c r="W226" s="106" t="n"/>
      <c r="X226" s="107" t="n"/>
      <c r="Y226" s="26" t="n"/>
    </row>
    <row r="227" ht="20" customFormat="1" customHeight="1" s="7">
      <c r="A227" s="5" t="n"/>
      <c r="B227" s="5" t="n"/>
      <c r="C227" s="5" t="n"/>
      <c r="D227" s="5" t="n"/>
      <c r="E227" s="5" t="n"/>
      <c r="F227" s="27" t="n"/>
      <c r="G227" s="27" t="n"/>
      <c r="H227" s="28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106" t="n"/>
      <c r="V227" s="100" t="n"/>
      <c r="W227" s="106" t="n"/>
      <c r="X227" s="107" t="n"/>
      <c r="Y227" s="26" t="n"/>
    </row>
    <row r="228" ht="20" customFormat="1" customHeight="1" s="7">
      <c r="A228" s="5" t="n"/>
      <c r="B228" s="5" t="n"/>
      <c r="C228" s="5" t="n"/>
      <c r="D228" s="5" t="n"/>
      <c r="E228" s="5" t="n"/>
      <c r="F228" s="27" t="n"/>
      <c r="G228" s="27" t="n"/>
      <c r="H228" s="28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106" t="n"/>
      <c r="V228" s="100" t="n"/>
      <c r="W228" s="106" t="n"/>
      <c r="X228" s="107" t="n"/>
      <c r="Y228" s="26" t="n"/>
    </row>
    <row r="229" ht="20" customFormat="1" customHeight="1" s="7">
      <c r="A229" s="5" t="n"/>
      <c r="B229" s="5" t="n"/>
      <c r="C229" s="5" t="n"/>
      <c r="D229" s="5" t="n"/>
      <c r="E229" s="5" t="n"/>
      <c r="F229" s="27" t="n"/>
      <c r="G229" s="27" t="n"/>
      <c r="H229" s="28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106" t="n"/>
      <c r="V229" s="100" t="n"/>
      <c r="W229" s="106" t="n"/>
      <c r="X229" s="107" t="n"/>
      <c r="Y229" s="26" t="n"/>
    </row>
    <row r="230" ht="20" customFormat="1" customHeight="1" s="7">
      <c r="A230" s="5" t="n"/>
      <c r="B230" s="5" t="n"/>
      <c r="C230" s="5" t="n"/>
      <c r="D230" s="5" t="n"/>
      <c r="E230" s="5" t="n"/>
      <c r="F230" s="27" t="n"/>
      <c r="G230" s="27" t="n"/>
      <c r="H230" s="28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106" t="n"/>
      <c r="V230" s="100" t="n"/>
      <c r="W230" s="106" t="n"/>
      <c r="X230" s="107" t="n"/>
      <c r="Y230" s="26" t="n"/>
    </row>
    <row r="231" ht="20" customFormat="1" customHeight="1" s="7">
      <c r="A231" s="5" t="n"/>
      <c r="B231" s="5" t="n"/>
      <c r="C231" s="5" t="n"/>
      <c r="D231" s="5" t="n"/>
      <c r="E231" s="5" t="n"/>
      <c r="F231" s="27" t="n"/>
      <c r="G231" s="27" t="n"/>
      <c r="H231" s="28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106" t="n"/>
      <c r="V231" s="100" t="n"/>
      <c r="W231" s="106" t="n"/>
      <c r="X231" s="107" t="n"/>
      <c r="Y231" s="26" t="n"/>
    </row>
    <row r="232" ht="20" customFormat="1" customHeight="1" s="7">
      <c r="A232" s="5" t="n"/>
      <c r="B232" s="5" t="n"/>
      <c r="C232" s="5" t="n"/>
      <c r="D232" s="5" t="n"/>
      <c r="E232" s="5" t="n"/>
      <c r="F232" s="27" t="n"/>
      <c r="G232" s="27" t="n"/>
      <c r="H232" s="28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106" t="n"/>
      <c r="V232" s="100" t="n"/>
      <c r="W232" s="106" t="n"/>
      <c r="X232" s="107" t="n"/>
      <c r="Y232" s="26" t="n"/>
    </row>
    <row r="233" ht="20" customFormat="1" customHeight="1" s="7">
      <c r="A233" s="5" t="n"/>
      <c r="B233" s="5" t="n"/>
      <c r="C233" s="5" t="n"/>
      <c r="D233" s="5" t="n"/>
      <c r="E233" s="5" t="n"/>
      <c r="F233" s="27" t="n"/>
      <c r="G233" s="27" t="n"/>
      <c r="H233" s="28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106" t="n"/>
      <c r="V233" s="100" t="n"/>
      <c r="W233" s="106" t="n"/>
      <c r="X233" s="107" t="n"/>
      <c r="Y233" s="26" t="n"/>
    </row>
    <row r="234" ht="20" customFormat="1" customHeight="1" s="7">
      <c r="A234" s="5" t="n"/>
      <c r="B234" s="5" t="n"/>
      <c r="C234" s="5" t="n"/>
      <c r="D234" s="5" t="n"/>
      <c r="E234" s="5" t="n"/>
      <c r="F234" s="27" t="n"/>
      <c r="G234" s="27" t="n"/>
      <c r="H234" s="28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106" t="n"/>
      <c r="V234" s="100" t="n"/>
      <c r="W234" s="106" t="n"/>
      <c r="X234" s="107" t="n"/>
      <c r="Y234" s="26" t="n"/>
    </row>
    <row r="235" ht="20" customFormat="1" customHeight="1" s="7">
      <c r="A235" s="5" t="n"/>
      <c r="B235" s="5" t="n"/>
      <c r="C235" s="5" t="n"/>
      <c r="D235" s="5" t="n"/>
      <c r="E235" s="5" t="n"/>
      <c r="F235" s="27" t="n"/>
      <c r="G235" s="27" t="n"/>
      <c r="H235" s="28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106" t="n"/>
      <c r="V235" s="100" t="n"/>
      <c r="W235" s="106" t="n"/>
      <c r="X235" s="107" t="n"/>
      <c r="Y235" s="26" t="n"/>
    </row>
    <row r="236" ht="20" customFormat="1" customHeight="1" s="7">
      <c r="A236" s="5" t="n"/>
      <c r="B236" s="5" t="n"/>
      <c r="C236" s="5" t="n"/>
      <c r="D236" s="5" t="n"/>
      <c r="E236" s="5" t="n"/>
      <c r="F236" s="27" t="n"/>
      <c r="G236" s="27" t="n"/>
      <c r="H236" s="28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106" t="n"/>
      <c r="V236" s="100" t="n"/>
      <c r="W236" s="106" t="n"/>
      <c r="X236" s="107" t="n"/>
      <c r="Y236" s="26" t="n"/>
    </row>
    <row r="237" ht="20" customFormat="1" customHeight="1" s="7">
      <c r="A237" s="5" t="n"/>
      <c r="B237" s="5" t="n"/>
      <c r="C237" s="5" t="n"/>
      <c r="D237" s="5" t="n"/>
      <c r="E237" s="5" t="n"/>
      <c r="F237" s="27" t="n"/>
      <c r="G237" s="27" t="n"/>
      <c r="H237" s="28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106" t="n"/>
      <c r="V237" s="100" t="n"/>
      <c r="W237" s="106" t="n"/>
      <c r="X237" s="107" t="n"/>
      <c r="Y237" s="26" t="n"/>
    </row>
    <row r="238" ht="20" customFormat="1" customHeight="1" s="7">
      <c r="A238" s="5" t="n"/>
      <c r="B238" s="5" t="n"/>
      <c r="C238" s="5" t="n"/>
      <c r="D238" s="5" t="n"/>
      <c r="E238" s="5" t="n"/>
      <c r="F238" s="27" t="n"/>
      <c r="G238" s="27" t="n"/>
      <c r="H238" s="28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106" t="n"/>
      <c r="V238" s="100" t="n"/>
      <c r="W238" s="106" t="n"/>
      <c r="X238" s="107" t="n"/>
      <c r="Y238" s="26" t="n"/>
    </row>
    <row r="239" ht="20" customFormat="1" customHeight="1" s="7">
      <c r="A239" s="5" t="n"/>
      <c r="B239" s="5" t="n"/>
      <c r="C239" s="5" t="n"/>
      <c r="D239" s="5" t="n"/>
      <c r="E239" s="5" t="n"/>
      <c r="F239" s="27" t="n"/>
      <c r="G239" s="27" t="n"/>
      <c r="H239" s="28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106" t="n"/>
      <c r="V239" s="100" t="n"/>
      <c r="W239" s="106" t="n"/>
      <c r="X239" s="107" t="n"/>
      <c r="Y239" s="26" t="n"/>
    </row>
    <row r="240" ht="20" customFormat="1" customHeight="1" s="7">
      <c r="A240" s="5" t="n"/>
      <c r="B240" s="5" t="n"/>
      <c r="C240" s="5" t="n"/>
      <c r="D240" s="5" t="n"/>
      <c r="E240" s="5" t="n"/>
      <c r="F240" s="27" t="n"/>
      <c r="G240" s="27" t="n"/>
      <c r="H240" s="28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106" t="n"/>
      <c r="V240" s="100" t="n"/>
      <c r="W240" s="106" t="n"/>
      <c r="X240" s="107" t="n"/>
      <c r="Y240" s="26" t="n"/>
    </row>
    <row r="241" ht="20" customFormat="1" customHeight="1" s="7">
      <c r="A241" s="5" t="n"/>
      <c r="B241" s="5" t="n"/>
      <c r="C241" s="5" t="n"/>
      <c r="D241" s="5" t="n"/>
      <c r="E241" s="5" t="n"/>
      <c r="F241" s="27" t="n"/>
      <c r="G241" s="27" t="n"/>
      <c r="H241" s="28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106" t="n"/>
      <c r="V241" s="100" t="n"/>
      <c r="W241" s="106" t="n"/>
      <c r="X241" s="107" t="n"/>
      <c r="Y241" s="26" t="n"/>
    </row>
    <row r="242" ht="20" customFormat="1" customHeight="1" s="7">
      <c r="A242" s="5" t="n"/>
      <c r="B242" s="5" t="n"/>
      <c r="C242" s="5" t="n"/>
      <c r="D242" s="5" t="n"/>
      <c r="E242" s="5" t="n"/>
      <c r="F242" s="27" t="n"/>
      <c r="G242" s="27" t="n"/>
      <c r="H242" s="28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106" t="n"/>
      <c r="V242" s="100" t="n"/>
      <c r="W242" s="106" t="n"/>
      <c r="X242" s="107" t="n"/>
      <c r="Y242" s="26" t="n"/>
    </row>
    <row r="243" ht="20" customFormat="1" customHeight="1" s="7">
      <c r="A243" s="5" t="n"/>
      <c r="B243" s="5" t="n"/>
      <c r="C243" s="5" t="n"/>
      <c r="D243" s="5" t="n"/>
      <c r="E243" s="5" t="n"/>
      <c r="F243" s="27" t="n"/>
      <c r="G243" s="27" t="n"/>
      <c r="H243" s="28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106" t="n"/>
      <c r="V243" s="100" t="n"/>
      <c r="W243" s="106" t="n"/>
      <c r="X243" s="107" t="n"/>
      <c r="Y243" s="26" t="n"/>
    </row>
    <row r="244" ht="20" customFormat="1" customHeight="1" s="7">
      <c r="A244" s="5" t="n"/>
      <c r="B244" s="5" t="n"/>
      <c r="C244" s="5" t="n"/>
      <c r="D244" s="5" t="n"/>
      <c r="E244" s="5" t="n"/>
      <c r="F244" s="27" t="n"/>
      <c r="G244" s="27" t="n"/>
      <c r="H244" s="28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106" t="n"/>
      <c r="V244" s="100" t="n"/>
      <c r="W244" s="106" t="n"/>
      <c r="X244" s="107" t="n"/>
      <c r="Y244" s="26" t="n"/>
    </row>
    <row r="245" ht="20" customFormat="1" customHeight="1" s="7">
      <c r="A245" s="5" t="n"/>
      <c r="B245" s="5" t="n"/>
      <c r="C245" s="5" t="n"/>
      <c r="D245" s="5" t="n"/>
      <c r="E245" s="5" t="n"/>
      <c r="F245" s="27" t="n"/>
      <c r="G245" s="27" t="n"/>
      <c r="H245" s="96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106" t="n"/>
      <c r="V245" s="100" t="n"/>
      <c r="W245" s="106" t="n"/>
      <c r="X245" s="107" t="n"/>
      <c r="Y245" s="26" t="n"/>
    </row>
    <row r="246" ht="12" customFormat="1" customHeight="1" s="7"/>
    <row r="247" customFormat="1" s="7"/>
  </sheetData>
  <mergeCells count="4">
    <mergeCell ref="E2:F2"/>
    <mergeCell ref="M2:Y2"/>
    <mergeCell ref="A2:D2"/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1.25"/>
  <cols>
    <col width="32.7555555555556" customWidth="1" style="1" min="1" max="1"/>
    <col width="16.6" customWidth="1" style="1" min="2" max="2"/>
    <col width="60" customWidth="1" style="1" min="3" max="3"/>
    <col width="8.1" customWidth="1" style="1" min="4" max="4"/>
    <col width="11.5" customWidth="1" style="1" min="5" max="6"/>
    <col width="16.6" customWidth="1" style="1" min="7" max="7"/>
  </cols>
  <sheetData>
    <row r="1" ht="33" customHeight="1" s="1">
      <c r="A1" s="2" t="inlineStr">
        <is>
          <t>列名</t>
        </is>
      </c>
      <c r="B1" s="2" t="inlineStr">
        <is>
          <t>合并类型</t>
        </is>
      </c>
      <c r="C1" s="2" t="inlineStr">
        <is>
          <t>来源表</t>
        </is>
      </c>
      <c r="D1" s="2" t="inlineStr">
        <is>
          <t>总行数</t>
        </is>
      </c>
      <c r="E1" s="2" t="inlineStr">
        <is>
          <t>有数据行数</t>
        </is>
      </c>
      <c r="F1" s="2" t="inlineStr">
        <is>
          <t>数据覆盖率</t>
        </is>
      </c>
      <c r="G1" s="2" t="inlineStr">
        <is>
          <t>处理结果</t>
        </is>
      </c>
    </row>
    <row r="2" ht="20" customHeight="1" s="1">
      <c r="A2" s="3" t="inlineStr">
        <is>
          <t>序号</t>
        </is>
      </c>
      <c r="B2" s="4" t="inlineStr">
        <is>
          <t>同名列（纵向拼接）</t>
        </is>
      </c>
      <c r="C2" s="3" t="inlineStr">
        <is>
          <t>表-08 分部分项工程和单价措施项目清单-综合楼、表-08 分部分项工程和单价措施项目清单-教学楼</t>
        </is>
      </c>
      <c r="D2" s="3" t="n">
        <v>469</v>
      </c>
      <c r="E2" s="3" t="n">
        <v>469</v>
      </c>
      <c r="F2" s="4" t="inlineStr">
        <is>
          <t>100.0%</t>
        </is>
      </c>
      <c r="G2" s="4" t="inlineStr">
        <is>
          <t>保留</t>
        </is>
      </c>
    </row>
    <row r="3" ht="20" customHeight="1" s="1">
      <c r="A3" s="3" t="inlineStr">
        <is>
          <t>业态</t>
        </is>
      </c>
      <c r="B3" s="4" t="inlineStr">
        <is>
          <t>同名列（纵向拼接）</t>
        </is>
      </c>
      <c r="C3" s="3" t="inlineStr">
        <is>
          <t>表-08 分部分项工程和单价措施项目清单-综合楼、表-08 分部分项工程和单价措施项目清单-教学楼</t>
        </is>
      </c>
      <c r="D3" s="3" t="n">
        <v>469</v>
      </c>
      <c r="E3" s="3" t="n">
        <v>469</v>
      </c>
      <c r="F3" s="4" t="inlineStr">
        <is>
          <t>100.0%</t>
        </is>
      </c>
      <c r="G3" s="4" t="inlineStr">
        <is>
          <t>保留</t>
        </is>
      </c>
    </row>
    <row r="4" ht="20" customHeight="1" s="1">
      <c r="A4" s="3" t="inlineStr">
        <is>
          <t>项目编码</t>
        </is>
      </c>
      <c r="B4" s="4" t="inlineStr">
        <is>
          <t>同名列（纵向拼接）</t>
        </is>
      </c>
      <c r="C4" s="3" t="inlineStr">
        <is>
          <t>表-08 分部分项工程和单价措施项目清单-综合楼、表-08 分部分项工程和单价措施项目清单-教学楼</t>
        </is>
      </c>
      <c r="D4" s="3" t="n">
        <v>469</v>
      </c>
      <c r="E4" s="3" t="n">
        <v>431</v>
      </c>
      <c r="F4" s="4" t="inlineStr">
        <is>
          <t>91.9%</t>
        </is>
      </c>
      <c r="G4" s="4" t="inlineStr">
        <is>
          <t>保留</t>
        </is>
      </c>
    </row>
    <row r="5" ht="20" customHeight="1" s="1">
      <c r="A5" s="3" t="inlineStr">
        <is>
          <t>项目名称</t>
        </is>
      </c>
      <c r="B5" s="4" t="inlineStr">
        <is>
          <t>同名列（纵向拼接）</t>
        </is>
      </c>
      <c r="C5" s="3" t="inlineStr">
        <is>
          <t>表-08 分部分项工程和单价措施项目清单-综合楼、表-08 分部分项工程和单价措施项目清单-教学楼</t>
        </is>
      </c>
      <c r="D5" s="3" t="n">
        <v>469</v>
      </c>
      <c r="E5" s="3" t="n">
        <v>469</v>
      </c>
      <c r="F5" s="4" t="inlineStr">
        <is>
          <t>100.0%</t>
        </is>
      </c>
      <c r="G5" s="4" t="inlineStr">
        <is>
          <t>保留</t>
        </is>
      </c>
    </row>
    <row r="6" ht="20" customHeight="1" s="1">
      <c r="A6" s="3" t="inlineStr">
        <is>
          <t>项目特征描述</t>
        </is>
      </c>
      <c r="B6" s="4" t="inlineStr">
        <is>
          <t>同名列（纵向拼接）</t>
        </is>
      </c>
      <c r="C6" s="3" t="inlineStr">
        <is>
          <t>表-08 分部分项工程和单价措施项目清单-综合楼、表-08 分部分项工程和单价措施项目清单-教学楼</t>
        </is>
      </c>
      <c r="D6" s="3" t="n">
        <v>469</v>
      </c>
      <c r="E6" s="3" t="n">
        <v>429</v>
      </c>
      <c r="F6" s="4" t="inlineStr">
        <is>
          <t>91.5%</t>
        </is>
      </c>
      <c r="G6" s="4" t="inlineStr">
        <is>
          <t>保留</t>
        </is>
      </c>
    </row>
    <row r="7" ht="20" customHeight="1" s="1">
      <c r="A7" s="3" t="inlineStr">
        <is>
          <t>计量单位</t>
        </is>
      </c>
      <c r="B7" s="4" t="inlineStr">
        <is>
          <t>同名列（纵向拼接）</t>
        </is>
      </c>
      <c r="C7" s="3" t="inlineStr">
        <is>
          <t>表-08 分部分项工程和单价措施项目清单-综合楼、表-08 分部分项工程和单价措施项目清单-教学楼</t>
        </is>
      </c>
      <c r="D7" s="3" t="n">
        <v>469</v>
      </c>
      <c r="E7" s="3" t="n">
        <v>429</v>
      </c>
      <c r="F7" s="4" t="inlineStr">
        <is>
          <t>91.5%</t>
        </is>
      </c>
      <c r="G7" s="4" t="inlineStr">
        <is>
          <t>保留</t>
        </is>
      </c>
    </row>
    <row r="8" ht="20" customHeight="1" s="1">
      <c r="A8" s="3" t="inlineStr">
        <is>
          <t>工程量_合同工程量_A</t>
        </is>
      </c>
      <c r="B8" s="4" t="inlineStr">
        <is>
          <t>同名列（纵向拼接）</t>
        </is>
      </c>
      <c r="C8" s="3" t="inlineStr">
        <is>
          <t>表-08 分部分项工程和单价措施项目清单-综合楼、表-08 分部分项工程和单价措施项目清单-教学楼</t>
        </is>
      </c>
      <c r="D8" s="3" t="n">
        <v>469</v>
      </c>
      <c r="E8" s="3" t="n">
        <v>429</v>
      </c>
      <c r="F8" s="4" t="inlineStr">
        <is>
          <t>91.5%</t>
        </is>
      </c>
      <c r="G8" s="4" t="inlineStr">
        <is>
          <t>保留</t>
        </is>
      </c>
    </row>
    <row r="9" ht="20" customHeight="1" s="1">
      <c r="A9" s="3" t="inlineStr">
        <is>
          <t>工程量_送审工程量_B</t>
        </is>
      </c>
      <c r="B9" s="4" t="inlineStr">
        <is>
          <t>同名列（纵向拼接）</t>
        </is>
      </c>
      <c r="C9" s="3" t="inlineStr">
        <is>
          <t>表-08 分部分项工程和单价措施项目清单-综合楼、表-08 分部分项工程和单价措施项目清单-教学楼</t>
        </is>
      </c>
      <c r="D9" s="3" t="n">
        <v>469</v>
      </c>
      <c r="E9" s="3" t="n">
        <v>429</v>
      </c>
      <c r="F9" s="4" t="inlineStr">
        <is>
          <t>91.5%</t>
        </is>
      </c>
      <c r="G9" s="4" t="inlineStr">
        <is>
          <t>保留</t>
        </is>
      </c>
    </row>
    <row r="10" ht="20" customHeight="1" s="1">
      <c r="A10" s="3" t="inlineStr">
        <is>
          <t>工程量_审核工程量_C</t>
        </is>
      </c>
      <c r="B10" s="4" t="inlineStr">
        <is>
          <t>同名列（纵向拼接）</t>
        </is>
      </c>
      <c r="C10" s="3" t="inlineStr">
        <is>
          <t>表-08 分部分项工程和单价措施项目清单-综合楼、表-08 分部分项工程和单价措施项目清单-教学楼</t>
        </is>
      </c>
      <c r="D10" s="3" t="n">
        <v>469</v>
      </c>
      <c r="E10" s="3" t="n">
        <v>322</v>
      </c>
      <c r="F10" s="4" t="inlineStr">
        <is>
          <t>68.7%</t>
        </is>
      </c>
      <c r="G10" s="4" t="inlineStr">
        <is>
          <t>保留</t>
        </is>
      </c>
    </row>
    <row r="11" ht="20" customHeight="1" s="1">
      <c r="A11" s="3" t="inlineStr">
        <is>
          <t>工程量_施工单位复核工程量</t>
        </is>
      </c>
      <c r="B11" s="4" t="inlineStr">
        <is>
          <t>异名列（横向新增）</t>
        </is>
      </c>
      <c r="C11" s="3" t="inlineStr">
        <is>
          <t>表-08 分部分项工程和单价措施项目清单-综合楼</t>
        </is>
      </c>
      <c r="D11" s="3" t="n">
        <v>469</v>
      </c>
      <c r="E11" s="3" t="n">
        <v>3</v>
      </c>
      <c r="F11" s="4" t="inlineStr">
        <is>
          <t>0.6%</t>
        </is>
      </c>
      <c r="G11" s="4" t="inlineStr">
        <is>
          <t>保留</t>
        </is>
      </c>
    </row>
    <row r="12" ht="20" customHeight="1" s="1">
      <c r="A12" s="3" t="inlineStr">
        <is>
          <t>工程量_送审增减工程量（±）_D=B-A</t>
        </is>
      </c>
      <c r="B12" s="4" t="inlineStr">
        <is>
          <t>同名列（纵向拼接）</t>
        </is>
      </c>
      <c r="C12" s="3" t="inlineStr">
        <is>
          <t>表-08 分部分项工程和单价措施项目清单-综合楼、表-08 分部分项工程和单价措施项目清单-教学楼</t>
        </is>
      </c>
      <c r="D12" s="3" t="n">
        <v>469</v>
      </c>
      <c r="E12" s="3" t="n">
        <v>0</v>
      </c>
      <c r="F12" s="4" t="inlineStr">
        <is>
          <t>0.0%</t>
        </is>
      </c>
      <c r="G12" s="4" t="inlineStr">
        <is>
          <t>物理删除（无数据）</t>
        </is>
      </c>
    </row>
    <row r="13" ht="20" customHeight="1" s="1">
      <c r="A13" s="3" t="inlineStr">
        <is>
          <t>工程量_增减工程量（±）_D=C-A</t>
        </is>
      </c>
      <c r="B13" s="4" t="inlineStr">
        <is>
          <t>同名列（纵向拼接）</t>
        </is>
      </c>
      <c r="C13" s="3" t="inlineStr">
        <is>
          <t>表-08 分部分项工程和单价措施项目清单-综合楼、表-08 分部分项工程和单价措施项目清单-教学楼</t>
        </is>
      </c>
      <c r="D13" s="3" t="n">
        <v>469</v>
      </c>
      <c r="E13" s="3" t="n">
        <v>0</v>
      </c>
      <c r="F13" s="4" t="inlineStr">
        <is>
          <t>0.0%</t>
        </is>
      </c>
      <c r="G13" s="4" t="inlineStr">
        <is>
          <t>物理删除（无数据）</t>
        </is>
      </c>
    </row>
    <row r="14" ht="20" customHeight="1" s="1">
      <c r="A14" s="3" t="inlineStr">
        <is>
          <t>工程量_核增减工程量（±）_E=C-B</t>
        </is>
      </c>
      <c r="B14" s="4" t="inlineStr">
        <is>
          <t>同名列（纵向拼接）</t>
        </is>
      </c>
      <c r="C14" s="3" t="inlineStr">
        <is>
          <t>表-08 分部分项工程和单价措施项目清单-综合楼、表-08 分部分项工程和单价措施项目清单-教学楼</t>
        </is>
      </c>
      <c r="D14" s="3" t="n">
        <v>469</v>
      </c>
      <c r="E14" s="3" t="n">
        <v>0</v>
      </c>
      <c r="F14" s="4" t="inlineStr">
        <is>
          <t>0.0%</t>
        </is>
      </c>
      <c r="G14" s="4" t="inlineStr">
        <is>
          <t>物理删除（无数据）</t>
        </is>
      </c>
    </row>
    <row r="15" ht="20" customHeight="1" s="1">
      <c r="A15" s="3" t="inlineStr">
        <is>
          <t>工程量_增减工程量比例（%）_E=D/A</t>
        </is>
      </c>
      <c r="B15" s="4" t="inlineStr">
        <is>
          <t>同名列（纵向拼接）</t>
        </is>
      </c>
      <c r="C15" s="3" t="inlineStr">
        <is>
          <t>表-08 分部分项工程和单价措施项目清单-综合楼、表-08 分部分项工程和单价措施项目清单-教学楼</t>
        </is>
      </c>
      <c r="D15" s="3" t="n">
        <v>469</v>
      </c>
      <c r="E15" s="3" t="n">
        <v>0</v>
      </c>
      <c r="F15" s="4" t="inlineStr">
        <is>
          <t>0.0%</t>
        </is>
      </c>
      <c r="G15" s="4" t="inlineStr">
        <is>
          <t>物理删除（无数据）</t>
        </is>
      </c>
    </row>
    <row r="16" ht="20" customHeight="1" s="1">
      <c r="A16" s="3" t="inlineStr">
        <is>
          <t>单价（元）_投标单价（元）_P0</t>
        </is>
      </c>
      <c r="B16" s="4" t="inlineStr">
        <is>
          <t>同名列（纵向拼接）</t>
        </is>
      </c>
      <c r="C16" s="3" t="inlineStr">
        <is>
          <t>表-08 分部分项工程和单价措施项目清单-综合楼、表-08 分部分项工程和单价措施项目清单-教学楼</t>
        </is>
      </c>
      <c r="D16" s="3" t="n">
        <v>469</v>
      </c>
      <c r="E16" s="3" t="n">
        <v>429</v>
      </c>
      <c r="F16" s="4" t="inlineStr">
        <is>
          <t>91.5%</t>
        </is>
      </c>
      <c r="G16" s="4" t="inlineStr">
        <is>
          <t>保留</t>
        </is>
      </c>
    </row>
    <row r="17" ht="20" customHeight="1" s="1">
      <c r="A17" s="3" t="inlineStr">
        <is>
          <t>单价（元）_预算备案单价（元）_P1</t>
        </is>
      </c>
      <c r="B17" s="4" t="inlineStr">
        <is>
          <t>同名列（纵向拼接）</t>
        </is>
      </c>
      <c r="C17" s="3" t="inlineStr">
        <is>
          <t>表-08 分部分项工程和单价措施项目清单-综合楼、表-08 分部分项工程和单价措施项目清单-教学楼</t>
        </is>
      </c>
      <c r="D17" s="3" t="n">
        <v>469</v>
      </c>
      <c r="E17" s="3" t="n">
        <v>429</v>
      </c>
      <c r="F17" s="4" t="inlineStr">
        <is>
          <t>91.5%</t>
        </is>
      </c>
      <c r="G17" s="4" t="inlineStr">
        <is>
          <t>保留</t>
        </is>
      </c>
    </row>
    <row r="18" ht="20" customHeight="1" s="1">
      <c r="A18" s="3" t="inlineStr">
        <is>
          <t>单价（元）_单价偏差率（%）_H=(P1-P0)/P1</t>
        </is>
      </c>
      <c r="B18" s="4" t="inlineStr">
        <is>
          <t>同名列（纵向拼接）</t>
        </is>
      </c>
      <c r="C18" s="3" t="inlineStr">
        <is>
          <t>表-08 分部分项工程和单价措施项目清单-综合楼、表-08 分部分项工程和单价措施项目清单-教学楼</t>
        </is>
      </c>
      <c r="D18" s="3" t="n">
        <v>469</v>
      </c>
      <c r="E18" s="3" t="n">
        <v>0</v>
      </c>
      <c r="F18" s="4" t="inlineStr">
        <is>
          <t>0.0%</t>
        </is>
      </c>
      <c r="G18" s="4" t="inlineStr">
        <is>
          <t>物理删除（无数据）</t>
        </is>
      </c>
    </row>
    <row r="19" ht="20" customHeight="1" s="1">
      <c r="A19" s="3" t="inlineStr">
        <is>
          <t>单价（元）_P1*L*(1-15%)_打印时隐藏</t>
        </is>
      </c>
      <c r="B19" s="4" t="inlineStr">
        <is>
          <t>同名列（纵向拼接）</t>
        </is>
      </c>
      <c r="C19" s="3" t="inlineStr">
        <is>
          <t>表-08 分部分项工程和单价措施项目清单-综合楼、表-08 分部分项工程和单价措施项目清单-教学楼</t>
        </is>
      </c>
      <c r="D19" s="3" t="n">
        <v>469</v>
      </c>
      <c r="E19" s="3" t="n">
        <v>0</v>
      </c>
      <c r="F19" s="4" t="inlineStr">
        <is>
          <t>0.0%</t>
        </is>
      </c>
      <c r="G19" s="4" t="inlineStr">
        <is>
          <t>物理删除（无数据）</t>
        </is>
      </c>
    </row>
    <row r="20" ht="20" customHeight="1" s="1">
      <c r="A20" s="3" t="inlineStr">
        <is>
          <t>单价（元）_P1*(1+15%)_打印时隐藏</t>
        </is>
      </c>
      <c r="B20" s="4" t="inlineStr">
        <is>
          <t>同名列（纵向拼接）</t>
        </is>
      </c>
      <c r="C20" s="3" t="inlineStr">
        <is>
          <t>表-08 分部分项工程和单价措施项目清单-综合楼、表-08 分部分项工程和单价措施项目清单-教学楼</t>
        </is>
      </c>
      <c r="D20" s="3" t="n">
        <v>469</v>
      </c>
      <c r="E20" s="3" t="n">
        <v>0</v>
      </c>
      <c r="F20" s="4" t="inlineStr">
        <is>
          <t>0.0%</t>
        </is>
      </c>
      <c r="G20" s="4" t="inlineStr">
        <is>
          <t>物理删除（无数据）</t>
        </is>
      </c>
    </row>
    <row r="21" ht="20" customHeight="1" s="1">
      <c r="A21" s="3" t="inlineStr">
        <is>
          <t>单价（元）_增减部分单价（元）_I</t>
        </is>
      </c>
      <c r="B21" s="4" t="inlineStr">
        <is>
          <t>同名列（纵向拼接）</t>
        </is>
      </c>
      <c r="C21" s="3" t="inlineStr">
        <is>
          <t>表-08 分部分项工程和单价措施项目清单-综合楼、表-08 分部分项工程和单价措施项目清单-教学楼</t>
        </is>
      </c>
      <c r="D21" s="3" t="n">
        <v>469</v>
      </c>
      <c r="E21" s="3" t="n">
        <v>0</v>
      </c>
      <c r="F21" s="4" t="inlineStr">
        <is>
          <t>0.0%</t>
        </is>
      </c>
      <c r="G21" s="4" t="inlineStr">
        <is>
          <t>物理删除（无数据）</t>
        </is>
      </c>
    </row>
    <row r="22" ht="20" customHeight="1" s="1">
      <c r="A22" s="3" t="inlineStr">
        <is>
          <t>合价（元）_合同合价（元）_J</t>
        </is>
      </c>
      <c r="B22" s="4" t="inlineStr">
        <is>
          <t>同名列（纵向拼接）</t>
        </is>
      </c>
      <c r="C22" s="3" t="inlineStr">
        <is>
          <t>表-08 分部分项工程和单价措施项目清单-综合楼、表-08 分部分项工程和单价措施项目清单-教学楼</t>
        </is>
      </c>
      <c r="D22" s="3" t="n">
        <v>469</v>
      </c>
      <c r="E22" s="3" t="n">
        <v>262</v>
      </c>
      <c r="F22" s="4" t="inlineStr">
        <is>
          <t>55.9%</t>
        </is>
      </c>
      <c r="G22" s="4" t="inlineStr">
        <is>
          <t>保留</t>
        </is>
      </c>
    </row>
    <row r="23" ht="20" customHeight="1" s="1">
      <c r="A23" s="3" t="inlineStr">
        <is>
          <t>合价（元）_结算合价（元）_K</t>
        </is>
      </c>
      <c r="B23" s="4" t="inlineStr">
        <is>
          <t>同名列（纵向拼接）</t>
        </is>
      </c>
      <c r="C23" s="3" t="inlineStr">
        <is>
          <t>表-08 分部分项工程和单价措施项目清单-综合楼、表-08 分部分项工程和单价措施项目清单-教学楼</t>
        </is>
      </c>
      <c r="D23" s="3" t="n">
        <v>469</v>
      </c>
      <c r="E23" s="3" t="n">
        <v>257</v>
      </c>
      <c r="F23" s="4" t="inlineStr">
        <is>
          <t>54.8%</t>
        </is>
      </c>
      <c r="G23" s="4" t="inlineStr">
        <is>
          <t>保留</t>
        </is>
      </c>
    </row>
    <row r="24" ht="20" customHeight="1" s="1">
      <c r="A24" s="3" t="inlineStr">
        <is>
          <t>合价（元）_审核合价（元）_L</t>
        </is>
      </c>
      <c r="B24" s="4" t="inlineStr">
        <is>
          <t>同名列（纵向拼接）</t>
        </is>
      </c>
      <c r="C24" s="3" t="inlineStr">
        <is>
          <t>表-08 分部分项工程和单价措施项目清单-综合楼、表-08 分部分项工程和单价措施项目清单-教学楼</t>
        </is>
      </c>
      <c r="D24" s="3" t="n">
        <v>469</v>
      </c>
      <c r="E24" s="3" t="n">
        <v>28</v>
      </c>
      <c r="F24" s="4" t="inlineStr">
        <is>
          <t>6.0%</t>
        </is>
      </c>
      <c r="G24" s="4" t="inlineStr">
        <is>
          <t>保留</t>
        </is>
      </c>
    </row>
    <row r="25" ht="20" customHeight="1" s="1">
      <c r="A25" s="3" t="inlineStr">
        <is>
          <t>送审增减部分金额（元）_M=K-J</t>
        </is>
      </c>
      <c r="B25" s="4" t="inlineStr">
        <is>
          <t>同名列（纵向拼接）</t>
        </is>
      </c>
      <c r="C25" s="3" t="inlineStr">
        <is>
          <t>表-08 分部分项工程和单价措施项目清单-综合楼、表-08 分部分项工程和单价措施项目清单-教学楼</t>
        </is>
      </c>
      <c r="D25" s="3" t="n">
        <v>469</v>
      </c>
      <c r="E25" s="3" t="n">
        <v>0</v>
      </c>
      <c r="F25" s="4" t="inlineStr">
        <is>
          <t>0.0%</t>
        </is>
      </c>
      <c r="G25" s="4" t="inlineStr">
        <is>
          <t>物理删除（无数据）</t>
        </is>
      </c>
    </row>
    <row r="26" ht="20" customHeight="1" s="1">
      <c r="A26" s="3" t="inlineStr">
        <is>
          <t>审核增减部分金额（元）_N</t>
        </is>
      </c>
      <c r="B26" s="4" t="inlineStr">
        <is>
          <t>同名列（纵向拼接）</t>
        </is>
      </c>
      <c r="C26" s="3" t="inlineStr">
        <is>
          <t>表-08 分部分项工程和单价措施项目清单-综合楼、表-08 分部分项工程和单价措施项目清单-教学楼</t>
        </is>
      </c>
      <c r="D26" s="3" t="n">
        <v>469</v>
      </c>
      <c r="E26" s="3" t="n">
        <v>0</v>
      </c>
      <c r="F26" s="4" t="inlineStr">
        <is>
          <t>0.0%</t>
        </is>
      </c>
      <c r="G26" s="4" t="inlineStr">
        <is>
          <t>物理删除（无数据）</t>
        </is>
      </c>
    </row>
    <row r="27" ht="20" customHeight="1" s="1">
      <c r="A27" s="3" t="inlineStr">
        <is>
          <t>核增减金额（元）_O</t>
        </is>
      </c>
      <c r="B27" s="4" t="inlineStr">
        <is>
          <t>同名列（纵向拼接）</t>
        </is>
      </c>
      <c r="C27" s="3" t="inlineStr">
        <is>
          <t>表-08 分部分项工程和单价措施项目清单-综合楼、表-08 分部分项工程和单价措施项目清单-教学楼</t>
        </is>
      </c>
      <c r="D27" s="3" t="n">
        <v>469</v>
      </c>
      <c r="E27" s="3" t="n">
        <v>0</v>
      </c>
      <c r="F27" s="4" t="inlineStr">
        <is>
          <t>0.0%</t>
        </is>
      </c>
      <c r="G27" s="4" t="inlineStr">
        <is>
          <t>物理删除（无数据）</t>
        </is>
      </c>
    </row>
    <row r="28" ht="20" customHeight="1" s="1">
      <c r="A28" s="3" t="inlineStr">
        <is>
          <t>备注</t>
        </is>
      </c>
      <c r="B28" s="4" t="inlineStr">
        <is>
          <t>同名列（纵向拼接）</t>
        </is>
      </c>
      <c r="C28" s="3" t="inlineStr">
        <is>
          <t>表-08 分部分项工程和单价措施项目清单-综合楼、表-08 分部分项工程和单价措施项目清单-教学楼</t>
        </is>
      </c>
      <c r="D28" s="3" t="n">
        <v>469</v>
      </c>
      <c r="E28" s="3" t="n">
        <v>22</v>
      </c>
      <c r="F28" s="4" t="inlineStr">
        <is>
          <t>4.7%</t>
        </is>
      </c>
      <c r="G28" s="4" t="inlineStr">
        <is>
          <t>保留</t>
        </is>
      </c>
    </row>
    <row r="29" ht="20" customHeight="1" s="1">
      <c r="A29" s="3" t="inlineStr">
        <is>
          <t>扩展列_1</t>
        </is>
      </c>
      <c r="B29" s="4" t="inlineStr">
        <is>
          <t>异名列（横向新增）</t>
        </is>
      </c>
      <c r="C29" s="3" t="inlineStr">
        <is>
          <t>表-08 分部分项工程和单价措施项目清单-综合楼</t>
        </is>
      </c>
      <c r="D29" s="3" t="n">
        <v>469</v>
      </c>
      <c r="E29" s="3" t="n">
        <v>18</v>
      </c>
      <c r="F29" s="4" t="inlineStr">
        <is>
          <t>3.8%</t>
        </is>
      </c>
      <c r="G29" s="4" t="inlineStr">
        <is>
          <t>保留</t>
        </is>
      </c>
    </row>
    <row r="30" ht="20" customHeight="1" s="1">
      <c r="A30" s="3" t="inlineStr">
        <is>
          <t>扩展列_2</t>
        </is>
      </c>
      <c r="B30" s="4" t="inlineStr">
        <is>
          <t>异名列（横向新增）</t>
        </is>
      </c>
      <c r="C30" s="3" t="inlineStr">
        <is>
          <t>表-08 分部分项工程和单价措施项目清单-综合楼</t>
        </is>
      </c>
      <c r="D30" s="3" t="n">
        <v>469</v>
      </c>
      <c r="E30" s="3" t="n">
        <v>1</v>
      </c>
      <c r="F30" s="4" t="inlineStr">
        <is>
          <t>0.2%</t>
        </is>
      </c>
      <c r="G30" s="4" t="inlineStr">
        <is>
          <t>保留</t>
        </is>
      </c>
    </row>
    <row r="31" ht="20" customHeight="1" s="1">
      <c r="A31" s="3" t="inlineStr">
        <is>
          <t>扩展列_3</t>
        </is>
      </c>
      <c r="B31" s="4" t="inlineStr">
        <is>
          <t>异名列（横向新增）</t>
        </is>
      </c>
      <c r="C31" s="3" t="inlineStr">
        <is>
          <t>表-08 分部分项工程和单价措施项目清单-综合楼</t>
        </is>
      </c>
      <c r="D31" s="3" t="n">
        <v>469</v>
      </c>
      <c r="E31" s="3" t="n">
        <v>1</v>
      </c>
      <c r="F31" s="4" t="inlineStr">
        <is>
          <t>0.2%</t>
        </is>
      </c>
      <c r="G31" s="4" t="inlineStr">
        <is>
          <t>保留</t>
        </is>
      </c>
    </row>
    <row r="32" ht="20" customHeight="1" s="1">
      <c r="A32" s="3" t="inlineStr">
        <is>
          <t>扩展列_4</t>
        </is>
      </c>
      <c r="B32" s="4" t="inlineStr">
        <is>
          <t>异名列（横向新增）</t>
        </is>
      </c>
      <c r="C32" s="3" t="inlineStr">
        <is>
          <t>表-08 分部分项工程和单价措施项目清单-综合楼</t>
        </is>
      </c>
      <c r="D32" s="3" t="n">
        <v>469</v>
      </c>
      <c r="E32" s="3" t="n">
        <v>2</v>
      </c>
      <c r="F32" s="4" t="inlineStr">
        <is>
          <t>0.4%</t>
        </is>
      </c>
      <c r="G32" s="4" t="inlineStr">
        <is>
          <t>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2024-05-23T09:30:00Z</dcterms:created>
  <dcterms:modified xmlns:dcterms="http://purl.org/dc/terms/" xmlns:xsi="http://www.w3.org/2001/XMLSchema-instance" xsi:type="dcterms:W3CDTF">2026-05-30T11:34:35Z</dcterms:modified>
  <cp:lastModifiedBy>MR.wang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72587A5E18BB442DBB10D6AF90649885_13</vt:lpwstr>
  </property>
  <property name="KSOProductBuildVer" fmtid="{D5CDD505-2E9C-101B-9397-08002B2CF9AE}" pid="3">
    <vt:lpwstr xmlns:vt="http://schemas.openxmlformats.org/officeDocument/2006/docPropsVTypes">2052-12.1.0.20305</vt:lpwstr>
  </property>
  <property name="KSOReadingLayout" fmtid="{D5CDD505-2E9C-101B-9397-08002B2CF9AE}" pid="4">
    <vt:bool xmlns:vt="http://schemas.openxmlformats.org/officeDocument/2006/docPropsVTypes">0</vt:bool>
  </property>
</Properties>
</file>