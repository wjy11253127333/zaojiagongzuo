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表-08 分部分项工程和单价措施项目清单-教学楼" sheetId="1" r:id="rId1"/>
  </sheets>
  <definedNames>
    <definedName name="_xlnm._FilterDatabase" localSheetId="0" hidden="1">'表-08 分部分项工程和单价措施项目清单-教学楼'!$A$4:$AA$216</definedName>
    <definedName name="_xlnm.Print_Area" localSheetId="0">'表-08 分部分项工程和单价措施项目清单-教学楼'!$A$1:$Y$216</definedName>
    <definedName name="_xlnm.Print_Titles" localSheetId="0">'表-08 分部分项工程和单价措施项目清单-教学楼'!$1:$5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<sst xmlns="http://schemas.openxmlformats.org/spreadsheetml/2006/main" count="840" uniqueCount="585">
  <si>
    <t>工程量偏差或漏项对比表</t>
  </si>
  <si>
    <t>工程名称：教学楼</t>
  </si>
  <si>
    <t>序号</t>
  </si>
  <si>
    <t>项目编码</t>
  </si>
  <si>
    <t>项目名称</t>
  </si>
  <si>
    <t>项目特征描述</t>
  </si>
  <si>
    <t>计量单位</t>
  </si>
  <si>
    <t>工程量</t>
  </si>
  <si>
    <t>单价（元）</t>
  </si>
  <si>
    <t>合价（元）</t>
  </si>
  <si>
    <t>送审增减部分金额（元）</t>
  </si>
  <si>
    <t>审核增减部分金额（元）</t>
  </si>
  <si>
    <t>核增减金额（元）</t>
  </si>
  <si>
    <t>备注</t>
  </si>
  <si>
    <t>合同工程量</t>
  </si>
  <si>
    <t>送审工程量</t>
  </si>
  <si>
    <t>审核工程量</t>
  </si>
  <si>
    <t>送审增减工程量（±）</t>
  </si>
  <si>
    <t>增减工程量（±）</t>
  </si>
  <si>
    <t>核增减工程量（±）</t>
  </si>
  <si>
    <t>增减工程量比例（%）</t>
  </si>
  <si>
    <t>投标单价 （元）</t>
  </si>
  <si>
    <t>预算备案单价（元）</t>
  </si>
  <si>
    <t>单价偏差率（%）</t>
  </si>
  <si>
    <t>P1*L*(1-15%)</t>
  </si>
  <si>
    <t>P1*(1+15%)</t>
  </si>
  <si>
    <t>增减部分单价（元）</t>
  </si>
  <si>
    <t>合同合价（元）</t>
  </si>
  <si>
    <t>结算合价（元）</t>
  </si>
  <si>
    <t>审核合价（元）</t>
  </si>
  <si>
    <t>A</t>
  </si>
  <si>
    <t>B</t>
  </si>
  <si>
    <t>C</t>
  </si>
  <si>
    <t>D=B-A</t>
  </si>
  <si>
    <t>D=C-A</t>
  </si>
  <si>
    <t>E=C-B</t>
  </si>
  <si>
    <t>E=D/A</t>
  </si>
  <si>
    <t>P0</t>
  </si>
  <si>
    <t>P1</t>
  </si>
  <si>
    <t>H=(P1-P0)/P1</t>
  </si>
  <si>
    <t>打印时隐藏</t>
  </si>
  <si>
    <t>I</t>
  </si>
  <si>
    <t>J</t>
  </si>
  <si>
    <t>K</t>
  </si>
  <si>
    <t>L</t>
  </si>
  <si>
    <t>M=K-J</t>
  </si>
  <si>
    <t>N</t>
  </si>
  <si>
    <t>O</t>
  </si>
  <si>
    <t>土石方工程</t>
  </si>
  <si>
    <t>010101001001</t>
  </si>
  <si>
    <t>平整场地</t>
  </si>
  <si>
    <t>1.平整场地</t>
  </si>
  <si>
    <t>m2</t>
  </si>
  <si>
    <t>包干</t>
  </si>
  <si>
    <t>010101003001</t>
  </si>
  <si>
    <t>挖沟槽土方</t>
  </si>
  <si>
    <t>1.土壤类别:综合考虑
2.挖土深度:综合考虑</t>
  </si>
  <si>
    <t>m3</t>
  </si>
  <si>
    <t>010101004002</t>
  </si>
  <si>
    <t>挖基坑土方</t>
  </si>
  <si>
    <t>010103001001</t>
  </si>
  <si>
    <t>回填方</t>
  </si>
  <si>
    <t>1.填方材料品种:原土
2.密实度要求:按设计及规范要求</t>
  </si>
  <si>
    <t>010103002002</t>
  </si>
  <si>
    <t>余方弃置</t>
  </si>
  <si>
    <t>1.余方弃置
2.运距:智能渣土车运输运距综合考虑</t>
  </si>
  <si>
    <t>桩基工程</t>
  </si>
  <si>
    <t>010301002004</t>
  </si>
  <si>
    <t>预制钢筋混凝土管桩</t>
  </si>
  <si>
    <t>1.桩外径、壁厚:Φ400PHC80预应力管桩AB型壁厚95mm（综合考虑抗拔桩）
2.沉桩方法:静压
3.混凝土强度等级:C30C40
4.填充材料种类:微膨胀混凝土
5.接桩
6.预埋钢板</t>
  </si>
  <si>
    <t>m</t>
  </si>
  <si>
    <t>010301002006</t>
  </si>
  <si>
    <t>预制钢筋混凝土管桩（试验桩）</t>
  </si>
  <si>
    <t>1.桩外径、壁厚:Φ400PHC80预应力管桩AB型壁厚95mm
2.沉桩方法:静压
3.混凝土强度等级:C30C40
4.填充材料种类:微膨胀混凝土
5.接桩
6.预埋钢板</t>
  </si>
  <si>
    <t>010301002003</t>
  </si>
  <si>
    <t>预制钢筋混凝土管桩（送桩）</t>
  </si>
  <si>
    <t>1.桩外径、壁厚:Φ400PHC80预应力管桩AB型壁厚95mm</t>
  </si>
  <si>
    <t>010301004001</t>
  </si>
  <si>
    <t>截(凿)桩头</t>
  </si>
  <si>
    <t>1.桩类型:管桩
2.桩头截面、高度:桩径D为400
3.场外运输:综合考虑</t>
  </si>
  <si>
    <t>根</t>
  </si>
  <si>
    <t>粤010301005001</t>
  </si>
  <si>
    <t>桩尖</t>
  </si>
  <si>
    <t>1.钢桩尖制作
2.桩径:400
3.具体做法详见图纸</t>
  </si>
  <si>
    <t>个</t>
  </si>
  <si>
    <t>010515001013</t>
  </si>
  <si>
    <t>现浇构件钢筋</t>
  </si>
  <si>
    <t>1.桩头插筋</t>
  </si>
  <si>
    <t>t</t>
  </si>
  <si>
    <t>砌筑工程</t>
  </si>
  <si>
    <t>010103001002</t>
  </si>
  <si>
    <t>1.卫生间回填
2.20厚WSM15找平层
3.陶粒混凝土(水泥:陶粒=1:8)回填兼找坡
4.20厚M20水泥砂浆找平层</t>
  </si>
  <si>
    <t>010402001002</t>
  </si>
  <si>
    <t>砌块墙</t>
  </si>
  <si>
    <t>1.砌块品种、规格、强度等级:A5.0蒸压加气混凝土砌块
2.墙体类型:外墙
3.厚度:200
4.砂浆强度等级、配合比:DMM5专用砌筑砂浆</t>
  </si>
  <si>
    <t>010402001003</t>
  </si>
  <si>
    <t>1.砌块品种、规格、强度等级:A5.0蒸压加气混凝土砌块
2.墙体类型:内墙
3.厚度:200
4.砂浆强度等级、配合比:DMM5专用砌筑砂浆</t>
  </si>
  <si>
    <t>010402001004</t>
  </si>
  <si>
    <t>1.砌块品种、规格、强度等级:A5.0蒸压加气混凝土砌块
2.墙体类型:内墙
3.厚度:100
4.砂浆强度等级、配合比:DMM5专用砌筑砂浆</t>
  </si>
  <si>
    <t>010402001007</t>
  </si>
  <si>
    <t>1.砌块品种、规格、强度等级:A5.0蒸压加气混凝土砌块
2.墙体类型:装饰墙
3.厚度:100
4.砂浆强度等级、配合比:DMM5专用砌筑砂浆</t>
  </si>
  <si>
    <t>010402001006</t>
  </si>
  <si>
    <t>1.砌块品种、规格、强度等级:MU15混凝土实心砖
2.墙体类型:女儿墙
3.厚度:200
4.砂浆强度等级、配合比:DMM10专用砌筑砂浆</t>
  </si>
  <si>
    <t>010401012002</t>
  </si>
  <si>
    <t>零星砌砖</t>
  </si>
  <si>
    <t>1.砖砌台阶
2.MU10轻质砖
3.砂浆强度等级、配合比:M7.5水泥砂浆</t>
  </si>
  <si>
    <t>010401012004</t>
  </si>
  <si>
    <t>1.花池
2.MU10轻质砖
3.砂浆强度等级、配合比:M7.5水泥砂浆</t>
  </si>
  <si>
    <t>010401003001</t>
  </si>
  <si>
    <t>实心砖墙</t>
  </si>
  <si>
    <t>1.轻质砖
2.墙体类型:内墙
3.120
4.砂浆强度等级、配合比:DMM5专用砌筑砂浆</t>
  </si>
  <si>
    <t>混凝土及钢筋混凝土工程</t>
  </si>
  <si>
    <t>010501001002</t>
  </si>
  <si>
    <t>垫层</t>
  </si>
  <si>
    <t>1.垫层
2.混凝土种类:预拌混凝土
3.混凝土强度等级:C15
4.含混凝土泵送费用</t>
  </si>
  <si>
    <t>010501005001</t>
  </si>
  <si>
    <t>桩承台基础</t>
  </si>
  <si>
    <t>1.桩承台
2.混凝土种类:预拌混凝土
3.混凝土强度等级:C35
4.含混凝土泵送费用</t>
  </si>
  <si>
    <t>010503001001</t>
  </si>
  <si>
    <t>基础梁</t>
  </si>
  <si>
    <t>1.基础梁
2.混凝土种类:预拌混凝土
3.混凝土强度等级:C35
4.含混凝土泵送费用</t>
  </si>
  <si>
    <t>010501004002</t>
  </si>
  <si>
    <t>满堂基础</t>
  </si>
  <si>
    <t>1.满堂基础
2.预拌混凝土
3.混凝土强度等级:C35
4.含混凝土泵送费用</t>
  </si>
  <si>
    <t>010502001002</t>
  </si>
  <si>
    <t>矩形柱</t>
  </si>
  <si>
    <t>1.现浇建筑物混凝土矩形柱
2.混凝土种类:预拌混凝土
3.混凝土强度等级:C40
4.含混凝土泵送费用</t>
  </si>
  <si>
    <t>010502001006</t>
  </si>
  <si>
    <t>1.现浇建筑物混凝土矩形柱
2.混凝土种类:预拌混凝土
3.混凝土强度等级:C35
4.含混凝土泵送费用</t>
  </si>
  <si>
    <t>010502001004</t>
  </si>
  <si>
    <t>1.现浇建筑物混凝土矩形柱
2.混凝土种类:预拌混凝土
3.混凝土强度等级:C30
4.含混凝土泵送费用</t>
  </si>
  <si>
    <t>010502001007</t>
  </si>
  <si>
    <t>异形柱</t>
  </si>
  <si>
    <t>1.现浇建筑物混凝土异形柱
2.混凝土种类:预拌混凝土
3.混凝土强度等级:C40
4.含混凝土泵送费用</t>
  </si>
  <si>
    <t>010502001008</t>
  </si>
  <si>
    <t>1.现浇建筑物混凝土异形柱
2.混凝土种类:预拌混凝土
3.混凝土强度等级:C35
4.含混凝土泵送费用</t>
  </si>
  <si>
    <t>010502002001</t>
  </si>
  <si>
    <t>构造柱</t>
  </si>
  <si>
    <t>1.构造柱
2.混凝土种类:预拌混凝土
3.混凝土强度等级:C25</t>
  </si>
  <si>
    <t>010504001001</t>
  </si>
  <si>
    <t>直形墙</t>
  </si>
  <si>
    <t>1.装饰墙
2.混凝土种类:预拌混凝土
3.混凝土强度等级:C25
4.含混凝土泵送费用</t>
  </si>
  <si>
    <t>010504001002</t>
  </si>
  <si>
    <t>1.电梯井
2.混凝土种类:预拌混凝土
3.混凝土强度等级:C30
4.含混凝土泵送费用</t>
  </si>
  <si>
    <t>010505001002</t>
  </si>
  <si>
    <t>有梁板</t>
  </si>
  <si>
    <t>1.有梁板
2.混凝土种类:预拌混凝土
3.混凝土强度等级:C30
4.含混凝土泵送费用</t>
  </si>
  <si>
    <t>010505001004</t>
  </si>
  <si>
    <t>有梁板（斜板）</t>
  </si>
  <si>
    <t>010505008002</t>
  </si>
  <si>
    <t>飘板</t>
  </si>
  <si>
    <t>1.部位:空调板、装饰飘板
2.混凝土种类:预拌混凝土
3.混凝土强度等级:C30</t>
  </si>
  <si>
    <t>010505006004</t>
  </si>
  <si>
    <t>栏板、反檐</t>
  </si>
  <si>
    <t>1.部位:栏板、反坎
2.混凝土强度等级:C25商品混凝土</t>
  </si>
  <si>
    <t>010503004001</t>
  </si>
  <si>
    <t>圈梁（女儿墙压顶、窗台压顶）</t>
  </si>
  <si>
    <t>1.部位:圈梁
2.混凝土种类:预拌混凝土
3.混凝土强度等级:C25</t>
  </si>
  <si>
    <t>010503005002</t>
  </si>
  <si>
    <t>过梁</t>
  </si>
  <si>
    <t>1.过梁
2.混凝土种类:预拌混凝土
3.混凝土强度等级:C25</t>
  </si>
  <si>
    <t>010507007001</t>
  </si>
  <si>
    <t>其他构件</t>
  </si>
  <si>
    <t>1.反坎
2.混凝土种类:预拌混凝土
3.混凝土强度等级:C25</t>
  </si>
  <si>
    <t>010506001001</t>
  </si>
  <si>
    <t>直形楼梯</t>
  </si>
  <si>
    <t>1.混凝土种类:预拌混凝土
2.混凝土强度等级:C30
3.含混凝土泵送费用</t>
  </si>
  <si>
    <t>010401013006</t>
  </si>
  <si>
    <t>砖散水、地坪</t>
  </si>
  <si>
    <t>1.散水
2.C20素砼垫层60厚
3.150厚3:7灰土</t>
  </si>
  <si>
    <t>010515001015</t>
  </si>
  <si>
    <t>1.钢筋种类、规格:现浇构件带肋钢筋(HRB400)φ10以内</t>
  </si>
  <si>
    <t>010515001016</t>
  </si>
  <si>
    <t>1.钢筋种类、规格:现浇构件带肋钢筋(HRB400E)φ10以内</t>
  </si>
  <si>
    <t>010515001017</t>
  </si>
  <si>
    <t>1.钢筋种类、规格:现浇构件带肋钢筋(HRB400)φ25以内</t>
  </si>
  <si>
    <t>010515001026</t>
  </si>
  <si>
    <t>1.钢筋种类、规格:现浇构件带肋钢筋(HRB400E)φ25以内</t>
  </si>
  <si>
    <t>010515001025</t>
  </si>
  <si>
    <t>1.钢筋种类、规格:现浇构件带肋钢筋(HRB400E)φ25以外</t>
  </si>
  <si>
    <t>010515001022</t>
  </si>
  <si>
    <t>1.钢筋种类、规格:现浇构件箍筋带肋钢筋(HRB400)φ10以内</t>
  </si>
  <si>
    <t>010515001023</t>
  </si>
  <si>
    <t>1.钢筋种类、规格:现浇构件箍筋带肋钢筋(HRB400)φ10以外</t>
  </si>
  <si>
    <t>010516003001</t>
  </si>
  <si>
    <t>钢筋连接</t>
  </si>
  <si>
    <t>1.连接方式:电渣压力焊接
2.规格:φ18以内</t>
  </si>
  <si>
    <t>010516003002</t>
  </si>
  <si>
    <t>1.连接方式:电渣压力焊接
2.规格:φ32以内</t>
  </si>
  <si>
    <t>010516003003</t>
  </si>
  <si>
    <t>机械连接</t>
  </si>
  <si>
    <t>1.连接方式:套筒直螺纹钢筋接头
2.规格:φ32以内</t>
  </si>
  <si>
    <t>金属结构工程</t>
  </si>
  <si>
    <t>010607005001</t>
  </si>
  <si>
    <t>砌块墙钢丝网加固</t>
  </si>
  <si>
    <t>1.镀锌钢丝网
2.材料品种、规格:Φ0.9@12.7*12.7</t>
  </si>
  <si>
    <t>010607005002</t>
  </si>
  <si>
    <t>1.耐碱玻璃纤维网布</t>
  </si>
  <si>
    <t>010606008002</t>
  </si>
  <si>
    <t>钢梯</t>
  </si>
  <si>
    <t>1.钢爬梯
2.防锈漆一道
3.图集:15J403</t>
  </si>
  <si>
    <t>门窗工程</t>
  </si>
  <si>
    <t>010802003013</t>
  </si>
  <si>
    <t>钢质防火门</t>
  </si>
  <si>
    <t>1.门类型:钢质防火门丙扇(级）
2.闭门器安装
3.其他详见施工设计图</t>
  </si>
  <si>
    <t>010802003015</t>
  </si>
  <si>
    <t>1.门类型:钢质防火门单扇(甲级）
2.闭门器安装
3.其他详见施工设计图</t>
  </si>
  <si>
    <t>010802003014</t>
  </si>
  <si>
    <t>1.门类型:钢质防火门双扇(乙级）
2.闭门器安装
3.其他详见施工设计图</t>
  </si>
  <si>
    <t>010802003016</t>
  </si>
  <si>
    <t>1.门类型:钢质防火门单扇(乙级）
2.闭门器安装
3.其他详见施工设计图</t>
  </si>
  <si>
    <t>010802001002</t>
  </si>
  <si>
    <t>金属(塑钢)门</t>
  </si>
  <si>
    <t>1.镀锌钢板门
2.1.5mm厚优质镀锌钢表面氟碳漆静电喷涂
3.304不锈钢五金件及门锁</t>
  </si>
  <si>
    <t>010802001003</t>
  </si>
  <si>
    <t>1.镀锌钢板门
2.1.5mm厚优质镀锌钢表面氟碳漆静电喷涂
3.304不锈钢五金件及门锁
4.上部开启窗6mm钢化玻璃</t>
  </si>
  <si>
    <t>010807001014</t>
  </si>
  <si>
    <t>金属(塑钢、断桥)窗</t>
  </si>
  <si>
    <t>1.窗类型:90系列推拉窗
2.铝材厚度:1.8mm
3.玻璃品种、厚度:Low-E中空玻璃(6+12A+6)
4.排烟窗做法详见图纸
5.其他详见施工设计图</t>
  </si>
  <si>
    <t>010807001015</t>
  </si>
  <si>
    <t>1.窗类型:70系列铝合金平开窗
2.铝材厚度:1.8mm
3.玻璃品种、厚度:Low-E中空玻璃(6+12A+6)
4.其他详见施工设计图</t>
  </si>
  <si>
    <t>010807001016</t>
  </si>
  <si>
    <t>1.窗类型:铝合金固定窗
2.铝材厚度:1.8mm
3.玻璃品种、厚度:Low-E中空玻璃(6+12A+6)
4.其他详见施工设计图</t>
  </si>
  <si>
    <t>010807002001</t>
  </si>
  <si>
    <t>金属防火窗</t>
  </si>
  <si>
    <t>1.铝合金乙级防火玻璃固定窗安装
2.其他详见施工设计图</t>
  </si>
  <si>
    <t>010807003003</t>
  </si>
  <si>
    <t>金属百叶窗</t>
  </si>
  <si>
    <t>1.铝合金百叶窗
2.其他详见施工设计图</t>
  </si>
  <si>
    <t>010807003004</t>
  </si>
  <si>
    <t>1.铝合金空调百叶
2.30*30*2.0灰色铝方通
3.25*50*1.5灰色铝方通
4.其他详见施工设计图</t>
  </si>
  <si>
    <t>010807005001</t>
  </si>
  <si>
    <t>金属格栅窗</t>
  </si>
  <si>
    <t>1.3.0厚300*100深灰色铝合金方管装饰格栅，中心间距300
2.其他详见施工设计图</t>
  </si>
  <si>
    <t>屋面及防水工程</t>
  </si>
  <si>
    <t>011102003008</t>
  </si>
  <si>
    <t>块料楼地面（屋1）</t>
  </si>
  <si>
    <t>1.面层:8~10厚防滑地砖,缝宽5~8
2.20厚M15干硬性水泥沙浆</t>
  </si>
  <si>
    <t>010902003012</t>
  </si>
  <si>
    <t>屋面刚性层（屋1）</t>
  </si>
  <si>
    <t>1.40厚C20细石混凝土找平层,表面压光。(双向配筋ΦC4@150,每6米设缝,密封胶嵌缝。）</t>
  </si>
  <si>
    <t>010902001007</t>
  </si>
  <si>
    <t>屋面卷材防水（屋1、屋4）</t>
  </si>
  <si>
    <t>1.1.5厚自粘聚合物改性沥青防水卷材(无胎)</t>
  </si>
  <si>
    <t>010902003013</t>
  </si>
  <si>
    <t>1.40厚WSM20水泥浆找平层,纵横设置分格缝间距≤4000,缝宽15~20</t>
  </si>
  <si>
    <t>010902002005</t>
  </si>
  <si>
    <t>屋面涂膜防水（屋1、屋4）</t>
  </si>
  <si>
    <t>1.1.5厚聚氨酯防水涂膜</t>
  </si>
  <si>
    <t>010902001008</t>
  </si>
  <si>
    <t>屋面卷材防水（屋2）</t>
  </si>
  <si>
    <t>1.4.0厚塑性体改性沥青防水卷材(耐根穿刺防水层)</t>
  </si>
  <si>
    <t>010902002006</t>
  </si>
  <si>
    <t>屋面涂膜防水（屋2）</t>
  </si>
  <si>
    <t>1.2厚聚氨酯防水涂膜</t>
  </si>
  <si>
    <t>010902003014</t>
  </si>
  <si>
    <t>屋面刚性层（屋2、屋3）</t>
  </si>
  <si>
    <t>1.20厚(最薄处)WSM20水泥浆找2%坡,纵横设置分格缝间距≤6000,缝宽10~20的分格缝</t>
  </si>
  <si>
    <t>010902003015</t>
  </si>
  <si>
    <t>1.20厚(最薄处)WSM20水泥浆找平,纵横设置分格缝间距≤4000,缝宽10~20的分格缝</t>
  </si>
  <si>
    <t>010902003016</t>
  </si>
  <si>
    <t>屋面刚性层（屋4）</t>
  </si>
  <si>
    <t>1.20厚(最薄处)DSM15水泥浆找平</t>
  </si>
  <si>
    <t>010901001001</t>
  </si>
  <si>
    <t>瓦屋面（屋4、屋5）</t>
  </si>
  <si>
    <t>1.彩石金属瓦
2.冷弯型钢挂瓦条,中距按瓦材规格
3.其他详见施工设计图</t>
  </si>
  <si>
    <t>010904002003</t>
  </si>
  <si>
    <t>楼(地)面涂膜防水（沉池）</t>
  </si>
  <si>
    <t>1.1.5厚聚合物水泥基防水涂料
2.20厚M20水泥砂浆找平找坡层</t>
  </si>
  <si>
    <t>010904002002</t>
  </si>
  <si>
    <t>楼(地)面涂膜防水（卫生间）</t>
  </si>
  <si>
    <t>1.1.5厚聚合物水泥基防水涂料</t>
  </si>
  <si>
    <t>010903002001</t>
  </si>
  <si>
    <t>墙面涂膜防水（卫生间）</t>
  </si>
  <si>
    <t>1.卫生间墙身
2.1.5厚聚合物水泥基防水涂料
3.15厚WPM20水泥砂浆找平,分两遍成活,底层抹灰应压实搓毛</t>
  </si>
  <si>
    <t>保温、隔热、防腐工程</t>
  </si>
  <si>
    <t>011001001001</t>
  </si>
  <si>
    <t>保温隔热屋面（屋1）</t>
  </si>
  <si>
    <t>1.55厚RC型B2级挤塑聚苯乙烯泡沫塑料板</t>
  </si>
  <si>
    <t>011003001001</t>
  </si>
  <si>
    <t>隔离层（屋2）</t>
  </si>
  <si>
    <t>1.部位:种植屋面
2.聚酯无纺布过滤层
3.凹凸型排(蓄)水板</t>
  </si>
  <si>
    <t>011001001002</t>
  </si>
  <si>
    <t>保温隔热屋面（屋2）</t>
  </si>
  <si>
    <t>1.20厚RC型B2级挤塑聚苯乙烯泡沫塑料板</t>
  </si>
  <si>
    <t>011003001002</t>
  </si>
  <si>
    <t>隔离层（屋1、屋2、屋3、屋4）</t>
  </si>
  <si>
    <t>1.0.4厚聚乙烯薄膜隔离层</t>
  </si>
  <si>
    <t>011001001003</t>
  </si>
  <si>
    <t>保温隔热屋面（屋4）</t>
  </si>
  <si>
    <t>1.50厚RC型B2级挤塑聚苯乙烯泡沫塑料板</t>
  </si>
  <si>
    <t>011001003001</t>
  </si>
  <si>
    <t>保温隔热墙面</t>
  </si>
  <si>
    <t>1.西向外墙内保温10mm玻化微珠保温砂浆
2.5厚抗裂砂浆内置保温专用玻纤网(130g/m2)
3.做法详见图纸</t>
  </si>
  <si>
    <t>楼地面装饰工程</t>
  </si>
  <si>
    <t>011101001004</t>
  </si>
  <si>
    <t>水泥砂浆楼地面（地1）（水电井）</t>
  </si>
  <si>
    <t>1.20厚M20水泥砂浆打底,加水泥粉随手抹光向地漏找坡</t>
  </si>
  <si>
    <t>011102003016</t>
  </si>
  <si>
    <t>块料楼地面（地2）</t>
  </si>
  <si>
    <t>1.400*400mm防滑地砖铺平拍实,纯水泥浆擦缝
2.15厚DSM15水泥砂浆结合层</t>
  </si>
  <si>
    <t>011103002001</t>
  </si>
  <si>
    <t>橡胶板卷材楼地面</t>
  </si>
  <si>
    <t>1.2.0mm厚PVC卷材木纹地板胶专用粘合剂粘贴
2.20~45厚M20水泥砂浆,压实赶光
3.做法详见图纸</t>
  </si>
  <si>
    <t>011104002002</t>
  </si>
  <si>
    <t>竹、木(复合)地板</t>
  </si>
  <si>
    <t>1.成品2厚UPVC卷材(同质透心)专用粘合剂粘贴
2.18mm阻燃夹板面铺
3.40*40*2方钢底架(横竖间隔≤600)
4.做法详见图纸</t>
  </si>
  <si>
    <t>011101003002</t>
  </si>
  <si>
    <t>细石混凝土楼地面（地5）</t>
  </si>
  <si>
    <t>1.40厚C20细石混凝土,随打随抹光(骨料用石灰石、白云石)</t>
  </si>
  <si>
    <t>011104004002</t>
  </si>
  <si>
    <t>防静电活动地板（地6）</t>
  </si>
  <si>
    <t>1.150~250高架空防静电活动地板
2.20厚M20水泥砂浆,压实赶光,面层涂刷地板漆
3.做法详见图纸</t>
  </si>
  <si>
    <t>011104002001</t>
  </si>
  <si>
    <t>1.12mm厚900*150实木地板
2.18mm阻燃夹板面铺
3.40*40*2方钢底架(横竖间隔≤600)
4.做法详见图纸</t>
  </si>
  <si>
    <t>011102003017</t>
  </si>
  <si>
    <t>块料楼地面（地8）</t>
  </si>
  <si>
    <t>1.楼地面铺贴800X800mm仿古地砖,面用白水泥擦缝
2.30厚1:3干硬性水泥砂浆结合层
3.3厚ALE隔声涂料
4.做法详见图纸</t>
  </si>
  <si>
    <t>011102003019</t>
  </si>
  <si>
    <t>块料楼地面</t>
  </si>
  <si>
    <t>1.楼地面铺贴600X600mm仿古地砖,面用白水泥擦缝
2.30厚1:3干硬性水泥砂浆结合层
3.3厚ALE隔声涂料
4.做法详见图纸</t>
  </si>
  <si>
    <t>011102003020</t>
  </si>
  <si>
    <t>1.楼地面铺贴600*600木纹砖,面用白水泥擦缝
2.30厚1:3干硬性水泥砂浆结合层
3.3厚ALE隔声涂料
4.做法详见图纸</t>
  </si>
  <si>
    <t>011102003018</t>
  </si>
  <si>
    <t>块料楼地面（地10）</t>
  </si>
  <si>
    <t>1.8~10厚防滑地砖铺实拍平,水泥砂浆填缝
2.30厚1:3干硬性水泥砂浆结合层
3.做法详见图纸</t>
  </si>
  <si>
    <t>011106002001</t>
  </si>
  <si>
    <t>块料楼梯面层（地10）</t>
  </si>
  <si>
    <t>1.楼梯面层
2.8~10厚防滑地砖铺实拍平,水泥砂浆填缝
3.30厚1:3干硬性水泥砂浆结合层
4.做法详见图纸</t>
  </si>
  <si>
    <t>011105001001</t>
  </si>
  <si>
    <t>水泥砂浆踢脚线</t>
  </si>
  <si>
    <t>1.水泥砂浆踢脚线
2.15厚M15水泥砂浆底+10厚M20水泥砂浆面
3.高度:120mm</t>
  </si>
  <si>
    <t>011105003001</t>
  </si>
  <si>
    <t>块料踢脚线</t>
  </si>
  <si>
    <t>1.5~10厚砖块踢脚线,稀水泥浆(或彩色水泥浆)擦缝
2.高度:120mm
3.9厚M20水泥砂浆粘接层(内掺建筑胶)</t>
  </si>
  <si>
    <t>040201022001</t>
  </si>
  <si>
    <t>排水沟、截水沟</t>
  </si>
  <si>
    <t>1.排水沟
2.最薄15厚DSM20水泥砂找坡0.5%(沟底)阴角位置做R=50的圆弧处理
3.20厚DWM20防水砂浆
4.380mm成品不锈钢格栅</t>
  </si>
  <si>
    <t>墙、柱面装饰与隔断、幕墙工程</t>
  </si>
  <si>
    <t>011204003001</t>
  </si>
  <si>
    <t>块料墙面(外墙2)</t>
  </si>
  <si>
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</si>
  <si>
    <t>011407001002</t>
  </si>
  <si>
    <t>墙面喷刷涂料(外墙1)</t>
  </si>
  <si>
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</si>
  <si>
    <t>011201001007</t>
  </si>
  <si>
    <t>墙面一般抹灰（墙1、墙5）</t>
  </si>
  <si>
    <t>1.20厚M10水泥砂浆抹面压光
2.甩浆拉毛刷108胶素水泥浆一道(内掺水重8%的胶料)</t>
  </si>
  <si>
    <t>011207001002</t>
  </si>
  <si>
    <t>墙面装饰板（墙2）</t>
  </si>
  <si>
    <t>1.护墙板墙面
2.面层材料品种、规格、颜色:顶部:10*60mm浅金檀护墙板收口线
中部:9mm浅金檀护墙板
底部:17mm浅金檀护墙板地脚线
3.做法详见图纸</t>
  </si>
  <si>
    <t>011406001004</t>
  </si>
  <si>
    <t>墙面喷刷涂料(墙3）</t>
  </si>
  <si>
    <t>1.满刮腻子二道
2.刷内墙无机涂料,底漆一道,面漆两道</t>
  </si>
  <si>
    <t>011204003012</t>
  </si>
  <si>
    <t>块料墙面（墙4）</t>
  </si>
  <si>
    <t>1.镶贴400*400陶瓷面砖墙面建筑胶粘剂粘贴</t>
  </si>
  <si>
    <t>011201001008</t>
  </si>
  <si>
    <t>墙面一般抹灰（墙3、4）</t>
  </si>
  <si>
    <t>1.15厚WPM20水泥砂浆找平,分两遍成活,底层抹灰应压实搓毛</t>
  </si>
  <si>
    <t>011406001009</t>
  </si>
  <si>
    <t>墙面喷刷涂料(墙5）</t>
  </si>
  <si>
    <t>1.满刮耐水防霉白色腻子</t>
  </si>
  <si>
    <t>011204003014</t>
  </si>
  <si>
    <t>块料墙面（墙8）</t>
  </si>
  <si>
    <t>1.镶贴300*600陶瓷面砖墙面建筑胶粘剂粘贴
2.15厚WPM20水泥砂浆找平</t>
  </si>
  <si>
    <t>011204003015</t>
  </si>
  <si>
    <t>块料墙面</t>
  </si>
  <si>
    <t>1.镶贴300*300仿古砖墙面建筑胶粘剂粘贴
2.15厚WPM20水泥砂浆找平</t>
  </si>
  <si>
    <t>011205001001</t>
  </si>
  <si>
    <t>石材柱面</t>
  </si>
  <si>
    <t>1.首层柱脚
2.安装方式:挂贴米色大理石
3.其他详见施工设计图</t>
  </si>
  <si>
    <t>010809004001</t>
  </si>
  <si>
    <t>石材窗台板</t>
  </si>
  <si>
    <t>1.米黄花岗石窗台石</t>
  </si>
  <si>
    <t>011207001003</t>
  </si>
  <si>
    <t>墙面装饰板</t>
  </si>
  <si>
    <t>1.18MM厚A级防火吸音板
2.50厚超细玻璃棉容重:32KG/m3外包吸声无纺布
3.15mm阻燃夹板
4.50*50阻燃木龙骨底架
5.1.2厚黑色不锈钢压槽</t>
  </si>
  <si>
    <t>011207001004</t>
  </si>
  <si>
    <t>1.4MM蓝色免漆板
2.15mm阻燃夹板
3.30*30阻燃木龙骨底架</t>
  </si>
  <si>
    <t>011207001007</t>
  </si>
  <si>
    <t>1.5MM厚清镜
2.15mm阻燃夹板
3.50*50阻燃木龙骨底架</t>
  </si>
  <si>
    <t>011207001006</t>
  </si>
  <si>
    <t>墙面装饰板（logo）</t>
  </si>
  <si>
    <t>1.15MM蓝色免漆板
2.15mm阻燃夹板
3.30*30阻燃木龙骨底架</t>
  </si>
  <si>
    <t>011207001009</t>
  </si>
  <si>
    <t>1.9mm欧松板
2.15mm阻燃夹板
3.30*30阻燃木龙骨底架
4.30mm透明亚克力板</t>
  </si>
  <si>
    <t>011207001005</t>
  </si>
  <si>
    <t>1.贴黄色墙布
2.9mm阻燃夹板
3.30*30阻燃木龙骨底架
4.1.2厚黑色不锈钢压槽</t>
  </si>
  <si>
    <t>011207001008</t>
  </si>
  <si>
    <t>1.刮塑油浅橙色无机装修涂料
2.5mm阻燃夹板
3.30*30阻燃木龙骨底架</t>
  </si>
  <si>
    <t>011105005001</t>
  </si>
  <si>
    <t>木质踢脚线</t>
  </si>
  <si>
    <t>1.实木地板原木色地脚线
2.踢脚线高度:100mm</t>
  </si>
  <si>
    <t>011210003001</t>
  </si>
  <si>
    <t>玻璃隔断</t>
  </si>
  <si>
    <t>1.8mm厚钢化清玻璃隔断</t>
  </si>
  <si>
    <t>011210006001</t>
  </si>
  <si>
    <t>其他隔断</t>
  </si>
  <si>
    <t>1.轻钢龙骨12mm硅钙板隔墙(包龙骨)双面</t>
  </si>
  <si>
    <t>011508002001</t>
  </si>
  <si>
    <t>有机玻璃字</t>
  </si>
  <si>
    <t>1.订做亚克力广告字体logo
2.H=190mm</t>
  </si>
  <si>
    <t>天棚工程</t>
  </si>
  <si>
    <t>011407002003</t>
  </si>
  <si>
    <t>天棚喷刷涂料（顶1）</t>
  </si>
  <si>
    <t>1.加强型腻子找平层5厚
2.无机涂料,三遍成活</t>
  </si>
  <si>
    <t>011406001007</t>
  </si>
  <si>
    <t>抹灰面油漆（顶2）</t>
  </si>
  <si>
    <t>1.扫白色灰水二道</t>
  </si>
  <si>
    <t>变更</t>
  </si>
  <si>
    <t>011302001006</t>
  </si>
  <si>
    <t>吊顶天棚</t>
  </si>
  <si>
    <t>1.装配式U型轻钢天棚龙骨(不上人型)面层规格(mm)600×600平面
2.600*600*8mm厚穿孔硅钙板天花
3.做法详见图纸</t>
  </si>
  <si>
    <t>011406001008</t>
  </si>
  <si>
    <t>抹灰面油漆（顶5）</t>
  </si>
  <si>
    <t>1.耐水防霉白色腻子两遍</t>
  </si>
  <si>
    <t>011302002001</t>
  </si>
  <si>
    <t>格栅吊顶</t>
  </si>
  <si>
    <t>1.50*100*1.0铝方管格栅天花(木纹转印)
2.做法详见图纸</t>
  </si>
  <si>
    <t>011302001007</t>
  </si>
  <si>
    <t>1.装配式U型轻钢天棚龙骨(不上人型)面层规格(mm)600×600跌级
2.9mm胶合板基层
3.8MM厚硅钙板天花面层
4.加强型腻子找平层5厚
5.无机涂料,三遍成活</t>
  </si>
  <si>
    <t>其他装饰工程</t>
  </si>
  <si>
    <t>011503001007</t>
  </si>
  <si>
    <t>金属扶手、栏杆、栏板</t>
  </si>
  <si>
    <t>1.名称:不锈钢护窗栏杆H=900mm
2.上扶手:Φ60x2.5不锈钢管
3.栏杆:Φ30x2.0不锈钢管
4.含热镀锌预埋件及螺栓</t>
  </si>
  <si>
    <t>011503001003</t>
  </si>
  <si>
    <t>1.名称:不锈钢楼梯栏杆H=1200mm
2.上扶手:Φ60x3.0不锈钢管
3.栏杆:Φ28x1.2不锈钢管
4.含热镀锌预埋件及螺栓
5.做法参照国标15J403-1</t>
  </si>
  <si>
    <t>011503001009</t>
  </si>
  <si>
    <t>1.名称:走廊拉丝不锈钢烤漆栏杆H=1200mm
2.上扶手:Φ60x3.0不锈钢管
3.栏杆:Φ28x1.2不锈钢管
4.含热镀锌预埋件及螺栓
5.做法参照国标15J403-1</t>
  </si>
  <si>
    <t>011503008001</t>
  </si>
  <si>
    <t>玻璃栏板</t>
  </si>
  <si>
    <t>1.不锈钢立柱玻璃栏板
2.H=1250mm
3.不锈钢扶手Φ50x3.0直型
4.做法参照国标15J403-1</t>
  </si>
  <si>
    <t>011503005001</t>
  </si>
  <si>
    <t>金属靠墙扶手</t>
  </si>
  <si>
    <t>1.楼梯靠墙扶手
2.Φ60x2不锈钢管靠墙扶手
3.做法参照国标15J403-1</t>
  </si>
  <si>
    <t>011503005003</t>
  </si>
  <si>
    <t>1.卫生间无障碍扶手
2.Φ40x1.5不锈钢管靠墙扶手</t>
  </si>
  <si>
    <t>011210005001</t>
  </si>
  <si>
    <t>成品隔断</t>
  </si>
  <si>
    <t>1.卫生间成品抗培特饰面隔断
2.其他详见图纸</t>
  </si>
  <si>
    <t>011505001002</t>
  </si>
  <si>
    <t>洗漱台</t>
  </si>
  <si>
    <t>1.20mm厚国产金沙黑洗漱台（洗手台）L40*4镀锌角钢底架
2.台面开水龙头孔
3.台面开洗手盆孔
4.石材水磨斜边</t>
  </si>
  <si>
    <t>011505010001</t>
  </si>
  <si>
    <t>镜面玻璃</t>
  </si>
  <si>
    <t>1.卫生间镜
2.6mm车边银镜
3.具体做法详见图纸</t>
  </si>
  <si>
    <t>011501001003</t>
  </si>
  <si>
    <t>直播台</t>
  </si>
  <si>
    <t>1.直播台
2.H=800
3.4MM阻燃夹板底面刮离子灰喷光面漆
4.做法详见设计图纸</t>
  </si>
  <si>
    <t>011501001005</t>
  </si>
  <si>
    <t>洗手柜</t>
  </si>
  <si>
    <t>1.4mm蓝色免漆板洗手柜
2.H=650
3.做法详见设计图纸</t>
  </si>
  <si>
    <t>011501001008</t>
  </si>
  <si>
    <t>电脑桌</t>
  </si>
  <si>
    <t>1.4mm白橡木免漆板电脑桌
2.H=700
3.做法详见设计图纸</t>
  </si>
  <si>
    <t>011501001007</t>
  </si>
  <si>
    <t>讲台</t>
  </si>
  <si>
    <t>1.4mm蓝色免漆板讲台
2.H=650
3.做法详见设计图纸</t>
  </si>
  <si>
    <t>011501001006</t>
  </si>
  <si>
    <t>4MM白橡木免漆板书架</t>
  </si>
  <si>
    <t>1.4MM白橡木免漆板书架
2.做法详见设计图纸</t>
  </si>
  <si>
    <t>011508001001</t>
  </si>
  <si>
    <t>装饰构件</t>
  </si>
  <si>
    <t>1.01装饰构件
2.白色发泡陶瓷构件
3.规格:2m
4.做法详见设计图纸</t>
  </si>
  <si>
    <t>011508001002</t>
  </si>
  <si>
    <t>1.02装饰构件
2.白色发泡陶瓷构件
3.规格:1.6m
4.做法详见设计图纸</t>
  </si>
  <si>
    <t>011508001003</t>
  </si>
  <si>
    <t>成品塔钟</t>
  </si>
  <si>
    <t>1.成品塔钟
2.规格:R=2m
3.做法详见设计图纸</t>
  </si>
  <si>
    <t>01B001</t>
  </si>
  <si>
    <t>白蚁防治</t>
  </si>
  <si>
    <t>1.白蚁防治</t>
  </si>
  <si>
    <t>分部分项合计</t>
  </si>
  <si>
    <t>措施合计</t>
  </si>
  <si>
    <t>安全文明施工措施费</t>
  </si>
  <si>
    <t>1.1</t>
  </si>
  <si>
    <t>绿色施工安全防护措施费</t>
  </si>
  <si>
    <t>粤011701008003</t>
  </si>
  <si>
    <t>综合钢脚手架</t>
  </si>
  <si>
    <t>1.搭设高度:综合钢脚手架搭拆高度(m以内)39
2.建筑用综合脚手架使用费</t>
  </si>
  <si>
    <t>粤011701008005</t>
  </si>
  <si>
    <t>1.搭设高度:综合钢脚手架搭拆高度(m以内)25.1
2.建筑用综合脚手架使用费</t>
  </si>
  <si>
    <t>粤011701008004</t>
  </si>
  <si>
    <t>1.搭设高度:综合钢脚手架搭拆高度(m以内)9.6
2.建筑用综合脚手架使用费</t>
  </si>
  <si>
    <t>MBZC001</t>
  </si>
  <si>
    <t>模板的支架</t>
  </si>
  <si>
    <t>1.模板钢支撑</t>
  </si>
  <si>
    <t>措施其他项目</t>
  </si>
  <si>
    <t>粤011701011002</t>
  </si>
  <si>
    <t>里脚手架</t>
  </si>
  <si>
    <t>1.里脚手架(钢管)民用建筑实际高度﹤3.6m</t>
  </si>
  <si>
    <t>粤011701011003</t>
  </si>
  <si>
    <t>1.里脚手架(钢管)民用建筑实际高度4.2m</t>
  </si>
  <si>
    <t>粤011701011004</t>
  </si>
  <si>
    <t>1.里脚手架(钢管)民用建筑实际高度7.8m</t>
  </si>
  <si>
    <t>粤011701011005</t>
  </si>
  <si>
    <t>1.里脚手架(钢管)民用建筑实际高度11.4m</t>
  </si>
  <si>
    <t>粤011701010001</t>
  </si>
  <si>
    <t>满堂脚手架</t>
  </si>
  <si>
    <t>1.满堂脚手架(钢管)基本层4.2m</t>
  </si>
  <si>
    <t>粤011701010002</t>
  </si>
  <si>
    <t>1.满堂脚手架(钢管)基本层7.8m</t>
  </si>
  <si>
    <t>粤011701010003</t>
  </si>
  <si>
    <t>1.满堂脚手架(钢管)基本层11.4m</t>
  </si>
  <si>
    <t>粤011701015001</t>
  </si>
  <si>
    <t>电梯井脚手架</t>
  </si>
  <si>
    <t>1.电梯井脚手架(钢管)高度(m以内)30</t>
  </si>
  <si>
    <t>座</t>
  </si>
  <si>
    <t>粤011701009001</t>
  </si>
  <si>
    <t>单排钢脚手架</t>
  </si>
  <si>
    <t>1.搭设高度:高度(m以内)10
2.建筑用单排脚手架使用费</t>
  </si>
  <si>
    <t>011702001007</t>
  </si>
  <si>
    <t>基础</t>
  </si>
  <si>
    <t>1.基础垫层模板</t>
  </si>
  <si>
    <t>011702001005</t>
  </si>
  <si>
    <t>1.基础类型:桩承台模板</t>
  </si>
  <si>
    <t>011702001006</t>
  </si>
  <si>
    <t>1.基础类型:满堂基础模板</t>
  </si>
  <si>
    <t>011702002002</t>
  </si>
  <si>
    <t>1.矩形柱模板(周长m)支模高度4.5m1.8外</t>
  </si>
  <si>
    <t>011702002008</t>
  </si>
  <si>
    <t>1.矩形柱模板(周长m)支模高度3.6m内1.8外</t>
  </si>
  <si>
    <t>011702002006</t>
  </si>
  <si>
    <t>1.矩形柱模板(周长m)支模高度3.6m内1.8内</t>
  </si>
  <si>
    <t>011702004003</t>
  </si>
  <si>
    <t>1.异形柱模板支模高度3.6m内实际支模高度(m):4.2</t>
  </si>
  <si>
    <t>011702004002</t>
  </si>
  <si>
    <t>1.异形柱模板支模高度3.6m内</t>
  </si>
  <si>
    <t>011702003003</t>
  </si>
  <si>
    <t>1.构造柱模板(周长m)支模高度3.6m内1.2内</t>
  </si>
  <si>
    <t>011702003004</t>
  </si>
  <si>
    <t>1.构造柱模板(周长m)支模高度4.5m内1.2内</t>
  </si>
  <si>
    <t>011702011002</t>
  </si>
  <si>
    <t>1.直形墙模板墙厚(cm以内)40支模高度3.6m内</t>
  </si>
  <si>
    <t>011702011003</t>
  </si>
  <si>
    <t>1.直形墙模板墙厚(cm以内)40支模高度4.2m</t>
  </si>
  <si>
    <t>011702014004</t>
  </si>
  <si>
    <t>1.有梁板模板支模高度4.2m内</t>
  </si>
  <si>
    <t>011702014005</t>
  </si>
  <si>
    <t>1.有梁板模板支模高度3.6m内</t>
  </si>
  <si>
    <t>011702014006</t>
  </si>
  <si>
    <t>011702006003</t>
  </si>
  <si>
    <t>矩形梁</t>
  </si>
  <si>
    <t>1.单梁、连续梁模板(梁宽cm)25以内支模高度4.2m内</t>
  </si>
  <si>
    <t>011702006006</t>
  </si>
  <si>
    <t>1.单梁、连续梁模板(梁宽cm)25以外支模高度4.2m内</t>
  </si>
  <si>
    <t>011702006007</t>
  </si>
  <si>
    <t>1.单梁、连续梁模板(梁宽cm)25以内支模高度3.6m内</t>
  </si>
  <si>
    <t>011702006005</t>
  </si>
  <si>
    <t>1.单梁、连续梁模板(梁宽cm)25以外支模高度3.6m内</t>
  </si>
  <si>
    <t>011702006008</t>
  </si>
  <si>
    <t>矩形梁（斜梁）</t>
  </si>
  <si>
    <t>011702023002</t>
  </si>
  <si>
    <t>雨篷、悬挑板、阳台板</t>
  </si>
  <si>
    <t>1.雨篷、悬挑板、阳台板</t>
  </si>
  <si>
    <t>011702021002</t>
  </si>
  <si>
    <t>1.栏板、反檐模板</t>
  </si>
  <si>
    <t>011702008001</t>
  </si>
  <si>
    <t>圈梁</t>
  </si>
  <si>
    <t>1.圈梁模板支模高度3.6m内</t>
  </si>
  <si>
    <t>011702008004</t>
  </si>
  <si>
    <t>1.过梁模板支模高度3.6m内</t>
  </si>
  <si>
    <t>011702008003</t>
  </si>
  <si>
    <t>反坎</t>
  </si>
  <si>
    <t>1.反坎模板支模高度3.6m内</t>
  </si>
  <si>
    <t>011702024001</t>
  </si>
  <si>
    <t>楼梯</t>
  </si>
  <si>
    <t>1.楼梯模板直形</t>
  </si>
  <si>
    <t>010401001002</t>
  </si>
  <si>
    <t>砖基础</t>
  </si>
  <si>
    <t>1.砖胎膜
2.砖品种、规格、强度等级:Mu15蒸压灰砂砖
3.砂浆强度等级:WMM5专用砌筑砂浆</t>
  </si>
  <si>
    <t>011703001001</t>
  </si>
  <si>
    <t>垂直运输</t>
  </si>
  <si>
    <t>1.建筑物20m以上的垂直运输30m以内</t>
  </si>
  <si>
    <t>011704001001</t>
  </si>
  <si>
    <t>超高施工增加</t>
  </si>
  <si>
    <t>1.建筑物超高增加人工、机械降效率高度30m以内</t>
  </si>
  <si>
    <t>项</t>
  </si>
  <si>
    <t>三</t>
  </si>
  <si>
    <t>不含税造价</t>
  </si>
  <si>
    <t>四</t>
  </si>
  <si>
    <t>税金（9%）</t>
  </si>
  <si>
    <t>五</t>
  </si>
  <si>
    <t>含税造价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</si>
</sst>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_ "/>
    <numFmt numFmtId="179" formatCode="#,##0.00_ ;[Red]\-#,##0.00\ "/>
  </numFmts>
  <fonts count="31">
    <font>
      <sz val="9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color indexed="8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3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0" applyNumberFormat="0" applyAlignment="0" applyProtection="0">
      <alignment vertical="center"/>
    </xf>
    <xf numFmtId="0" fontId="21" fillId="9" borderId="41" applyNumberFormat="0" applyAlignment="0" applyProtection="0">
      <alignment vertical="center"/>
    </xf>
    <xf numFmtId="0" fontId="22" fillId="9" borderId="40" applyNumberFormat="0" applyAlignment="0" applyProtection="0">
      <alignment vertical="center"/>
    </xf>
    <xf numFmtId="0" fontId="23" fillId="10" borderId="42" applyNumberFormat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/>
  </cellStyleXfs>
  <cellXfs count="155">
    <xf numFmtId="0" fontId="0" fillId="0" borderId="0" xfId="0">
      <alignment vertical="center"/>
    </xf>
    <xf numFmtId="0" fontId="0" fillId="2" borderId="0" xfId="49" applyFont="1" applyFill="1" applyAlignment="1"/>
    <xf numFmtId="0" fontId="0" fillId="0" borderId="0" xfId="49" applyFont="1" applyFill="1" applyAlignment="1"/>
    <xf numFmtId="0" fontId="0" fillId="3" borderId="0" xfId="49" applyFont="1" applyFill="1" applyAlignment="1"/>
    <xf numFmtId="0" fontId="0" fillId="4" borderId="0" xfId="49" applyFont="1" applyFill="1" applyAlignment="1"/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49" applyFont="1" applyFill="1" applyAlignment="1">
      <alignment horizontal="center"/>
    </xf>
    <xf numFmtId="0" fontId="0" fillId="5" borderId="0" xfId="49" applyFont="1" applyFill="1" applyAlignment="1">
      <alignment horizontal="center"/>
    </xf>
    <xf numFmtId="176" fontId="0" fillId="5" borderId="0" xfId="49" applyNumberFormat="1" applyFont="1" applyFill="1" applyAlignment="1">
      <alignment horizontal="center"/>
    </xf>
    <xf numFmtId="176" fontId="0" fillId="0" borderId="0" xfId="49" applyNumberFormat="1" applyFont="1" applyFill="1" applyAlignment="1">
      <alignment horizontal="center"/>
    </xf>
    <xf numFmtId="176" fontId="0" fillId="6" borderId="0" xfId="49" applyNumberFormat="1" applyFont="1" applyFill="1" applyAlignment="1">
      <alignment horizontal="center"/>
    </xf>
    <xf numFmtId="0" fontId="3" fillId="0" borderId="0" xfId="49" applyFont="1" applyFill="1" applyAlignment="1">
      <alignment horizontal="center" vertical="center" wrapText="1"/>
    </xf>
    <xf numFmtId="0" fontId="3" fillId="5" borderId="0" xfId="49" applyFont="1" applyFill="1" applyAlignment="1">
      <alignment horizontal="center" vertical="center" wrapText="1"/>
    </xf>
    <xf numFmtId="0" fontId="4" fillId="0" borderId="0" xfId="49" applyFont="1" applyFill="1" applyAlignment="1">
      <alignment horizontal="left" wrapText="1"/>
    </xf>
    <xf numFmtId="0" fontId="4" fillId="0" borderId="0" xfId="49" applyFont="1" applyFill="1" applyAlignment="1">
      <alignment horizontal="center" wrapText="1"/>
    </xf>
    <xf numFmtId="0" fontId="4" fillId="5" borderId="0" xfId="49" applyFont="1" applyFill="1" applyAlignment="1">
      <alignment horizont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 wrapText="1"/>
    </xf>
    <xf numFmtId="0" fontId="4" fillId="0" borderId="3" xfId="49" applyFont="1" applyFill="1" applyBorder="1" applyAlignment="1">
      <alignment horizontal="center" vertical="center" wrapText="1"/>
    </xf>
    <xf numFmtId="0" fontId="4" fillId="5" borderId="3" xfId="49" applyFont="1" applyFill="1" applyBorder="1" applyAlignment="1">
      <alignment horizontal="center" vertical="center" wrapText="1"/>
    </xf>
    <xf numFmtId="0" fontId="4" fillId="0" borderId="4" xfId="49" applyFont="1" applyFill="1" applyBorder="1" applyAlignment="1">
      <alignment horizontal="center" vertical="center" wrapText="1"/>
    </xf>
    <xf numFmtId="0" fontId="4" fillId="0" borderId="5" xfId="49" applyFont="1" applyFill="1" applyBorder="1" applyAlignment="1">
      <alignment horizontal="center" vertical="center" wrapText="1"/>
    </xf>
    <xf numFmtId="0" fontId="4" fillId="0" borderId="6" xfId="49" applyFont="1" applyFill="1" applyBorder="1" applyAlignment="1">
      <alignment horizontal="center" vertical="center" wrapText="1"/>
    </xf>
    <xf numFmtId="0" fontId="4" fillId="5" borderId="6" xfId="49" applyFont="1" applyFill="1" applyBorder="1" applyAlignment="1">
      <alignment horizontal="center" vertical="center" wrapText="1"/>
    </xf>
    <xf numFmtId="0" fontId="4" fillId="0" borderId="7" xfId="49" applyFont="1" applyFill="1" applyBorder="1" applyAlignment="1">
      <alignment horizontal="center" vertical="center" wrapText="1"/>
    </xf>
    <xf numFmtId="0" fontId="4" fillId="0" borderId="8" xfId="49" applyFont="1" applyFill="1" applyBorder="1" applyAlignment="1">
      <alignment horizontal="center" vertical="center" wrapText="1"/>
    </xf>
    <xf numFmtId="0" fontId="4" fillId="0" borderId="8" xfId="49" applyFont="1" applyFill="1" applyBorder="1" applyAlignment="1">
      <alignment horizontal="left" vertical="center" wrapText="1"/>
    </xf>
    <xf numFmtId="0" fontId="4" fillId="5" borderId="8" xfId="49" applyFont="1" applyFill="1" applyBorder="1" applyAlignment="1">
      <alignment horizontal="center" vertical="center" wrapText="1"/>
    </xf>
    <xf numFmtId="176" fontId="4" fillId="0" borderId="8" xfId="49" applyNumberFormat="1" applyFont="1" applyFill="1" applyBorder="1" applyAlignment="1">
      <alignment horizontal="center" vertical="center" wrapText="1"/>
    </xf>
    <xf numFmtId="176" fontId="4" fillId="5" borderId="8" xfId="49" applyNumberFormat="1" applyFont="1" applyFill="1" applyBorder="1" applyAlignment="1">
      <alignment horizontal="center" vertical="center" wrapText="1"/>
    </xf>
    <xf numFmtId="177" fontId="4" fillId="0" borderId="8" xfId="49" applyNumberFormat="1" applyFont="1" applyFill="1" applyBorder="1" applyAlignment="1">
      <alignment horizontal="center" vertical="center" wrapText="1"/>
    </xf>
    <xf numFmtId="177" fontId="4" fillId="5" borderId="8" xfId="49" applyNumberFormat="1" applyFont="1" applyFill="1" applyBorder="1" applyAlignment="1">
      <alignment horizontal="center" vertical="center" wrapText="1"/>
    </xf>
    <xf numFmtId="178" fontId="4" fillId="5" borderId="8" xfId="49" applyNumberFormat="1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left" vertical="center" wrapText="1"/>
    </xf>
    <xf numFmtId="0" fontId="4" fillId="2" borderId="8" xfId="49" applyFont="1" applyFill="1" applyBorder="1" applyAlignment="1">
      <alignment horizontal="center" vertical="center" wrapText="1"/>
    </xf>
    <xf numFmtId="176" fontId="4" fillId="2" borderId="8" xfId="49" applyNumberFormat="1" applyFont="1" applyFill="1" applyBorder="1" applyAlignment="1">
      <alignment horizontal="center" vertical="center" wrapText="1"/>
    </xf>
    <xf numFmtId="0" fontId="4" fillId="0" borderId="9" xfId="49" applyFont="1" applyFill="1" applyBorder="1" applyAlignment="1">
      <alignment horizontal="center" vertical="center" wrapText="1"/>
    </xf>
    <xf numFmtId="10" fontId="4" fillId="0" borderId="9" xfId="49" applyNumberFormat="1" applyFont="1" applyFill="1" applyBorder="1" applyAlignment="1">
      <alignment horizontal="center" vertical="center" wrapText="1"/>
    </xf>
    <xf numFmtId="176" fontId="4" fillId="0" borderId="9" xfId="49" applyNumberFormat="1" applyFont="1" applyFill="1" applyBorder="1" applyAlignment="1">
      <alignment horizontal="center" vertical="center" wrapText="1"/>
    </xf>
    <xf numFmtId="10" fontId="4" fillId="0" borderId="6" xfId="49" applyNumberFormat="1" applyFont="1" applyFill="1" applyBorder="1" applyAlignment="1">
      <alignment horizontal="center" vertical="center" wrapText="1"/>
    </xf>
    <xf numFmtId="176" fontId="4" fillId="0" borderId="6" xfId="49" applyNumberFormat="1" applyFont="1" applyFill="1" applyBorder="1" applyAlignment="1">
      <alignment horizontal="center" vertical="center" wrapText="1"/>
    </xf>
    <xf numFmtId="0" fontId="4" fillId="0" borderId="10" xfId="49" applyFont="1" applyFill="1" applyBorder="1" applyAlignment="1">
      <alignment horizontal="center" vertical="center" wrapText="1"/>
    </xf>
    <xf numFmtId="10" fontId="4" fillId="0" borderId="10" xfId="49" applyNumberFormat="1" applyFont="1" applyFill="1" applyBorder="1" applyAlignment="1">
      <alignment horizontal="center" vertical="center" wrapText="1"/>
    </xf>
    <xf numFmtId="176" fontId="4" fillId="0" borderId="10" xfId="49" applyNumberFormat="1" applyFont="1" applyFill="1" applyBorder="1" applyAlignment="1">
      <alignment horizontal="center" vertical="center" wrapText="1"/>
    </xf>
    <xf numFmtId="10" fontId="5" fillId="0" borderId="8" xfId="49" applyNumberFormat="1" applyFont="1" applyFill="1" applyBorder="1" applyAlignment="1">
      <alignment horizontal="center" vertical="center" wrapText="1"/>
    </xf>
    <xf numFmtId="10" fontId="4" fillId="0" borderId="8" xfId="49" applyNumberFormat="1" applyFont="1" applyFill="1" applyBorder="1" applyAlignment="1">
      <alignment horizontal="center" vertical="center" wrapText="1"/>
    </xf>
    <xf numFmtId="178" fontId="4" fillId="0" borderId="8" xfId="49" applyNumberFormat="1" applyFont="1" applyFill="1" applyBorder="1" applyAlignment="1">
      <alignment horizontal="center" vertical="center" wrapText="1"/>
    </xf>
    <xf numFmtId="10" fontId="4" fillId="2" borderId="8" xfId="49" applyNumberFormat="1" applyFont="1" applyFill="1" applyBorder="1" applyAlignment="1">
      <alignment horizontal="center" vertical="center" wrapText="1"/>
    </xf>
    <xf numFmtId="176" fontId="3" fillId="5" borderId="0" xfId="49" applyNumberFormat="1" applyFont="1" applyFill="1" applyAlignment="1">
      <alignment horizontal="center" vertical="center" wrapText="1"/>
    </xf>
    <xf numFmtId="176" fontId="3" fillId="0" borderId="0" xfId="49" applyNumberFormat="1" applyFont="1" applyFill="1" applyAlignment="1">
      <alignment horizontal="center" vertical="center" wrapText="1"/>
    </xf>
    <xf numFmtId="176" fontId="3" fillId="6" borderId="0" xfId="49" applyNumberFormat="1" applyFont="1" applyFill="1" applyAlignment="1">
      <alignment horizontal="center" vertical="center" wrapText="1"/>
    </xf>
    <xf numFmtId="176" fontId="4" fillId="5" borderId="0" xfId="49" applyNumberFormat="1" applyFont="1" applyFill="1" applyAlignment="1">
      <alignment horizontal="center" wrapText="1"/>
    </xf>
    <xf numFmtId="176" fontId="4" fillId="0" borderId="0" xfId="49" applyNumberFormat="1" applyFont="1" applyFill="1" applyAlignment="1">
      <alignment horizontal="center" wrapText="1"/>
    </xf>
    <xf numFmtId="176" fontId="4" fillId="6" borderId="0" xfId="49" applyNumberFormat="1" applyFont="1" applyFill="1" applyAlignment="1">
      <alignment horizontal="center" wrapText="1"/>
    </xf>
    <xf numFmtId="176" fontId="4" fillId="0" borderId="11" xfId="49" applyNumberFormat="1" applyFont="1" applyFill="1" applyBorder="1" applyAlignment="1">
      <alignment horizontal="center" vertical="center" wrapText="1"/>
    </xf>
    <xf numFmtId="176" fontId="4" fillId="5" borderId="9" xfId="49" applyNumberFormat="1" applyFont="1" applyFill="1" applyBorder="1" applyAlignment="1">
      <alignment horizontal="center" vertical="center" wrapText="1"/>
    </xf>
    <xf numFmtId="176" fontId="4" fillId="0" borderId="3" xfId="49" applyNumberFormat="1" applyFont="1" applyFill="1" applyBorder="1" applyAlignment="1">
      <alignment horizontal="center" vertical="center" wrapText="1"/>
    </xf>
    <xf numFmtId="176" fontId="4" fillId="5" borderId="11" xfId="49" applyNumberFormat="1" applyFont="1" applyFill="1" applyBorder="1" applyAlignment="1">
      <alignment horizontal="center" vertical="center" wrapText="1"/>
    </xf>
    <xf numFmtId="176" fontId="4" fillId="6" borderId="11" xfId="49" applyNumberFormat="1" applyFont="1" applyFill="1" applyBorder="1" applyAlignment="1">
      <alignment horizontal="center" vertical="center" wrapText="1"/>
    </xf>
    <xf numFmtId="176" fontId="4" fillId="5" borderId="12" xfId="49" applyNumberFormat="1" applyFont="1" applyFill="1" applyBorder="1" applyAlignment="1">
      <alignment horizontal="center" vertical="center" wrapText="1"/>
    </xf>
    <xf numFmtId="176" fontId="4" fillId="0" borderId="13" xfId="49" applyNumberFormat="1" applyFont="1" applyFill="1" applyBorder="1" applyAlignment="1">
      <alignment horizontal="center" vertical="center" wrapText="1"/>
    </xf>
    <xf numFmtId="176" fontId="4" fillId="5" borderId="14" xfId="49" applyNumberFormat="1" applyFont="1" applyFill="1" applyBorder="1" applyAlignment="1">
      <alignment horizontal="center" vertical="center" wrapText="1"/>
    </xf>
    <xf numFmtId="176" fontId="4" fillId="6" borderId="14" xfId="49" applyNumberFormat="1" applyFont="1" applyFill="1" applyBorder="1" applyAlignment="1">
      <alignment horizontal="center" vertical="center" wrapText="1"/>
    </xf>
    <xf numFmtId="0" fontId="4" fillId="0" borderId="15" xfId="49" applyFont="1" applyFill="1" applyBorder="1" applyAlignment="1">
      <alignment horizontal="center" vertical="center" wrapText="1"/>
    </xf>
    <xf numFmtId="176" fontId="4" fillId="0" borderId="16" xfId="49" applyNumberFormat="1" applyFont="1" applyFill="1" applyBorder="1" applyAlignment="1">
      <alignment horizontal="center" vertical="center" wrapText="1"/>
    </xf>
    <xf numFmtId="176" fontId="4" fillId="5" borderId="17" xfId="49" applyNumberFormat="1" applyFont="1" applyFill="1" applyBorder="1" applyAlignment="1">
      <alignment horizontal="center" vertical="center" wrapText="1"/>
    </xf>
    <xf numFmtId="176" fontId="4" fillId="0" borderId="12" xfId="49" applyNumberFormat="1" applyFont="1" applyFill="1" applyBorder="1" applyAlignment="1">
      <alignment horizontal="center" vertical="center" wrapText="1"/>
    </xf>
    <xf numFmtId="176" fontId="4" fillId="5" borderId="18" xfId="49" applyNumberFormat="1" applyFont="1" applyFill="1" applyBorder="1" applyAlignment="1">
      <alignment horizontal="center" vertical="center" wrapText="1"/>
    </xf>
    <xf numFmtId="176" fontId="4" fillId="6" borderId="18" xfId="49" applyNumberFormat="1" applyFont="1" applyFill="1" applyBorder="1" applyAlignment="1">
      <alignment horizontal="center" vertical="center" wrapText="1"/>
    </xf>
    <xf numFmtId="176" fontId="4" fillId="0" borderId="19" xfId="49" applyNumberFormat="1" applyFont="1" applyFill="1" applyBorder="1" applyAlignment="1">
      <alignment horizontal="center" vertical="center" wrapText="1"/>
    </xf>
    <xf numFmtId="176" fontId="4" fillId="5" borderId="19" xfId="49" applyNumberFormat="1" applyFont="1" applyFill="1" applyBorder="1" applyAlignment="1">
      <alignment horizontal="center" vertical="center" wrapText="1"/>
    </xf>
    <xf numFmtId="176" fontId="4" fillId="6" borderId="19" xfId="49" applyNumberFormat="1" applyFont="1" applyFill="1" applyBorder="1" applyAlignment="1">
      <alignment horizontal="center" vertical="center" wrapText="1"/>
    </xf>
    <xf numFmtId="176" fontId="4" fillId="6" borderId="20" xfId="49" applyNumberFormat="1" applyFont="1" applyFill="1" applyBorder="1" applyAlignment="1">
      <alignment horizontal="center" vertical="center" wrapText="1"/>
    </xf>
    <xf numFmtId="176" fontId="4" fillId="2" borderId="6" xfId="49" applyNumberFormat="1" applyFont="1" applyFill="1" applyBorder="1" applyAlignment="1">
      <alignment horizontal="center" vertical="center" wrapText="1"/>
    </xf>
    <xf numFmtId="0" fontId="4" fillId="0" borderId="21" xfId="49" applyFont="1" applyFill="1" applyBorder="1" applyAlignment="1">
      <alignment horizontal="center" vertical="center" wrapText="1"/>
    </xf>
    <xf numFmtId="0" fontId="0" fillId="0" borderId="0" xfId="49" applyFont="1" applyFill="1" applyAlignment="1">
      <alignment horizontal="center" vertical="center"/>
    </xf>
    <xf numFmtId="0" fontId="4" fillId="0" borderId="22" xfId="49" applyFont="1" applyFill="1" applyBorder="1" applyAlignment="1">
      <alignment horizontal="center" vertical="center" wrapText="1"/>
    </xf>
    <xf numFmtId="0" fontId="4" fillId="0" borderId="23" xfId="49" applyFont="1" applyFill="1" applyBorder="1" applyAlignment="1">
      <alignment vertical="center" wrapText="1"/>
    </xf>
    <xf numFmtId="0" fontId="4" fillId="0" borderId="24" xfId="49" applyFont="1" applyFill="1" applyBorder="1" applyAlignment="1">
      <alignment horizontal="center" vertical="center" wrapText="1"/>
    </xf>
    <xf numFmtId="0" fontId="4" fillId="0" borderId="25" xfId="49" applyFont="1" applyFill="1" applyBorder="1" applyAlignment="1">
      <alignment horizontal="center" vertical="center" wrapText="1"/>
    </xf>
    <xf numFmtId="0" fontId="4" fillId="0" borderId="26" xfId="49" applyFont="1" applyFill="1" applyBorder="1" applyAlignment="1">
      <alignment horizontal="center" vertical="center" wrapText="1"/>
    </xf>
    <xf numFmtId="0" fontId="4" fillId="0" borderId="27" xfId="49" applyFont="1" applyFill="1" applyBorder="1" applyAlignment="1">
      <alignment horizontal="center" vertical="center" wrapText="1"/>
    </xf>
    <xf numFmtId="0" fontId="4" fillId="2" borderId="24" xfId="49" applyFont="1" applyFill="1" applyBorder="1" applyAlignment="1">
      <alignment horizontal="center" vertical="center" wrapText="1"/>
    </xf>
    <xf numFmtId="0" fontId="0" fillId="2" borderId="0" xfId="49" applyFont="1" applyFill="1" applyAlignment="1">
      <alignment horizontal="center" vertical="center"/>
    </xf>
    <xf numFmtId="0" fontId="4" fillId="0" borderId="28" xfId="49" applyFont="1" applyFill="1" applyBorder="1" applyAlignment="1">
      <alignment horizontal="center" vertical="center" wrapText="1"/>
    </xf>
    <xf numFmtId="0" fontId="4" fillId="4" borderId="7" xfId="49" applyFont="1" applyFill="1" applyBorder="1" applyAlignment="1">
      <alignment horizontal="center" vertical="center" wrapText="1"/>
    </xf>
    <xf numFmtId="0" fontId="4" fillId="4" borderId="8" xfId="49" applyFont="1" applyFill="1" applyBorder="1" applyAlignment="1">
      <alignment horizontal="left" vertical="center" wrapText="1"/>
    </xf>
    <xf numFmtId="0" fontId="4" fillId="4" borderId="8" xfId="49" applyFont="1" applyFill="1" applyBorder="1" applyAlignment="1">
      <alignment horizontal="center" vertical="center" wrapText="1"/>
    </xf>
    <xf numFmtId="176" fontId="4" fillId="4" borderId="8" xfId="49" applyNumberFormat="1" applyFont="1" applyFill="1" applyBorder="1" applyAlignment="1">
      <alignment horizontal="center" vertical="center" wrapText="1"/>
    </xf>
    <xf numFmtId="10" fontId="4" fillId="4" borderId="8" xfId="49" applyNumberFormat="1" applyFont="1" applyFill="1" applyBorder="1" applyAlignment="1">
      <alignment horizontal="center" vertical="center" wrapText="1"/>
    </xf>
    <xf numFmtId="176" fontId="4" fillId="4" borderId="6" xfId="49" applyNumberFormat="1" applyFont="1" applyFill="1" applyBorder="1" applyAlignment="1">
      <alignment horizontal="center" vertical="center" wrapText="1"/>
    </xf>
    <xf numFmtId="176" fontId="4" fillId="2" borderId="19" xfId="49" applyNumberFormat="1" applyFont="1" applyFill="1" applyBorder="1" applyAlignment="1">
      <alignment horizontal="center" vertical="center" wrapText="1"/>
    </xf>
    <xf numFmtId="176" fontId="4" fillId="2" borderId="20" xfId="49" applyNumberFormat="1" applyFont="1" applyFill="1" applyBorder="1" applyAlignment="1">
      <alignment horizontal="center" vertical="center" wrapText="1"/>
    </xf>
    <xf numFmtId="0" fontId="4" fillId="4" borderId="25" xfId="49" applyFont="1" applyFill="1" applyBorder="1" applyAlignment="1">
      <alignment horizontal="center" vertical="center" wrapText="1"/>
    </xf>
    <xf numFmtId="0" fontId="4" fillId="0" borderId="24" xfId="49" applyFont="1" applyFill="1" applyBorder="1" applyAlignment="1">
      <alignment horizontal="right" vertical="center" wrapText="1"/>
    </xf>
    <xf numFmtId="0" fontId="0" fillId="2" borderId="0" xfId="49" applyFont="1" applyFill="1" applyAlignment="1">
      <alignment horizontal="center" vertical="center" wrapText="1"/>
    </xf>
    <xf numFmtId="49" fontId="6" fillId="0" borderId="29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0" fontId="7" fillId="0" borderId="6" xfId="0" applyNumberFormat="1" applyFont="1" applyFill="1" applyBorder="1" applyAlignment="1" applyProtection="1">
      <alignment horizontal="left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176" fontId="6" fillId="0" borderId="6" xfId="0" applyNumberFormat="1" applyFont="1" applyFill="1" applyBorder="1" applyAlignment="1" applyProtection="1">
      <alignment horizontal="center" vertical="center" wrapText="1"/>
    </xf>
    <xf numFmtId="49" fontId="8" fillId="0" borderId="29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left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30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176" fontId="8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49" applyFont="1" applyFill="1" applyBorder="1" applyAlignment="1">
      <alignment horizontal="left" vertical="center" wrapText="1"/>
    </xf>
    <xf numFmtId="0" fontId="4" fillId="0" borderId="12" xfId="49" applyFont="1" applyFill="1" applyBorder="1" applyAlignment="1">
      <alignment horizontal="center" vertical="center" wrapText="1"/>
    </xf>
    <xf numFmtId="0" fontId="4" fillId="0" borderId="30" xfId="49" applyFont="1" applyFill="1" applyBorder="1" applyAlignment="1">
      <alignment horizontal="left" vertical="center" wrapText="1"/>
    </xf>
    <xf numFmtId="176" fontId="6" fillId="0" borderId="6" xfId="49" applyNumberFormat="1" applyFont="1" applyFill="1" applyBorder="1" applyAlignment="1">
      <alignment horizontal="center" vertical="center" wrapText="1"/>
    </xf>
    <xf numFmtId="10" fontId="6" fillId="0" borderId="6" xfId="49" applyNumberFormat="1" applyFont="1" applyFill="1" applyBorder="1" applyAlignment="1">
      <alignment horizontal="center" vertical="center" wrapText="1"/>
    </xf>
    <xf numFmtId="179" fontId="6" fillId="0" borderId="6" xfId="0" applyNumberFormat="1" applyFont="1" applyFill="1" applyBorder="1" applyAlignment="1" applyProtection="1">
      <alignment horizontal="center" vertical="center" wrapText="1"/>
    </xf>
    <xf numFmtId="176" fontId="8" fillId="0" borderId="6" xfId="49" applyNumberFormat="1" applyFont="1" applyFill="1" applyBorder="1" applyAlignment="1">
      <alignment horizontal="center" vertical="center" wrapText="1"/>
    </xf>
    <xf numFmtId="10" fontId="8" fillId="0" borderId="6" xfId="49" applyNumberFormat="1" applyFont="1" applyFill="1" applyBorder="1" applyAlignment="1">
      <alignment horizontal="center" vertical="center" wrapText="1"/>
    </xf>
    <xf numFmtId="179" fontId="8" fillId="0" borderId="6" xfId="0" applyNumberFormat="1" applyFont="1" applyFill="1" applyBorder="1" applyAlignment="1" applyProtection="1">
      <alignment horizontal="center" vertical="center" wrapText="1"/>
    </xf>
    <xf numFmtId="176" fontId="7" fillId="0" borderId="6" xfId="49" applyNumberFormat="1" applyFont="1" applyFill="1" applyBorder="1" applyAlignment="1">
      <alignment horizontal="center" vertical="center" wrapText="1"/>
    </xf>
    <xf numFmtId="176" fontId="7" fillId="5" borderId="6" xfId="49" applyNumberFormat="1" applyFont="1" applyFill="1" applyBorder="1" applyAlignment="1">
      <alignment horizontal="center" vertical="center" wrapText="1"/>
    </xf>
    <xf numFmtId="176" fontId="7" fillId="5" borderId="19" xfId="49" applyNumberFormat="1" applyFont="1" applyFill="1" applyBorder="1" applyAlignment="1">
      <alignment horizontal="center" vertical="center" wrapText="1"/>
    </xf>
    <xf numFmtId="176" fontId="7" fillId="6" borderId="20" xfId="49" applyNumberFormat="1" applyFont="1" applyFill="1" applyBorder="1" applyAlignment="1">
      <alignment horizontal="center" vertical="center" wrapText="1"/>
    </xf>
    <xf numFmtId="176" fontId="4" fillId="5" borderId="6" xfId="49" applyNumberFormat="1" applyFont="1" applyFill="1" applyBorder="1" applyAlignment="1">
      <alignment horizontal="center" vertical="center" wrapText="1"/>
    </xf>
    <xf numFmtId="176" fontId="8" fillId="5" borderId="6" xfId="0" applyNumberFormat="1" applyFont="1" applyFill="1" applyBorder="1" applyAlignment="1">
      <alignment vertical="center" wrapText="1"/>
    </xf>
    <xf numFmtId="176" fontId="8" fillId="6" borderId="12" xfId="0" applyNumberFormat="1" applyFont="1" applyFill="1" applyBorder="1" applyAlignment="1">
      <alignment vertical="center" wrapText="1"/>
    </xf>
    <xf numFmtId="0" fontId="6" fillId="0" borderId="28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wrapText="1"/>
    </xf>
    <xf numFmtId="0" fontId="0" fillId="0" borderId="0" xfId="49" applyFont="1" applyFill="1" applyBorder="1" applyAlignment="1">
      <alignment horizontal="center" vertical="center"/>
    </xf>
    <xf numFmtId="0" fontId="7" fillId="0" borderId="29" xfId="49" applyFont="1" applyFill="1" applyBorder="1" applyAlignment="1">
      <alignment horizontal="center" vertical="center" wrapText="1"/>
    </xf>
    <xf numFmtId="0" fontId="7" fillId="0" borderId="6" xfId="49" applyFont="1" applyFill="1" applyBorder="1" applyAlignment="1">
      <alignment horizontal="left" vertical="center" wrapText="1"/>
    </xf>
    <xf numFmtId="0" fontId="7" fillId="0" borderId="12" xfId="49" applyFont="1" applyFill="1" applyBorder="1" applyAlignment="1">
      <alignment horizontal="center" vertical="center" wrapText="1"/>
    </xf>
    <xf numFmtId="0" fontId="7" fillId="0" borderId="30" xfId="49" applyFont="1" applyFill="1" applyBorder="1" applyAlignment="1">
      <alignment horizontal="center" vertical="center" wrapText="1"/>
    </xf>
    <xf numFmtId="0" fontId="7" fillId="0" borderId="6" xfId="49" applyFont="1" applyFill="1" applyBorder="1" applyAlignment="1">
      <alignment horizontal="center" vertical="center" wrapText="1"/>
    </xf>
    <xf numFmtId="0" fontId="9" fillId="0" borderId="31" xfId="0" applyNumberFormat="1" applyFont="1" applyFill="1" applyBorder="1" applyAlignment="1" applyProtection="1">
      <alignment horizontal="center" vertical="center" wrapText="1"/>
    </xf>
    <xf numFmtId="0" fontId="9" fillId="0" borderId="32" xfId="0" applyNumberFormat="1" applyFont="1" applyFill="1" applyBorder="1" applyAlignment="1" applyProtection="1">
      <alignment horizontal="center" vertical="center" wrapText="1"/>
    </xf>
    <xf numFmtId="0" fontId="9" fillId="0" borderId="33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center" vertical="center" wrapText="1"/>
    </xf>
    <xf numFmtId="179" fontId="9" fillId="0" borderId="32" xfId="0" applyNumberFormat="1" applyFont="1" applyFill="1" applyBorder="1" applyAlignment="1" applyProtection="1">
      <alignment horizontal="center" vertical="center" wrapText="1"/>
    </xf>
    <xf numFmtId="176" fontId="9" fillId="0" borderId="32" xfId="0" applyNumberFormat="1" applyFont="1" applyFill="1" applyBorder="1" applyAlignment="1" applyProtection="1">
      <alignment horizontal="center" vertical="center" wrapText="1"/>
    </xf>
    <xf numFmtId="0" fontId="4" fillId="5" borderId="35" xfId="49" applyFont="1" applyFill="1" applyBorder="1" applyAlignment="1">
      <alignment horizontal="center" vertical="center" wrapText="1"/>
    </xf>
    <xf numFmtId="0" fontId="4" fillId="5" borderId="0" xfId="49" applyFont="1" applyFill="1" applyBorder="1" applyAlignment="1">
      <alignment horizontal="center" vertical="center" wrapText="1"/>
    </xf>
    <xf numFmtId="0" fontId="7" fillId="5" borderId="0" xfId="49" applyFont="1" applyFill="1" applyBorder="1" applyAlignment="1">
      <alignment horizontal="center" vertical="center" wrapText="1"/>
    </xf>
    <xf numFmtId="179" fontId="9" fillId="5" borderId="0" xfId="0" applyNumberFormat="1" applyFont="1" applyFill="1" applyBorder="1" applyAlignment="1" applyProtection="1">
      <alignment horizontal="center" vertical="center" wrapText="1"/>
    </xf>
    <xf numFmtId="10" fontId="7" fillId="0" borderId="6" xfId="49" applyNumberFormat="1" applyFont="1" applyFill="1" applyBorder="1" applyAlignment="1">
      <alignment horizontal="center" vertical="center" wrapText="1"/>
    </xf>
    <xf numFmtId="10" fontId="9" fillId="0" borderId="32" xfId="0" applyNumberFormat="1" applyFont="1" applyFill="1" applyBorder="1" applyAlignment="1" applyProtection="1">
      <alignment horizontal="center" vertical="center" wrapText="1"/>
    </xf>
    <xf numFmtId="176" fontId="10" fillId="0" borderId="32" xfId="0" applyNumberFormat="1" applyFont="1" applyFill="1" applyBorder="1" applyAlignment="1" applyProtection="1">
      <alignment horizontal="center" vertical="center" wrapText="1"/>
    </xf>
    <xf numFmtId="176" fontId="10" fillId="5" borderId="32" xfId="0" applyNumberFormat="1" applyFont="1" applyFill="1" applyBorder="1" applyAlignment="1" applyProtection="1">
      <alignment horizontal="center" vertical="center" wrapText="1"/>
    </xf>
    <xf numFmtId="176" fontId="7" fillId="0" borderId="32" xfId="49" applyNumberFormat="1" applyFont="1" applyFill="1" applyBorder="1" applyAlignment="1">
      <alignment horizontal="center" vertical="center" wrapText="1"/>
    </xf>
    <xf numFmtId="10" fontId="0" fillId="6" borderId="0" xfId="49" applyNumberFormat="1" applyFont="1" applyFill="1" applyAlignment="1">
      <alignment horizontal="center"/>
    </xf>
    <xf numFmtId="176" fontId="7" fillId="0" borderId="28" xfId="49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176" fontId="9" fillId="0" borderId="36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A247"/>
  <sheetViews>
    <sheetView showGridLines="0" tabSelected="1" view="pageBreakPreview" zoomScale="85" zoomScaleNormal="100" workbookViewId="0">
      <pane ySplit="5" topLeftCell="A193" activePane="bottomLeft" state="frozen"/>
      <selection/>
      <selection pane="bottomLeft" activeCell="Y3" sqref="Y3:Y4"/>
    </sheetView>
  </sheetViews>
  <sheetFormatPr defaultColWidth="10.5" defaultRowHeight="11.25"/>
  <cols>
    <col min="1" max="1" width="5" style="2" customWidth="1"/>
    <col min="2" max="2" width="15.8222222222222" style="2" customWidth="1"/>
    <col min="3" max="3" width="17.3" style="2" customWidth="1"/>
    <col min="4" max="4" width="29.5555555555556" style="2" customWidth="1"/>
    <col min="5" max="5" width="6.22222222222222" style="2" customWidth="1"/>
    <col min="6" max="6" width="11.8333333333333" style="9" customWidth="1"/>
    <col min="7" max="7" width="12" style="9" customWidth="1"/>
    <col min="8" max="8" width="13.8333333333333" style="10" customWidth="1"/>
    <col min="9" max="9" width="12.6444444444444" style="9" customWidth="1" outlineLevel="1"/>
    <col min="10" max="10" width="12.6444444444444" style="9" customWidth="1"/>
    <col min="11" max="11" width="12.6444444444444" style="9" customWidth="1" outlineLevel="1"/>
    <col min="12" max="12" width="11.9777777777778" style="9" customWidth="1"/>
    <col min="13" max="15" width="11.2777777777778" style="9" customWidth="1"/>
    <col min="16" max="16" width="14.3888888888889" style="9" customWidth="1"/>
    <col min="17" max="17" width="15.1666666666667" style="9" customWidth="1"/>
    <col min="18" max="18" width="11.2777777777778" style="9" customWidth="1"/>
    <col min="19" max="19" width="21" style="9" customWidth="1"/>
    <col min="20" max="20" width="22.8333333333333" style="9" customWidth="1"/>
    <col min="21" max="21" width="18.8333333333333" style="11" customWidth="1"/>
    <col min="22" max="22" width="16.7111111111111" style="12" customWidth="1"/>
    <col min="23" max="23" width="17.1666666666667" style="11" customWidth="1"/>
    <col min="24" max="24" width="18.1666666666667" style="13" customWidth="1" outlineLevel="1"/>
    <col min="25" max="25" width="14.1666666666667" style="9" customWidth="1"/>
    <col min="26" max="26" width="15" style="2" customWidth="1"/>
    <col min="27" max="16384" width="10.5" style="2"/>
  </cols>
  <sheetData>
    <row r="1" ht="32" customHeight="1" spans="1:25">
      <c r="A1" s="14" t="s">
        <v>0</v>
      </c>
      <c r="B1" s="14"/>
      <c r="C1" s="14"/>
      <c r="D1" s="14"/>
      <c r="E1" s="14"/>
      <c r="F1" s="14"/>
      <c r="G1" s="14"/>
      <c r="H1" s="1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52"/>
      <c r="V1" s="53"/>
      <c r="W1" s="52"/>
      <c r="X1" s="54"/>
      <c r="Y1" s="14"/>
    </row>
    <row r="2" ht="16" customHeight="1" spans="1:25">
      <c r="A2" s="16" t="s">
        <v>1</v>
      </c>
      <c r="B2" s="16"/>
      <c r="C2" s="16"/>
      <c r="D2" s="16"/>
      <c r="E2" s="16"/>
      <c r="F2" s="17"/>
      <c r="G2" s="17"/>
      <c r="H2" s="18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55"/>
      <c r="V2" s="56"/>
      <c r="W2" s="55"/>
      <c r="X2" s="57"/>
      <c r="Y2" s="17"/>
    </row>
    <row r="3" ht="21" customHeight="1" spans="1:27">
      <c r="A3" s="19" t="s">
        <v>2</v>
      </c>
      <c r="B3" s="20" t="s">
        <v>3</v>
      </c>
      <c r="C3" s="20" t="s">
        <v>4</v>
      </c>
      <c r="D3" s="20" t="s">
        <v>5</v>
      </c>
      <c r="E3" s="20" t="s">
        <v>6</v>
      </c>
      <c r="F3" s="21" t="s">
        <v>7</v>
      </c>
      <c r="G3" s="21"/>
      <c r="H3" s="22"/>
      <c r="I3" s="21"/>
      <c r="J3" s="21"/>
      <c r="K3" s="21"/>
      <c r="L3" s="21"/>
      <c r="M3" s="40" t="s">
        <v>8</v>
      </c>
      <c r="N3" s="40"/>
      <c r="O3" s="41"/>
      <c r="P3" s="42"/>
      <c r="Q3" s="42"/>
      <c r="R3" s="58"/>
      <c r="S3" s="40" t="s">
        <v>9</v>
      </c>
      <c r="T3" s="40"/>
      <c r="U3" s="59"/>
      <c r="V3" s="60" t="s">
        <v>10</v>
      </c>
      <c r="W3" s="61" t="s">
        <v>11</v>
      </c>
      <c r="X3" s="62" t="s">
        <v>12</v>
      </c>
      <c r="Y3" s="78" t="s">
        <v>13</v>
      </c>
      <c r="Z3" s="79"/>
      <c r="AA3" s="79"/>
    </row>
    <row r="4" ht="42" customHeight="1" spans="1:27">
      <c r="A4" s="23"/>
      <c r="B4" s="24"/>
      <c r="C4" s="24"/>
      <c r="D4" s="24"/>
      <c r="E4" s="24"/>
      <c r="F4" s="25" t="s">
        <v>14</v>
      </c>
      <c r="G4" s="25" t="s">
        <v>15</v>
      </c>
      <c r="H4" s="26" t="s">
        <v>16</v>
      </c>
      <c r="I4" s="25" t="s">
        <v>17</v>
      </c>
      <c r="J4" s="25" t="s">
        <v>18</v>
      </c>
      <c r="K4" s="25" t="s">
        <v>19</v>
      </c>
      <c r="L4" s="25" t="s">
        <v>20</v>
      </c>
      <c r="M4" s="25" t="s">
        <v>21</v>
      </c>
      <c r="N4" s="25" t="s">
        <v>22</v>
      </c>
      <c r="O4" s="43" t="s">
        <v>23</v>
      </c>
      <c r="P4" s="44" t="s">
        <v>24</v>
      </c>
      <c r="Q4" s="44" t="s">
        <v>25</v>
      </c>
      <c r="R4" s="44" t="s">
        <v>26</v>
      </c>
      <c r="S4" s="25" t="s">
        <v>27</v>
      </c>
      <c r="T4" s="44" t="s">
        <v>28</v>
      </c>
      <c r="U4" s="63" t="s">
        <v>29</v>
      </c>
      <c r="V4" s="64"/>
      <c r="W4" s="65"/>
      <c r="X4" s="66"/>
      <c r="Y4" s="80"/>
      <c r="Z4" s="79"/>
      <c r="AA4" s="79"/>
    </row>
    <row r="5" ht="25" customHeight="1" spans="1:25">
      <c r="A5" s="27"/>
      <c r="B5" s="28"/>
      <c r="C5" s="28"/>
      <c r="D5" s="28"/>
      <c r="E5" s="28"/>
      <c r="F5" s="25" t="s">
        <v>30</v>
      </c>
      <c r="G5" s="25" t="s">
        <v>31</v>
      </c>
      <c r="H5" s="26" t="s">
        <v>32</v>
      </c>
      <c r="I5" s="25" t="s">
        <v>33</v>
      </c>
      <c r="J5" s="25" t="s">
        <v>34</v>
      </c>
      <c r="K5" s="25" t="s">
        <v>35</v>
      </c>
      <c r="L5" s="25" t="s">
        <v>36</v>
      </c>
      <c r="M5" s="45" t="s">
        <v>37</v>
      </c>
      <c r="N5" s="45" t="s">
        <v>38</v>
      </c>
      <c r="O5" s="46" t="s">
        <v>39</v>
      </c>
      <c r="P5" s="47" t="s">
        <v>40</v>
      </c>
      <c r="Q5" s="47" t="s">
        <v>40</v>
      </c>
      <c r="R5" s="47" t="s">
        <v>41</v>
      </c>
      <c r="S5" s="67" t="s">
        <v>42</v>
      </c>
      <c r="T5" s="68" t="s">
        <v>43</v>
      </c>
      <c r="U5" s="69" t="s">
        <v>44</v>
      </c>
      <c r="V5" s="70" t="s">
        <v>45</v>
      </c>
      <c r="W5" s="71" t="s">
        <v>46</v>
      </c>
      <c r="X5" s="72" t="s">
        <v>47</v>
      </c>
      <c r="Y5" s="81"/>
    </row>
    <row r="6" ht="28.5" customHeight="1" spans="1:25">
      <c r="A6" s="27"/>
      <c r="B6" s="29"/>
      <c r="C6" s="29" t="s">
        <v>48</v>
      </c>
      <c r="D6" s="29"/>
      <c r="E6" s="29"/>
      <c r="F6" s="28"/>
      <c r="G6" s="28"/>
      <c r="H6" s="30"/>
      <c r="I6" s="28"/>
      <c r="J6" s="28"/>
      <c r="K6" s="28"/>
      <c r="L6" s="28"/>
      <c r="M6" s="28"/>
      <c r="N6" s="28"/>
      <c r="O6" s="28"/>
      <c r="P6" s="28"/>
      <c r="Q6" s="28"/>
      <c r="R6" s="28"/>
      <c r="S6" s="28">
        <v>45309.76</v>
      </c>
      <c r="T6" s="73">
        <f>+SUM(T7:T11)</f>
        <v>45309.76</v>
      </c>
      <c r="U6" s="74">
        <f>+SUM(U7:U11)</f>
        <v>45309.76</v>
      </c>
      <c r="V6" s="73"/>
      <c r="W6" s="74"/>
      <c r="X6" s="75">
        <f>U6-T6</f>
        <v>0</v>
      </c>
      <c r="Y6" s="82"/>
    </row>
    <row r="7" ht="18" customHeight="1" spans="1:25">
      <c r="A7" s="27">
        <v>1</v>
      </c>
      <c r="B7" s="29" t="s">
        <v>49</v>
      </c>
      <c r="C7" s="29" t="s">
        <v>50</v>
      </c>
      <c r="D7" s="29" t="s">
        <v>51</v>
      </c>
      <c r="E7" s="28" t="s">
        <v>52</v>
      </c>
      <c r="F7" s="28">
        <v>1860.25</v>
      </c>
      <c r="G7" s="31">
        <v>1860.25</v>
      </c>
      <c r="H7" s="32">
        <v>1860.25</v>
      </c>
      <c r="I7" s="31">
        <f>G7-F7</f>
        <v>0</v>
      </c>
      <c r="J7" s="31">
        <f>H7-F7</f>
        <v>0</v>
      </c>
      <c r="K7" s="31">
        <f>+H7-G7</f>
        <v>0</v>
      </c>
      <c r="L7" s="48">
        <f>J7/F7</f>
        <v>0</v>
      </c>
      <c r="M7" s="28">
        <v>2.32</v>
      </c>
      <c r="N7" s="28">
        <v>2.49</v>
      </c>
      <c r="O7" s="49">
        <f t="shared" ref="O7:O11" si="0">(M7-N7)/N7</f>
        <v>-0.0682730923694781</v>
      </c>
      <c r="P7" s="31">
        <f>N7*0.9056*0.85</f>
        <v>1.9167024</v>
      </c>
      <c r="Q7" s="31">
        <f>N7*1.15</f>
        <v>2.8635</v>
      </c>
      <c r="R7" s="31">
        <f>IF(M7&lt;N7*0.9056*0.85,N7*0.9056*0.85,IF(M7&gt;N7*1.15,N7*1.15,M7))</f>
        <v>2.32</v>
      </c>
      <c r="S7" s="28">
        <f>+F7*M7</f>
        <v>4315.78</v>
      </c>
      <c r="T7" s="44">
        <f t="shared" ref="T7:T11" si="1">S7+R7*I7</f>
        <v>4315.78</v>
      </c>
      <c r="U7" s="74">
        <f>S7+R7*J7</f>
        <v>4315.78</v>
      </c>
      <c r="V7" s="73">
        <f t="shared" ref="V7:V11" si="2">U7-S7</f>
        <v>0</v>
      </c>
      <c r="W7" s="74">
        <f t="shared" ref="W7:W11" si="3">+U7-T7</f>
        <v>0</v>
      </c>
      <c r="X7" s="76">
        <f>+U7-T7</f>
        <v>0</v>
      </c>
      <c r="Y7" s="83" t="s">
        <v>53</v>
      </c>
    </row>
    <row r="8" ht="28.5" customHeight="1" spans="1:25">
      <c r="A8" s="27">
        <v>2</v>
      </c>
      <c r="B8" s="29" t="s">
        <v>54</v>
      </c>
      <c r="C8" s="29" t="s">
        <v>55</v>
      </c>
      <c r="D8" s="29" t="s">
        <v>56</v>
      </c>
      <c r="E8" s="28" t="s">
        <v>57</v>
      </c>
      <c r="F8" s="28">
        <v>371.95</v>
      </c>
      <c r="G8" s="31">
        <v>371.95</v>
      </c>
      <c r="H8" s="32">
        <v>371.95</v>
      </c>
      <c r="I8" s="31">
        <f t="shared" ref="I7:I11" si="4">G8-F8</f>
        <v>0</v>
      </c>
      <c r="J8" s="31">
        <f>H8-F8</f>
        <v>0</v>
      </c>
      <c r="K8" s="31">
        <f>+H8-G8</f>
        <v>0</v>
      </c>
      <c r="L8" s="48">
        <f>J8/F8</f>
        <v>0</v>
      </c>
      <c r="M8" s="28">
        <v>9.86</v>
      </c>
      <c r="N8" s="28">
        <v>9.32</v>
      </c>
      <c r="O8" s="49">
        <f t="shared" si="0"/>
        <v>0.05793991416309</v>
      </c>
      <c r="P8" s="31">
        <f>N8*0.9056*0.85</f>
        <v>7.1741632</v>
      </c>
      <c r="Q8" s="31">
        <f>N8*1.15</f>
        <v>10.718</v>
      </c>
      <c r="R8" s="31">
        <f>IF(M8&lt;N8*0.9056*0.85,N8*0.9056*0.85,IF(M8&gt;N8*1.15,N8*1.15,M8))</f>
        <v>9.86</v>
      </c>
      <c r="S8" s="28">
        <v>3667.43</v>
      </c>
      <c r="T8" s="44">
        <f t="shared" si="1"/>
        <v>3667.43</v>
      </c>
      <c r="U8" s="74">
        <f>S8+R8*J8</f>
        <v>3667.43</v>
      </c>
      <c r="V8" s="73">
        <f t="shared" si="2"/>
        <v>0</v>
      </c>
      <c r="W8" s="74">
        <f t="shared" si="3"/>
        <v>0</v>
      </c>
      <c r="X8" s="76">
        <f>+U8-T8</f>
        <v>0</v>
      </c>
      <c r="Y8" s="84"/>
    </row>
    <row r="9" ht="28.5" customHeight="1" spans="1:25">
      <c r="A9" s="27">
        <v>3</v>
      </c>
      <c r="B9" s="29" t="s">
        <v>58</v>
      </c>
      <c r="C9" s="29" t="s">
        <v>59</v>
      </c>
      <c r="D9" s="29" t="s">
        <v>56</v>
      </c>
      <c r="E9" s="28" t="s">
        <v>57</v>
      </c>
      <c r="F9" s="28">
        <v>872.09</v>
      </c>
      <c r="G9" s="31">
        <v>872.09</v>
      </c>
      <c r="H9" s="32">
        <v>872.09</v>
      </c>
      <c r="I9" s="31">
        <f t="shared" si="4"/>
        <v>0</v>
      </c>
      <c r="J9" s="31">
        <f>H9-F9</f>
        <v>0</v>
      </c>
      <c r="K9" s="31">
        <f>+H9-G9</f>
        <v>0</v>
      </c>
      <c r="L9" s="48">
        <f>J9/F9</f>
        <v>0</v>
      </c>
      <c r="M9" s="28">
        <v>8.25</v>
      </c>
      <c r="N9" s="28">
        <v>9.45</v>
      </c>
      <c r="O9" s="49">
        <f t="shared" si="0"/>
        <v>-0.126984126984127</v>
      </c>
      <c r="P9" s="31">
        <f>N9*0.9056*0.85</f>
        <v>7.274232</v>
      </c>
      <c r="Q9" s="31">
        <f>N9*1.15</f>
        <v>10.8675</v>
      </c>
      <c r="R9" s="31">
        <f>IF(M9&lt;N9*0.9056*0.85,N9*0.9056*0.85,IF(M9&gt;N9*1.15,N9*1.15,M9))</f>
        <v>8.25</v>
      </c>
      <c r="S9" s="28">
        <v>7194.74</v>
      </c>
      <c r="T9" s="44">
        <f t="shared" si="1"/>
        <v>7194.74</v>
      </c>
      <c r="U9" s="74">
        <f>S9+R9*J9</f>
        <v>7194.74</v>
      </c>
      <c r="V9" s="73">
        <f t="shared" si="2"/>
        <v>0</v>
      </c>
      <c r="W9" s="74">
        <f t="shared" si="3"/>
        <v>0</v>
      </c>
      <c r="X9" s="76">
        <f>+U9-T9</f>
        <v>0</v>
      </c>
      <c r="Y9" s="84"/>
    </row>
    <row r="10" ht="41.25" customHeight="1" spans="1:25">
      <c r="A10" s="27">
        <v>4</v>
      </c>
      <c r="B10" s="29" t="s">
        <v>60</v>
      </c>
      <c r="C10" s="29" t="s">
        <v>61</v>
      </c>
      <c r="D10" s="29" t="s">
        <v>62</v>
      </c>
      <c r="E10" s="28" t="s">
        <v>57</v>
      </c>
      <c r="F10" s="28">
        <v>851.99</v>
      </c>
      <c r="G10" s="31">
        <v>851.99</v>
      </c>
      <c r="H10" s="32">
        <v>851.99</v>
      </c>
      <c r="I10" s="31">
        <f t="shared" si="4"/>
        <v>0</v>
      </c>
      <c r="J10" s="31">
        <f>H10-F10</f>
        <v>0</v>
      </c>
      <c r="K10" s="31">
        <f>+H10-G10</f>
        <v>0</v>
      </c>
      <c r="L10" s="48">
        <f>J10/F10</f>
        <v>0</v>
      </c>
      <c r="M10" s="28">
        <v>17.92</v>
      </c>
      <c r="N10" s="28">
        <v>19.89</v>
      </c>
      <c r="O10" s="49">
        <f t="shared" si="0"/>
        <v>-0.0990447461035696</v>
      </c>
      <c r="P10" s="31">
        <f>N10*0.9056*0.85</f>
        <v>15.3105264</v>
      </c>
      <c r="Q10" s="31">
        <f>N10*1.15</f>
        <v>22.8735</v>
      </c>
      <c r="R10" s="31">
        <f>IF(M10&lt;N10*0.9056*0.85,N10*0.9056*0.85,IF(M10&gt;N10*1.15,N10*1.15,M10))</f>
        <v>17.92</v>
      </c>
      <c r="S10" s="28">
        <v>15267.66</v>
      </c>
      <c r="T10" s="44">
        <f t="shared" si="1"/>
        <v>15267.66</v>
      </c>
      <c r="U10" s="74">
        <f>S10+R10*J10</f>
        <v>15267.66</v>
      </c>
      <c r="V10" s="73">
        <f t="shared" si="2"/>
        <v>0</v>
      </c>
      <c r="W10" s="74">
        <f t="shared" si="3"/>
        <v>0</v>
      </c>
      <c r="X10" s="76">
        <f>+U10-T10</f>
        <v>0</v>
      </c>
      <c r="Y10" s="84"/>
    </row>
    <row r="11" ht="41.25" customHeight="1" spans="1:25">
      <c r="A11" s="27">
        <v>5</v>
      </c>
      <c r="B11" s="29" t="s">
        <v>63</v>
      </c>
      <c r="C11" s="29" t="s">
        <v>64</v>
      </c>
      <c r="D11" s="29" t="s">
        <v>65</v>
      </c>
      <c r="E11" s="28" t="s">
        <v>57</v>
      </c>
      <c r="F11" s="28">
        <v>264.2515</v>
      </c>
      <c r="G11" s="31">
        <v>264.2515</v>
      </c>
      <c r="H11" s="32">
        <v>264.2515</v>
      </c>
      <c r="I11" s="31">
        <f t="shared" si="4"/>
        <v>0</v>
      </c>
      <c r="J11" s="31">
        <f>H11-F11</f>
        <v>0</v>
      </c>
      <c r="K11" s="31">
        <f>+H11-G11</f>
        <v>0</v>
      </c>
      <c r="L11" s="48">
        <f>J11/F11</f>
        <v>0</v>
      </c>
      <c r="M11" s="28">
        <v>56.25</v>
      </c>
      <c r="N11" s="28">
        <v>59.2</v>
      </c>
      <c r="O11" s="49">
        <f t="shared" si="0"/>
        <v>-0.0498310810810811</v>
      </c>
      <c r="P11" s="31">
        <f>N11*0.9056*0.85</f>
        <v>45.569792</v>
      </c>
      <c r="Q11" s="31">
        <f>N11*1.15</f>
        <v>68.08</v>
      </c>
      <c r="R11" s="31">
        <f>IF(M11&lt;N11*0.9056*0.85,N11*0.9056*0.85,IF(M11&gt;N11*1.15,N11*1.15,M11))</f>
        <v>56.25</v>
      </c>
      <c r="S11" s="28">
        <v>14864.15</v>
      </c>
      <c r="T11" s="44">
        <f t="shared" si="1"/>
        <v>14864.15</v>
      </c>
      <c r="U11" s="74">
        <f>S11+R11*J11</f>
        <v>14864.15</v>
      </c>
      <c r="V11" s="73">
        <f t="shared" si="2"/>
        <v>0</v>
      </c>
      <c r="W11" s="74">
        <f t="shared" si="3"/>
        <v>0</v>
      </c>
      <c r="X11" s="76">
        <f>+U11-T11</f>
        <v>0</v>
      </c>
      <c r="Y11" s="85"/>
    </row>
    <row r="12" ht="28.5" customHeight="1" spans="1:25">
      <c r="A12" s="27"/>
      <c r="B12" s="29"/>
      <c r="C12" s="29" t="s">
        <v>66</v>
      </c>
      <c r="D12" s="29"/>
      <c r="E12" s="29"/>
      <c r="F12" s="28"/>
      <c r="G12" s="31"/>
      <c r="H12" s="30"/>
      <c r="I12" s="31"/>
      <c r="J12" s="31"/>
      <c r="K12" s="31"/>
      <c r="L12" s="49"/>
      <c r="M12" s="28"/>
      <c r="N12" s="28"/>
      <c r="O12" s="28"/>
      <c r="P12" s="28"/>
      <c r="Q12" s="28"/>
      <c r="R12" s="31"/>
      <c r="S12" s="73">
        <f>+SUM(S13:S18)</f>
        <v>1270323.364992</v>
      </c>
      <c r="T12" s="73">
        <f>+SUM(T13:T18)</f>
        <v>1250944.405813</v>
      </c>
      <c r="U12" s="74">
        <f>SUM(U13:U18)</f>
        <v>1185231.765813</v>
      </c>
      <c r="V12" s="73">
        <f t="shared" ref="V12:V43" si="5">U12-S12</f>
        <v>-85091.5991789999</v>
      </c>
      <c r="W12" s="74">
        <f t="shared" ref="W12:W43" si="6">+U12-T12</f>
        <v>-65712.6399999999</v>
      </c>
      <c r="X12" s="75">
        <f>U12-T12</f>
        <v>-65712.6399999999</v>
      </c>
      <c r="Y12" s="82"/>
    </row>
    <row r="13" ht="110" customHeight="1" spans="1:25">
      <c r="A13" s="27">
        <v>6</v>
      </c>
      <c r="B13" s="29" t="s">
        <v>67</v>
      </c>
      <c r="C13" s="29" t="s">
        <v>68</v>
      </c>
      <c r="D13" s="29" t="s">
        <v>69</v>
      </c>
      <c r="E13" s="28" t="s">
        <v>70</v>
      </c>
      <c r="F13" s="31">
        <v>4149.5</v>
      </c>
      <c r="G13" s="31">
        <v>4342.6</v>
      </c>
      <c r="H13" s="32">
        <v>4099.4</v>
      </c>
      <c r="I13" s="31">
        <f t="shared" ref="I13:I18" si="7">G13-F13</f>
        <v>193.1</v>
      </c>
      <c r="J13" s="31">
        <f t="shared" ref="J13:J18" si="8">H13-F13</f>
        <v>-50.1000000000004</v>
      </c>
      <c r="K13" s="31">
        <f t="shared" ref="K13:K18" si="9">+H13-G13</f>
        <v>-243.200000000001</v>
      </c>
      <c r="L13" s="49">
        <f t="shared" ref="L13:L18" si="10">I13/F13</f>
        <v>0.0465357271960478</v>
      </c>
      <c r="M13" s="28">
        <v>270.2</v>
      </c>
      <c r="N13" s="28">
        <v>319.38</v>
      </c>
      <c r="O13" s="49">
        <f t="shared" ref="O13:O18" si="11">(M13-N13)/N13</f>
        <v>-0.153985847579686</v>
      </c>
      <c r="P13" s="31">
        <f t="shared" ref="P13:P18" si="12">N13*0.9056*0.85</f>
        <v>245.8459488</v>
      </c>
      <c r="Q13" s="31">
        <f t="shared" ref="Q13:Q18" si="13">N13*1.15</f>
        <v>367.287</v>
      </c>
      <c r="R13" s="31">
        <f t="shared" ref="R13:R18" si="14">IF(M13&lt;N13*0.9056*0.85,N13*0.9056*0.85,IF(M13&gt;N13*1.15,N13*1.15,M13))</f>
        <v>270.2</v>
      </c>
      <c r="S13" s="28">
        <f>+F13*M13</f>
        <v>1121194.9</v>
      </c>
      <c r="T13" s="44">
        <f>S13+R13*I13</f>
        <v>1173370.52</v>
      </c>
      <c r="U13" s="74">
        <f t="shared" ref="U13:U18" si="15">S13+R13*J13</f>
        <v>1107657.88</v>
      </c>
      <c r="V13" s="73">
        <f t="shared" si="5"/>
        <v>-13537.02</v>
      </c>
      <c r="W13" s="74">
        <f t="shared" si="6"/>
        <v>-65712.6400000001</v>
      </c>
      <c r="X13" s="76">
        <f t="shared" ref="X13:X18" si="16">+U13-T13</f>
        <v>-65712.6400000001</v>
      </c>
      <c r="Y13" s="82"/>
    </row>
    <row r="14" ht="101" customHeight="1" spans="1:25">
      <c r="A14" s="27">
        <v>7</v>
      </c>
      <c r="B14" s="29" t="s">
        <v>71</v>
      </c>
      <c r="C14" s="29" t="s">
        <v>72</v>
      </c>
      <c r="D14" s="29" t="s">
        <v>73</v>
      </c>
      <c r="E14" s="28" t="s">
        <v>70</v>
      </c>
      <c r="F14" s="31">
        <v>107.5</v>
      </c>
      <c r="G14" s="31">
        <v>0</v>
      </c>
      <c r="H14" s="32">
        <v>0</v>
      </c>
      <c r="I14" s="31">
        <f t="shared" si="7"/>
        <v>-107.5</v>
      </c>
      <c r="J14" s="31">
        <f t="shared" si="8"/>
        <v>-107.5</v>
      </c>
      <c r="K14" s="31">
        <f t="shared" si="9"/>
        <v>0</v>
      </c>
      <c r="L14" s="49">
        <f t="shared" si="10"/>
        <v>-1</v>
      </c>
      <c r="M14" s="28">
        <v>314.72</v>
      </c>
      <c r="N14" s="28">
        <v>356.32</v>
      </c>
      <c r="O14" s="49">
        <f t="shared" si="11"/>
        <v>-0.116748989672205</v>
      </c>
      <c r="P14" s="31">
        <f t="shared" si="12"/>
        <v>274.2808832</v>
      </c>
      <c r="Q14" s="31">
        <f t="shared" si="13"/>
        <v>409.768</v>
      </c>
      <c r="R14" s="31">
        <f t="shared" si="14"/>
        <v>314.72</v>
      </c>
      <c r="S14" s="28">
        <f>+F14*M14</f>
        <v>33832.4</v>
      </c>
      <c r="T14" s="44">
        <f>S14+R14*I14</f>
        <v>0</v>
      </c>
      <c r="U14" s="74">
        <f t="shared" si="15"/>
        <v>0</v>
      </c>
      <c r="V14" s="73">
        <f t="shared" si="5"/>
        <v>-33832.4</v>
      </c>
      <c r="W14" s="74">
        <f t="shared" si="6"/>
        <v>0</v>
      </c>
      <c r="X14" s="76">
        <f t="shared" si="16"/>
        <v>0</v>
      </c>
      <c r="Y14" s="82"/>
    </row>
    <row r="15" ht="31" customHeight="1" spans="1:25">
      <c r="A15" s="27">
        <v>8</v>
      </c>
      <c r="B15" s="29" t="s">
        <v>74</v>
      </c>
      <c r="C15" s="29" t="s">
        <v>75</v>
      </c>
      <c r="D15" s="29" t="s">
        <v>76</v>
      </c>
      <c r="E15" s="28" t="s">
        <v>70</v>
      </c>
      <c r="F15" s="31">
        <v>396</v>
      </c>
      <c r="G15" s="31">
        <v>113.5</v>
      </c>
      <c r="H15" s="32">
        <v>113.5</v>
      </c>
      <c r="I15" s="31">
        <f t="shared" si="7"/>
        <v>-282.5</v>
      </c>
      <c r="J15" s="31">
        <f t="shared" si="8"/>
        <v>-282.5</v>
      </c>
      <c r="K15" s="31">
        <f t="shared" si="9"/>
        <v>0</v>
      </c>
      <c r="L15" s="49">
        <f t="shared" si="10"/>
        <v>-0.713383838383838</v>
      </c>
      <c r="M15" s="28">
        <v>56.37</v>
      </c>
      <c r="N15" s="28">
        <v>58.71</v>
      </c>
      <c r="O15" s="49">
        <f t="shared" si="11"/>
        <v>-0.0398569238630558</v>
      </c>
      <c r="P15" s="31">
        <f t="shared" si="12"/>
        <v>45.1926096</v>
      </c>
      <c r="Q15" s="31">
        <f t="shared" si="13"/>
        <v>67.5165</v>
      </c>
      <c r="R15" s="31">
        <f t="shared" si="14"/>
        <v>56.37</v>
      </c>
      <c r="S15" s="28">
        <f t="shared" ref="S15:S20" si="17">+F15*M15</f>
        <v>22322.52</v>
      </c>
      <c r="T15" s="44">
        <f t="shared" ref="T15:T20" si="18">S15+R15*I15</f>
        <v>6397.995</v>
      </c>
      <c r="U15" s="74">
        <f t="shared" si="15"/>
        <v>6397.995</v>
      </c>
      <c r="V15" s="73">
        <f t="shared" si="5"/>
        <v>-15924.525</v>
      </c>
      <c r="W15" s="74">
        <f t="shared" si="6"/>
        <v>0</v>
      </c>
      <c r="X15" s="76">
        <f t="shared" si="16"/>
        <v>0</v>
      </c>
      <c r="Y15" s="82"/>
    </row>
    <row r="16" ht="52" customHeight="1" spans="1:25">
      <c r="A16" s="27">
        <v>9</v>
      </c>
      <c r="B16" s="29" t="s">
        <v>77</v>
      </c>
      <c r="C16" s="29" t="s">
        <v>78</v>
      </c>
      <c r="D16" s="29" t="s">
        <v>79</v>
      </c>
      <c r="E16" s="28" t="s">
        <v>80</v>
      </c>
      <c r="F16" s="33">
        <v>198</v>
      </c>
      <c r="G16" s="33">
        <v>191</v>
      </c>
      <c r="H16" s="34">
        <v>191</v>
      </c>
      <c r="I16" s="33">
        <f t="shared" si="7"/>
        <v>-7</v>
      </c>
      <c r="J16" s="33">
        <f t="shared" si="8"/>
        <v>-7</v>
      </c>
      <c r="K16" s="33">
        <f t="shared" si="9"/>
        <v>0</v>
      </c>
      <c r="L16" s="49">
        <f t="shared" si="10"/>
        <v>-0.0353535353535354</v>
      </c>
      <c r="M16" s="28">
        <v>78.16</v>
      </c>
      <c r="N16" s="28">
        <v>95.36</v>
      </c>
      <c r="O16" s="49">
        <f t="shared" si="11"/>
        <v>-0.180369127516779</v>
      </c>
      <c r="P16" s="31">
        <f t="shared" si="12"/>
        <v>73.4043136</v>
      </c>
      <c r="Q16" s="31">
        <f t="shared" si="13"/>
        <v>109.664</v>
      </c>
      <c r="R16" s="31">
        <f t="shared" si="14"/>
        <v>78.16</v>
      </c>
      <c r="S16" s="28">
        <f t="shared" si="17"/>
        <v>15475.68</v>
      </c>
      <c r="T16" s="44">
        <f t="shared" si="18"/>
        <v>14928.56</v>
      </c>
      <c r="U16" s="74">
        <f t="shared" si="15"/>
        <v>14928.56</v>
      </c>
      <c r="V16" s="73">
        <f t="shared" si="5"/>
        <v>-547.120000000001</v>
      </c>
      <c r="W16" s="74">
        <f t="shared" si="6"/>
        <v>0</v>
      </c>
      <c r="X16" s="76">
        <f t="shared" si="16"/>
        <v>0</v>
      </c>
      <c r="Y16" s="82"/>
    </row>
    <row r="17" ht="41.25" customHeight="1" spans="1:25">
      <c r="A17" s="27">
        <v>10</v>
      </c>
      <c r="B17" s="29" t="s">
        <v>81</v>
      </c>
      <c r="C17" s="29" t="s">
        <v>82</v>
      </c>
      <c r="D17" s="29" t="s">
        <v>83</v>
      </c>
      <c r="E17" s="28" t="s">
        <v>84</v>
      </c>
      <c r="F17" s="28">
        <v>198</v>
      </c>
      <c r="G17" s="31">
        <v>191</v>
      </c>
      <c r="H17" s="30">
        <v>191</v>
      </c>
      <c r="I17" s="33">
        <f t="shared" si="7"/>
        <v>-7</v>
      </c>
      <c r="J17" s="33">
        <f t="shared" si="8"/>
        <v>-7</v>
      </c>
      <c r="K17" s="33">
        <f t="shared" si="9"/>
        <v>0</v>
      </c>
      <c r="L17" s="49">
        <f t="shared" si="10"/>
        <v>-0.0353535353535354</v>
      </c>
      <c r="M17" s="28">
        <v>268.05</v>
      </c>
      <c r="N17" s="28">
        <v>259.06</v>
      </c>
      <c r="O17" s="49">
        <f t="shared" si="11"/>
        <v>0.0347023855477496</v>
      </c>
      <c r="P17" s="31">
        <f t="shared" si="12"/>
        <v>199.4140256</v>
      </c>
      <c r="Q17" s="31">
        <f t="shared" si="13"/>
        <v>297.919</v>
      </c>
      <c r="R17" s="31">
        <f t="shared" si="14"/>
        <v>268.05</v>
      </c>
      <c r="S17" s="28">
        <f t="shared" si="17"/>
        <v>53073.9</v>
      </c>
      <c r="T17" s="44">
        <f t="shared" si="18"/>
        <v>51197.55</v>
      </c>
      <c r="U17" s="74">
        <f t="shared" si="15"/>
        <v>51197.55</v>
      </c>
      <c r="V17" s="73">
        <f t="shared" si="5"/>
        <v>-1876.35</v>
      </c>
      <c r="W17" s="74">
        <f t="shared" si="6"/>
        <v>0</v>
      </c>
      <c r="X17" s="76">
        <f t="shared" si="16"/>
        <v>0</v>
      </c>
      <c r="Y17" s="82"/>
    </row>
    <row r="18" ht="28.5" customHeight="1" spans="1:25">
      <c r="A18" s="27">
        <v>11</v>
      </c>
      <c r="B18" s="29" t="s">
        <v>85</v>
      </c>
      <c r="C18" s="29" t="s">
        <v>86</v>
      </c>
      <c r="D18" s="29" t="s">
        <v>87</v>
      </c>
      <c r="E18" s="28" t="s">
        <v>88</v>
      </c>
      <c r="F18" s="28">
        <v>4.5728</v>
      </c>
      <c r="G18" s="31">
        <v>0.94545</v>
      </c>
      <c r="H18" s="35">
        <v>0.94545</v>
      </c>
      <c r="I18" s="50">
        <f t="shared" si="7"/>
        <v>-3.62735</v>
      </c>
      <c r="J18" s="50">
        <f t="shared" si="8"/>
        <v>-3.62735</v>
      </c>
      <c r="K18" s="31">
        <f t="shared" si="9"/>
        <v>0</v>
      </c>
      <c r="L18" s="49">
        <f t="shared" si="10"/>
        <v>-0.793244839048285</v>
      </c>
      <c r="M18" s="28">
        <v>5341.14</v>
      </c>
      <c r="N18" s="28">
        <v>6492.43</v>
      </c>
      <c r="O18" s="49">
        <f t="shared" si="11"/>
        <v>-0.177328057445363</v>
      </c>
      <c r="P18" s="31">
        <f t="shared" si="12"/>
        <v>4997.6129168</v>
      </c>
      <c r="Q18" s="31">
        <f t="shared" si="13"/>
        <v>7466.2945</v>
      </c>
      <c r="R18" s="31">
        <f t="shared" si="14"/>
        <v>5341.14</v>
      </c>
      <c r="S18" s="31">
        <f t="shared" si="17"/>
        <v>24423.964992</v>
      </c>
      <c r="T18" s="44">
        <f t="shared" si="18"/>
        <v>5049.780813</v>
      </c>
      <c r="U18" s="74">
        <f t="shared" si="15"/>
        <v>5049.780813</v>
      </c>
      <c r="V18" s="73">
        <f t="shared" si="5"/>
        <v>-19374.184179</v>
      </c>
      <c r="W18" s="74">
        <f t="shared" si="6"/>
        <v>0</v>
      </c>
      <c r="X18" s="76">
        <f t="shared" si="16"/>
        <v>0</v>
      </c>
      <c r="Y18" s="82"/>
    </row>
    <row r="19" ht="28.5" customHeight="1" spans="1:25">
      <c r="A19" s="27"/>
      <c r="B19" s="29"/>
      <c r="C19" s="29" t="s">
        <v>89</v>
      </c>
      <c r="D19" s="29"/>
      <c r="E19" s="29"/>
      <c r="F19" s="28"/>
      <c r="G19" s="31"/>
      <c r="H19" s="30"/>
      <c r="I19" s="31"/>
      <c r="J19" s="31"/>
      <c r="K19" s="31"/>
      <c r="L19" s="49"/>
      <c r="M19" s="28"/>
      <c r="N19" s="28"/>
      <c r="O19" s="28"/>
      <c r="P19" s="28"/>
      <c r="Q19" s="28"/>
      <c r="R19" s="31"/>
      <c r="S19" s="73">
        <f>+SUM(S20:S28)</f>
        <v>1054990.564068</v>
      </c>
      <c r="T19" s="73">
        <f>+SUM(T20:T28)</f>
        <v>1173090.515878</v>
      </c>
      <c r="U19" s="74">
        <f>SUM(U20:U28)</f>
        <v>1045420.978825</v>
      </c>
      <c r="V19" s="73">
        <f t="shared" si="5"/>
        <v>-9569.58524300007</v>
      </c>
      <c r="W19" s="74">
        <f t="shared" si="6"/>
        <v>-127669.537053</v>
      </c>
      <c r="X19" s="75">
        <f>U19-T19</f>
        <v>-127669.537053</v>
      </c>
      <c r="Y19" s="82"/>
    </row>
    <row r="20" s="1" customFormat="1" ht="66.75" customHeight="1" spans="1:26">
      <c r="A20" s="36">
        <v>12</v>
      </c>
      <c r="B20" s="37" t="s">
        <v>90</v>
      </c>
      <c r="C20" s="37" t="s">
        <v>61</v>
      </c>
      <c r="D20" s="37" t="s">
        <v>91</v>
      </c>
      <c r="E20" s="38" t="s">
        <v>57</v>
      </c>
      <c r="F20" s="38">
        <v>197.372</v>
      </c>
      <c r="G20" s="39">
        <v>286.1073</v>
      </c>
      <c r="H20" s="32">
        <v>230.85</v>
      </c>
      <c r="I20" s="39">
        <f>G20-F20</f>
        <v>88.7353</v>
      </c>
      <c r="J20" s="39">
        <f>H20-F20</f>
        <v>33.478</v>
      </c>
      <c r="K20" s="39">
        <f t="shared" ref="K20:K28" si="19">+H20-G20</f>
        <v>-55.2573</v>
      </c>
      <c r="L20" s="51">
        <f t="shared" ref="L20:L28" si="20">I20/F20</f>
        <v>0.449584034209513</v>
      </c>
      <c r="M20" s="38">
        <v>793.81</v>
      </c>
      <c r="N20" s="38">
        <v>754.16</v>
      </c>
      <c r="O20" s="51">
        <f t="shared" ref="O20:O28" si="21">(M20-N20)/N20</f>
        <v>0.0525750503871857</v>
      </c>
      <c r="P20" s="39">
        <f t="shared" ref="P20:P28" si="22">N20*0.9056*0.85</f>
        <v>580.5222016</v>
      </c>
      <c r="Q20" s="39">
        <f t="shared" ref="Q20:Q28" si="23">N20*1.15</f>
        <v>867.284</v>
      </c>
      <c r="R20" s="39">
        <f t="shared" ref="R20:R28" si="24">IF(M20&lt;N20*0.9056*0.85,N20*0.9056*0.85,IF(M20&gt;N20*1.15,N20*1.15,M20))</f>
        <v>793.81</v>
      </c>
      <c r="S20" s="39">
        <f t="shared" si="17"/>
        <v>156675.86732</v>
      </c>
      <c r="T20" s="77">
        <f t="shared" si="18"/>
        <v>227114.835813</v>
      </c>
      <c r="U20" s="74">
        <f t="shared" ref="U20:U28" si="25">S20+R20*J20</f>
        <v>183251.0385</v>
      </c>
      <c r="V20" s="73">
        <f t="shared" si="5"/>
        <v>26575.17118</v>
      </c>
      <c r="W20" s="74">
        <f t="shared" si="6"/>
        <v>-43863.797313</v>
      </c>
      <c r="X20" s="76">
        <f t="shared" ref="X20:X28" si="26">+U20-T20</f>
        <v>-43863.797313</v>
      </c>
      <c r="Y20" s="86"/>
      <c r="Z20" s="87"/>
    </row>
    <row r="21" s="2" customFormat="1" ht="78" customHeight="1" spans="1:25">
      <c r="A21" s="27">
        <v>13</v>
      </c>
      <c r="B21" s="29" t="s">
        <v>92</v>
      </c>
      <c r="C21" s="29" t="s">
        <v>93</v>
      </c>
      <c r="D21" s="29" t="s">
        <v>94</v>
      </c>
      <c r="E21" s="28" t="s">
        <v>57</v>
      </c>
      <c r="F21" s="28">
        <v>1133.36</v>
      </c>
      <c r="G21" s="31">
        <v>1141.36</v>
      </c>
      <c r="H21" s="32">
        <v>1015.03</v>
      </c>
      <c r="I21" s="31">
        <f t="shared" ref="I20:I28" si="27">G21-F21</f>
        <v>8</v>
      </c>
      <c r="J21" s="31">
        <f>H21-F21</f>
        <v>-118.33</v>
      </c>
      <c r="K21" s="31">
        <f t="shared" si="19"/>
        <v>-126.33</v>
      </c>
      <c r="L21" s="49">
        <f t="shared" si="20"/>
        <v>0.00705865744335427</v>
      </c>
      <c r="M21" s="28">
        <v>589.41</v>
      </c>
      <c r="N21" s="28">
        <v>676.12</v>
      </c>
      <c r="O21" s="49">
        <f t="shared" si="21"/>
        <v>-0.128246465124534</v>
      </c>
      <c r="P21" s="31">
        <f t="shared" si="22"/>
        <v>520.4501312</v>
      </c>
      <c r="Q21" s="31">
        <f t="shared" si="23"/>
        <v>777.538</v>
      </c>
      <c r="R21" s="31">
        <f t="shared" si="24"/>
        <v>589.41</v>
      </c>
      <c r="S21" s="31">
        <f t="shared" ref="S21:S28" si="28">+F21*M21</f>
        <v>668013.7176</v>
      </c>
      <c r="T21" s="44">
        <f t="shared" ref="T21:T28" si="29">S21+R21*I21</f>
        <v>672728.9976</v>
      </c>
      <c r="U21" s="74">
        <f t="shared" si="25"/>
        <v>598268.8323</v>
      </c>
      <c r="V21" s="73">
        <f t="shared" si="5"/>
        <v>-69744.8853</v>
      </c>
      <c r="W21" s="74">
        <f t="shared" si="6"/>
        <v>-74460.1653</v>
      </c>
      <c r="X21" s="76">
        <f t="shared" si="26"/>
        <v>-74460.1653</v>
      </c>
      <c r="Y21" s="82"/>
    </row>
    <row r="22" ht="76" customHeight="1" spans="1:25">
      <c r="A22" s="27">
        <v>14</v>
      </c>
      <c r="B22" s="29" t="s">
        <v>95</v>
      </c>
      <c r="C22" s="29" t="s">
        <v>93</v>
      </c>
      <c r="D22" s="29" t="s">
        <v>96</v>
      </c>
      <c r="E22" s="28" t="s">
        <v>57</v>
      </c>
      <c r="F22" s="28">
        <v>284.54</v>
      </c>
      <c r="G22" s="31">
        <v>307.2706</v>
      </c>
      <c r="H22" s="32">
        <v>307.2706</v>
      </c>
      <c r="I22" s="31">
        <f t="shared" si="27"/>
        <v>22.7306</v>
      </c>
      <c r="J22" s="31">
        <f t="shared" ref="J20:J28" si="30">H22-F22</f>
        <v>22.7306</v>
      </c>
      <c r="K22" s="31">
        <f t="shared" si="19"/>
        <v>0</v>
      </c>
      <c r="L22" s="49">
        <f t="shared" si="20"/>
        <v>0.0798854291136571</v>
      </c>
      <c r="M22" s="28">
        <v>576.98</v>
      </c>
      <c r="N22" s="28">
        <v>661.47</v>
      </c>
      <c r="O22" s="49">
        <f t="shared" si="21"/>
        <v>-0.127730660498587</v>
      </c>
      <c r="P22" s="31">
        <f t="shared" si="22"/>
        <v>509.1731472</v>
      </c>
      <c r="Q22" s="31">
        <f t="shared" si="23"/>
        <v>760.6905</v>
      </c>
      <c r="R22" s="31">
        <f t="shared" si="24"/>
        <v>576.98</v>
      </c>
      <c r="S22" s="31">
        <f t="shared" si="28"/>
        <v>164173.8892</v>
      </c>
      <c r="T22" s="44">
        <f t="shared" si="29"/>
        <v>177288.990788</v>
      </c>
      <c r="U22" s="74">
        <f t="shared" si="25"/>
        <v>177288.990788</v>
      </c>
      <c r="V22" s="73">
        <f t="shared" si="5"/>
        <v>13115.101588</v>
      </c>
      <c r="W22" s="74">
        <f t="shared" si="6"/>
        <v>0</v>
      </c>
      <c r="X22" s="76">
        <f t="shared" si="26"/>
        <v>0</v>
      </c>
      <c r="Y22" s="82"/>
    </row>
    <row r="23" ht="76" customHeight="1" spans="1:25">
      <c r="A23" s="27">
        <v>15</v>
      </c>
      <c r="B23" s="29" t="s">
        <v>97</v>
      </c>
      <c r="C23" s="29" t="s">
        <v>93</v>
      </c>
      <c r="D23" s="29" t="s">
        <v>98</v>
      </c>
      <c r="E23" s="28" t="s">
        <v>57</v>
      </c>
      <c r="F23" s="28">
        <v>9.087</v>
      </c>
      <c r="G23" s="31">
        <v>12.087</v>
      </c>
      <c r="H23" s="32">
        <v>12.09</v>
      </c>
      <c r="I23" s="31">
        <f t="shared" si="27"/>
        <v>3</v>
      </c>
      <c r="J23" s="31">
        <f t="shared" si="30"/>
        <v>3.003</v>
      </c>
      <c r="K23" s="31">
        <f t="shared" si="19"/>
        <v>0.00300000000000011</v>
      </c>
      <c r="L23" s="49">
        <f t="shared" si="20"/>
        <v>0.330141961043249</v>
      </c>
      <c r="M23" s="28">
        <v>599.54</v>
      </c>
      <c r="N23" s="28">
        <v>686.9</v>
      </c>
      <c r="O23" s="49">
        <f t="shared" si="21"/>
        <v>-0.127180084437327</v>
      </c>
      <c r="P23" s="31">
        <f t="shared" si="22"/>
        <v>528.748144</v>
      </c>
      <c r="Q23" s="31">
        <f t="shared" si="23"/>
        <v>789.935</v>
      </c>
      <c r="R23" s="31">
        <f t="shared" si="24"/>
        <v>599.54</v>
      </c>
      <c r="S23" s="31">
        <f t="shared" si="28"/>
        <v>5448.01998</v>
      </c>
      <c r="T23" s="44">
        <f t="shared" si="29"/>
        <v>7246.63998</v>
      </c>
      <c r="U23" s="74">
        <f t="shared" si="25"/>
        <v>7248.4386</v>
      </c>
      <c r="V23" s="73">
        <f t="shared" si="5"/>
        <v>1800.41862</v>
      </c>
      <c r="W23" s="74">
        <f t="shared" si="6"/>
        <v>1.79862000000048</v>
      </c>
      <c r="X23" s="76">
        <f t="shared" si="26"/>
        <v>1.79861999999957</v>
      </c>
      <c r="Y23" s="82"/>
    </row>
    <row r="24" ht="76" customHeight="1" spans="1:25">
      <c r="A24" s="27">
        <v>16</v>
      </c>
      <c r="B24" s="29" t="s">
        <v>99</v>
      </c>
      <c r="C24" s="29" t="s">
        <v>93</v>
      </c>
      <c r="D24" s="29" t="s">
        <v>100</v>
      </c>
      <c r="E24" s="28" t="s">
        <v>57</v>
      </c>
      <c r="F24" s="28">
        <v>45.56</v>
      </c>
      <c r="G24" s="31">
        <v>83.1829</v>
      </c>
      <c r="H24" s="32">
        <v>83.1829</v>
      </c>
      <c r="I24" s="31">
        <f t="shared" si="27"/>
        <v>37.6229</v>
      </c>
      <c r="J24" s="31">
        <f t="shared" si="30"/>
        <v>37.6229</v>
      </c>
      <c r="K24" s="31">
        <f t="shared" si="19"/>
        <v>0</v>
      </c>
      <c r="L24" s="49">
        <f t="shared" si="20"/>
        <v>0.82578797190518</v>
      </c>
      <c r="M24" s="28">
        <v>599.53</v>
      </c>
      <c r="N24" s="28">
        <v>686.9</v>
      </c>
      <c r="O24" s="49">
        <f t="shared" si="21"/>
        <v>-0.127194642597176</v>
      </c>
      <c r="P24" s="31">
        <f t="shared" si="22"/>
        <v>528.748144</v>
      </c>
      <c r="Q24" s="31">
        <f t="shared" si="23"/>
        <v>789.935</v>
      </c>
      <c r="R24" s="31">
        <f t="shared" si="24"/>
        <v>599.53</v>
      </c>
      <c r="S24" s="31">
        <f t="shared" si="28"/>
        <v>27314.5868</v>
      </c>
      <c r="T24" s="44">
        <f t="shared" si="29"/>
        <v>49870.644037</v>
      </c>
      <c r="U24" s="74">
        <f t="shared" si="25"/>
        <v>49870.644037</v>
      </c>
      <c r="V24" s="73">
        <f t="shared" si="5"/>
        <v>22556.057237</v>
      </c>
      <c r="W24" s="74">
        <f t="shared" si="6"/>
        <v>0</v>
      </c>
      <c r="X24" s="76">
        <f t="shared" si="26"/>
        <v>0</v>
      </c>
      <c r="Y24" s="82"/>
    </row>
    <row r="25" ht="75" customHeight="1" spans="1:25">
      <c r="A25" s="27">
        <v>17</v>
      </c>
      <c r="B25" s="29" t="s">
        <v>101</v>
      </c>
      <c r="C25" s="29" t="s">
        <v>93</v>
      </c>
      <c r="D25" s="29" t="s">
        <v>102</v>
      </c>
      <c r="E25" s="28" t="s">
        <v>57</v>
      </c>
      <c r="F25" s="28">
        <v>23.9</v>
      </c>
      <c r="G25" s="31">
        <v>28.9</v>
      </c>
      <c r="H25" s="32">
        <v>19.78</v>
      </c>
      <c r="I25" s="31">
        <f t="shared" si="27"/>
        <v>5</v>
      </c>
      <c r="J25" s="31">
        <f t="shared" si="30"/>
        <v>-4.12</v>
      </c>
      <c r="K25" s="31">
        <f t="shared" si="19"/>
        <v>-9.12</v>
      </c>
      <c r="L25" s="49">
        <f t="shared" si="20"/>
        <v>0.209205020920502</v>
      </c>
      <c r="M25" s="28">
        <v>591.21</v>
      </c>
      <c r="N25" s="28">
        <v>677</v>
      </c>
      <c r="O25" s="49">
        <f t="shared" si="21"/>
        <v>-0.12672082717873</v>
      </c>
      <c r="P25" s="31">
        <f t="shared" si="22"/>
        <v>521.12752</v>
      </c>
      <c r="Q25" s="31">
        <f t="shared" si="23"/>
        <v>778.55</v>
      </c>
      <c r="R25" s="31">
        <f t="shared" si="24"/>
        <v>591.21</v>
      </c>
      <c r="S25" s="31">
        <f t="shared" si="28"/>
        <v>14129.919</v>
      </c>
      <c r="T25" s="44">
        <f t="shared" si="29"/>
        <v>17085.969</v>
      </c>
      <c r="U25" s="74">
        <f t="shared" si="25"/>
        <v>11694.1338</v>
      </c>
      <c r="V25" s="73">
        <f t="shared" si="5"/>
        <v>-2435.7852</v>
      </c>
      <c r="W25" s="74">
        <f t="shared" si="6"/>
        <v>-5391.8352</v>
      </c>
      <c r="X25" s="76">
        <f t="shared" si="26"/>
        <v>-5391.8352</v>
      </c>
      <c r="Y25" s="82"/>
    </row>
    <row r="26" s="2" customFormat="1" ht="54" customHeight="1" spans="1:25">
      <c r="A26" s="27">
        <v>18</v>
      </c>
      <c r="B26" s="29" t="s">
        <v>103</v>
      </c>
      <c r="C26" s="29" t="s">
        <v>104</v>
      </c>
      <c r="D26" s="29" t="s">
        <v>105</v>
      </c>
      <c r="E26" s="28" t="s">
        <v>52</v>
      </c>
      <c r="F26" s="28">
        <v>22.87</v>
      </c>
      <c r="G26" s="31">
        <v>22.87</v>
      </c>
      <c r="H26" s="32">
        <v>13.34</v>
      </c>
      <c r="I26" s="31">
        <f t="shared" si="27"/>
        <v>0</v>
      </c>
      <c r="J26" s="31">
        <f t="shared" si="30"/>
        <v>-9.53</v>
      </c>
      <c r="K26" s="31">
        <f t="shared" si="19"/>
        <v>-9.53</v>
      </c>
      <c r="L26" s="49">
        <f t="shared" si="20"/>
        <v>0</v>
      </c>
      <c r="M26" s="28">
        <v>159.51</v>
      </c>
      <c r="N26" s="28">
        <v>189.88</v>
      </c>
      <c r="O26" s="49">
        <f t="shared" si="21"/>
        <v>-0.159943121971772</v>
      </c>
      <c r="P26" s="31">
        <f t="shared" si="22"/>
        <v>146.1620288</v>
      </c>
      <c r="Q26" s="31">
        <f t="shared" si="23"/>
        <v>218.362</v>
      </c>
      <c r="R26" s="31">
        <f t="shared" si="24"/>
        <v>159.51</v>
      </c>
      <c r="S26" s="31">
        <f t="shared" si="28"/>
        <v>3647.9937</v>
      </c>
      <c r="T26" s="44">
        <f t="shared" si="29"/>
        <v>3647.9937</v>
      </c>
      <c r="U26" s="74">
        <f t="shared" si="25"/>
        <v>2127.8634</v>
      </c>
      <c r="V26" s="73">
        <f t="shared" si="5"/>
        <v>-1520.1303</v>
      </c>
      <c r="W26" s="74">
        <f t="shared" si="6"/>
        <v>-1520.1303</v>
      </c>
      <c r="X26" s="76">
        <f t="shared" si="26"/>
        <v>-1520.1303</v>
      </c>
      <c r="Y26" s="82"/>
    </row>
    <row r="27" s="1" customFormat="1" ht="54" customHeight="1" spans="1:25">
      <c r="A27" s="36">
        <v>19</v>
      </c>
      <c r="B27" s="37" t="s">
        <v>106</v>
      </c>
      <c r="C27" s="37" t="s">
        <v>104</v>
      </c>
      <c r="D27" s="37" t="s">
        <v>107</v>
      </c>
      <c r="E27" s="38" t="s">
        <v>57</v>
      </c>
      <c r="F27" s="38">
        <v>17.01</v>
      </c>
      <c r="G27" s="39">
        <v>20.4954</v>
      </c>
      <c r="H27" s="32">
        <v>18.49</v>
      </c>
      <c r="I27" s="39">
        <f t="shared" si="27"/>
        <v>3.4854</v>
      </c>
      <c r="J27" s="39">
        <f t="shared" si="30"/>
        <v>1.48</v>
      </c>
      <c r="K27" s="39">
        <f t="shared" si="19"/>
        <v>-2.0054</v>
      </c>
      <c r="L27" s="51">
        <f t="shared" si="20"/>
        <v>0.204902998236332</v>
      </c>
      <c r="M27" s="38">
        <v>722.98</v>
      </c>
      <c r="N27" s="38">
        <v>864.65</v>
      </c>
      <c r="O27" s="51">
        <f t="shared" si="21"/>
        <v>-0.163846643150408</v>
      </c>
      <c r="P27" s="39">
        <f t="shared" si="22"/>
        <v>665.572984</v>
      </c>
      <c r="Q27" s="39">
        <f t="shared" si="23"/>
        <v>994.3475</v>
      </c>
      <c r="R27" s="39">
        <f t="shared" si="24"/>
        <v>722.98</v>
      </c>
      <c r="S27" s="39">
        <f t="shared" si="28"/>
        <v>12297.8898</v>
      </c>
      <c r="T27" s="77">
        <f t="shared" si="29"/>
        <v>14817.764292</v>
      </c>
      <c r="U27" s="74">
        <f t="shared" si="25"/>
        <v>13367.9002</v>
      </c>
      <c r="V27" s="73">
        <f t="shared" si="5"/>
        <v>1070.0104</v>
      </c>
      <c r="W27" s="74">
        <f t="shared" si="6"/>
        <v>-1449.864092</v>
      </c>
      <c r="X27" s="76">
        <f t="shared" si="26"/>
        <v>-1449.864092</v>
      </c>
      <c r="Y27" s="86"/>
    </row>
    <row r="28" ht="65" customHeight="1" spans="1:25">
      <c r="A28" s="27">
        <v>20</v>
      </c>
      <c r="B28" s="29" t="s">
        <v>108</v>
      </c>
      <c r="C28" s="29" t="s">
        <v>109</v>
      </c>
      <c r="D28" s="29" t="s">
        <v>110</v>
      </c>
      <c r="E28" s="28" t="s">
        <v>57</v>
      </c>
      <c r="F28" s="28">
        <v>5.6117</v>
      </c>
      <c r="G28" s="31">
        <v>5.6117</v>
      </c>
      <c r="H28" s="32">
        <v>3.93</v>
      </c>
      <c r="I28" s="31">
        <f t="shared" si="27"/>
        <v>0</v>
      </c>
      <c r="J28" s="31">
        <f t="shared" si="30"/>
        <v>-1.6817</v>
      </c>
      <c r="K28" s="31">
        <f t="shared" si="19"/>
        <v>-1.6817</v>
      </c>
      <c r="L28" s="49">
        <f t="shared" si="20"/>
        <v>0</v>
      </c>
      <c r="M28" s="28">
        <v>586.04</v>
      </c>
      <c r="N28" s="28">
        <v>735.46</v>
      </c>
      <c r="O28" s="49">
        <f t="shared" si="21"/>
        <v>-0.203165365893455</v>
      </c>
      <c r="P28" s="31">
        <f t="shared" si="22"/>
        <v>566.1276896</v>
      </c>
      <c r="Q28" s="31">
        <f t="shared" si="23"/>
        <v>845.779</v>
      </c>
      <c r="R28" s="31">
        <f t="shared" si="24"/>
        <v>586.04</v>
      </c>
      <c r="S28" s="31">
        <f t="shared" si="28"/>
        <v>3288.680668</v>
      </c>
      <c r="T28" s="44">
        <f t="shared" si="29"/>
        <v>3288.680668</v>
      </c>
      <c r="U28" s="74">
        <f t="shared" si="25"/>
        <v>2303.1372</v>
      </c>
      <c r="V28" s="73">
        <f t="shared" si="5"/>
        <v>-985.543468</v>
      </c>
      <c r="W28" s="74">
        <f t="shared" si="6"/>
        <v>-985.543468</v>
      </c>
      <c r="X28" s="76">
        <f t="shared" si="26"/>
        <v>-985.543468</v>
      </c>
      <c r="Y28" s="82"/>
    </row>
    <row r="29" ht="28.5" customHeight="1" spans="1:25">
      <c r="A29" s="27"/>
      <c r="B29" s="29"/>
      <c r="C29" s="29" t="s">
        <v>111</v>
      </c>
      <c r="D29" s="29"/>
      <c r="E29" s="29"/>
      <c r="F29" s="28"/>
      <c r="G29" s="31"/>
      <c r="H29" s="30"/>
      <c r="I29" s="31"/>
      <c r="J29" s="31"/>
      <c r="K29" s="31"/>
      <c r="L29" s="49"/>
      <c r="M29" s="28"/>
      <c r="N29" s="28"/>
      <c r="O29" s="28"/>
      <c r="P29" s="28"/>
      <c r="Q29" s="28"/>
      <c r="R29" s="31"/>
      <c r="S29" s="73">
        <f>+SUM(S30:S60)</f>
        <v>6193085.433492</v>
      </c>
      <c r="T29" s="73">
        <f>+SUM(T30:T60)</f>
        <v>6339003.48799552</v>
      </c>
      <c r="U29" s="74">
        <f>SUM(U30:U60)</f>
        <v>6176883.90803739</v>
      </c>
      <c r="V29" s="73">
        <f t="shared" si="5"/>
        <v>-16201.5254546106</v>
      </c>
      <c r="W29" s="74">
        <f t="shared" si="6"/>
        <v>-162119.579958131</v>
      </c>
      <c r="X29" s="75">
        <f>U29-T29</f>
        <v>-162119.579958126</v>
      </c>
      <c r="Y29" s="82"/>
    </row>
    <row r="30" s="1" customFormat="1" ht="54" customHeight="1" spans="1:25">
      <c r="A30" s="36">
        <v>21</v>
      </c>
      <c r="B30" s="37" t="s">
        <v>112</v>
      </c>
      <c r="C30" s="37" t="s">
        <v>113</v>
      </c>
      <c r="D30" s="37" t="s">
        <v>114</v>
      </c>
      <c r="E30" s="38" t="s">
        <v>57</v>
      </c>
      <c r="F30" s="38">
        <v>214.32</v>
      </c>
      <c r="G30" s="39">
        <v>218.666175</v>
      </c>
      <c r="H30" s="32">
        <v>218.666175</v>
      </c>
      <c r="I30" s="39">
        <f t="shared" ref="I30:I60" si="31">G30-F30</f>
        <v>4.34617500000002</v>
      </c>
      <c r="J30" s="39">
        <f t="shared" ref="J30:J60" si="32">H30-F30</f>
        <v>4.34617500000002</v>
      </c>
      <c r="K30" s="39">
        <f t="shared" ref="K30:K60" si="33">+H30-G30</f>
        <v>0</v>
      </c>
      <c r="L30" s="51">
        <f t="shared" ref="L30:L60" si="34">I30/F30</f>
        <v>0.0202789053751401</v>
      </c>
      <c r="M30" s="38">
        <v>626.18</v>
      </c>
      <c r="N30" s="38">
        <v>830</v>
      </c>
      <c r="O30" s="51">
        <f t="shared" ref="O30:O60" si="35">(M30-N30)/N30</f>
        <v>-0.245566265060241</v>
      </c>
      <c r="P30" s="39">
        <f t="shared" ref="P30:P60" si="36">N30*0.9056*0.85</f>
        <v>638.9008</v>
      </c>
      <c r="Q30" s="39">
        <f t="shared" ref="Q30:Q60" si="37">N30*1.15</f>
        <v>954.5</v>
      </c>
      <c r="R30" s="39">
        <f t="shared" ref="R30:R60" si="38">IF(M30&lt;N30*0.9056*0.85,N30*0.9056*0.85,IF(M30&gt;N30*1.15,N30*1.15,M30))</f>
        <v>638.9008</v>
      </c>
      <c r="S30" s="39">
        <f>+F30*M30</f>
        <v>134202.8976</v>
      </c>
      <c r="T30" s="77">
        <f>S30+R30*I30</f>
        <v>136979.67228444</v>
      </c>
      <c r="U30" s="74">
        <f t="shared" ref="U30:U60" si="39">S30+R30*J30</f>
        <v>136979.67228444</v>
      </c>
      <c r="V30" s="73">
        <f t="shared" si="5"/>
        <v>2776.77468444</v>
      </c>
      <c r="W30" s="74">
        <f t="shared" si="6"/>
        <v>0</v>
      </c>
      <c r="X30" s="76">
        <f t="shared" ref="X30:X60" si="40">+U30-T30</f>
        <v>0</v>
      </c>
      <c r="Y30" s="86"/>
    </row>
    <row r="31" s="1" customFormat="1" ht="54" customHeight="1" spans="1:25">
      <c r="A31" s="36">
        <v>22</v>
      </c>
      <c r="B31" s="37" t="s">
        <v>115</v>
      </c>
      <c r="C31" s="37" t="s">
        <v>116</v>
      </c>
      <c r="D31" s="37" t="s">
        <v>117</v>
      </c>
      <c r="E31" s="38" t="s">
        <v>57</v>
      </c>
      <c r="F31" s="38">
        <v>207.67</v>
      </c>
      <c r="G31" s="39">
        <v>302.651055</v>
      </c>
      <c r="H31" s="32">
        <f>202.46+85.77</f>
        <v>288.23</v>
      </c>
      <c r="I31" s="39">
        <f t="shared" si="31"/>
        <v>94.981055</v>
      </c>
      <c r="J31" s="39">
        <f t="shared" si="32"/>
        <v>80.56</v>
      </c>
      <c r="K31" s="39">
        <f t="shared" si="33"/>
        <v>-14.421055</v>
      </c>
      <c r="L31" s="51">
        <f t="shared" si="34"/>
        <v>0.457365315163481</v>
      </c>
      <c r="M31" s="38">
        <v>687.16</v>
      </c>
      <c r="N31" s="38">
        <v>861.01</v>
      </c>
      <c r="O31" s="51">
        <f t="shared" si="35"/>
        <v>-0.201914031195921</v>
      </c>
      <c r="P31" s="39">
        <f t="shared" si="36"/>
        <v>662.7710576</v>
      </c>
      <c r="Q31" s="39">
        <f t="shared" si="37"/>
        <v>990.1615</v>
      </c>
      <c r="R31" s="39">
        <f t="shared" si="38"/>
        <v>687.16</v>
      </c>
      <c r="S31" s="39">
        <f t="shared" ref="S31:S60" si="41">+F31*M31</f>
        <v>142702.5172</v>
      </c>
      <c r="T31" s="77">
        <f t="shared" ref="T31:T60" si="42">S31+R31*I31</f>
        <v>207969.6989538</v>
      </c>
      <c r="U31" s="74">
        <f t="shared" si="39"/>
        <v>198060.1268</v>
      </c>
      <c r="V31" s="73">
        <f t="shared" si="5"/>
        <v>55357.6096</v>
      </c>
      <c r="W31" s="74">
        <f t="shared" si="6"/>
        <v>-9909.57215379999</v>
      </c>
      <c r="X31" s="76">
        <f t="shared" si="40"/>
        <v>-9909.57215379999</v>
      </c>
      <c r="Y31" s="86"/>
    </row>
    <row r="32" ht="75" customHeight="1" spans="1:25">
      <c r="A32" s="27">
        <v>23</v>
      </c>
      <c r="B32" s="29" t="s">
        <v>118</v>
      </c>
      <c r="C32" s="29" t="s">
        <v>119</v>
      </c>
      <c r="D32" s="29" t="s">
        <v>120</v>
      </c>
      <c r="E32" s="28" t="s">
        <v>57</v>
      </c>
      <c r="F32" s="28">
        <v>147.955</v>
      </c>
      <c r="G32" s="31">
        <v>129.162705</v>
      </c>
      <c r="H32" s="32">
        <v>129.162705</v>
      </c>
      <c r="I32" s="31">
        <f t="shared" si="31"/>
        <v>-18.792295</v>
      </c>
      <c r="J32" s="31">
        <f t="shared" si="32"/>
        <v>-18.792295</v>
      </c>
      <c r="K32" s="31">
        <f t="shared" si="33"/>
        <v>0</v>
      </c>
      <c r="L32" s="49">
        <f t="shared" si="34"/>
        <v>-0.12701358521172</v>
      </c>
      <c r="M32" s="28">
        <v>679.67</v>
      </c>
      <c r="N32" s="28">
        <v>853.69</v>
      </c>
      <c r="O32" s="49">
        <f t="shared" si="35"/>
        <v>-0.203844486874627</v>
      </c>
      <c r="P32" s="31">
        <f t="shared" si="36"/>
        <v>657.1364144</v>
      </c>
      <c r="Q32" s="31">
        <f t="shared" si="37"/>
        <v>981.7435</v>
      </c>
      <c r="R32" s="31">
        <f t="shared" si="38"/>
        <v>679.67</v>
      </c>
      <c r="S32" s="31">
        <f t="shared" si="41"/>
        <v>100560.57485</v>
      </c>
      <c r="T32" s="44">
        <f t="shared" si="42"/>
        <v>87788.01570735</v>
      </c>
      <c r="U32" s="74">
        <f t="shared" si="39"/>
        <v>87788.01570735</v>
      </c>
      <c r="V32" s="73">
        <f t="shared" si="5"/>
        <v>-12772.55914265</v>
      </c>
      <c r="W32" s="74">
        <f t="shared" si="6"/>
        <v>0</v>
      </c>
      <c r="X32" s="76">
        <f t="shared" si="40"/>
        <v>0</v>
      </c>
      <c r="Y32" s="82"/>
    </row>
    <row r="33" ht="54" customHeight="1" spans="1:25">
      <c r="A33" s="27">
        <v>24</v>
      </c>
      <c r="B33" s="29" t="s">
        <v>121</v>
      </c>
      <c r="C33" s="29" t="s">
        <v>122</v>
      </c>
      <c r="D33" s="29" t="s">
        <v>123</v>
      </c>
      <c r="E33" s="28" t="s">
        <v>57</v>
      </c>
      <c r="F33" s="28">
        <v>190.44</v>
      </c>
      <c r="G33" s="31">
        <v>218.726025</v>
      </c>
      <c r="H33" s="32">
        <v>208.31</v>
      </c>
      <c r="I33" s="31">
        <f t="shared" si="31"/>
        <v>28.286025</v>
      </c>
      <c r="J33" s="31">
        <f t="shared" si="32"/>
        <v>17.87</v>
      </c>
      <c r="K33" s="31">
        <f t="shared" si="33"/>
        <v>-10.416025</v>
      </c>
      <c r="L33" s="49">
        <f t="shared" si="34"/>
        <v>0.148529851921865</v>
      </c>
      <c r="M33" s="28">
        <v>686.38</v>
      </c>
      <c r="N33" s="28">
        <v>909.17</v>
      </c>
      <c r="O33" s="49">
        <f t="shared" si="35"/>
        <v>-0.245047680851766</v>
      </c>
      <c r="P33" s="31">
        <f t="shared" si="36"/>
        <v>699.8426992</v>
      </c>
      <c r="Q33" s="31">
        <f t="shared" si="37"/>
        <v>1045.5455</v>
      </c>
      <c r="R33" s="31">
        <f t="shared" si="38"/>
        <v>699.8426992</v>
      </c>
      <c r="S33" s="31">
        <f t="shared" si="41"/>
        <v>130714.2072</v>
      </c>
      <c r="T33" s="44">
        <f t="shared" si="42"/>
        <v>150509.975285639</v>
      </c>
      <c r="U33" s="74">
        <f t="shared" si="39"/>
        <v>143220.396234704</v>
      </c>
      <c r="V33" s="73">
        <f t="shared" si="5"/>
        <v>12506.189034704</v>
      </c>
      <c r="W33" s="74">
        <f t="shared" si="6"/>
        <v>-7289.57905093499</v>
      </c>
      <c r="X33" s="76">
        <f t="shared" si="40"/>
        <v>-7289.57905093499</v>
      </c>
      <c r="Y33" s="82"/>
    </row>
    <row r="34" ht="54" customHeight="1" spans="1:25">
      <c r="A34" s="27">
        <v>25</v>
      </c>
      <c r="B34" s="29" t="s">
        <v>124</v>
      </c>
      <c r="C34" s="29" t="s">
        <v>125</v>
      </c>
      <c r="D34" s="29" t="s">
        <v>126</v>
      </c>
      <c r="E34" s="28" t="s">
        <v>57</v>
      </c>
      <c r="F34" s="28">
        <v>191.488</v>
      </c>
      <c r="G34" s="31">
        <v>184.3268805</v>
      </c>
      <c r="H34" s="32">
        <v>175.55</v>
      </c>
      <c r="I34" s="31">
        <f t="shared" si="31"/>
        <v>-7.16111950000001</v>
      </c>
      <c r="J34" s="31">
        <f t="shared" si="32"/>
        <v>-15.938</v>
      </c>
      <c r="K34" s="31">
        <f t="shared" si="33"/>
        <v>-8.77688049999998</v>
      </c>
      <c r="L34" s="49">
        <f t="shared" si="34"/>
        <v>-0.0373972233246993</v>
      </c>
      <c r="M34" s="28">
        <v>787.99</v>
      </c>
      <c r="N34" s="28">
        <v>990.83</v>
      </c>
      <c r="O34" s="49">
        <f t="shared" si="35"/>
        <v>-0.204717257248973</v>
      </c>
      <c r="P34" s="31">
        <f t="shared" si="36"/>
        <v>762.7013008</v>
      </c>
      <c r="Q34" s="31">
        <f t="shared" si="37"/>
        <v>1139.4545</v>
      </c>
      <c r="R34" s="31">
        <f t="shared" si="38"/>
        <v>787.99</v>
      </c>
      <c r="S34" s="31">
        <f t="shared" si="41"/>
        <v>150890.62912</v>
      </c>
      <c r="T34" s="44">
        <f t="shared" si="42"/>
        <v>145247.738565195</v>
      </c>
      <c r="U34" s="74">
        <f t="shared" si="39"/>
        <v>138331.6445</v>
      </c>
      <c r="V34" s="73">
        <f t="shared" si="5"/>
        <v>-12558.98462</v>
      </c>
      <c r="W34" s="74">
        <f t="shared" si="6"/>
        <v>-6916.09406519501</v>
      </c>
      <c r="X34" s="76">
        <f t="shared" si="40"/>
        <v>-6916.09406519501</v>
      </c>
      <c r="Y34" s="82"/>
    </row>
    <row r="35" ht="54" customHeight="1" spans="1:25">
      <c r="A35" s="27">
        <v>26</v>
      </c>
      <c r="B35" s="29" t="s">
        <v>127</v>
      </c>
      <c r="C35" s="29" t="s">
        <v>125</v>
      </c>
      <c r="D35" s="29" t="s">
        <v>128</v>
      </c>
      <c r="E35" s="28" t="s">
        <v>57</v>
      </c>
      <c r="F35" s="28">
        <v>133.32</v>
      </c>
      <c r="G35" s="31">
        <v>140.87535</v>
      </c>
      <c r="H35" s="32">
        <v>134.17</v>
      </c>
      <c r="I35" s="31">
        <f t="shared" si="31"/>
        <v>7.55535</v>
      </c>
      <c r="J35" s="31">
        <f t="shared" si="32"/>
        <v>0.849999999999994</v>
      </c>
      <c r="K35" s="31">
        <f t="shared" si="33"/>
        <v>-6.70535000000001</v>
      </c>
      <c r="L35" s="49">
        <f t="shared" si="34"/>
        <v>0.056670792079208</v>
      </c>
      <c r="M35" s="28">
        <v>777.84</v>
      </c>
      <c r="N35" s="28">
        <v>975.54</v>
      </c>
      <c r="O35" s="49">
        <f t="shared" si="35"/>
        <v>-0.202656989974783</v>
      </c>
      <c r="P35" s="31">
        <f t="shared" si="36"/>
        <v>750.9316704</v>
      </c>
      <c r="Q35" s="31">
        <f t="shared" si="37"/>
        <v>1121.871</v>
      </c>
      <c r="R35" s="31">
        <f t="shared" si="38"/>
        <v>777.84</v>
      </c>
      <c r="S35" s="31">
        <f t="shared" si="41"/>
        <v>103701.6288</v>
      </c>
      <c r="T35" s="44">
        <f t="shared" si="42"/>
        <v>109578.482244</v>
      </c>
      <c r="U35" s="74">
        <f t="shared" si="39"/>
        <v>104362.7928</v>
      </c>
      <c r="V35" s="73">
        <f t="shared" si="5"/>
        <v>661.16399999999</v>
      </c>
      <c r="W35" s="74">
        <f t="shared" si="6"/>
        <v>-5215.689444</v>
      </c>
      <c r="X35" s="76">
        <f t="shared" si="40"/>
        <v>-5215.689444</v>
      </c>
      <c r="Y35" s="82"/>
    </row>
    <row r="36" s="1" customFormat="1" ht="54" customHeight="1" spans="1:25">
      <c r="A36" s="36">
        <v>27</v>
      </c>
      <c r="B36" s="37" t="s">
        <v>129</v>
      </c>
      <c r="C36" s="37" t="s">
        <v>125</v>
      </c>
      <c r="D36" s="37" t="s">
        <v>130</v>
      </c>
      <c r="E36" s="38" t="s">
        <v>57</v>
      </c>
      <c r="F36" s="38">
        <v>167.06</v>
      </c>
      <c r="G36" s="39">
        <v>195.10764</v>
      </c>
      <c r="H36" s="32">
        <v>185.82</v>
      </c>
      <c r="I36" s="39">
        <f t="shared" si="31"/>
        <v>28.04764</v>
      </c>
      <c r="J36" s="39">
        <f t="shared" si="32"/>
        <v>18.76</v>
      </c>
      <c r="K36" s="39">
        <f t="shared" si="33"/>
        <v>-9.28764000000001</v>
      </c>
      <c r="L36" s="51">
        <f t="shared" si="34"/>
        <v>0.16788962049563</v>
      </c>
      <c r="M36" s="38">
        <v>767.69</v>
      </c>
      <c r="N36" s="38">
        <v>959.74</v>
      </c>
      <c r="O36" s="51">
        <f t="shared" si="35"/>
        <v>-0.200106278783837</v>
      </c>
      <c r="P36" s="39">
        <f t="shared" si="36"/>
        <v>738.7694624</v>
      </c>
      <c r="Q36" s="39">
        <f t="shared" si="37"/>
        <v>1103.701</v>
      </c>
      <c r="R36" s="39">
        <f t="shared" si="38"/>
        <v>767.69</v>
      </c>
      <c r="S36" s="39">
        <f t="shared" si="41"/>
        <v>128250.2914</v>
      </c>
      <c r="T36" s="77">
        <f t="shared" si="42"/>
        <v>149782.1841516</v>
      </c>
      <c r="U36" s="74">
        <f t="shared" si="39"/>
        <v>142652.1558</v>
      </c>
      <c r="V36" s="73">
        <f t="shared" si="5"/>
        <v>14401.8644</v>
      </c>
      <c r="W36" s="74">
        <f t="shared" si="6"/>
        <v>-7130.02835159999</v>
      </c>
      <c r="X36" s="76">
        <f t="shared" si="40"/>
        <v>-7130.02835159999</v>
      </c>
      <c r="Y36" s="86"/>
    </row>
    <row r="37" ht="54" customHeight="1" spans="1:25">
      <c r="A37" s="27">
        <v>28</v>
      </c>
      <c r="B37" s="29" t="s">
        <v>131</v>
      </c>
      <c r="C37" s="29" t="s">
        <v>132</v>
      </c>
      <c r="D37" s="29" t="s">
        <v>133</v>
      </c>
      <c r="E37" s="28" t="s">
        <v>57</v>
      </c>
      <c r="F37" s="28">
        <v>43.022</v>
      </c>
      <c r="G37" s="31">
        <v>57.82791</v>
      </c>
      <c r="H37" s="32">
        <v>57.82791</v>
      </c>
      <c r="I37" s="31">
        <f t="shared" si="31"/>
        <v>14.80591</v>
      </c>
      <c r="J37" s="31">
        <f t="shared" si="32"/>
        <v>14.80591</v>
      </c>
      <c r="K37" s="31">
        <f t="shared" si="33"/>
        <v>0</v>
      </c>
      <c r="L37" s="49">
        <f t="shared" si="34"/>
        <v>0.344147412951513</v>
      </c>
      <c r="M37" s="28">
        <v>787.99</v>
      </c>
      <c r="N37" s="28">
        <v>990.83</v>
      </c>
      <c r="O37" s="49">
        <f t="shared" si="35"/>
        <v>-0.204717257248973</v>
      </c>
      <c r="P37" s="31">
        <f t="shared" si="36"/>
        <v>762.7013008</v>
      </c>
      <c r="Q37" s="31">
        <f t="shared" si="37"/>
        <v>1139.4545</v>
      </c>
      <c r="R37" s="31">
        <f t="shared" si="38"/>
        <v>787.99</v>
      </c>
      <c r="S37" s="31">
        <f t="shared" si="41"/>
        <v>33900.90578</v>
      </c>
      <c r="T37" s="44">
        <f t="shared" si="42"/>
        <v>45567.8148009</v>
      </c>
      <c r="U37" s="74">
        <f t="shared" si="39"/>
        <v>45567.8148009</v>
      </c>
      <c r="V37" s="73">
        <f t="shared" si="5"/>
        <v>11666.9090209</v>
      </c>
      <c r="W37" s="74">
        <f t="shared" si="6"/>
        <v>0</v>
      </c>
      <c r="X37" s="76">
        <f t="shared" si="40"/>
        <v>0</v>
      </c>
      <c r="Y37" s="82"/>
    </row>
    <row r="38" ht="54" customHeight="1" spans="1:25">
      <c r="A38" s="27">
        <v>29</v>
      </c>
      <c r="B38" s="29" t="s">
        <v>134</v>
      </c>
      <c r="C38" s="29" t="s">
        <v>132</v>
      </c>
      <c r="D38" s="29" t="s">
        <v>135</v>
      </c>
      <c r="E38" s="28" t="s">
        <v>57</v>
      </c>
      <c r="F38" s="28">
        <v>18.55</v>
      </c>
      <c r="G38" s="31">
        <v>12.89022</v>
      </c>
      <c r="H38" s="32">
        <v>12.89022</v>
      </c>
      <c r="I38" s="31">
        <f t="shared" si="31"/>
        <v>-5.65978</v>
      </c>
      <c r="J38" s="31">
        <f t="shared" si="32"/>
        <v>-5.65978</v>
      </c>
      <c r="K38" s="31">
        <f t="shared" si="33"/>
        <v>0</v>
      </c>
      <c r="L38" s="49">
        <f t="shared" si="34"/>
        <v>-0.305109433962264</v>
      </c>
      <c r="M38" s="28">
        <v>777.84</v>
      </c>
      <c r="N38" s="28">
        <v>975.54</v>
      </c>
      <c r="O38" s="49">
        <f t="shared" si="35"/>
        <v>-0.202656989974783</v>
      </c>
      <c r="P38" s="31">
        <f t="shared" si="36"/>
        <v>750.9316704</v>
      </c>
      <c r="Q38" s="31">
        <f t="shared" si="37"/>
        <v>1121.871</v>
      </c>
      <c r="R38" s="31">
        <f t="shared" si="38"/>
        <v>777.84</v>
      </c>
      <c r="S38" s="31">
        <f t="shared" si="41"/>
        <v>14428.932</v>
      </c>
      <c r="T38" s="44">
        <f t="shared" si="42"/>
        <v>10026.5287248</v>
      </c>
      <c r="U38" s="74">
        <f t="shared" si="39"/>
        <v>10026.5287248</v>
      </c>
      <c r="V38" s="73">
        <f t="shared" si="5"/>
        <v>-4402.4032752</v>
      </c>
      <c r="W38" s="74">
        <f t="shared" si="6"/>
        <v>0</v>
      </c>
      <c r="X38" s="76">
        <f t="shared" si="40"/>
        <v>0</v>
      </c>
      <c r="Y38" s="82"/>
    </row>
    <row r="39" s="3" customFormat="1" ht="41.25" customHeight="1" spans="1:27">
      <c r="A39" s="27">
        <v>30</v>
      </c>
      <c r="B39" s="29" t="s">
        <v>136</v>
      </c>
      <c r="C39" s="29" t="s">
        <v>137</v>
      </c>
      <c r="D39" s="29" t="s">
        <v>138</v>
      </c>
      <c r="E39" s="28" t="s">
        <v>57</v>
      </c>
      <c r="F39" s="28">
        <v>142.86</v>
      </c>
      <c r="G39" s="31">
        <v>142.86</v>
      </c>
      <c r="H39" s="32">
        <v>130.02</v>
      </c>
      <c r="I39" s="31">
        <f t="shared" si="31"/>
        <v>0</v>
      </c>
      <c r="J39" s="31">
        <f t="shared" si="32"/>
        <v>-12.84</v>
      </c>
      <c r="K39" s="31">
        <f t="shared" si="33"/>
        <v>-12.84</v>
      </c>
      <c r="L39" s="49">
        <f t="shared" si="34"/>
        <v>0</v>
      </c>
      <c r="M39" s="28">
        <v>820.94</v>
      </c>
      <c r="N39" s="28">
        <v>1006.12</v>
      </c>
      <c r="O39" s="49">
        <f t="shared" si="35"/>
        <v>-0.184053592016857</v>
      </c>
      <c r="P39" s="31">
        <f t="shared" si="36"/>
        <v>774.4709312</v>
      </c>
      <c r="Q39" s="31">
        <f t="shared" si="37"/>
        <v>1157.038</v>
      </c>
      <c r="R39" s="31">
        <f t="shared" si="38"/>
        <v>820.94</v>
      </c>
      <c r="S39" s="31">
        <f t="shared" si="41"/>
        <v>117279.4884</v>
      </c>
      <c r="T39" s="44">
        <f t="shared" si="42"/>
        <v>117279.4884</v>
      </c>
      <c r="U39" s="74">
        <f t="shared" si="39"/>
        <v>106738.6188</v>
      </c>
      <c r="V39" s="73">
        <f t="shared" si="5"/>
        <v>-10540.8696</v>
      </c>
      <c r="W39" s="74">
        <f t="shared" si="6"/>
        <v>-10540.8696</v>
      </c>
      <c r="X39" s="76">
        <f t="shared" si="40"/>
        <v>-10540.8696</v>
      </c>
      <c r="Y39" s="82"/>
      <c r="Z39" s="2"/>
      <c r="AA39" s="2"/>
    </row>
    <row r="40" ht="54" customHeight="1" spans="1:25">
      <c r="A40" s="27">
        <v>31</v>
      </c>
      <c r="B40" s="29" t="s">
        <v>139</v>
      </c>
      <c r="C40" s="29" t="s">
        <v>140</v>
      </c>
      <c r="D40" s="29" t="s">
        <v>141</v>
      </c>
      <c r="E40" s="28" t="s">
        <v>57</v>
      </c>
      <c r="F40" s="28">
        <v>112.42</v>
      </c>
      <c r="G40" s="31">
        <v>116.141655</v>
      </c>
      <c r="H40" s="32">
        <v>116.141655</v>
      </c>
      <c r="I40" s="31">
        <f t="shared" si="31"/>
        <v>3.721655</v>
      </c>
      <c r="J40" s="31">
        <f t="shared" si="32"/>
        <v>3.721655</v>
      </c>
      <c r="K40" s="31">
        <f t="shared" si="33"/>
        <v>0</v>
      </c>
      <c r="L40" s="49">
        <f t="shared" si="34"/>
        <v>0.0331049190535492</v>
      </c>
      <c r="M40" s="28">
        <v>688.86</v>
      </c>
      <c r="N40" s="28">
        <v>830.73</v>
      </c>
      <c r="O40" s="49">
        <f t="shared" si="35"/>
        <v>-0.170777508937922</v>
      </c>
      <c r="P40" s="31">
        <f t="shared" si="36"/>
        <v>639.4627248</v>
      </c>
      <c r="Q40" s="31">
        <f t="shared" si="37"/>
        <v>955.3395</v>
      </c>
      <c r="R40" s="31">
        <f t="shared" si="38"/>
        <v>688.86</v>
      </c>
      <c r="S40" s="31">
        <f t="shared" si="41"/>
        <v>77441.6412</v>
      </c>
      <c r="T40" s="44">
        <f t="shared" si="42"/>
        <v>80005.3404633</v>
      </c>
      <c r="U40" s="74">
        <f t="shared" si="39"/>
        <v>80005.3404633</v>
      </c>
      <c r="V40" s="73">
        <f t="shared" si="5"/>
        <v>2563.6992633</v>
      </c>
      <c r="W40" s="74">
        <f t="shared" si="6"/>
        <v>0</v>
      </c>
      <c r="X40" s="76">
        <f t="shared" si="40"/>
        <v>0</v>
      </c>
      <c r="Y40" s="82"/>
    </row>
    <row r="41" s="2" customFormat="1" ht="54" customHeight="1" spans="1:25">
      <c r="A41" s="27">
        <v>32</v>
      </c>
      <c r="B41" s="29" t="s">
        <v>142</v>
      </c>
      <c r="C41" s="29" t="s">
        <v>140</v>
      </c>
      <c r="D41" s="29" t="s">
        <v>143</v>
      </c>
      <c r="E41" s="28" t="s">
        <v>57</v>
      </c>
      <c r="F41" s="28">
        <v>1.118</v>
      </c>
      <c r="G41" s="31">
        <v>2.42907</v>
      </c>
      <c r="H41" s="32">
        <v>2.31</v>
      </c>
      <c r="I41" s="31">
        <f t="shared" si="31"/>
        <v>1.31107</v>
      </c>
      <c r="J41" s="31">
        <f t="shared" si="32"/>
        <v>1.192</v>
      </c>
      <c r="K41" s="31">
        <f t="shared" si="33"/>
        <v>-0.11907</v>
      </c>
      <c r="L41" s="49">
        <f t="shared" si="34"/>
        <v>1.17269230769231</v>
      </c>
      <c r="M41" s="28">
        <v>699.01</v>
      </c>
      <c r="N41" s="28">
        <v>882.44</v>
      </c>
      <c r="O41" s="49">
        <f t="shared" si="35"/>
        <v>-0.207866823806718</v>
      </c>
      <c r="P41" s="31">
        <f t="shared" si="36"/>
        <v>679.2670144</v>
      </c>
      <c r="Q41" s="31">
        <f t="shared" si="37"/>
        <v>1014.806</v>
      </c>
      <c r="R41" s="31">
        <f t="shared" si="38"/>
        <v>699.01</v>
      </c>
      <c r="S41" s="31">
        <f t="shared" si="41"/>
        <v>781.49318</v>
      </c>
      <c r="T41" s="44">
        <f t="shared" si="42"/>
        <v>1697.9442207</v>
      </c>
      <c r="U41" s="74">
        <f t="shared" si="39"/>
        <v>1614.7131</v>
      </c>
      <c r="V41" s="73">
        <f t="shared" si="5"/>
        <v>833.21992</v>
      </c>
      <c r="W41" s="74">
        <f t="shared" si="6"/>
        <v>-83.2311207</v>
      </c>
      <c r="X41" s="76">
        <f t="shared" si="40"/>
        <v>-83.2311207</v>
      </c>
      <c r="Y41" s="82"/>
    </row>
    <row r="42" ht="54" customHeight="1" spans="1:25">
      <c r="A42" s="27">
        <v>33</v>
      </c>
      <c r="B42" s="29" t="s">
        <v>144</v>
      </c>
      <c r="C42" s="29" t="s">
        <v>145</v>
      </c>
      <c r="D42" s="29" t="s">
        <v>146</v>
      </c>
      <c r="E42" s="28" t="s">
        <v>57</v>
      </c>
      <c r="F42" s="28">
        <v>1987.3127</v>
      </c>
      <c r="G42" s="31">
        <v>2199.778455</v>
      </c>
      <c r="H42" s="32">
        <f>2342.86-H43</f>
        <v>2070.231595</v>
      </c>
      <c r="I42" s="31">
        <f t="shared" si="31"/>
        <v>212.465755</v>
      </c>
      <c r="J42" s="31">
        <f t="shared" si="32"/>
        <v>82.9188950000002</v>
      </c>
      <c r="K42" s="31">
        <f t="shared" si="33"/>
        <v>-129.54686</v>
      </c>
      <c r="L42" s="49">
        <f t="shared" si="34"/>
        <v>0.106911083998004</v>
      </c>
      <c r="M42" s="28">
        <v>674.8</v>
      </c>
      <c r="N42" s="28">
        <v>855.35</v>
      </c>
      <c r="O42" s="49">
        <f t="shared" si="35"/>
        <v>-0.211083182323026</v>
      </c>
      <c r="P42" s="31">
        <f t="shared" si="36"/>
        <v>658.414216</v>
      </c>
      <c r="Q42" s="31">
        <f t="shared" si="37"/>
        <v>983.6525</v>
      </c>
      <c r="R42" s="31">
        <f t="shared" si="38"/>
        <v>674.8</v>
      </c>
      <c r="S42" s="31">
        <f t="shared" si="41"/>
        <v>1341038.60996</v>
      </c>
      <c r="T42" s="44">
        <f t="shared" si="42"/>
        <v>1484410.501434</v>
      </c>
      <c r="U42" s="74">
        <f t="shared" si="39"/>
        <v>1396992.280306</v>
      </c>
      <c r="V42" s="73">
        <f t="shared" si="5"/>
        <v>55953.670346</v>
      </c>
      <c r="W42" s="74">
        <f t="shared" si="6"/>
        <v>-87418.2211279999</v>
      </c>
      <c r="X42" s="76">
        <f t="shared" si="40"/>
        <v>-87418.2211279997</v>
      </c>
      <c r="Y42" s="82"/>
    </row>
    <row r="43" ht="54" customHeight="1" spans="1:25">
      <c r="A43" s="27">
        <v>34</v>
      </c>
      <c r="B43" s="29" t="s">
        <v>147</v>
      </c>
      <c r="C43" s="29" t="s">
        <v>148</v>
      </c>
      <c r="D43" s="29" t="s">
        <v>146</v>
      </c>
      <c r="E43" s="28" t="s">
        <v>57</v>
      </c>
      <c r="F43" s="28">
        <v>325.8433</v>
      </c>
      <c r="G43" s="31">
        <v>272.628405</v>
      </c>
      <c r="H43" s="32">
        <v>272.628405</v>
      </c>
      <c r="I43" s="31">
        <f t="shared" si="31"/>
        <v>-53.214895</v>
      </c>
      <c r="J43" s="31">
        <f t="shared" si="32"/>
        <v>-53.214895</v>
      </c>
      <c r="K43" s="31">
        <f t="shared" si="33"/>
        <v>0</v>
      </c>
      <c r="L43" s="49">
        <f t="shared" si="34"/>
        <v>-0.16331437534545</v>
      </c>
      <c r="M43" s="28">
        <v>674.8</v>
      </c>
      <c r="N43" s="28">
        <v>869.35</v>
      </c>
      <c r="O43" s="49">
        <f t="shared" si="35"/>
        <v>-0.223787887502157</v>
      </c>
      <c r="P43" s="31">
        <f t="shared" si="36"/>
        <v>669.190856</v>
      </c>
      <c r="Q43" s="31">
        <f t="shared" si="37"/>
        <v>999.7525</v>
      </c>
      <c r="R43" s="31">
        <f t="shared" si="38"/>
        <v>674.8</v>
      </c>
      <c r="S43" s="31">
        <f t="shared" si="41"/>
        <v>219879.05884</v>
      </c>
      <c r="T43" s="44">
        <f t="shared" si="42"/>
        <v>183969.647694</v>
      </c>
      <c r="U43" s="74">
        <f t="shared" si="39"/>
        <v>183969.647694</v>
      </c>
      <c r="V43" s="73">
        <f t="shared" si="5"/>
        <v>-35909.411146</v>
      </c>
      <c r="W43" s="74">
        <f t="shared" si="6"/>
        <v>0</v>
      </c>
      <c r="X43" s="76">
        <f t="shared" si="40"/>
        <v>0</v>
      </c>
      <c r="Y43" s="82"/>
    </row>
    <row r="44" ht="41.25" customHeight="1" spans="1:25">
      <c r="A44" s="27">
        <v>35</v>
      </c>
      <c r="B44" s="29" t="s">
        <v>149</v>
      </c>
      <c r="C44" s="29" t="s">
        <v>150</v>
      </c>
      <c r="D44" s="29" t="s">
        <v>151</v>
      </c>
      <c r="E44" s="28" t="s">
        <v>57</v>
      </c>
      <c r="F44" s="28">
        <v>134.61</v>
      </c>
      <c r="G44" s="31">
        <v>110.912445</v>
      </c>
      <c r="H44" s="32">
        <f>7.58+79.07+18.96</f>
        <v>105.61</v>
      </c>
      <c r="I44" s="31">
        <f t="shared" si="31"/>
        <v>-23.697555</v>
      </c>
      <c r="J44" s="31">
        <f t="shared" si="32"/>
        <v>-29</v>
      </c>
      <c r="K44" s="31">
        <f t="shared" si="33"/>
        <v>-5.30244500000001</v>
      </c>
      <c r="L44" s="49">
        <f t="shared" si="34"/>
        <v>-0.176046021840874</v>
      </c>
      <c r="M44" s="28">
        <v>838.64</v>
      </c>
      <c r="N44" s="28">
        <v>1007.51</v>
      </c>
      <c r="O44" s="49">
        <f t="shared" si="35"/>
        <v>-0.167611239590674</v>
      </c>
      <c r="P44" s="31">
        <f t="shared" si="36"/>
        <v>775.5408976</v>
      </c>
      <c r="Q44" s="31">
        <f t="shared" si="37"/>
        <v>1158.6365</v>
      </c>
      <c r="R44" s="31">
        <f t="shared" si="38"/>
        <v>838.64</v>
      </c>
      <c r="S44" s="31">
        <f t="shared" si="41"/>
        <v>112889.3304</v>
      </c>
      <c r="T44" s="44">
        <f t="shared" si="42"/>
        <v>93015.6128748</v>
      </c>
      <c r="U44" s="74">
        <f t="shared" si="39"/>
        <v>88568.7704</v>
      </c>
      <c r="V44" s="73">
        <f t="shared" ref="V44:V75" si="43">U44-S44</f>
        <v>-24320.56</v>
      </c>
      <c r="W44" s="74">
        <f t="shared" ref="W44:W75" si="44">+U44-T44</f>
        <v>-4446.84247480001</v>
      </c>
      <c r="X44" s="76">
        <f t="shared" si="40"/>
        <v>-4446.8424748</v>
      </c>
      <c r="Y44" s="82"/>
    </row>
    <row r="45" ht="41.25" customHeight="1" spans="1:25">
      <c r="A45" s="27">
        <v>36</v>
      </c>
      <c r="B45" s="29" t="s">
        <v>152</v>
      </c>
      <c r="C45" s="29" t="s">
        <v>153</v>
      </c>
      <c r="D45" s="29" t="s">
        <v>154</v>
      </c>
      <c r="E45" s="28" t="s">
        <v>57</v>
      </c>
      <c r="F45" s="28">
        <v>28.37</v>
      </c>
      <c r="G45" s="31">
        <v>2.88918</v>
      </c>
      <c r="H45" s="32">
        <v>2.88918</v>
      </c>
      <c r="I45" s="31">
        <f t="shared" si="31"/>
        <v>-25.48082</v>
      </c>
      <c r="J45" s="31">
        <f t="shared" si="32"/>
        <v>-25.48082</v>
      </c>
      <c r="K45" s="31">
        <f t="shared" si="33"/>
        <v>0</v>
      </c>
      <c r="L45" s="49">
        <f t="shared" si="34"/>
        <v>-0.89816073316884</v>
      </c>
      <c r="M45" s="28">
        <v>826.88</v>
      </c>
      <c r="N45" s="28">
        <v>982.99</v>
      </c>
      <c r="O45" s="49">
        <f t="shared" si="35"/>
        <v>-0.158811381601034</v>
      </c>
      <c r="P45" s="31">
        <f t="shared" si="36"/>
        <v>756.6663824</v>
      </c>
      <c r="Q45" s="31">
        <f t="shared" si="37"/>
        <v>1130.4385</v>
      </c>
      <c r="R45" s="31">
        <f t="shared" si="38"/>
        <v>826.88</v>
      </c>
      <c r="S45" s="31">
        <f t="shared" si="41"/>
        <v>23458.5856</v>
      </c>
      <c r="T45" s="44">
        <f t="shared" si="42"/>
        <v>2389.0051584</v>
      </c>
      <c r="U45" s="74">
        <f t="shared" si="39"/>
        <v>2389.0051584</v>
      </c>
      <c r="V45" s="73">
        <f t="shared" si="43"/>
        <v>-21069.5804416</v>
      </c>
      <c r="W45" s="74">
        <f t="shared" si="44"/>
        <v>0</v>
      </c>
      <c r="X45" s="76">
        <f t="shared" si="40"/>
        <v>-4.09272615797818e-12</v>
      </c>
      <c r="Y45" s="82"/>
    </row>
    <row r="46" s="3" customFormat="1" ht="41.25" customHeight="1" spans="1:27">
      <c r="A46" s="27">
        <v>37</v>
      </c>
      <c r="B46" s="29" t="s">
        <v>155</v>
      </c>
      <c r="C46" s="29" t="s">
        <v>156</v>
      </c>
      <c r="D46" s="29" t="s">
        <v>157</v>
      </c>
      <c r="E46" s="28" t="s">
        <v>57</v>
      </c>
      <c r="F46" s="28">
        <v>44.62</v>
      </c>
      <c r="G46" s="31">
        <v>44.62</v>
      </c>
      <c r="H46" s="32">
        <v>44.62</v>
      </c>
      <c r="I46" s="31">
        <f t="shared" si="31"/>
        <v>0</v>
      </c>
      <c r="J46" s="31">
        <f t="shared" si="32"/>
        <v>0</v>
      </c>
      <c r="K46" s="31">
        <f t="shared" si="33"/>
        <v>0</v>
      </c>
      <c r="L46" s="49">
        <f t="shared" si="34"/>
        <v>0</v>
      </c>
      <c r="M46" s="28">
        <v>730.1</v>
      </c>
      <c r="N46" s="28">
        <v>906.2</v>
      </c>
      <c r="O46" s="49">
        <f t="shared" si="35"/>
        <v>-0.194327962922092</v>
      </c>
      <c r="P46" s="31">
        <f t="shared" si="36"/>
        <v>697.556512</v>
      </c>
      <c r="Q46" s="31">
        <f t="shared" si="37"/>
        <v>1042.13</v>
      </c>
      <c r="R46" s="31">
        <f t="shared" si="38"/>
        <v>730.1</v>
      </c>
      <c r="S46" s="31">
        <f t="shared" si="41"/>
        <v>32577.062</v>
      </c>
      <c r="T46" s="44">
        <f t="shared" si="42"/>
        <v>32577.062</v>
      </c>
      <c r="U46" s="74">
        <f t="shared" si="39"/>
        <v>32577.062</v>
      </c>
      <c r="V46" s="73">
        <f t="shared" si="43"/>
        <v>0</v>
      </c>
      <c r="W46" s="74">
        <f t="shared" si="44"/>
        <v>0</v>
      </c>
      <c r="X46" s="76">
        <f t="shared" si="40"/>
        <v>0</v>
      </c>
      <c r="Y46" s="82"/>
      <c r="Z46" s="2"/>
      <c r="AA46" s="2"/>
    </row>
    <row r="47" s="2" customFormat="1" ht="41.25" customHeight="1" spans="1:25">
      <c r="A47" s="27">
        <v>38</v>
      </c>
      <c r="B47" s="29" t="s">
        <v>158</v>
      </c>
      <c r="C47" s="29" t="s">
        <v>159</v>
      </c>
      <c r="D47" s="29" t="s">
        <v>160</v>
      </c>
      <c r="E47" s="28" t="s">
        <v>57</v>
      </c>
      <c r="F47" s="28">
        <v>10.13</v>
      </c>
      <c r="G47" s="31">
        <v>10.13</v>
      </c>
      <c r="H47" s="32">
        <v>10.13</v>
      </c>
      <c r="I47" s="31">
        <f t="shared" si="31"/>
        <v>0</v>
      </c>
      <c r="J47" s="31">
        <f t="shared" si="32"/>
        <v>0</v>
      </c>
      <c r="K47" s="31">
        <f t="shared" si="33"/>
        <v>0</v>
      </c>
      <c r="L47" s="49">
        <f t="shared" si="34"/>
        <v>0</v>
      </c>
      <c r="M47" s="28">
        <v>730.1</v>
      </c>
      <c r="N47" s="28">
        <v>906.2</v>
      </c>
      <c r="O47" s="49">
        <f t="shared" si="35"/>
        <v>-0.194327962922092</v>
      </c>
      <c r="P47" s="31">
        <f t="shared" si="36"/>
        <v>697.556512</v>
      </c>
      <c r="Q47" s="31">
        <f t="shared" si="37"/>
        <v>1042.13</v>
      </c>
      <c r="R47" s="31">
        <f t="shared" si="38"/>
        <v>730.1</v>
      </c>
      <c r="S47" s="31">
        <f t="shared" si="41"/>
        <v>7395.913</v>
      </c>
      <c r="T47" s="44">
        <f t="shared" si="42"/>
        <v>7395.913</v>
      </c>
      <c r="U47" s="74">
        <f t="shared" si="39"/>
        <v>7395.913</v>
      </c>
      <c r="V47" s="73">
        <f t="shared" si="43"/>
        <v>0</v>
      </c>
      <c r="W47" s="74">
        <f t="shared" si="44"/>
        <v>0</v>
      </c>
      <c r="X47" s="76">
        <f t="shared" si="40"/>
        <v>0</v>
      </c>
      <c r="Y47" s="82"/>
    </row>
    <row r="48" ht="41.25" customHeight="1" spans="1:25">
      <c r="A48" s="27">
        <v>39</v>
      </c>
      <c r="B48" s="29" t="s">
        <v>161</v>
      </c>
      <c r="C48" s="29" t="s">
        <v>162</v>
      </c>
      <c r="D48" s="29" t="s">
        <v>163</v>
      </c>
      <c r="E48" s="28" t="s">
        <v>57</v>
      </c>
      <c r="F48" s="28">
        <v>18.106</v>
      </c>
      <c r="G48" s="31">
        <v>0</v>
      </c>
      <c r="H48" s="32">
        <v>0</v>
      </c>
      <c r="I48" s="31">
        <f t="shared" si="31"/>
        <v>-18.106</v>
      </c>
      <c r="J48" s="31">
        <f t="shared" si="32"/>
        <v>-18.106</v>
      </c>
      <c r="K48" s="31">
        <f t="shared" si="33"/>
        <v>0</v>
      </c>
      <c r="L48" s="49">
        <f t="shared" si="34"/>
        <v>-1</v>
      </c>
      <c r="M48" s="28">
        <v>957.9</v>
      </c>
      <c r="N48" s="28">
        <v>1157.57</v>
      </c>
      <c r="O48" s="49">
        <f t="shared" si="35"/>
        <v>-0.172490648513697</v>
      </c>
      <c r="P48" s="31">
        <f t="shared" si="36"/>
        <v>891.0510832</v>
      </c>
      <c r="Q48" s="31">
        <f t="shared" si="37"/>
        <v>1331.2055</v>
      </c>
      <c r="R48" s="31">
        <f t="shared" si="38"/>
        <v>957.9</v>
      </c>
      <c r="S48" s="31">
        <f t="shared" si="41"/>
        <v>17343.7374</v>
      </c>
      <c r="T48" s="44">
        <f t="shared" si="42"/>
        <v>0</v>
      </c>
      <c r="U48" s="74">
        <f t="shared" si="39"/>
        <v>0</v>
      </c>
      <c r="V48" s="73">
        <f t="shared" si="43"/>
        <v>-17343.7374</v>
      </c>
      <c r="W48" s="74">
        <f t="shared" si="44"/>
        <v>0</v>
      </c>
      <c r="X48" s="76">
        <f t="shared" si="40"/>
        <v>0</v>
      </c>
      <c r="Y48" s="82"/>
    </row>
    <row r="49" s="2" customFormat="1" ht="41.25" customHeight="1" spans="1:25">
      <c r="A49" s="27">
        <v>40</v>
      </c>
      <c r="B49" s="29" t="s">
        <v>164</v>
      </c>
      <c r="C49" s="29" t="s">
        <v>165</v>
      </c>
      <c r="D49" s="29" t="s">
        <v>166</v>
      </c>
      <c r="E49" s="28" t="s">
        <v>57</v>
      </c>
      <c r="F49" s="28">
        <v>102.36</v>
      </c>
      <c r="G49" s="31">
        <v>113.327235</v>
      </c>
      <c r="H49" s="32">
        <v>107.93</v>
      </c>
      <c r="I49" s="31">
        <f t="shared" si="31"/>
        <v>10.967235</v>
      </c>
      <c r="J49" s="31">
        <f t="shared" si="32"/>
        <v>5.57000000000001</v>
      </c>
      <c r="K49" s="31">
        <f t="shared" si="33"/>
        <v>-5.39723499999999</v>
      </c>
      <c r="L49" s="49">
        <f t="shared" si="34"/>
        <v>0.107143757327081</v>
      </c>
      <c r="M49" s="28">
        <v>726.66</v>
      </c>
      <c r="N49" s="28">
        <v>913.95</v>
      </c>
      <c r="O49" s="49">
        <f t="shared" si="35"/>
        <v>-0.20492368291482</v>
      </c>
      <c r="P49" s="31">
        <f t="shared" si="36"/>
        <v>703.522152</v>
      </c>
      <c r="Q49" s="31">
        <f t="shared" si="37"/>
        <v>1051.0425</v>
      </c>
      <c r="R49" s="31">
        <f t="shared" si="38"/>
        <v>726.66</v>
      </c>
      <c r="S49" s="31">
        <f t="shared" si="41"/>
        <v>74380.9176</v>
      </c>
      <c r="T49" s="44">
        <f t="shared" si="42"/>
        <v>82350.3685851</v>
      </c>
      <c r="U49" s="74">
        <f t="shared" si="39"/>
        <v>78428.4138</v>
      </c>
      <c r="V49" s="73">
        <f t="shared" si="43"/>
        <v>4047.49619999999</v>
      </c>
      <c r="W49" s="74">
        <f t="shared" si="44"/>
        <v>-3921.95478510001</v>
      </c>
      <c r="X49" s="76">
        <f t="shared" si="40"/>
        <v>-3921.9547851</v>
      </c>
      <c r="Y49" s="82"/>
    </row>
    <row r="50" s="1" customFormat="1" ht="41.25" customHeight="1" spans="1:26">
      <c r="A50" s="36">
        <v>41</v>
      </c>
      <c r="B50" s="37" t="s">
        <v>167</v>
      </c>
      <c r="C50" s="37" t="s">
        <v>168</v>
      </c>
      <c r="D50" s="37" t="s">
        <v>169</v>
      </c>
      <c r="E50" s="38" t="s">
        <v>52</v>
      </c>
      <c r="F50" s="38">
        <v>141.6688</v>
      </c>
      <c r="G50" s="39">
        <v>239.8741</v>
      </c>
      <c r="H50" s="32">
        <v>0</v>
      </c>
      <c r="I50" s="39">
        <f t="shared" si="31"/>
        <v>98.2053</v>
      </c>
      <c r="J50" s="39">
        <f t="shared" si="32"/>
        <v>-141.6688</v>
      </c>
      <c r="K50" s="39">
        <f t="shared" si="33"/>
        <v>-239.8741</v>
      </c>
      <c r="L50" s="51">
        <f t="shared" si="34"/>
        <v>0.693203443524615</v>
      </c>
      <c r="M50" s="38">
        <v>80.24</v>
      </c>
      <c r="N50" s="38">
        <v>95.34</v>
      </c>
      <c r="O50" s="51">
        <f t="shared" si="35"/>
        <v>-0.158380532829872</v>
      </c>
      <c r="P50" s="39">
        <f t="shared" si="36"/>
        <v>73.3889184</v>
      </c>
      <c r="Q50" s="39">
        <f t="shared" si="37"/>
        <v>109.641</v>
      </c>
      <c r="R50" s="39">
        <f t="shared" si="38"/>
        <v>80.24</v>
      </c>
      <c r="S50" s="39">
        <f t="shared" si="41"/>
        <v>11367.504512</v>
      </c>
      <c r="T50" s="77">
        <f t="shared" si="42"/>
        <v>19247.497784</v>
      </c>
      <c r="U50" s="74">
        <f t="shared" si="39"/>
        <v>0</v>
      </c>
      <c r="V50" s="73">
        <f t="shared" si="43"/>
        <v>-11367.504512</v>
      </c>
      <c r="W50" s="74">
        <f t="shared" si="44"/>
        <v>-19247.497784</v>
      </c>
      <c r="X50" s="76">
        <f t="shared" si="40"/>
        <v>-19247.497784</v>
      </c>
      <c r="Y50" s="86"/>
      <c r="Z50" s="86"/>
    </row>
    <row r="51" ht="41.25" customHeight="1" spans="1:26">
      <c r="A51" s="27">
        <v>42</v>
      </c>
      <c r="B51" s="29" t="s">
        <v>170</v>
      </c>
      <c r="C51" s="29" t="s">
        <v>86</v>
      </c>
      <c r="D51" s="29" t="s">
        <v>171</v>
      </c>
      <c r="E51" s="28" t="s">
        <v>88</v>
      </c>
      <c r="F51" s="28">
        <v>178.2</v>
      </c>
      <c r="G51" s="31">
        <v>163.79863</v>
      </c>
      <c r="H51" s="35">
        <v>163.79863</v>
      </c>
      <c r="I51" s="31">
        <f t="shared" si="31"/>
        <v>-14.40137</v>
      </c>
      <c r="J51" s="31">
        <f t="shared" si="32"/>
        <v>-14.40137</v>
      </c>
      <c r="K51" s="31">
        <f t="shared" si="33"/>
        <v>0</v>
      </c>
      <c r="L51" s="49">
        <f t="shared" si="34"/>
        <v>-0.0808157687991021</v>
      </c>
      <c r="M51" s="28">
        <v>5708.81</v>
      </c>
      <c r="N51" s="28">
        <v>6995.45</v>
      </c>
      <c r="O51" s="49">
        <f t="shared" si="35"/>
        <v>-0.183925265708425</v>
      </c>
      <c r="P51" s="31">
        <f t="shared" si="36"/>
        <v>5384.817592</v>
      </c>
      <c r="Q51" s="31">
        <f t="shared" si="37"/>
        <v>8044.7675</v>
      </c>
      <c r="R51" s="31">
        <f t="shared" si="38"/>
        <v>5708.81</v>
      </c>
      <c r="S51" s="31">
        <f t="shared" si="41"/>
        <v>1017309.942</v>
      </c>
      <c r="T51" s="44">
        <f t="shared" si="42"/>
        <v>935095.2569303</v>
      </c>
      <c r="U51" s="74">
        <f t="shared" si="39"/>
        <v>935095.2569303</v>
      </c>
      <c r="V51" s="73">
        <f t="shared" si="43"/>
        <v>-82214.6850697</v>
      </c>
      <c r="W51" s="74">
        <f t="shared" si="44"/>
        <v>0</v>
      </c>
      <c r="X51" s="76">
        <f t="shared" si="40"/>
        <v>0</v>
      </c>
      <c r="Y51" s="82"/>
      <c r="Z51" s="79"/>
    </row>
    <row r="52" ht="41.25" customHeight="1" spans="1:26">
      <c r="A52" s="27">
        <v>43</v>
      </c>
      <c r="B52" s="29" t="s">
        <v>172</v>
      </c>
      <c r="C52" s="29" t="s">
        <v>86</v>
      </c>
      <c r="D52" s="29" t="s">
        <v>173</v>
      </c>
      <c r="E52" s="28" t="s">
        <v>88</v>
      </c>
      <c r="F52" s="28">
        <v>6.982</v>
      </c>
      <c r="G52" s="31">
        <v>11.744492</v>
      </c>
      <c r="H52" s="35">
        <v>11.744492</v>
      </c>
      <c r="I52" s="31">
        <f t="shared" si="31"/>
        <v>4.762492</v>
      </c>
      <c r="J52" s="31">
        <f t="shared" si="32"/>
        <v>4.762492</v>
      </c>
      <c r="K52" s="31">
        <f t="shared" si="33"/>
        <v>0</v>
      </c>
      <c r="L52" s="49">
        <f t="shared" si="34"/>
        <v>0.682109997135491</v>
      </c>
      <c r="M52" s="28">
        <v>5708.81</v>
      </c>
      <c r="N52" s="28">
        <v>7085.72</v>
      </c>
      <c r="O52" s="49">
        <f t="shared" si="35"/>
        <v>-0.194321819095307</v>
      </c>
      <c r="P52" s="31">
        <f t="shared" si="36"/>
        <v>5454.3038272</v>
      </c>
      <c r="Q52" s="31">
        <f t="shared" si="37"/>
        <v>8148.578</v>
      </c>
      <c r="R52" s="31">
        <f t="shared" si="38"/>
        <v>5708.81</v>
      </c>
      <c r="S52" s="31">
        <f t="shared" si="41"/>
        <v>39858.91142</v>
      </c>
      <c r="T52" s="44">
        <f t="shared" si="42"/>
        <v>67047.07337452</v>
      </c>
      <c r="U52" s="74">
        <f t="shared" si="39"/>
        <v>67047.07337452</v>
      </c>
      <c r="V52" s="73">
        <f t="shared" si="43"/>
        <v>27188.16195452</v>
      </c>
      <c r="W52" s="74">
        <f t="shared" si="44"/>
        <v>0</v>
      </c>
      <c r="X52" s="76">
        <f t="shared" si="40"/>
        <v>0</v>
      </c>
      <c r="Y52" s="82"/>
      <c r="Z52" s="79"/>
    </row>
    <row r="53" ht="41.25" customHeight="1" spans="1:26">
      <c r="A53" s="27">
        <v>44</v>
      </c>
      <c r="B53" s="29" t="s">
        <v>174</v>
      </c>
      <c r="C53" s="29" t="s">
        <v>86</v>
      </c>
      <c r="D53" s="29" t="s">
        <v>175</v>
      </c>
      <c r="E53" s="28" t="s">
        <v>88</v>
      </c>
      <c r="F53" s="28">
        <v>30.489</v>
      </c>
      <c r="G53" s="31">
        <v>65.324482</v>
      </c>
      <c r="H53" s="35">
        <v>65.324482</v>
      </c>
      <c r="I53" s="31">
        <f t="shared" si="31"/>
        <v>34.835482</v>
      </c>
      <c r="J53" s="31">
        <f t="shared" si="32"/>
        <v>34.835482</v>
      </c>
      <c r="K53" s="31">
        <f t="shared" si="33"/>
        <v>0</v>
      </c>
      <c r="L53" s="49">
        <f t="shared" si="34"/>
        <v>1.14255902128637</v>
      </c>
      <c r="M53" s="28">
        <v>5570.86</v>
      </c>
      <c r="N53" s="28">
        <v>6793.55</v>
      </c>
      <c r="O53" s="49">
        <f t="shared" si="35"/>
        <v>-0.179978067431608</v>
      </c>
      <c r="P53" s="31">
        <f t="shared" si="36"/>
        <v>5229.403048</v>
      </c>
      <c r="Q53" s="31">
        <f t="shared" si="37"/>
        <v>7812.5825</v>
      </c>
      <c r="R53" s="31">
        <f t="shared" si="38"/>
        <v>5570.86</v>
      </c>
      <c r="S53" s="31">
        <f t="shared" si="41"/>
        <v>169849.95054</v>
      </c>
      <c r="T53" s="44">
        <f t="shared" si="42"/>
        <v>363913.54379452</v>
      </c>
      <c r="U53" s="74">
        <f t="shared" si="39"/>
        <v>363913.54379452</v>
      </c>
      <c r="V53" s="73">
        <f t="shared" si="43"/>
        <v>194063.59325452</v>
      </c>
      <c r="W53" s="74">
        <f t="shared" si="44"/>
        <v>0</v>
      </c>
      <c r="X53" s="76">
        <f t="shared" si="40"/>
        <v>0</v>
      </c>
      <c r="Y53" s="82"/>
      <c r="Z53" s="79"/>
    </row>
    <row r="54" ht="41.25" customHeight="1" spans="1:26">
      <c r="A54" s="27">
        <v>45</v>
      </c>
      <c r="B54" s="29" t="s">
        <v>176</v>
      </c>
      <c r="C54" s="29" t="s">
        <v>86</v>
      </c>
      <c r="D54" s="29" t="s">
        <v>177</v>
      </c>
      <c r="E54" s="28" t="s">
        <v>88</v>
      </c>
      <c r="F54" s="28">
        <v>205.801</v>
      </c>
      <c r="G54" s="31">
        <v>180.928656</v>
      </c>
      <c r="H54" s="35">
        <v>180.928656</v>
      </c>
      <c r="I54" s="31">
        <f t="shared" si="31"/>
        <v>-24.872344</v>
      </c>
      <c r="J54" s="31">
        <f t="shared" si="32"/>
        <v>-24.872344</v>
      </c>
      <c r="K54" s="31">
        <f t="shared" si="33"/>
        <v>0</v>
      </c>
      <c r="L54" s="49">
        <f t="shared" si="34"/>
        <v>-0.120856283497165</v>
      </c>
      <c r="M54" s="28">
        <v>5570.86</v>
      </c>
      <c r="N54" s="28">
        <v>6884.26</v>
      </c>
      <c r="O54" s="49">
        <f t="shared" si="35"/>
        <v>-0.190783032599001</v>
      </c>
      <c r="P54" s="31">
        <f t="shared" si="36"/>
        <v>5299.2279776</v>
      </c>
      <c r="Q54" s="31">
        <f t="shared" si="37"/>
        <v>7916.899</v>
      </c>
      <c r="R54" s="31">
        <f t="shared" si="38"/>
        <v>5570.86</v>
      </c>
      <c r="S54" s="31">
        <f t="shared" si="41"/>
        <v>1146488.55886</v>
      </c>
      <c r="T54" s="44">
        <f t="shared" si="42"/>
        <v>1007928.21256416</v>
      </c>
      <c r="U54" s="74">
        <f t="shared" si="39"/>
        <v>1007928.21256416</v>
      </c>
      <c r="V54" s="73">
        <f t="shared" si="43"/>
        <v>-138560.34629584</v>
      </c>
      <c r="W54" s="74">
        <f t="shared" si="44"/>
        <v>0</v>
      </c>
      <c r="X54" s="76">
        <f t="shared" si="40"/>
        <v>0</v>
      </c>
      <c r="Y54" s="82"/>
      <c r="Z54" s="79"/>
    </row>
    <row r="55" ht="41.25" customHeight="1" spans="1:26">
      <c r="A55" s="27">
        <v>46</v>
      </c>
      <c r="B55" s="29" t="s">
        <v>178</v>
      </c>
      <c r="C55" s="29" t="s">
        <v>86</v>
      </c>
      <c r="D55" s="29" t="s">
        <v>179</v>
      </c>
      <c r="E55" s="28" t="s">
        <v>88</v>
      </c>
      <c r="F55" s="28">
        <v>9.881</v>
      </c>
      <c r="G55" s="31">
        <v>8.126</v>
      </c>
      <c r="H55" s="35">
        <v>8.126</v>
      </c>
      <c r="I55" s="31">
        <f t="shared" si="31"/>
        <v>-1.755</v>
      </c>
      <c r="J55" s="31">
        <f t="shared" si="32"/>
        <v>-1.755</v>
      </c>
      <c r="K55" s="31">
        <f t="shared" si="33"/>
        <v>0</v>
      </c>
      <c r="L55" s="49">
        <f t="shared" si="34"/>
        <v>-0.17761360186216</v>
      </c>
      <c r="M55" s="28">
        <v>5507.01</v>
      </c>
      <c r="N55" s="28">
        <v>6766.86</v>
      </c>
      <c r="O55" s="49">
        <f t="shared" si="35"/>
        <v>-0.186179409652335</v>
      </c>
      <c r="P55" s="31">
        <f t="shared" si="36"/>
        <v>5208.8581536</v>
      </c>
      <c r="Q55" s="31">
        <f t="shared" si="37"/>
        <v>7781.889</v>
      </c>
      <c r="R55" s="31">
        <f t="shared" si="38"/>
        <v>5507.01</v>
      </c>
      <c r="S55" s="31">
        <f t="shared" si="41"/>
        <v>54414.76581</v>
      </c>
      <c r="T55" s="44">
        <f t="shared" si="42"/>
        <v>44749.96326</v>
      </c>
      <c r="U55" s="74">
        <f t="shared" si="39"/>
        <v>44749.96326</v>
      </c>
      <c r="V55" s="73">
        <f t="shared" si="43"/>
        <v>-9664.80255</v>
      </c>
      <c r="W55" s="74">
        <f t="shared" si="44"/>
        <v>0</v>
      </c>
      <c r="X55" s="76">
        <f t="shared" si="40"/>
        <v>0</v>
      </c>
      <c r="Y55" s="82"/>
      <c r="Z55" s="79"/>
    </row>
    <row r="56" ht="41.25" customHeight="1" spans="1:26">
      <c r="A56" s="27">
        <v>47</v>
      </c>
      <c r="B56" s="29" t="s">
        <v>180</v>
      </c>
      <c r="C56" s="29" t="s">
        <v>86</v>
      </c>
      <c r="D56" s="29" t="s">
        <v>181</v>
      </c>
      <c r="E56" s="28" t="s">
        <v>88</v>
      </c>
      <c r="F56" s="28">
        <v>97.663</v>
      </c>
      <c r="G56" s="31">
        <v>109.473</v>
      </c>
      <c r="H56" s="35">
        <v>109.473</v>
      </c>
      <c r="I56" s="31">
        <f t="shared" si="31"/>
        <v>11.81</v>
      </c>
      <c r="J56" s="31">
        <f t="shared" si="32"/>
        <v>11.81</v>
      </c>
      <c r="K56" s="31">
        <f t="shared" si="33"/>
        <v>0</v>
      </c>
      <c r="L56" s="49">
        <f t="shared" si="34"/>
        <v>0.120926041592005</v>
      </c>
      <c r="M56" s="28">
        <v>6837.26</v>
      </c>
      <c r="N56" s="28">
        <v>8255.91</v>
      </c>
      <c r="O56" s="49">
        <f t="shared" si="35"/>
        <v>-0.171834479784784</v>
      </c>
      <c r="P56" s="31">
        <f t="shared" si="36"/>
        <v>6355.0692816</v>
      </c>
      <c r="Q56" s="31">
        <f t="shared" si="37"/>
        <v>9494.2965</v>
      </c>
      <c r="R56" s="31">
        <f t="shared" si="38"/>
        <v>6837.26</v>
      </c>
      <c r="S56" s="31">
        <f t="shared" si="41"/>
        <v>667747.32338</v>
      </c>
      <c r="T56" s="44">
        <f t="shared" si="42"/>
        <v>748495.36398</v>
      </c>
      <c r="U56" s="74">
        <f t="shared" si="39"/>
        <v>748495.36398</v>
      </c>
      <c r="V56" s="73">
        <f t="shared" si="43"/>
        <v>80748.0406000001</v>
      </c>
      <c r="W56" s="74">
        <f t="shared" si="44"/>
        <v>0</v>
      </c>
      <c r="X56" s="76">
        <f t="shared" si="40"/>
        <v>0</v>
      </c>
      <c r="Y56" s="82"/>
      <c r="Z56" s="79"/>
    </row>
    <row r="57" ht="41.25" customHeight="1" spans="1:26">
      <c r="A57" s="27">
        <v>48</v>
      </c>
      <c r="B57" s="29" t="s">
        <v>182</v>
      </c>
      <c r="C57" s="29" t="s">
        <v>86</v>
      </c>
      <c r="D57" s="29" t="s">
        <v>183</v>
      </c>
      <c r="E57" s="28" t="s">
        <v>88</v>
      </c>
      <c r="F57" s="28">
        <v>3.526</v>
      </c>
      <c r="G57" s="31">
        <v>4.104</v>
      </c>
      <c r="H57" s="35">
        <v>4.104</v>
      </c>
      <c r="I57" s="31">
        <f t="shared" si="31"/>
        <v>0.578</v>
      </c>
      <c r="J57" s="31">
        <f t="shared" si="32"/>
        <v>0.578</v>
      </c>
      <c r="K57" s="31">
        <f t="shared" si="33"/>
        <v>0</v>
      </c>
      <c r="L57" s="49">
        <f t="shared" si="34"/>
        <v>0.163925127623369</v>
      </c>
      <c r="M57" s="28">
        <v>5844.44</v>
      </c>
      <c r="N57" s="28">
        <v>7106.92</v>
      </c>
      <c r="O57" s="49">
        <f t="shared" si="35"/>
        <v>-0.177640947133217</v>
      </c>
      <c r="P57" s="31">
        <f t="shared" si="36"/>
        <v>5470.6227392</v>
      </c>
      <c r="Q57" s="31">
        <f t="shared" si="37"/>
        <v>8172.958</v>
      </c>
      <c r="R57" s="31">
        <f t="shared" si="38"/>
        <v>5844.44</v>
      </c>
      <c r="S57" s="31">
        <f t="shared" si="41"/>
        <v>20607.49544</v>
      </c>
      <c r="T57" s="44">
        <f t="shared" si="42"/>
        <v>23985.58176</v>
      </c>
      <c r="U57" s="74">
        <f t="shared" si="39"/>
        <v>23985.58176</v>
      </c>
      <c r="V57" s="73">
        <f t="shared" si="43"/>
        <v>3378.08632</v>
      </c>
      <c r="W57" s="74">
        <f t="shared" si="44"/>
        <v>0</v>
      </c>
      <c r="X57" s="76">
        <f t="shared" si="40"/>
        <v>0</v>
      </c>
      <c r="Y57" s="82"/>
      <c r="Z57" s="79"/>
    </row>
    <row r="58" ht="28.5" customHeight="1" spans="1:25">
      <c r="A58" s="27">
        <v>49</v>
      </c>
      <c r="B58" s="29" t="s">
        <v>184</v>
      </c>
      <c r="C58" s="29" t="s">
        <v>185</v>
      </c>
      <c r="D58" s="29" t="s">
        <v>186</v>
      </c>
      <c r="E58" s="28" t="s">
        <v>84</v>
      </c>
      <c r="F58" s="28">
        <v>2456</v>
      </c>
      <c r="G58" s="31">
        <v>0</v>
      </c>
      <c r="H58" s="34">
        <v>0</v>
      </c>
      <c r="I58" s="31">
        <f t="shared" si="31"/>
        <v>-2456</v>
      </c>
      <c r="J58" s="31">
        <f t="shared" si="32"/>
        <v>-2456</v>
      </c>
      <c r="K58" s="31">
        <f t="shared" si="33"/>
        <v>0</v>
      </c>
      <c r="L58" s="49">
        <f t="shared" si="34"/>
        <v>-1</v>
      </c>
      <c r="M58" s="28">
        <v>7.47</v>
      </c>
      <c r="N58" s="28">
        <v>8.25</v>
      </c>
      <c r="O58" s="49">
        <f t="shared" si="35"/>
        <v>-0.0945454545454546</v>
      </c>
      <c r="P58" s="31">
        <f t="shared" si="36"/>
        <v>6.35052</v>
      </c>
      <c r="Q58" s="31">
        <f t="shared" si="37"/>
        <v>9.4875</v>
      </c>
      <c r="R58" s="31">
        <f t="shared" si="38"/>
        <v>7.47</v>
      </c>
      <c r="S58" s="31">
        <f t="shared" si="41"/>
        <v>18346.32</v>
      </c>
      <c r="T58" s="44">
        <f t="shared" si="42"/>
        <v>0</v>
      </c>
      <c r="U58" s="74">
        <f t="shared" si="39"/>
        <v>0</v>
      </c>
      <c r="V58" s="73">
        <f t="shared" si="43"/>
        <v>-18346.32</v>
      </c>
      <c r="W58" s="74">
        <f t="shared" si="44"/>
        <v>0</v>
      </c>
      <c r="X58" s="76">
        <f t="shared" si="40"/>
        <v>0</v>
      </c>
      <c r="Y58" s="82"/>
    </row>
    <row r="59" ht="28.5" customHeight="1" spans="1:25">
      <c r="A59" s="27">
        <v>50</v>
      </c>
      <c r="B59" s="29" t="s">
        <v>187</v>
      </c>
      <c r="C59" s="29" t="s">
        <v>185</v>
      </c>
      <c r="D59" s="29" t="s">
        <v>188</v>
      </c>
      <c r="E59" s="28" t="s">
        <v>84</v>
      </c>
      <c r="F59" s="28">
        <v>2572</v>
      </c>
      <c r="G59" s="31">
        <v>0</v>
      </c>
      <c r="H59" s="34">
        <v>0</v>
      </c>
      <c r="I59" s="31">
        <f t="shared" si="31"/>
        <v>-2572</v>
      </c>
      <c r="J59" s="31">
        <f t="shared" si="32"/>
        <v>-2572</v>
      </c>
      <c r="K59" s="31">
        <f t="shared" si="33"/>
        <v>0</v>
      </c>
      <c r="L59" s="49">
        <f t="shared" si="34"/>
        <v>-1</v>
      </c>
      <c r="M59" s="28">
        <v>9.46</v>
      </c>
      <c r="N59" s="28">
        <v>10.44</v>
      </c>
      <c r="O59" s="49">
        <f t="shared" si="35"/>
        <v>-0.0938697318007662</v>
      </c>
      <c r="P59" s="31">
        <f t="shared" si="36"/>
        <v>8.0362944</v>
      </c>
      <c r="Q59" s="31">
        <f t="shared" si="37"/>
        <v>12.006</v>
      </c>
      <c r="R59" s="31">
        <f t="shared" si="38"/>
        <v>9.46</v>
      </c>
      <c r="S59" s="31">
        <f t="shared" si="41"/>
        <v>24331.12</v>
      </c>
      <c r="T59" s="44">
        <f t="shared" si="42"/>
        <v>0</v>
      </c>
      <c r="U59" s="74">
        <f t="shared" si="39"/>
        <v>0</v>
      </c>
      <c r="V59" s="73">
        <f t="shared" si="43"/>
        <v>-24331.12</v>
      </c>
      <c r="W59" s="74">
        <f t="shared" si="44"/>
        <v>0</v>
      </c>
      <c r="X59" s="76">
        <f t="shared" si="40"/>
        <v>0</v>
      </c>
      <c r="Y59" s="82"/>
    </row>
    <row r="60" ht="41.25" customHeight="1" spans="1:25">
      <c r="A60" s="27">
        <v>51</v>
      </c>
      <c r="B60" s="29" t="s">
        <v>189</v>
      </c>
      <c r="C60" s="29" t="s">
        <v>190</v>
      </c>
      <c r="D60" s="29" t="s">
        <v>191</v>
      </c>
      <c r="E60" s="28" t="s">
        <v>84</v>
      </c>
      <c r="F60" s="28">
        <v>3536</v>
      </c>
      <c r="G60" s="31">
        <v>0</v>
      </c>
      <c r="H60" s="34">
        <v>0</v>
      </c>
      <c r="I60" s="31">
        <f t="shared" si="31"/>
        <v>-3536</v>
      </c>
      <c r="J60" s="31">
        <f t="shared" si="32"/>
        <v>-3536</v>
      </c>
      <c r="K60" s="31">
        <f t="shared" si="33"/>
        <v>0</v>
      </c>
      <c r="L60" s="49">
        <f t="shared" si="34"/>
        <v>-1</v>
      </c>
      <c r="M60" s="28">
        <v>16.67</v>
      </c>
      <c r="N60" s="28">
        <v>21.53</v>
      </c>
      <c r="O60" s="49">
        <f t="shared" si="35"/>
        <v>-0.225731537389689</v>
      </c>
      <c r="P60" s="31">
        <f t="shared" si="36"/>
        <v>16.5729328</v>
      </c>
      <c r="Q60" s="31">
        <f t="shared" si="37"/>
        <v>24.7595</v>
      </c>
      <c r="R60" s="31">
        <f t="shared" si="38"/>
        <v>16.67</v>
      </c>
      <c r="S60" s="31">
        <f t="shared" si="41"/>
        <v>58945.12</v>
      </c>
      <c r="T60" s="44">
        <f t="shared" si="42"/>
        <v>0</v>
      </c>
      <c r="U60" s="74">
        <f t="shared" si="39"/>
        <v>0</v>
      </c>
      <c r="V60" s="73">
        <f t="shared" si="43"/>
        <v>-58945.12</v>
      </c>
      <c r="W60" s="74">
        <f t="shared" si="44"/>
        <v>0</v>
      </c>
      <c r="X60" s="76">
        <f t="shared" si="40"/>
        <v>0</v>
      </c>
      <c r="Y60" s="82"/>
    </row>
    <row r="61" ht="28.5" customHeight="1" spans="1:25">
      <c r="A61" s="27"/>
      <c r="B61" s="29"/>
      <c r="C61" s="29" t="s">
        <v>192</v>
      </c>
      <c r="D61" s="29"/>
      <c r="E61" s="29"/>
      <c r="F61" s="28"/>
      <c r="G61" s="31"/>
      <c r="H61" s="30"/>
      <c r="I61" s="31"/>
      <c r="J61" s="31"/>
      <c r="K61" s="31"/>
      <c r="L61" s="49"/>
      <c r="M61" s="28"/>
      <c r="N61" s="28"/>
      <c r="O61" s="28"/>
      <c r="P61" s="28"/>
      <c r="Q61" s="28"/>
      <c r="R61" s="31"/>
      <c r="S61" s="73">
        <f>+SUM(S62:S64)</f>
        <v>113499.53176</v>
      </c>
      <c r="T61" s="73">
        <f>+SUM(T62:T64)</f>
        <v>59632.4749835171</v>
      </c>
      <c r="U61" s="74">
        <f>SUM(U62:U64)</f>
        <v>59632.4749835171</v>
      </c>
      <c r="V61" s="73">
        <f t="shared" si="43"/>
        <v>-53867.0567764829</v>
      </c>
      <c r="W61" s="74">
        <f t="shared" si="44"/>
        <v>0</v>
      </c>
      <c r="X61" s="75">
        <f>U61-T61</f>
        <v>0</v>
      </c>
      <c r="Y61" s="82"/>
    </row>
    <row r="62" ht="41.25" customHeight="1" spans="1:25">
      <c r="A62" s="27">
        <v>52</v>
      </c>
      <c r="B62" s="29" t="s">
        <v>193</v>
      </c>
      <c r="C62" s="29" t="s">
        <v>194</v>
      </c>
      <c r="D62" s="29" t="s">
        <v>195</v>
      </c>
      <c r="E62" s="28" t="s">
        <v>52</v>
      </c>
      <c r="F62" s="28">
        <v>13762.06</v>
      </c>
      <c r="G62" s="31">
        <v>10786.5196</v>
      </c>
      <c r="H62" s="32">
        <v>10786.5196</v>
      </c>
      <c r="I62" s="31">
        <f t="shared" ref="I62:I64" si="45">G62-F62</f>
        <v>-2975.5404</v>
      </c>
      <c r="J62" s="31">
        <f t="shared" ref="J62:J64" si="46">H62-F62</f>
        <v>-2975.5404</v>
      </c>
      <c r="K62" s="31">
        <f t="shared" ref="K62:K64" si="47">+H62-G62</f>
        <v>0</v>
      </c>
      <c r="L62" s="49">
        <f t="shared" ref="L62:L64" si="48">I62/F62</f>
        <v>-0.216213299462435</v>
      </c>
      <c r="M62" s="28">
        <v>6.91</v>
      </c>
      <c r="N62" s="28">
        <v>16.21</v>
      </c>
      <c r="O62" s="49">
        <f t="shared" ref="O62:O64" si="49">(M62-N62)/N62</f>
        <v>-0.573719925971622</v>
      </c>
      <c r="P62" s="31">
        <f t="shared" ref="P62:P64" si="50">N62*0.9056*0.85</f>
        <v>12.4778096</v>
      </c>
      <c r="Q62" s="31">
        <f t="shared" ref="Q62:Q64" si="51">N62*1.15</f>
        <v>18.6415</v>
      </c>
      <c r="R62" s="31">
        <f t="shared" ref="R62:R64" si="52">IF(M62&lt;N62*0.9056*0.85,N62*0.9056*0.85,IF(M62&gt;N62*1.15,N62*1.15,M62))</f>
        <v>12.4778096</v>
      </c>
      <c r="S62" s="31">
        <f t="shared" ref="S62:S66" si="53">+F62*M62</f>
        <v>95095.8346</v>
      </c>
      <c r="T62" s="44">
        <f t="shared" ref="T62:T66" si="54">S62+R62*I62</f>
        <v>57967.6080316922</v>
      </c>
      <c r="U62" s="74">
        <f t="shared" ref="U62:U64" si="55">S62+R62*J62</f>
        <v>57967.6080316922</v>
      </c>
      <c r="V62" s="73">
        <f t="shared" si="43"/>
        <v>-37128.2265683078</v>
      </c>
      <c r="W62" s="74">
        <f t="shared" si="44"/>
        <v>0</v>
      </c>
      <c r="X62" s="76">
        <f t="shared" ref="X62:X64" si="56">+U62-T62</f>
        <v>0</v>
      </c>
      <c r="Y62" s="83"/>
    </row>
    <row r="63" ht="45" customHeight="1" spans="1:25">
      <c r="A63" s="27">
        <v>53</v>
      </c>
      <c r="B63" s="29" t="s">
        <v>196</v>
      </c>
      <c r="C63" s="29" t="s">
        <v>194</v>
      </c>
      <c r="D63" s="29" t="s">
        <v>197</v>
      </c>
      <c r="E63" s="28" t="s">
        <v>52</v>
      </c>
      <c r="F63" s="28">
        <v>3398.102</v>
      </c>
      <c r="G63" s="31">
        <v>1581.4338</v>
      </c>
      <c r="H63" s="32">
        <v>1581.4338</v>
      </c>
      <c r="I63" s="31">
        <f t="shared" si="45"/>
        <v>-1816.6682</v>
      </c>
      <c r="J63" s="31">
        <f t="shared" si="46"/>
        <v>-1816.6682</v>
      </c>
      <c r="K63" s="31">
        <f t="shared" si="47"/>
        <v>0</v>
      </c>
      <c r="L63" s="49">
        <f t="shared" si="48"/>
        <v>-0.534612616101577</v>
      </c>
      <c r="M63" s="28">
        <v>4.58</v>
      </c>
      <c r="N63" s="28">
        <v>11.97</v>
      </c>
      <c r="O63" s="49">
        <f t="shared" si="49"/>
        <v>-0.617376775271512</v>
      </c>
      <c r="P63" s="31">
        <f t="shared" si="50"/>
        <v>9.2140272</v>
      </c>
      <c r="Q63" s="31">
        <f t="shared" si="51"/>
        <v>13.7655</v>
      </c>
      <c r="R63" s="31">
        <f t="shared" si="52"/>
        <v>9.2140272</v>
      </c>
      <c r="S63" s="31">
        <f t="shared" si="53"/>
        <v>15563.30716</v>
      </c>
      <c r="T63" s="44">
        <f t="shared" si="54"/>
        <v>-1175.52304817504</v>
      </c>
      <c r="U63" s="74">
        <f t="shared" si="55"/>
        <v>-1175.52304817504</v>
      </c>
      <c r="V63" s="73">
        <f t="shared" si="43"/>
        <v>-16738.830208175</v>
      </c>
      <c r="W63" s="74">
        <f t="shared" si="44"/>
        <v>0</v>
      </c>
      <c r="X63" s="76">
        <f t="shared" si="56"/>
        <v>0</v>
      </c>
      <c r="Y63" s="88"/>
    </row>
    <row r="64" ht="41.25" customHeight="1" spans="1:25">
      <c r="A64" s="27">
        <v>54</v>
      </c>
      <c r="B64" s="29" t="s">
        <v>198</v>
      </c>
      <c r="C64" s="29" t="s">
        <v>199</v>
      </c>
      <c r="D64" s="29" t="s">
        <v>200</v>
      </c>
      <c r="E64" s="28" t="s">
        <v>88</v>
      </c>
      <c r="F64" s="28">
        <v>0.25</v>
      </c>
      <c r="G64" s="31">
        <v>0.25</v>
      </c>
      <c r="H64" s="32">
        <v>0.25</v>
      </c>
      <c r="I64" s="31">
        <f t="shared" si="45"/>
        <v>0</v>
      </c>
      <c r="J64" s="31">
        <f t="shared" si="46"/>
        <v>0</v>
      </c>
      <c r="K64" s="31">
        <f t="shared" si="47"/>
        <v>0</v>
      </c>
      <c r="L64" s="49">
        <f t="shared" si="48"/>
        <v>0</v>
      </c>
      <c r="M64" s="28">
        <v>11361.56</v>
      </c>
      <c r="N64" s="28">
        <v>9563.91</v>
      </c>
      <c r="O64" s="49">
        <f t="shared" si="49"/>
        <v>0.187961827327944</v>
      </c>
      <c r="P64" s="31">
        <f t="shared" si="50"/>
        <v>7361.9153616</v>
      </c>
      <c r="Q64" s="31">
        <f t="shared" si="51"/>
        <v>10998.4965</v>
      </c>
      <c r="R64" s="31">
        <f t="shared" si="52"/>
        <v>10998.4965</v>
      </c>
      <c r="S64" s="31">
        <f t="shared" si="53"/>
        <v>2840.39</v>
      </c>
      <c r="T64" s="44">
        <f t="shared" si="54"/>
        <v>2840.39</v>
      </c>
      <c r="U64" s="74">
        <f t="shared" si="55"/>
        <v>2840.39</v>
      </c>
      <c r="V64" s="73">
        <f t="shared" si="43"/>
        <v>0</v>
      </c>
      <c r="W64" s="74">
        <f t="shared" si="44"/>
        <v>0</v>
      </c>
      <c r="X64" s="76">
        <f t="shared" si="56"/>
        <v>0</v>
      </c>
      <c r="Y64" s="85"/>
    </row>
    <row r="65" ht="28.5" customHeight="1" spans="1:25">
      <c r="A65" s="27"/>
      <c r="B65" s="29"/>
      <c r="C65" s="29" t="s">
        <v>201</v>
      </c>
      <c r="D65" s="29"/>
      <c r="E65" s="29"/>
      <c r="F65" s="28"/>
      <c r="G65" s="31"/>
      <c r="H65" s="30"/>
      <c r="I65" s="31"/>
      <c r="J65" s="31"/>
      <c r="K65" s="31"/>
      <c r="L65" s="49"/>
      <c r="M65" s="28"/>
      <c r="N65" s="28"/>
      <c r="O65" s="28"/>
      <c r="P65" s="28"/>
      <c r="Q65" s="28"/>
      <c r="R65" s="31"/>
      <c r="S65" s="73">
        <f>+SUM(S66:S78)</f>
        <v>1561385.05595</v>
      </c>
      <c r="T65" s="73">
        <f>+SUM(T66:T78)</f>
        <v>1859575.90975</v>
      </c>
      <c r="U65" s="74">
        <f>SUM(U66:U78)</f>
        <v>1579006.89935</v>
      </c>
      <c r="V65" s="73">
        <f t="shared" si="43"/>
        <v>17621.8434000001</v>
      </c>
      <c r="W65" s="74">
        <f t="shared" si="44"/>
        <v>-280569.0104</v>
      </c>
      <c r="X65" s="75">
        <f>U65-T65</f>
        <v>-280569.0104</v>
      </c>
      <c r="Y65" s="82"/>
    </row>
    <row r="66" ht="54" customHeight="1" spans="1:25">
      <c r="A66" s="27">
        <v>55</v>
      </c>
      <c r="B66" s="29" t="s">
        <v>202</v>
      </c>
      <c r="C66" s="29" t="s">
        <v>203</v>
      </c>
      <c r="D66" s="29" t="s">
        <v>204</v>
      </c>
      <c r="E66" s="28" t="s">
        <v>52</v>
      </c>
      <c r="F66" s="28">
        <v>30.24</v>
      </c>
      <c r="G66" s="31">
        <v>30.24</v>
      </c>
      <c r="H66" s="32">
        <v>30.24</v>
      </c>
      <c r="I66" s="31">
        <f t="shared" ref="I66:I78" si="57">G66-F66</f>
        <v>0</v>
      </c>
      <c r="J66" s="31">
        <f t="shared" ref="J66:J100" si="58">H66-F66</f>
        <v>0</v>
      </c>
      <c r="K66" s="31">
        <f t="shared" ref="K66:K100" si="59">+H66-G66</f>
        <v>0</v>
      </c>
      <c r="L66" s="49">
        <f t="shared" ref="L66:L78" si="60">I66/F66</f>
        <v>0</v>
      </c>
      <c r="M66" s="28">
        <v>545.42</v>
      </c>
      <c r="N66" s="28">
        <v>575.79</v>
      </c>
      <c r="O66" s="49">
        <f t="shared" ref="O66:O78" si="61">(M66-N66)/N66</f>
        <v>-0.0527449243647858</v>
      </c>
      <c r="P66" s="31">
        <f t="shared" ref="P66:P78" si="62">N66*0.9056*0.85</f>
        <v>443.2201104</v>
      </c>
      <c r="Q66" s="31">
        <f t="shared" ref="Q66:Q78" si="63">N66*1.15</f>
        <v>662.1585</v>
      </c>
      <c r="R66" s="31">
        <f t="shared" ref="R66:R78" si="64">IF(M66&lt;N66*0.9056*0.85,N66*0.9056*0.85,IF(M66&gt;N66*1.15,N66*1.15,M66))</f>
        <v>545.42</v>
      </c>
      <c r="S66" s="31">
        <f t="shared" si="53"/>
        <v>16493.5008</v>
      </c>
      <c r="T66" s="44">
        <f t="shared" si="54"/>
        <v>16493.5008</v>
      </c>
      <c r="U66" s="74">
        <f t="shared" ref="U66:U78" si="65">S66+R66*J66</f>
        <v>16493.5008</v>
      </c>
      <c r="V66" s="73">
        <f t="shared" si="43"/>
        <v>0</v>
      </c>
      <c r="W66" s="74">
        <f t="shared" si="44"/>
        <v>0</v>
      </c>
      <c r="X66" s="76">
        <f t="shared" ref="X66:X78" si="66">+U66-T66</f>
        <v>0</v>
      </c>
      <c r="Y66" s="82"/>
    </row>
    <row r="67" ht="54" customHeight="1" spans="1:25">
      <c r="A67" s="27">
        <v>56</v>
      </c>
      <c r="B67" s="29" t="s">
        <v>205</v>
      </c>
      <c r="C67" s="29" t="s">
        <v>203</v>
      </c>
      <c r="D67" s="29" t="s">
        <v>206</v>
      </c>
      <c r="E67" s="28" t="s">
        <v>52</v>
      </c>
      <c r="F67" s="28">
        <v>15.35</v>
      </c>
      <c r="G67" s="31">
        <v>16.97</v>
      </c>
      <c r="H67" s="32">
        <v>16.97</v>
      </c>
      <c r="I67" s="31">
        <f t="shared" si="57"/>
        <v>1.62</v>
      </c>
      <c r="J67" s="31">
        <f t="shared" si="58"/>
        <v>1.62</v>
      </c>
      <c r="K67" s="31">
        <f t="shared" si="59"/>
        <v>0</v>
      </c>
      <c r="L67" s="49">
        <f t="shared" si="60"/>
        <v>0.105537459283388</v>
      </c>
      <c r="M67" s="28">
        <v>559.82</v>
      </c>
      <c r="N67" s="28">
        <v>644.14</v>
      </c>
      <c r="O67" s="49">
        <f t="shared" si="61"/>
        <v>-0.130903219796938</v>
      </c>
      <c r="P67" s="31">
        <f t="shared" si="62"/>
        <v>495.8332064</v>
      </c>
      <c r="Q67" s="31">
        <f t="shared" si="63"/>
        <v>740.761</v>
      </c>
      <c r="R67" s="31">
        <f t="shared" si="64"/>
        <v>559.82</v>
      </c>
      <c r="S67" s="31">
        <f t="shared" ref="S67:S78" si="67">+F67*M67</f>
        <v>8593.237</v>
      </c>
      <c r="T67" s="44">
        <f t="shared" ref="T67:T78" si="68">S67+R67*I67</f>
        <v>9500.1454</v>
      </c>
      <c r="U67" s="74">
        <f t="shared" si="65"/>
        <v>9500.1454</v>
      </c>
      <c r="V67" s="73">
        <f t="shared" si="43"/>
        <v>906.9084</v>
      </c>
      <c r="W67" s="74">
        <f t="shared" si="44"/>
        <v>0</v>
      </c>
      <c r="X67" s="76">
        <f t="shared" si="66"/>
        <v>0</v>
      </c>
      <c r="Y67" s="82"/>
    </row>
    <row r="68" ht="54" customHeight="1" spans="1:25">
      <c r="A68" s="27">
        <v>57</v>
      </c>
      <c r="B68" s="29" t="s">
        <v>207</v>
      </c>
      <c r="C68" s="29" t="s">
        <v>203</v>
      </c>
      <c r="D68" s="29" t="s">
        <v>208</v>
      </c>
      <c r="E68" s="28" t="s">
        <v>52</v>
      </c>
      <c r="F68" s="28">
        <v>48.3</v>
      </c>
      <c r="G68" s="31">
        <v>48.3</v>
      </c>
      <c r="H68" s="32">
        <v>48.3</v>
      </c>
      <c r="I68" s="31">
        <f t="shared" si="57"/>
        <v>0</v>
      </c>
      <c r="J68" s="31">
        <f t="shared" si="58"/>
        <v>0</v>
      </c>
      <c r="K68" s="31">
        <f t="shared" si="59"/>
        <v>0</v>
      </c>
      <c r="L68" s="49">
        <f t="shared" si="60"/>
        <v>0</v>
      </c>
      <c r="M68" s="28">
        <v>547.91</v>
      </c>
      <c r="N68" s="28">
        <v>612.94</v>
      </c>
      <c r="O68" s="49">
        <f t="shared" si="61"/>
        <v>-0.106095213234574</v>
      </c>
      <c r="P68" s="31">
        <f t="shared" si="62"/>
        <v>471.8166944</v>
      </c>
      <c r="Q68" s="31">
        <f t="shared" si="63"/>
        <v>704.881</v>
      </c>
      <c r="R68" s="31">
        <f t="shared" si="64"/>
        <v>547.91</v>
      </c>
      <c r="S68" s="31">
        <f t="shared" si="67"/>
        <v>26464.053</v>
      </c>
      <c r="T68" s="44">
        <f t="shared" si="68"/>
        <v>26464.053</v>
      </c>
      <c r="U68" s="74">
        <f t="shared" si="65"/>
        <v>26464.053</v>
      </c>
      <c r="V68" s="73">
        <f t="shared" si="43"/>
        <v>0</v>
      </c>
      <c r="W68" s="74">
        <f t="shared" si="44"/>
        <v>0</v>
      </c>
      <c r="X68" s="76">
        <f t="shared" si="66"/>
        <v>0</v>
      </c>
      <c r="Y68" s="82"/>
    </row>
    <row r="69" ht="54" customHeight="1" spans="1:25">
      <c r="A69" s="27">
        <v>58</v>
      </c>
      <c r="B69" s="29" t="s">
        <v>209</v>
      </c>
      <c r="C69" s="29" t="s">
        <v>203</v>
      </c>
      <c r="D69" s="29" t="s">
        <v>210</v>
      </c>
      <c r="E69" s="28" t="s">
        <v>52</v>
      </c>
      <c r="F69" s="28">
        <v>2.415</v>
      </c>
      <c r="G69" s="31">
        <v>2.415</v>
      </c>
      <c r="H69" s="32">
        <v>2.415</v>
      </c>
      <c r="I69" s="31">
        <f t="shared" si="57"/>
        <v>0</v>
      </c>
      <c r="J69" s="31">
        <f t="shared" si="58"/>
        <v>0</v>
      </c>
      <c r="K69" s="31">
        <f t="shared" si="59"/>
        <v>0</v>
      </c>
      <c r="L69" s="49">
        <f t="shared" si="60"/>
        <v>0</v>
      </c>
      <c r="M69" s="28">
        <v>547.91</v>
      </c>
      <c r="N69" s="28">
        <v>616.58</v>
      </c>
      <c r="O69" s="49">
        <f t="shared" si="61"/>
        <v>-0.111372409095332</v>
      </c>
      <c r="P69" s="31">
        <f t="shared" si="62"/>
        <v>474.6186208</v>
      </c>
      <c r="Q69" s="31">
        <f t="shared" si="63"/>
        <v>709.067</v>
      </c>
      <c r="R69" s="31">
        <f t="shared" si="64"/>
        <v>547.91</v>
      </c>
      <c r="S69" s="31">
        <f t="shared" si="67"/>
        <v>1323.20265</v>
      </c>
      <c r="T69" s="44">
        <f t="shared" si="68"/>
        <v>1323.20265</v>
      </c>
      <c r="U69" s="74">
        <f t="shared" si="65"/>
        <v>1323.20265</v>
      </c>
      <c r="V69" s="73">
        <f t="shared" si="43"/>
        <v>0</v>
      </c>
      <c r="W69" s="74">
        <f t="shared" si="44"/>
        <v>0</v>
      </c>
      <c r="X69" s="76">
        <f t="shared" si="66"/>
        <v>0</v>
      </c>
      <c r="Y69" s="82"/>
    </row>
    <row r="70" ht="54" customHeight="1" spans="1:25">
      <c r="A70" s="27">
        <v>59</v>
      </c>
      <c r="B70" s="29" t="s">
        <v>211</v>
      </c>
      <c r="C70" s="29" t="s">
        <v>212</v>
      </c>
      <c r="D70" s="29" t="s">
        <v>213</v>
      </c>
      <c r="E70" s="28" t="s">
        <v>52</v>
      </c>
      <c r="F70" s="28">
        <v>5.865</v>
      </c>
      <c r="G70" s="31">
        <v>7.485</v>
      </c>
      <c r="H70" s="32">
        <v>7.485</v>
      </c>
      <c r="I70" s="31">
        <f t="shared" si="57"/>
        <v>1.62</v>
      </c>
      <c r="J70" s="31">
        <f t="shared" si="58"/>
        <v>1.62</v>
      </c>
      <c r="K70" s="31">
        <f t="shared" si="59"/>
        <v>0</v>
      </c>
      <c r="L70" s="49">
        <f t="shared" si="60"/>
        <v>0.276214833759591</v>
      </c>
      <c r="M70" s="28">
        <v>777.73</v>
      </c>
      <c r="N70" s="28">
        <v>700.9</v>
      </c>
      <c r="O70" s="49">
        <f t="shared" si="61"/>
        <v>0.109616207732915</v>
      </c>
      <c r="P70" s="31">
        <f t="shared" si="62"/>
        <v>539.524784</v>
      </c>
      <c r="Q70" s="31">
        <f t="shared" si="63"/>
        <v>806.035</v>
      </c>
      <c r="R70" s="31">
        <f t="shared" si="64"/>
        <v>777.73</v>
      </c>
      <c r="S70" s="31">
        <f t="shared" si="67"/>
        <v>4561.38645</v>
      </c>
      <c r="T70" s="44">
        <f t="shared" si="68"/>
        <v>5821.30905</v>
      </c>
      <c r="U70" s="74">
        <f t="shared" si="65"/>
        <v>5821.30905</v>
      </c>
      <c r="V70" s="73">
        <f t="shared" si="43"/>
        <v>1259.9226</v>
      </c>
      <c r="W70" s="74">
        <f t="shared" si="44"/>
        <v>0</v>
      </c>
      <c r="X70" s="76">
        <f t="shared" si="66"/>
        <v>0</v>
      </c>
      <c r="Y70" s="82"/>
    </row>
    <row r="71" ht="66.75" customHeight="1" spans="1:25">
      <c r="A71" s="27">
        <v>60</v>
      </c>
      <c r="B71" s="29" t="s">
        <v>214</v>
      </c>
      <c r="C71" s="29" t="s">
        <v>212</v>
      </c>
      <c r="D71" s="29" t="s">
        <v>215</v>
      </c>
      <c r="E71" s="28" t="s">
        <v>52</v>
      </c>
      <c r="F71" s="28">
        <v>337.84</v>
      </c>
      <c r="G71" s="31">
        <v>337.84</v>
      </c>
      <c r="H71" s="32">
        <v>337.84</v>
      </c>
      <c r="I71" s="31">
        <f t="shared" si="57"/>
        <v>0</v>
      </c>
      <c r="J71" s="31">
        <f t="shared" si="58"/>
        <v>0</v>
      </c>
      <c r="K71" s="31">
        <f t="shared" si="59"/>
        <v>0</v>
      </c>
      <c r="L71" s="49">
        <f t="shared" si="60"/>
        <v>0</v>
      </c>
      <c r="M71" s="28">
        <v>746.49</v>
      </c>
      <c r="N71" s="28">
        <v>662.8</v>
      </c>
      <c r="O71" s="49">
        <f t="shared" si="61"/>
        <v>0.126267350633675</v>
      </c>
      <c r="P71" s="31">
        <f t="shared" si="62"/>
        <v>510.196928</v>
      </c>
      <c r="Q71" s="31">
        <f t="shared" si="63"/>
        <v>762.22</v>
      </c>
      <c r="R71" s="31">
        <f t="shared" si="64"/>
        <v>746.49</v>
      </c>
      <c r="S71" s="31">
        <f t="shared" si="67"/>
        <v>252194.1816</v>
      </c>
      <c r="T71" s="44">
        <f t="shared" si="68"/>
        <v>252194.1816</v>
      </c>
      <c r="U71" s="74">
        <f t="shared" si="65"/>
        <v>252194.1816</v>
      </c>
      <c r="V71" s="73">
        <f t="shared" si="43"/>
        <v>0</v>
      </c>
      <c r="W71" s="74">
        <f t="shared" si="44"/>
        <v>0</v>
      </c>
      <c r="X71" s="76">
        <f t="shared" si="66"/>
        <v>0</v>
      </c>
      <c r="Y71" s="82"/>
    </row>
    <row r="72" ht="79.5" customHeight="1" spans="1:25">
      <c r="A72" s="27">
        <v>61</v>
      </c>
      <c r="B72" s="29" t="s">
        <v>216</v>
      </c>
      <c r="C72" s="29" t="s">
        <v>217</v>
      </c>
      <c r="D72" s="29" t="s">
        <v>218</v>
      </c>
      <c r="E72" s="28" t="s">
        <v>52</v>
      </c>
      <c r="F72" s="28">
        <v>1315.21</v>
      </c>
      <c r="G72" s="31">
        <v>1315.21</v>
      </c>
      <c r="H72" s="32">
        <v>819.47</v>
      </c>
      <c r="I72" s="31">
        <f t="shared" si="57"/>
        <v>0</v>
      </c>
      <c r="J72" s="31">
        <f t="shared" si="58"/>
        <v>-495.74</v>
      </c>
      <c r="K72" s="31">
        <f t="shared" si="59"/>
        <v>-495.74</v>
      </c>
      <c r="L72" s="49">
        <f t="shared" si="60"/>
        <v>0</v>
      </c>
      <c r="M72" s="28">
        <v>565.96</v>
      </c>
      <c r="N72" s="28">
        <v>605.7</v>
      </c>
      <c r="O72" s="49">
        <f t="shared" si="61"/>
        <v>-0.0656100379725937</v>
      </c>
      <c r="P72" s="31">
        <f t="shared" si="62"/>
        <v>466.243632</v>
      </c>
      <c r="Q72" s="31">
        <f t="shared" si="63"/>
        <v>696.555</v>
      </c>
      <c r="R72" s="31">
        <f t="shared" si="64"/>
        <v>565.96</v>
      </c>
      <c r="S72" s="31">
        <f t="shared" si="67"/>
        <v>744356.2516</v>
      </c>
      <c r="T72" s="44">
        <f t="shared" si="68"/>
        <v>744356.2516</v>
      </c>
      <c r="U72" s="74">
        <f t="shared" si="65"/>
        <v>463787.2412</v>
      </c>
      <c r="V72" s="73">
        <f t="shared" si="43"/>
        <v>-280569.0104</v>
      </c>
      <c r="W72" s="74">
        <f t="shared" si="44"/>
        <v>-280569.0104</v>
      </c>
      <c r="X72" s="76">
        <f t="shared" si="66"/>
        <v>-280569.0104</v>
      </c>
      <c r="Y72" s="82"/>
    </row>
    <row r="73" ht="79.5" customHeight="1" spans="1:25">
      <c r="A73" s="27">
        <v>62</v>
      </c>
      <c r="B73" s="29" t="s">
        <v>219</v>
      </c>
      <c r="C73" s="29" t="s">
        <v>217</v>
      </c>
      <c r="D73" s="29" t="s">
        <v>220</v>
      </c>
      <c r="E73" s="28" t="s">
        <v>52</v>
      </c>
      <c r="F73" s="28">
        <v>15.075</v>
      </c>
      <c r="G73" s="31">
        <v>15.075</v>
      </c>
      <c r="H73" s="32">
        <v>15.075</v>
      </c>
      <c r="I73" s="31">
        <f t="shared" si="57"/>
        <v>0</v>
      </c>
      <c r="J73" s="31">
        <f t="shared" si="58"/>
        <v>0</v>
      </c>
      <c r="K73" s="31">
        <f t="shared" si="59"/>
        <v>0</v>
      </c>
      <c r="L73" s="49">
        <f t="shared" si="60"/>
        <v>0</v>
      </c>
      <c r="M73" s="28">
        <v>657.93</v>
      </c>
      <c r="N73" s="28">
        <v>568.34</v>
      </c>
      <c r="O73" s="49">
        <f t="shared" si="61"/>
        <v>0.157634514551149</v>
      </c>
      <c r="P73" s="31">
        <f t="shared" si="62"/>
        <v>437.4853984</v>
      </c>
      <c r="Q73" s="31">
        <f t="shared" si="63"/>
        <v>653.591</v>
      </c>
      <c r="R73" s="31">
        <f t="shared" si="64"/>
        <v>653.591</v>
      </c>
      <c r="S73" s="31">
        <f t="shared" si="67"/>
        <v>9918.29475</v>
      </c>
      <c r="T73" s="44">
        <f t="shared" si="68"/>
        <v>9918.29475</v>
      </c>
      <c r="U73" s="74">
        <f t="shared" si="65"/>
        <v>9918.29475</v>
      </c>
      <c r="V73" s="73">
        <f t="shared" si="43"/>
        <v>0</v>
      </c>
      <c r="W73" s="74">
        <f t="shared" si="44"/>
        <v>0</v>
      </c>
      <c r="X73" s="76">
        <f t="shared" si="66"/>
        <v>0</v>
      </c>
      <c r="Y73" s="82"/>
    </row>
    <row r="74" ht="66.75" customHeight="1" spans="1:25">
      <c r="A74" s="27">
        <v>63</v>
      </c>
      <c r="B74" s="29" t="s">
        <v>221</v>
      </c>
      <c r="C74" s="29" t="s">
        <v>217</v>
      </c>
      <c r="D74" s="29" t="s">
        <v>222</v>
      </c>
      <c r="E74" s="28" t="s">
        <v>52</v>
      </c>
      <c r="F74" s="28">
        <v>310.21</v>
      </c>
      <c r="G74" s="31">
        <v>828.5444</v>
      </c>
      <c r="H74" s="32">
        <v>828.5444</v>
      </c>
      <c r="I74" s="31">
        <f t="shared" si="57"/>
        <v>518.3344</v>
      </c>
      <c r="J74" s="31">
        <f t="shared" si="58"/>
        <v>518.3344</v>
      </c>
      <c r="K74" s="31">
        <f t="shared" si="59"/>
        <v>0</v>
      </c>
      <c r="L74" s="49">
        <f t="shared" si="60"/>
        <v>1.67091454176203</v>
      </c>
      <c r="M74" s="28">
        <v>568.25</v>
      </c>
      <c r="N74" s="28">
        <v>534.64</v>
      </c>
      <c r="O74" s="49">
        <f t="shared" si="61"/>
        <v>0.0628647314080503</v>
      </c>
      <c r="P74" s="31">
        <f t="shared" si="62"/>
        <v>411.5444864</v>
      </c>
      <c r="Q74" s="31">
        <f t="shared" si="63"/>
        <v>614.836</v>
      </c>
      <c r="R74" s="31">
        <f t="shared" si="64"/>
        <v>568.25</v>
      </c>
      <c r="S74" s="31">
        <f t="shared" si="67"/>
        <v>176276.8325</v>
      </c>
      <c r="T74" s="44">
        <f t="shared" si="68"/>
        <v>470820.3553</v>
      </c>
      <c r="U74" s="74">
        <f t="shared" si="65"/>
        <v>470820.3553</v>
      </c>
      <c r="V74" s="73">
        <f t="shared" si="43"/>
        <v>294543.5228</v>
      </c>
      <c r="W74" s="74">
        <f t="shared" si="44"/>
        <v>0</v>
      </c>
      <c r="X74" s="76">
        <f t="shared" si="66"/>
        <v>0</v>
      </c>
      <c r="Y74" s="82"/>
    </row>
    <row r="75" ht="41.25" customHeight="1" spans="1:25">
      <c r="A75" s="27">
        <v>64</v>
      </c>
      <c r="B75" s="29" t="s">
        <v>223</v>
      </c>
      <c r="C75" s="29" t="s">
        <v>224</v>
      </c>
      <c r="D75" s="29" t="s">
        <v>225</v>
      </c>
      <c r="E75" s="28" t="s">
        <v>52</v>
      </c>
      <c r="F75" s="28">
        <v>4.88</v>
      </c>
      <c r="G75" s="31">
        <v>4.88</v>
      </c>
      <c r="H75" s="32">
        <v>4.88</v>
      </c>
      <c r="I75" s="31">
        <f t="shared" si="57"/>
        <v>0</v>
      </c>
      <c r="J75" s="31">
        <f t="shared" si="58"/>
        <v>0</v>
      </c>
      <c r="K75" s="31">
        <f t="shared" si="59"/>
        <v>0</v>
      </c>
      <c r="L75" s="49">
        <f t="shared" si="60"/>
        <v>0</v>
      </c>
      <c r="M75" s="28">
        <v>537.53</v>
      </c>
      <c r="N75" s="28">
        <v>665.09</v>
      </c>
      <c r="O75" s="49">
        <f t="shared" si="61"/>
        <v>-0.191793591844713</v>
      </c>
      <c r="P75" s="31">
        <f t="shared" si="62"/>
        <v>511.9596784</v>
      </c>
      <c r="Q75" s="31">
        <f t="shared" si="63"/>
        <v>764.8535</v>
      </c>
      <c r="R75" s="31">
        <f t="shared" si="64"/>
        <v>537.53</v>
      </c>
      <c r="S75" s="31">
        <f t="shared" si="67"/>
        <v>2623.1464</v>
      </c>
      <c r="T75" s="44">
        <f t="shared" si="68"/>
        <v>2623.1464</v>
      </c>
      <c r="U75" s="74">
        <f t="shared" si="65"/>
        <v>2623.1464</v>
      </c>
      <c r="V75" s="73">
        <f t="shared" si="43"/>
        <v>0</v>
      </c>
      <c r="W75" s="74">
        <f t="shared" si="44"/>
        <v>0</v>
      </c>
      <c r="X75" s="76">
        <f t="shared" si="66"/>
        <v>0</v>
      </c>
      <c r="Y75" s="82"/>
    </row>
    <row r="76" ht="28.5" customHeight="1" spans="1:25">
      <c r="A76" s="27">
        <v>65</v>
      </c>
      <c r="B76" s="29" t="s">
        <v>226</v>
      </c>
      <c r="C76" s="29" t="s">
        <v>227</v>
      </c>
      <c r="D76" s="29" t="s">
        <v>228</v>
      </c>
      <c r="E76" s="28" t="s">
        <v>52</v>
      </c>
      <c r="F76" s="28">
        <v>10.7</v>
      </c>
      <c r="G76" s="31">
        <v>10.7</v>
      </c>
      <c r="H76" s="32">
        <v>10.7</v>
      </c>
      <c r="I76" s="31">
        <f t="shared" si="57"/>
        <v>0</v>
      </c>
      <c r="J76" s="31">
        <f t="shared" si="58"/>
        <v>0</v>
      </c>
      <c r="K76" s="31">
        <f t="shared" si="59"/>
        <v>0</v>
      </c>
      <c r="L76" s="49">
        <f t="shared" si="60"/>
        <v>0</v>
      </c>
      <c r="M76" s="28">
        <v>301.24</v>
      </c>
      <c r="N76" s="28">
        <v>404.84</v>
      </c>
      <c r="O76" s="49">
        <f t="shared" si="61"/>
        <v>-0.255903566841221</v>
      </c>
      <c r="P76" s="31">
        <f t="shared" si="62"/>
        <v>311.6296384</v>
      </c>
      <c r="Q76" s="31">
        <f t="shared" si="63"/>
        <v>465.566</v>
      </c>
      <c r="R76" s="31">
        <f t="shared" si="64"/>
        <v>311.6296384</v>
      </c>
      <c r="S76" s="31">
        <f t="shared" si="67"/>
        <v>3223.268</v>
      </c>
      <c r="T76" s="44">
        <f t="shared" si="68"/>
        <v>3223.268</v>
      </c>
      <c r="U76" s="74">
        <f t="shared" si="65"/>
        <v>3223.268</v>
      </c>
      <c r="V76" s="73">
        <f t="shared" ref="V76:V107" si="69">U76-S76</f>
        <v>0</v>
      </c>
      <c r="W76" s="74">
        <f t="shared" ref="W76:W107" si="70">+U76-T76</f>
        <v>0</v>
      </c>
      <c r="X76" s="76">
        <f t="shared" si="66"/>
        <v>0</v>
      </c>
      <c r="Y76" s="82"/>
    </row>
    <row r="77" ht="54" customHeight="1" spans="1:25">
      <c r="A77" s="27">
        <v>66</v>
      </c>
      <c r="B77" s="29" t="s">
        <v>229</v>
      </c>
      <c r="C77" s="29" t="s">
        <v>227</v>
      </c>
      <c r="D77" s="29" t="s">
        <v>230</v>
      </c>
      <c r="E77" s="28" t="s">
        <v>52</v>
      </c>
      <c r="F77" s="28">
        <v>321.13</v>
      </c>
      <c r="G77" s="31">
        <v>321.13</v>
      </c>
      <c r="H77" s="32">
        <v>321.13</v>
      </c>
      <c r="I77" s="31">
        <f t="shared" si="57"/>
        <v>0</v>
      </c>
      <c r="J77" s="31">
        <f t="shared" si="58"/>
        <v>0</v>
      </c>
      <c r="K77" s="31">
        <f t="shared" si="59"/>
        <v>0</v>
      </c>
      <c r="L77" s="49">
        <f t="shared" si="60"/>
        <v>0</v>
      </c>
      <c r="M77" s="28">
        <v>301.24</v>
      </c>
      <c r="N77" s="28">
        <v>428.94</v>
      </c>
      <c r="O77" s="49">
        <f t="shared" si="61"/>
        <v>-0.297710635520119</v>
      </c>
      <c r="P77" s="31">
        <f t="shared" si="62"/>
        <v>330.1808544</v>
      </c>
      <c r="Q77" s="31">
        <f t="shared" si="63"/>
        <v>493.281</v>
      </c>
      <c r="R77" s="31">
        <f t="shared" si="64"/>
        <v>330.1808544</v>
      </c>
      <c r="S77" s="31">
        <f t="shared" si="67"/>
        <v>96737.2012</v>
      </c>
      <c r="T77" s="44">
        <f t="shared" si="68"/>
        <v>96737.2012</v>
      </c>
      <c r="U77" s="74">
        <f t="shared" si="65"/>
        <v>96737.2012</v>
      </c>
      <c r="V77" s="73">
        <f t="shared" si="69"/>
        <v>0</v>
      </c>
      <c r="W77" s="74">
        <f t="shared" si="70"/>
        <v>0</v>
      </c>
      <c r="X77" s="76">
        <f t="shared" si="66"/>
        <v>0</v>
      </c>
      <c r="Y77" s="82"/>
    </row>
    <row r="78" ht="54" customHeight="1" spans="1:25">
      <c r="A78" s="27">
        <v>67</v>
      </c>
      <c r="B78" s="29" t="s">
        <v>231</v>
      </c>
      <c r="C78" s="29" t="s">
        <v>232</v>
      </c>
      <c r="D78" s="29" t="s">
        <v>233</v>
      </c>
      <c r="E78" s="28" t="s">
        <v>70</v>
      </c>
      <c r="F78" s="28">
        <v>664.5</v>
      </c>
      <c r="G78" s="31">
        <v>669</v>
      </c>
      <c r="H78" s="32">
        <v>669</v>
      </c>
      <c r="I78" s="31">
        <f t="shared" si="57"/>
        <v>4.5</v>
      </c>
      <c r="J78" s="31">
        <f t="shared" si="58"/>
        <v>4.5</v>
      </c>
      <c r="K78" s="31">
        <f t="shared" si="59"/>
        <v>0</v>
      </c>
      <c r="L78" s="49">
        <f t="shared" si="60"/>
        <v>0.00677200902934537</v>
      </c>
      <c r="M78" s="28">
        <v>329</v>
      </c>
      <c r="N78" s="28">
        <v>380</v>
      </c>
      <c r="O78" s="49">
        <f t="shared" si="61"/>
        <v>-0.134210526315789</v>
      </c>
      <c r="P78" s="31">
        <f t="shared" si="62"/>
        <v>292.5088</v>
      </c>
      <c r="Q78" s="31">
        <f t="shared" si="63"/>
        <v>437</v>
      </c>
      <c r="R78" s="31">
        <f t="shared" si="64"/>
        <v>329</v>
      </c>
      <c r="S78" s="31">
        <f t="shared" si="67"/>
        <v>218620.5</v>
      </c>
      <c r="T78" s="44">
        <f t="shared" si="68"/>
        <v>220101</v>
      </c>
      <c r="U78" s="74">
        <f t="shared" si="65"/>
        <v>220101</v>
      </c>
      <c r="V78" s="73">
        <f t="shared" si="69"/>
        <v>1480.5</v>
      </c>
      <c r="W78" s="74">
        <f t="shared" si="70"/>
        <v>0</v>
      </c>
      <c r="X78" s="76">
        <f t="shared" si="66"/>
        <v>0</v>
      </c>
      <c r="Y78" s="82"/>
    </row>
    <row r="79" ht="28.5" customHeight="1" spans="1:25">
      <c r="A79" s="27"/>
      <c r="B79" s="29"/>
      <c r="C79" s="29" t="s">
        <v>234</v>
      </c>
      <c r="D79" s="29"/>
      <c r="E79" s="29"/>
      <c r="F79" s="28"/>
      <c r="G79" s="31"/>
      <c r="H79" s="30"/>
      <c r="I79" s="31"/>
      <c r="J79" s="31"/>
      <c r="K79" s="31"/>
      <c r="L79" s="49"/>
      <c r="M79" s="28"/>
      <c r="N79" s="28"/>
      <c r="O79" s="28"/>
      <c r="P79" s="28"/>
      <c r="Q79" s="28"/>
      <c r="R79" s="31"/>
      <c r="S79" s="73">
        <f>+SUM(S80:S93)</f>
        <v>893089.825193</v>
      </c>
      <c r="T79" s="73">
        <f>+SUM(T80:T93)</f>
        <v>814012.365698249</v>
      </c>
      <c r="U79" s="74">
        <f>SUM(U80:U93)</f>
        <v>814012.365698249</v>
      </c>
      <c r="V79" s="73">
        <f t="shared" si="69"/>
        <v>-79077.4594947511</v>
      </c>
      <c r="W79" s="74">
        <f t="shared" si="70"/>
        <v>0</v>
      </c>
      <c r="X79" s="75">
        <f>U79-T79</f>
        <v>0</v>
      </c>
      <c r="Y79" s="82"/>
    </row>
    <row r="80" ht="41.25" customHeight="1" spans="1:25">
      <c r="A80" s="27">
        <v>68</v>
      </c>
      <c r="B80" s="29" t="s">
        <v>235</v>
      </c>
      <c r="C80" s="29" t="s">
        <v>236</v>
      </c>
      <c r="D80" s="29" t="s">
        <v>237</v>
      </c>
      <c r="E80" s="28" t="s">
        <v>52</v>
      </c>
      <c r="F80" s="28">
        <v>127.5</v>
      </c>
      <c r="G80" s="31">
        <v>127.5</v>
      </c>
      <c r="H80" s="32">
        <v>127.5</v>
      </c>
      <c r="I80" s="31">
        <f t="shared" ref="I80:I93" si="71">G80-F80</f>
        <v>0</v>
      </c>
      <c r="J80" s="31">
        <f t="shared" si="58"/>
        <v>0</v>
      </c>
      <c r="K80" s="31">
        <f t="shared" si="59"/>
        <v>0</v>
      </c>
      <c r="L80" s="49">
        <f t="shared" ref="L80:L93" si="72">I80/F80</f>
        <v>0</v>
      </c>
      <c r="M80" s="28">
        <v>116.74</v>
      </c>
      <c r="N80" s="28">
        <v>116.28</v>
      </c>
      <c r="O80" s="49">
        <f t="shared" ref="O80:O93" si="73">(M80-N80)/N80</f>
        <v>0.00395596835225313</v>
      </c>
      <c r="P80" s="31">
        <f t="shared" ref="P80:P93" si="74">N80*0.9056*0.85</f>
        <v>89.5076928</v>
      </c>
      <c r="Q80" s="31">
        <f t="shared" ref="Q80:Q93" si="75">N80*1.15</f>
        <v>133.722</v>
      </c>
      <c r="R80" s="31">
        <f t="shared" ref="R80:R93" si="76">IF(M80&lt;N80*0.9056*0.85,N80*0.9056*0.85,IF(M80&gt;N80*1.15,N80*1.15,M80))</f>
        <v>116.74</v>
      </c>
      <c r="S80" s="31">
        <f>+F80*M80</f>
        <v>14884.35</v>
      </c>
      <c r="T80" s="44">
        <f>S80+R80*I80</f>
        <v>14884.35</v>
      </c>
      <c r="U80" s="74">
        <f t="shared" ref="U80:U93" si="77">S80+R80*J80</f>
        <v>14884.35</v>
      </c>
      <c r="V80" s="73">
        <f t="shared" si="69"/>
        <v>0</v>
      </c>
      <c r="W80" s="74">
        <f t="shared" si="70"/>
        <v>0</v>
      </c>
      <c r="X80" s="76">
        <f t="shared" ref="X80:X93" si="78">+U80-T80</f>
        <v>0</v>
      </c>
      <c r="Y80" s="82"/>
    </row>
    <row r="81" s="2" customFormat="1" ht="60" customHeight="1" spans="1:25">
      <c r="A81" s="27">
        <v>69</v>
      </c>
      <c r="B81" s="29" t="s">
        <v>238</v>
      </c>
      <c r="C81" s="29" t="s">
        <v>239</v>
      </c>
      <c r="D81" s="29" t="s">
        <v>240</v>
      </c>
      <c r="E81" s="28" t="s">
        <v>52</v>
      </c>
      <c r="F81" s="28">
        <v>285.67</v>
      </c>
      <c r="G81" s="31">
        <v>418.545</v>
      </c>
      <c r="H81" s="32">
        <f>418.545</f>
        <v>418.545</v>
      </c>
      <c r="I81" s="31">
        <f t="shared" si="71"/>
        <v>132.875</v>
      </c>
      <c r="J81" s="31">
        <f t="shared" si="58"/>
        <v>132.875</v>
      </c>
      <c r="K81" s="31">
        <f t="shared" si="59"/>
        <v>0</v>
      </c>
      <c r="L81" s="49">
        <f t="shared" si="72"/>
        <v>0.465134595862359</v>
      </c>
      <c r="M81" s="28">
        <v>59.04</v>
      </c>
      <c r="N81" s="28">
        <v>56.42</v>
      </c>
      <c r="O81" s="49">
        <f t="shared" si="73"/>
        <v>0.0464374335342077</v>
      </c>
      <c r="P81" s="31">
        <f t="shared" si="74"/>
        <v>43.4298592</v>
      </c>
      <c r="Q81" s="31">
        <f t="shared" si="75"/>
        <v>64.883</v>
      </c>
      <c r="R81" s="31">
        <f t="shared" si="76"/>
        <v>59.04</v>
      </c>
      <c r="S81" s="31">
        <f t="shared" ref="S81:S93" si="79">+F81*M81</f>
        <v>16865.9568</v>
      </c>
      <c r="T81" s="44">
        <f t="shared" ref="T81:T93" si="80">S81+R81*I81</f>
        <v>24710.8968</v>
      </c>
      <c r="U81" s="74">
        <f t="shared" si="77"/>
        <v>24710.8968</v>
      </c>
      <c r="V81" s="73">
        <f t="shared" si="69"/>
        <v>7844.94</v>
      </c>
      <c r="W81" s="74">
        <f t="shared" si="70"/>
        <v>0</v>
      </c>
      <c r="X81" s="76">
        <f t="shared" si="78"/>
        <v>0</v>
      </c>
      <c r="Y81" s="82"/>
    </row>
    <row r="82" s="2" customFormat="1" ht="34" customHeight="1" spans="1:25">
      <c r="A82" s="27">
        <v>70</v>
      </c>
      <c r="B82" s="29" t="s">
        <v>241</v>
      </c>
      <c r="C82" s="29" t="s">
        <v>242</v>
      </c>
      <c r="D82" s="29" t="s">
        <v>243</v>
      </c>
      <c r="E82" s="28" t="s">
        <v>52</v>
      </c>
      <c r="F82" s="28">
        <v>2127.181</v>
      </c>
      <c r="G82" s="31">
        <v>2760.0325</v>
      </c>
      <c r="H82" s="32">
        <f>2760.0325</f>
        <v>2760.0325</v>
      </c>
      <c r="I82" s="31">
        <f t="shared" si="71"/>
        <v>632.8515</v>
      </c>
      <c r="J82" s="31">
        <f t="shared" si="58"/>
        <v>632.8515</v>
      </c>
      <c r="K82" s="31">
        <f t="shared" si="59"/>
        <v>0</v>
      </c>
      <c r="L82" s="49">
        <f t="shared" si="72"/>
        <v>0.297507123277239</v>
      </c>
      <c r="M82" s="28">
        <v>38.75</v>
      </c>
      <c r="N82" s="28">
        <v>31.86</v>
      </c>
      <c r="O82" s="49">
        <f t="shared" si="73"/>
        <v>0.216258631512869</v>
      </c>
      <c r="P82" s="31">
        <f t="shared" si="74"/>
        <v>24.5245536</v>
      </c>
      <c r="Q82" s="31">
        <f t="shared" si="75"/>
        <v>36.639</v>
      </c>
      <c r="R82" s="31">
        <f t="shared" si="76"/>
        <v>36.639</v>
      </c>
      <c r="S82" s="31">
        <f t="shared" si="79"/>
        <v>82428.26375</v>
      </c>
      <c r="T82" s="44">
        <f t="shared" si="80"/>
        <v>105615.3098585</v>
      </c>
      <c r="U82" s="74">
        <f t="shared" si="77"/>
        <v>105615.3098585</v>
      </c>
      <c r="V82" s="73">
        <f t="shared" si="69"/>
        <v>23187.0461085</v>
      </c>
      <c r="W82" s="74">
        <f t="shared" si="70"/>
        <v>0</v>
      </c>
      <c r="X82" s="76">
        <f t="shared" si="78"/>
        <v>0</v>
      </c>
      <c r="Y82" s="82"/>
    </row>
    <row r="83" s="2" customFormat="1" ht="41.25" customHeight="1" spans="1:25">
      <c r="A83" s="27">
        <v>71</v>
      </c>
      <c r="B83" s="29" t="s">
        <v>244</v>
      </c>
      <c r="C83" s="29" t="s">
        <v>239</v>
      </c>
      <c r="D83" s="29" t="s">
        <v>245</v>
      </c>
      <c r="E83" s="28" t="s">
        <v>52</v>
      </c>
      <c r="F83" s="28">
        <v>301.37</v>
      </c>
      <c r="G83" s="31">
        <v>425.925</v>
      </c>
      <c r="H83" s="32">
        <f>425.925</f>
        <v>425.925</v>
      </c>
      <c r="I83" s="31">
        <f t="shared" si="71"/>
        <v>124.555</v>
      </c>
      <c r="J83" s="31">
        <f t="shared" si="58"/>
        <v>124.555</v>
      </c>
      <c r="K83" s="31">
        <f t="shared" si="59"/>
        <v>0</v>
      </c>
      <c r="L83" s="49">
        <f t="shared" si="72"/>
        <v>0.413295948501842</v>
      </c>
      <c r="M83" s="28">
        <v>37.14</v>
      </c>
      <c r="N83" s="28">
        <v>55.94</v>
      </c>
      <c r="O83" s="49">
        <f t="shared" si="73"/>
        <v>-0.336074365391491</v>
      </c>
      <c r="P83" s="31">
        <f t="shared" si="74"/>
        <v>43.0603744</v>
      </c>
      <c r="Q83" s="31">
        <f t="shared" si="75"/>
        <v>64.331</v>
      </c>
      <c r="R83" s="31">
        <f t="shared" si="76"/>
        <v>43.0603744</v>
      </c>
      <c r="S83" s="31">
        <f t="shared" si="79"/>
        <v>11192.8818</v>
      </c>
      <c r="T83" s="44">
        <f t="shared" si="80"/>
        <v>16556.266733392</v>
      </c>
      <c r="U83" s="74">
        <f t="shared" si="77"/>
        <v>16556.266733392</v>
      </c>
      <c r="V83" s="73">
        <f t="shared" si="69"/>
        <v>5363.384933392</v>
      </c>
      <c r="W83" s="74">
        <f t="shared" si="70"/>
        <v>0</v>
      </c>
      <c r="X83" s="76">
        <f t="shared" si="78"/>
        <v>0</v>
      </c>
      <c r="Y83" s="82"/>
    </row>
    <row r="84" s="2" customFormat="1" ht="28.5" customHeight="1" spans="1:25">
      <c r="A84" s="27">
        <v>72</v>
      </c>
      <c r="B84" s="29" t="s">
        <v>246</v>
      </c>
      <c r="C84" s="29" t="s">
        <v>247</v>
      </c>
      <c r="D84" s="29" t="s">
        <v>248</v>
      </c>
      <c r="E84" s="28" t="s">
        <v>52</v>
      </c>
      <c r="F84" s="28">
        <v>2127.181</v>
      </c>
      <c r="G84" s="31">
        <v>2760.0325</v>
      </c>
      <c r="H84" s="32">
        <f>2760.0325</f>
        <v>2760.0325</v>
      </c>
      <c r="I84" s="31">
        <f t="shared" si="71"/>
        <v>632.8515</v>
      </c>
      <c r="J84" s="31">
        <f t="shared" si="58"/>
        <v>632.8515</v>
      </c>
      <c r="K84" s="31">
        <f t="shared" si="59"/>
        <v>0</v>
      </c>
      <c r="L84" s="49">
        <f t="shared" si="72"/>
        <v>0.297507123277239</v>
      </c>
      <c r="M84" s="28">
        <v>33.79</v>
      </c>
      <c r="N84" s="28">
        <v>31.82</v>
      </c>
      <c r="O84" s="49">
        <f t="shared" si="73"/>
        <v>0.0619107479572596</v>
      </c>
      <c r="P84" s="31">
        <f t="shared" si="74"/>
        <v>24.4937632</v>
      </c>
      <c r="Q84" s="31">
        <f t="shared" si="75"/>
        <v>36.593</v>
      </c>
      <c r="R84" s="31">
        <f t="shared" si="76"/>
        <v>33.79</v>
      </c>
      <c r="S84" s="31">
        <f t="shared" si="79"/>
        <v>71877.44599</v>
      </c>
      <c r="T84" s="44">
        <f t="shared" si="80"/>
        <v>93261.498175</v>
      </c>
      <c r="U84" s="74">
        <f t="shared" si="77"/>
        <v>93261.498175</v>
      </c>
      <c r="V84" s="73">
        <f t="shared" si="69"/>
        <v>21384.052185</v>
      </c>
      <c r="W84" s="74">
        <f t="shared" si="70"/>
        <v>0</v>
      </c>
      <c r="X84" s="76">
        <f t="shared" si="78"/>
        <v>0</v>
      </c>
      <c r="Y84" s="82"/>
    </row>
    <row r="85" ht="28.5" customHeight="1" spans="1:25">
      <c r="A85" s="27">
        <v>73</v>
      </c>
      <c r="B85" s="29" t="s">
        <v>249</v>
      </c>
      <c r="C85" s="29" t="s">
        <v>250</v>
      </c>
      <c r="D85" s="29" t="s">
        <v>251</v>
      </c>
      <c r="E85" s="28" t="s">
        <v>52</v>
      </c>
      <c r="F85" s="28">
        <v>197.7197</v>
      </c>
      <c r="G85" s="31">
        <v>198.38</v>
      </c>
      <c r="H85" s="32">
        <v>198.38</v>
      </c>
      <c r="I85" s="31">
        <f t="shared" si="71"/>
        <v>0.660300000000007</v>
      </c>
      <c r="J85" s="31">
        <f t="shared" si="58"/>
        <v>0.660300000000007</v>
      </c>
      <c r="K85" s="31">
        <f t="shared" si="59"/>
        <v>0</v>
      </c>
      <c r="L85" s="49">
        <f t="shared" si="72"/>
        <v>0.00333957617779112</v>
      </c>
      <c r="M85" s="28">
        <v>63.61</v>
      </c>
      <c r="N85" s="28">
        <v>122.57</v>
      </c>
      <c r="O85" s="49">
        <f t="shared" si="73"/>
        <v>-0.481031247450436</v>
      </c>
      <c r="P85" s="31">
        <f t="shared" si="74"/>
        <v>94.3494832</v>
      </c>
      <c r="Q85" s="31">
        <f t="shared" si="75"/>
        <v>140.9555</v>
      </c>
      <c r="R85" s="31">
        <f t="shared" si="76"/>
        <v>94.3494832</v>
      </c>
      <c r="S85" s="31">
        <f t="shared" si="79"/>
        <v>12576.950117</v>
      </c>
      <c r="T85" s="44">
        <f t="shared" si="80"/>
        <v>12639.249080757</v>
      </c>
      <c r="U85" s="74">
        <f t="shared" si="77"/>
        <v>12639.249080757</v>
      </c>
      <c r="V85" s="73">
        <f t="shared" si="69"/>
        <v>62.298963756999</v>
      </c>
      <c r="W85" s="74">
        <f t="shared" si="70"/>
        <v>0</v>
      </c>
      <c r="X85" s="76">
        <f t="shared" si="78"/>
        <v>-3.8198777474463e-11</v>
      </c>
      <c r="Y85" s="82"/>
    </row>
    <row r="86" ht="28.5" customHeight="1" spans="1:25">
      <c r="A86" s="27">
        <v>74</v>
      </c>
      <c r="B86" s="29" t="s">
        <v>252</v>
      </c>
      <c r="C86" s="29" t="s">
        <v>253</v>
      </c>
      <c r="D86" s="29" t="s">
        <v>254</v>
      </c>
      <c r="E86" s="28" t="s">
        <v>52</v>
      </c>
      <c r="F86" s="28">
        <v>197.7197</v>
      </c>
      <c r="G86" s="31">
        <v>198.38</v>
      </c>
      <c r="H86" s="32">
        <v>198.38</v>
      </c>
      <c r="I86" s="31">
        <f t="shared" si="71"/>
        <v>0.660300000000007</v>
      </c>
      <c r="J86" s="31">
        <f t="shared" si="58"/>
        <v>0.660300000000007</v>
      </c>
      <c r="K86" s="31">
        <f t="shared" si="59"/>
        <v>0</v>
      </c>
      <c r="L86" s="49">
        <f t="shared" si="72"/>
        <v>0.00333957617779112</v>
      </c>
      <c r="M86" s="28">
        <v>44.88</v>
      </c>
      <c r="N86" s="28">
        <v>42.2</v>
      </c>
      <c r="O86" s="49">
        <f t="shared" si="73"/>
        <v>0.0635071090047393</v>
      </c>
      <c r="P86" s="31">
        <f t="shared" si="74"/>
        <v>32.483872</v>
      </c>
      <c r="Q86" s="31">
        <f t="shared" si="75"/>
        <v>48.53</v>
      </c>
      <c r="R86" s="31">
        <f t="shared" si="76"/>
        <v>44.88</v>
      </c>
      <c r="S86" s="31">
        <f t="shared" si="79"/>
        <v>8873.660136</v>
      </c>
      <c r="T86" s="44">
        <f t="shared" si="80"/>
        <v>8903.2944</v>
      </c>
      <c r="U86" s="74">
        <f t="shared" si="77"/>
        <v>8903.2944</v>
      </c>
      <c r="V86" s="73">
        <f t="shared" si="69"/>
        <v>29.6342640000003</v>
      </c>
      <c r="W86" s="74">
        <f t="shared" si="70"/>
        <v>0</v>
      </c>
      <c r="X86" s="76">
        <f t="shared" si="78"/>
        <v>0</v>
      </c>
      <c r="Y86" s="82"/>
    </row>
    <row r="87" ht="54" customHeight="1" spans="1:25">
      <c r="A87" s="27">
        <v>75</v>
      </c>
      <c r="B87" s="29" t="s">
        <v>255</v>
      </c>
      <c r="C87" s="29" t="s">
        <v>256</v>
      </c>
      <c r="D87" s="29" t="s">
        <v>257</v>
      </c>
      <c r="E87" s="28" t="s">
        <v>52</v>
      </c>
      <c r="F87" s="28">
        <v>174.74</v>
      </c>
      <c r="G87" s="31">
        <v>155.36</v>
      </c>
      <c r="H87" s="32">
        <v>155.36</v>
      </c>
      <c r="I87" s="31">
        <f t="shared" si="71"/>
        <v>-19.38</v>
      </c>
      <c r="J87" s="31">
        <f t="shared" si="58"/>
        <v>-19.38</v>
      </c>
      <c r="K87" s="31">
        <f t="shared" si="59"/>
        <v>0</v>
      </c>
      <c r="L87" s="49">
        <f t="shared" si="72"/>
        <v>-0.110907634199382</v>
      </c>
      <c r="M87" s="28">
        <v>28.13</v>
      </c>
      <c r="N87" s="28">
        <v>21.75</v>
      </c>
      <c r="O87" s="49">
        <f t="shared" si="73"/>
        <v>0.293333333333333</v>
      </c>
      <c r="P87" s="31">
        <f t="shared" si="74"/>
        <v>16.74228</v>
      </c>
      <c r="Q87" s="31">
        <f t="shared" si="75"/>
        <v>25.0125</v>
      </c>
      <c r="R87" s="31">
        <f t="shared" si="76"/>
        <v>25.0125</v>
      </c>
      <c r="S87" s="31">
        <f t="shared" si="79"/>
        <v>4915.4362</v>
      </c>
      <c r="T87" s="44">
        <f t="shared" si="80"/>
        <v>4430.69395</v>
      </c>
      <c r="U87" s="74">
        <f t="shared" si="77"/>
        <v>4430.69395</v>
      </c>
      <c r="V87" s="73">
        <f t="shared" si="69"/>
        <v>-484.74225</v>
      </c>
      <c r="W87" s="74">
        <f t="shared" si="70"/>
        <v>0</v>
      </c>
      <c r="X87" s="76">
        <f t="shared" si="78"/>
        <v>0</v>
      </c>
      <c r="Y87" s="82"/>
    </row>
    <row r="88" ht="54" customHeight="1" spans="1:25">
      <c r="A88" s="27">
        <v>76</v>
      </c>
      <c r="B88" s="29" t="s">
        <v>258</v>
      </c>
      <c r="C88" s="29" t="s">
        <v>256</v>
      </c>
      <c r="D88" s="29" t="s">
        <v>259</v>
      </c>
      <c r="E88" s="28" t="s">
        <v>52</v>
      </c>
      <c r="F88" s="28">
        <v>174.74</v>
      </c>
      <c r="G88" s="31">
        <v>354.605</v>
      </c>
      <c r="H88" s="32">
        <v>354.605</v>
      </c>
      <c r="I88" s="31">
        <f t="shared" si="71"/>
        <v>179.865</v>
      </c>
      <c r="J88" s="31">
        <f t="shared" si="58"/>
        <v>179.865</v>
      </c>
      <c r="K88" s="31">
        <f t="shared" si="59"/>
        <v>0</v>
      </c>
      <c r="L88" s="49">
        <f t="shared" si="72"/>
        <v>1.02932928922971</v>
      </c>
      <c r="M88" s="28">
        <v>25.06</v>
      </c>
      <c r="N88" s="28">
        <v>21.76</v>
      </c>
      <c r="O88" s="49">
        <f t="shared" si="73"/>
        <v>0.151654411764706</v>
      </c>
      <c r="P88" s="31">
        <f t="shared" si="74"/>
        <v>16.7499776</v>
      </c>
      <c r="Q88" s="31">
        <f t="shared" si="75"/>
        <v>25.024</v>
      </c>
      <c r="R88" s="31">
        <f t="shared" si="76"/>
        <v>25.024</v>
      </c>
      <c r="S88" s="31">
        <f t="shared" si="79"/>
        <v>4378.9844</v>
      </c>
      <c r="T88" s="44">
        <f t="shared" si="80"/>
        <v>8879.92616</v>
      </c>
      <c r="U88" s="74">
        <f t="shared" si="77"/>
        <v>8879.92616</v>
      </c>
      <c r="V88" s="73">
        <f t="shared" si="69"/>
        <v>4500.94176</v>
      </c>
      <c r="W88" s="74">
        <f t="shared" si="70"/>
        <v>0</v>
      </c>
      <c r="X88" s="76">
        <f t="shared" si="78"/>
        <v>0</v>
      </c>
      <c r="Y88" s="82"/>
    </row>
    <row r="89" ht="28.5" customHeight="1" spans="1:25">
      <c r="A89" s="27">
        <v>77</v>
      </c>
      <c r="B89" s="29" t="s">
        <v>260</v>
      </c>
      <c r="C89" s="29" t="s">
        <v>261</v>
      </c>
      <c r="D89" s="29" t="s">
        <v>262</v>
      </c>
      <c r="E89" s="28" t="s">
        <v>52</v>
      </c>
      <c r="F89" s="28">
        <v>1772.31</v>
      </c>
      <c r="G89" s="31">
        <v>2238.6938</v>
      </c>
      <c r="H89" s="32">
        <v>2238.6938</v>
      </c>
      <c r="I89" s="31">
        <f t="shared" si="71"/>
        <v>466.3838</v>
      </c>
      <c r="J89" s="31">
        <f t="shared" si="58"/>
        <v>466.3838</v>
      </c>
      <c r="K89" s="31">
        <f t="shared" si="59"/>
        <v>0</v>
      </c>
      <c r="L89" s="49">
        <f t="shared" si="72"/>
        <v>0.263150238953682</v>
      </c>
      <c r="M89" s="28">
        <v>24.44</v>
      </c>
      <c r="N89" s="28">
        <v>22.51</v>
      </c>
      <c r="O89" s="49">
        <f t="shared" si="73"/>
        <v>0.085739671257219</v>
      </c>
      <c r="P89" s="31">
        <f t="shared" si="74"/>
        <v>17.3272976</v>
      </c>
      <c r="Q89" s="31">
        <f t="shared" si="75"/>
        <v>25.8865</v>
      </c>
      <c r="R89" s="31">
        <f t="shared" si="76"/>
        <v>24.44</v>
      </c>
      <c r="S89" s="31">
        <f t="shared" si="79"/>
        <v>43315.2564</v>
      </c>
      <c r="T89" s="44">
        <f t="shared" si="80"/>
        <v>54713.676472</v>
      </c>
      <c r="U89" s="74">
        <f t="shared" si="77"/>
        <v>54713.676472</v>
      </c>
      <c r="V89" s="73">
        <f t="shared" si="69"/>
        <v>11398.420072</v>
      </c>
      <c r="W89" s="74">
        <f t="shared" si="70"/>
        <v>0</v>
      </c>
      <c r="X89" s="76">
        <f t="shared" si="78"/>
        <v>0</v>
      </c>
      <c r="Y89" s="82"/>
    </row>
    <row r="90" ht="54" customHeight="1" spans="1:25">
      <c r="A90" s="27">
        <v>78</v>
      </c>
      <c r="B90" s="29" t="s">
        <v>263</v>
      </c>
      <c r="C90" s="29" t="s">
        <v>264</v>
      </c>
      <c r="D90" s="29" t="s">
        <v>265</v>
      </c>
      <c r="E90" s="28" t="s">
        <v>52</v>
      </c>
      <c r="F90" s="28">
        <v>1772.31</v>
      </c>
      <c r="G90" s="31">
        <v>1774.6742</v>
      </c>
      <c r="H90" s="32">
        <v>1774.6742</v>
      </c>
      <c r="I90" s="31">
        <f t="shared" si="71"/>
        <v>2.36419999999998</v>
      </c>
      <c r="J90" s="31">
        <f t="shared" si="58"/>
        <v>2.36419999999998</v>
      </c>
      <c r="K90" s="31">
        <f t="shared" si="59"/>
        <v>0</v>
      </c>
      <c r="L90" s="49">
        <f t="shared" si="72"/>
        <v>0.00133396527695492</v>
      </c>
      <c r="M90" s="28">
        <v>240.86</v>
      </c>
      <c r="N90" s="28">
        <v>182.42</v>
      </c>
      <c r="O90" s="49">
        <f t="shared" si="73"/>
        <v>0.32035960969192</v>
      </c>
      <c r="P90" s="31">
        <f t="shared" si="74"/>
        <v>140.4196192</v>
      </c>
      <c r="Q90" s="31">
        <f t="shared" si="75"/>
        <v>209.783</v>
      </c>
      <c r="R90" s="31">
        <f t="shared" si="76"/>
        <v>209.783</v>
      </c>
      <c r="S90" s="31">
        <f t="shared" si="79"/>
        <v>426878.5866</v>
      </c>
      <c r="T90" s="44">
        <f t="shared" si="80"/>
        <v>427374.5555686</v>
      </c>
      <c r="U90" s="74">
        <f t="shared" si="77"/>
        <v>427374.5555686</v>
      </c>
      <c r="V90" s="73">
        <f t="shared" si="69"/>
        <v>495.968968600035</v>
      </c>
      <c r="W90" s="74">
        <f t="shared" si="70"/>
        <v>0</v>
      </c>
      <c r="X90" s="76">
        <f t="shared" si="78"/>
        <v>0</v>
      </c>
      <c r="Y90" s="82"/>
    </row>
    <row r="91" s="4" customFormat="1" ht="71" customHeight="1" spans="1:25">
      <c r="A91" s="89">
        <v>79</v>
      </c>
      <c r="B91" s="90" t="s">
        <v>266</v>
      </c>
      <c r="C91" s="90" t="s">
        <v>267</v>
      </c>
      <c r="D91" s="90" t="s">
        <v>268</v>
      </c>
      <c r="E91" s="91" t="s">
        <v>52</v>
      </c>
      <c r="F91" s="91">
        <v>657.43</v>
      </c>
      <c r="G91" s="92">
        <v>657.43</v>
      </c>
      <c r="H91" s="32">
        <v>657.43</v>
      </c>
      <c r="I91" s="92">
        <f t="shared" si="71"/>
        <v>0</v>
      </c>
      <c r="J91" s="92">
        <f t="shared" si="58"/>
        <v>0</v>
      </c>
      <c r="K91" s="92">
        <f t="shared" si="59"/>
        <v>0</v>
      </c>
      <c r="L91" s="93">
        <f t="shared" si="72"/>
        <v>0</v>
      </c>
      <c r="M91" s="91">
        <v>63.95</v>
      </c>
      <c r="N91" s="91">
        <v>70.44</v>
      </c>
      <c r="O91" s="93">
        <f t="shared" si="73"/>
        <v>-0.0921351504826802</v>
      </c>
      <c r="P91" s="92">
        <f t="shared" si="74"/>
        <v>54.2218944</v>
      </c>
      <c r="Q91" s="92">
        <f t="shared" si="75"/>
        <v>81.006</v>
      </c>
      <c r="R91" s="92">
        <f t="shared" si="76"/>
        <v>63.95</v>
      </c>
      <c r="S91" s="92">
        <f t="shared" si="79"/>
        <v>42042.6485</v>
      </c>
      <c r="T91" s="94">
        <f t="shared" si="80"/>
        <v>42042.6485</v>
      </c>
      <c r="U91" s="74">
        <f t="shared" si="77"/>
        <v>42042.6485</v>
      </c>
      <c r="V91" s="73">
        <f t="shared" si="69"/>
        <v>0</v>
      </c>
      <c r="W91" s="74">
        <f t="shared" si="70"/>
        <v>0</v>
      </c>
      <c r="X91" s="76">
        <f t="shared" si="78"/>
        <v>0</v>
      </c>
      <c r="Y91" s="97"/>
    </row>
    <row r="92" ht="94" customHeight="1" spans="1:25">
      <c r="A92" s="27">
        <v>80</v>
      </c>
      <c r="B92" s="29" t="s">
        <v>269</v>
      </c>
      <c r="C92" s="29" t="s">
        <v>270</v>
      </c>
      <c r="D92" s="29" t="s">
        <v>271</v>
      </c>
      <c r="E92" s="28" t="s">
        <v>52</v>
      </c>
      <c r="F92" s="28">
        <v>493.43</v>
      </c>
      <c r="G92" s="31">
        <v>0</v>
      </c>
      <c r="H92" s="32">
        <v>0</v>
      </c>
      <c r="I92" s="31">
        <f t="shared" si="71"/>
        <v>-493.43</v>
      </c>
      <c r="J92" s="31">
        <f t="shared" si="58"/>
        <v>-493.43</v>
      </c>
      <c r="K92" s="31">
        <f t="shared" si="59"/>
        <v>0</v>
      </c>
      <c r="L92" s="49">
        <f t="shared" si="72"/>
        <v>-1</v>
      </c>
      <c r="M92" s="28">
        <v>42.91</v>
      </c>
      <c r="N92" s="28">
        <v>46.07</v>
      </c>
      <c r="O92" s="49">
        <f t="shared" si="73"/>
        <v>-0.0685912741480357</v>
      </c>
      <c r="P92" s="31">
        <f t="shared" si="74"/>
        <v>35.4628432</v>
      </c>
      <c r="Q92" s="31">
        <f t="shared" si="75"/>
        <v>52.9805</v>
      </c>
      <c r="R92" s="31">
        <f t="shared" si="76"/>
        <v>42.91</v>
      </c>
      <c r="S92" s="31">
        <f t="shared" si="79"/>
        <v>21173.0813</v>
      </c>
      <c r="T92" s="44">
        <f t="shared" si="80"/>
        <v>0</v>
      </c>
      <c r="U92" s="74">
        <f t="shared" si="77"/>
        <v>0</v>
      </c>
      <c r="V92" s="73">
        <f t="shared" si="69"/>
        <v>-21173.0813</v>
      </c>
      <c r="W92" s="74">
        <f t="shared" si="70"/>
        <v>0</v>
      </c>
      <c r="X92" s="76">
        <f t="shared" si="78"/>
        <v>0</v>
      </c>
      <c r="Y92" s="88"/>
    </row>
    <row r="93" ht="107" customHeight="1" spans="1:25">
      <c r="A93" s="27">
        <v>81</v>
      </c>
      <c r="B93" s="29" t="s">
        <v>272</v>
      </c>
      <c r="C93" s="29" t="s">
        <v>273</v>
      </c>
      <c r="D93" s="29" t="s">
        <v>274</v>
      </c>
      <c r="E93" s="28" t="s">
        <v>52</v>
      </c>
      <c r="F93" s="28">
        <v>1721.84</v>
      </c>
      <c r="G93" s="31">
        <v>0</v>
      </c>
      <c r="H93" s="32">
        <v>0</v>
      </c>
      <c r="I93" s="31">
        <f t="shared" si="71"/>
        <v>-1721.84</v>
      </c>
      <c r="J93" s="31">
        <f t="shared" si="58"/>
        <v>-1721.84</v>
      </c>
      <c r="K93" s="31">
        <f t="shared" si="59"/>
        <v>0</v>
      </c>
      <c r="L93" s="49">
        <f t="shared" si="72"/>
        <v>-1</v>
      </c>
      <c r="M93" s="28">
        <v>76.48</v>
      </c>
      <c r="N93" s="28">
        <v>80.23</v>
      </c>
      <c r="O93" s="49">
        <f t="shared" si="73"/>
        <v>-0.0467406207154431</v>
      </c>
      <c r="P93" s="31">
        <f t="shared" si="74"/>
        <v>61.7578448</v>
      </c>
      <c r="Q93" s="31">
        <f t="shared" si="75"/>
        <v>92.2645</v>
      </c>
      <c r="R93" s="31">
        <f t="shared" si="76"/>
        <v>76.48</v>
      </c>
      <c r="S93" s="31">
        <f t="shared" si="79"/>
        <v>131686.3232</v>
      </c>
      <c r="T93" s="44">
        <f t="shared" si="80"/>
        <v>0</v>
      </c>
      <c r="U93" s="74">
        <f t="shared" si="77"/>
        <v>0</v>
      </c>
      <c r="V93" s="73">
        <f t="shared" si="69"/>
        <v>-131686.3232</v>
      </c>
      <c r="W93" s="74">
        <f t="shared" si="70"/>
        <v>0</v>
      </c>
      <c r="X93" s="76">
        <f t="shared" si="78"/>
        <v>0</v>
      </c>
      <c r="Y93" s="85"/>
    </row>
    <row r="94" ht="28.5" customHeight="1" spans="1:25">
      <c r="A94" s="27"/>
      <c r="B94" s="29"/>
      <c r="C94" s="29" t="s">
        <v>275</v>
      </c>
      <c r="D94" s="29"/>
      <c r="E94" s="29"/>
      <c r="F94" s="28"/>
      <c r="G94" s="31"/>
      <c r="H94" s="30"/>
      <c r="I94" s="31"/>
      <c r="J94" s="31"/>
      <c r="K94" s="31"/>
      <c r="L94" s="49"/>
      <c r="M94" s="28"/>
      <c r="N94" s="28"/>
      <c r="O94" s="28"/>
      <c r="P94" s="28"/>
      <c r="Q94" s="28"/>
      <c r="R94" s="31"/>
      <c r="S94" s="73">
        <f>+SUM(S95:S100)</f>
        <v>131717.9</v>
      </c>
      <c r="T94" s="73">
        <f>+SUM(T95:T100)</f>
        <v>123492.771160043</v>
      </c>
      <c r="U94" s="74">
        <f>SUM(U95:U100)</f>
        <v>116780.135272523</v>
      </c>
      <c r="V94" s="73">
        <f t="shared" si="69"/>
        <v>-14937.764727477</v>
      </c>
      <c r="W94" s="74">
        <f t="shared" si="70"/>
        <v>-6712.63588752001</v>
      </c>
      <c r="X94" s="75"/>
      <c r="Y94" s="82"/>
    </row>
    <row r="95" ht="28.5" customHeight="1" spans="1:25">
      <c r="A95" s="27">
        <v>82</v>
      </c>
      <c r="B95" s="29" t="s">
        <v>276</v>
      </c>
      <c r="C95" s="29" t="s">
        <v>277</v>
      </c>
      <c r="D95" s="29" t="s">
        <v>278</v>
      </c>
      <c r="E95" s="28" t="s">
        <v>52</v>
      </c>
      <c r="F95" s="28">
        <v>285.67</v>
      </c>
      <c r="G95" s="31">
        <v>285.67</v>
      </c>
      <c r="H95" s="32">
        <v>124.33</v>
      </c>
      <c r="I95" s="31">
        <f t="shared" ref="I95:I100" si="81">G95-F95</f>
        <v>0</v>
      </c>
      <c r="J95" s="31">
        <f t="shared" si="58"/>
        <v>-161.34</v>
      </c>
      <c r="K95" s="31">
        <f t="shared" si="59"/>
        <v>-161.34</v>
      </c>
      <c r="L95" s="49">
        <f t="shared" ref="L95:L100" si="82">I95/F95</f>
        <v>0</v>
      </c>
      <c r="M95" s="28">
        <v>30.02</v>
      </c>
      <c r="N95" s="28">
        <v>54.05</v>
      </c>
      <c r="O95" s="49">
        <f t="shared" ref="O95:O100" si="83">(M95-N95)/N95</f>
        <v>-0.444588344125809</v>
      </c>
      <c r="P95" s="31">
        <f t="shared" ref="P95:P100" si="84">N95*0.9056*0.85</f>
        <v>41.605528</v>
      </c>
      <c r="Q95" s="31">
        <f t="shared" ref="Q95:Q100" si="85">N95*1.15</f>
        <v>62.1575</v>
      </c>
      <c r="R95" s="31">
        <f t="shared" ref="R95:R100" si="86">IF(M95&lt;N95*0.9056*0.85,N95*0.9056*0.85,IF(M95&gt;N95*1.15,N95*1.15,M95))</f>
        <v>41.605528</v>
      </c>
      <c r="S95" s="31">
        <f>+F95*M95</f>
        <v>8575.8134</v>
      </c>
      <c r="T95" s="44">
        <f>S95+R95*I95</f>
        <v>8575.8134</v>
      </c>
      <c r="U95" s="74">
        <f t="shared" ref="U95:U100" si="87">S95+R95*J95</f>
        <v>1863.17751248</v>
      </c>
      <c r="V95" s="73">
        <f t="shared" si="69"/>
        <v>-6712.63588752</v>
      </c>
      <c r="W95" s="74">
        <f t="shared" si="70"/>
        <v>-6712.63588752</v>
      </c>
      <c r="X95" s="76">
        <f t="shared" ref="X95:X100" si="88">+U95-T95</f>
        <v>-6712.63588752</v>
      </c>
      <c r="Y95" s="82"/>
    </row>
    <row r="96" ht="41.25" customHeight="1" spans="1:25">
      <c r="A96" s="27">
        <v>83</v>
      </c>
      <c r="B96" s="29" t="s">
        <v>279</v>
      </c>
      <c r="C96" s="29" t="s">
        <v>280</v>
      </c>
      <c r="D96" s="29" t="s">
        <v>281</v>
      </c>
      <c r="E96" s="28" t="s">
        <v>52</v>
      </c>
      <c r="F96" s="28">
        <v>174.74</v>
      </c>
      <c r="G96" s="31">
        <v>174.74</v>
      </c>
      <c r="H96" s="32">
        <v>174.74</v>
      </c>
      <c r="I96" s="31">
        <f t="shared" si="81"/>
        <v>0</v>
      </c>
      <c r="J96" s="31">
        <f t="shared" si="58"/>
        <v>0</v>
      </c>
      <c r="K96" s="31">
        <f t="shared" si="59"/>
        <v>0</v>
      </c>
      <c r="L96" s="49">
        <f t="shared" si="82"/>
        <v>0</v>
      </c>
      <c r="M96" s="28">
        <v>14.58</v>
      </c>
      <c r="N96" s="28">
        <v>23.14</v>
      </c>
      <c r="O96" s="49">
        <f t="shared" si="83"/>
        <v>-0.369922212618842</v>
      </c>
      <c r="P96" s="31">
        <f t="shared" si="84"/>
        <v>17.8122464</v>
      </c>
      <c r="Q96" s="31">
        <f t="shared" si="85"/>
        <v>26.611</v>
      </c>
      <c r="R96" s="31">
        <f t="shared" si="86"/>
        <v>17.8122464</v>
      </c>
      <c r="S96" s="31">
        <f>+F96*M96</f>
        <v>2547.7092</v>
      </c>
      <c r="T96" s="44">
        <f>S96+R96*I96</f>
        <v>2547.7092</v>
      </c>
      <c r="U96" s="74">
        <f t="shared" si="87"/>
        <v>2547.7092</v>
      </c>
      <c r="V96" s="73">
        <f t="shared" si="69"/>
        <v>0</v>
      </c>
      <c r="W96" s="74">
        <f t="shared" si="70"/>
        <v>0</v>
      </c>
      <c r="X96" s="76">
        <f t="shared" si="88"/>
        <v>0</v>
      </c>
      <c r="Y96" s="82"/>
    </row>
    <row r="97" ht="28.5" customHeight="1" spans="1:25">
      <c r="A97" s="27">
        <v>84</v>
      </c>
      <c r="B97" s="29" t="s">
        <v>282</v>
      </c>
      <c r="C97" s="29" t="s">
        <v>283</v>
      </c>
      <c r="D97" s="29" t="s">
        <v>284</v>
      </c>
      <c r="E97" s="28" t="s">
        <v>52</v>
      </c>
      <c r="F97" s="28">
        <v>174.74</v>
      </c>
      <c r="G97" s="31">
        <v>174.74</v>
      </c>
      <c r="H97" s="32">
        <v>174.74</v>
      </c>
      <c r="I97" s="31">
        <f t="shared" si="81"/>
        <v>0</v>
      </c>
      <c r="J97" s="31">
        <f t="shared" si="58"/>
        <v>0</v>
      </c>
      <c r="K97" s="31">
        <f t="shared" si="59"/>
        <v>0</v>
      </c>
      <c r="L97" s="49">
        <f t="shared" si="82"/>
        <v>0</v>
      </c>
      <c r="M97" s="28">
        <v>29</v>
      </c>
      <c r="N97" s="28">
        <v>29.53</v>
      </c>
      <c r="O97" s="49">
        <f t="shared" si="83"/>
        <v>-0.0179478496444294</v>
      </c>
      <c r="P97" s="31">
        <f t="shared" si="84"/>
        <v>22.7310128</v>
      </c>
      <c r="Q97" s="31">
        <f t="shared" si="85"/>
        <v>33.9595</v>
      </c>
      <c r="R97" s="31">
        <f t="shared" si="86"/>
        <v>29</v>
      </c>
      <c r="S97" s="31">
        <f t="shared" ref="S97:S102" si="89">+F97*M97</f>
        <v>5067.46</v>
      </c>
      <c r="T97" s="44">
        <f t="shared" ref="T97:T102" si="90">S97+R97*I97</f>
        <v>5067.46</v>
      </c>
      <c r="U97" s="74">
        <f t="shared" si="87"/>
        <v>5067.46</v>
      </c>
      <c r="V97" s="73">
        <f t="shared" si="69"/>
        <v>0</v>
      </c>
      <c r="W97" s="74">
        <f t="shared" si="70"/>
        <v>0</v>
      </c>
      <c r="X97" s="76">
        <f t="shared" si="88"/>
        <v>0</v>
      </c>
      <c r="Y97" s="82"/>
    </row>
    <row r="98" s="1" customFormat="1" ht="41.25" customHeight="1" spans="1:25">
      <c r="A98" s="36">
        <v>85</v>
      </c>
      <c r="B98" s="37" t="s">
        <v>285</v>
      </c>
      <c r="C98" s="37" t="s">
        <v>286</v>
      </c>
      <c r="D98" s="37" t="s">
        <v>287</v>
      </c>
      <c r="E98" s="38" t="s">
        <v>52</v>
      </c>
      <c r="F98" s="38">
        <v>2232.72</v>
      </c>
      <c r="G98" s="39">
        <v>2927.7425</v>
      </c>
      <c r="H98" s="39">
        <f>2927.7425</f>
        <v>2927.7425</v>
      </c>
      <c r="I98" s="39">
        <f t="shared" si="81"/>
        <v>695.0225</v>
      </c>
      <c r="J98" s="39">
        <f t="shared" si="58"/>
        <v>695.0225</v>
      </c>
      <c r="K98" s="39">
        <f t="shared" si="59"/>
        <v>0</v>
      </c>
      <c r="L98" s="51">
        <f t="shared" si="82"/>
        <v>0.311289592962844</v>
      </c>
      <c r="M98" s="38">
        <v>4.06</v>
      </c>
      <c r="N98" s="38">
        <v>7.24</v>
      </c>
      <c r="O98" s="51">
        <f t="shared" si="83"/>
        <v>-0.439226519337017</v>
      </c>
      <c r="P98" s="39">
        <f t="shared" si="84"/>
        <v>5.5730624</v>
      </c>
      <c r="Q98" s="39">
        <f t="shared" si="85"/>
        <v>8.326</v>
      </c>
      <c r="R98" s="39">
        <f t="shared" si="86"/>
        <v>5.5730624</v>
      </c>
      <c r="S98" s="39">
        <f t="shared" si="89"/>
        <v>9064.8432</v>
      </c>
      <c r="T98" s="77">
        <f t="shared" si="90"/>
        <v>12938.246961904</v>
      </c>
      <c r="U98" s="95">
        <f t="shared" si="87"/>
        <v>12938.246961904</v>
      </c>
      <c r="V98" s="73">
        <f t="shared" si="69"/>
        <v>3873.403761904</v>
      </c>
      <c r="W98" s="74">
        <f t="shared" si="70"/>
        <v>0</v>
      </c>
      <c r="X98" s="96">
        <f t="shared" si="88"/>
        <v>0</v>
      </c>
      <c r="Y98" s="86"/>
    </row>
    <row r="99" ht="28.5" customHeight="1" spans="1:25">
      <c r="A99" s="27">
        <v>86</v>
      </c>
      <c r="B99" s="29" t="s">
        <v>288</v>
      </c>
      <c r="C99" s="29" t="s">
        <v>289</v>
      </c>
      <c r="D99" s="29" t="s">
        <v>290</v>
      </c>
      <c r="E99" s="28" t="s">
        <v>52</v>
      </c>
      <c r="F99" s="28">
        <v>1772.31</v>
      </c>
      <c r="G99" s="31">
        <v>1774.6742</v>
      </c>
      <c r="H99" s="32">
        <v>1774.6742</v>
      </c>
      <c r="I99" s="31">
        <f t="shared" si="81"/>
        <v>2.36419999999998</v>
      </c>
      <c r="J99" s="31">
        <f t="shared" si="58"/>
        <v>2.36419999999998</v>
      </c>
      <c r="K99" s="31">
        <f t="shared" si="59"/>
        <v>0</v>
      </c>
      <c r="L99" s="49">
        <f t="shared" si="82"/>
        <v>0.00133396527695492</v>
      </c>
      <c r="M99" s="28">
        <v>30.02</v>
      </c>
      <c r="N99" s="28">
        <v>49.93</v>
      </c>
      <c r="O99" s="49">
        <f t="shared" si="83"/>
        <v>-0.398758261566193</v>
      </c>
      <c r="P99" s="31">
        <f t="shared" si="84"/>
        <v>38.4341168</v>
      </c>
      <c r="Q99" s="31">
        <f t="shared" si="85"/>
        <v>57.4195</v>
      </c>
      <c r="R99" s="31">
        <f t="shared" si="86"/>
        <v>38.4341168</v>
      </c>
      <c r="S99" s="31">
        <f t="shared" si="89"/>
        <v>53204.7462</v>
      </c>
      <c r="T99" s="44">
        <f t="shared" si="90"/>
        <v>53295.6121389386</v>
      </c>
      <c r="U99" s="74">
        <f t="shared" si="87"/>
        <v>53295.6121389386</v>
      </c>
      <c r="V99" s="73">
        <f t="shared" si="69"/>
        <v>90.8659389386012</v>
      </c>
      <c r="W99" s="74">
        <f t="shared" si="70"/>
        <v>0</v>
      </c>
      <c r="X99" s="76">
        <f t="shared" si="88"/>
        <v>0</v>
      </c>
      <c r="Y99" s="82"/>
    </row>
    <row r="100" ht="66.75" customHeight="1" spans="1:25">
      <c r="A100" s="27">
        <v>87</v>
      </c>
      <c r="B100" s="29" t="s">
        <v>291</v>
      </c>
      <c r="C100" s="29" t="s">
        <v>292</v>
      </c>
      <c r="D100" s="29" t="s">
        <v>293</v>
      </c>
      <c r="E100" s="28" t="s">
        <v>52</v>
      </c>
      <c r="F100" s="28">
        <v>625.6</v>
      </c>
      <c r="G100" s="31">
        <v>463.1808</v>
      </c>
      <c r="H100" s="32">
        <v>463.1808</v>
      </c>
      <c r="I100" s="31">
        <f t="shared" si="81"/>
        <v>-162.4192</v>
      </c>
      <c r="J100" s="31">
        <f t="shared" si="58"/>
        <v>-162.4192</v>
      </c>
      <c r="K100" s="31">
        <f t="shared" si="59"/>
        <v>0</v>
      </c>
      <c r="L100" s="49">
        <f t="shared" si="82"/>
        <v>-0.259621483375959</v>
      </c>
      <c r="M100" s="28">
        <v>85.13</v>
      </c>
      <c r="N100" s="28">
        <v>65.26</v>
      </c>
      <c r="O100" s="49">
        <f t="shared" si="83"/>
        <v>0.304474410052099</v>
      </c>
      <c r="P100" s="31">
        <f t="shared" si="84"/>
        <v>50.2345376</v>
      </c>
      <c r="Q100" s="31">
        <f t="shared" si="85"/>
        <v>75.049</v>
      </c>
      <c r="R100" s="31">
        <f t="shared" si="86"/>
        <v>75.049</v>
      </c>
      <c r="S100" s="31">
        <f t="shared" si="89"/>
        <v>53257.328</v>
      </c>
      <c r="T100" s="44">
        <f t="shared" si="90"/>
        <v>41067.9294592</v>
      </c>
      <c r="U100" s="74">
        <f t="shared" si="87"/>
        <v>41067.9294592</v>
      </c>
      <c r="V100" s="73">
        <f t="shared" si="69"/>
        <v>-12189.3985408</v>
      </c>
      <c r="W100" s="74">
        <f t="shared" si="70"/>
        <v>0</v>
      </c>
      <c r="X100" s="76">
        <f t="shared" si="88"/>
        <v>0</v>
      </c>
      <c r="Y100" s="82"/>
    </row>
    <row r="101" ht="28.5" customHeight="1" spans="1:25">
      <c r="A101" s="27"/>
      <c r="B101" s="29"/>
      <c r="C101" s="29" t="s">
        <v>294</v>
      </c>
      <c r="D101" s="29"/>
      <c r="E101" s="29"/>
      <c r="F101" s="28"/>
      <c r="G101" s="31"/>
      <c r="H101" s="30"/>
      <c r="I101" s="31"/>
      <c r="J101" s="31"/>
      <c r="K101" s="31"/>
      <c r="L101" s="49"/>
      <c r="M101" s="28"/>
      <c r="N101" s="28"/>
      <c r="O101" s="28"/>
      <c r="P101" s="28"/>
      <c r="Q101" s="28"/>
      <c r="R101" s="31"/>
      <c r="S101" s="73">
        <f>+SUM(S102:S116)</f>
        <v>1453710.514993</v>
      </c>
      <c r="T101" s="73">
        <f>+SUM(T102:T116)</f>
        <v>1373706.08809869</v>
      </c>
      <c r="U101" s="74">
        <f>SUM(U102:U116)</f>
        <v>1373706.08809869</v>
      </c>
      <c r="V101" s="73">
        <f t="shared" si="69"/>
        <v>-80004.4268943102</v>
      </c>
      <c r="W101" s="74">
        <f t="shared" si="70"/>
        <v>0</v>
      </c>
      <c r="X101" s="75">
        <f>U101-T101</f>
        <v>3.25962901115417e-9</v>
      </c>
      <c r="Y101" s="82"/>
    </row>
    <row r="102" ht="41.25" customHeight="1" spans="1:25">
      <c r="A102" s="27">
        <v>88</v>
      </c>
      <c r="B102" s="29" t="s">
        <v>295</v>
      </c>
      <c r="C102" s="29" t="s">
        <v>296</v>
      </c>
      <c r="D102" s="29" t="s">
        <v>297</v>
      </c>
      <c r="E102" s="28" t="s">
        <v>52</v>
      </c>
      <c r="F102" s="28">
        <v>70.27</v>
      </c>
      <c r="G102" s="31">
        <v>124.4355</v>
      </c>
      <c r="H102" s="32">
        <v>124.4355</v>
      </c>
      <c r="I102" s="31">
        <f t="shared" ref="I102:I116" si="91">G102-F102</f>
        <v>54.1655</v>
      </c>
      <c r="J102" s="31">
        <f t="shared" ref="J102:J116" si="92">H102-F102</f>
        <v>54.1655</v>
      </c>
      <c r="K102" s="31">
        <f t="shared" ref="K102:K116" si="93">+H102-G102</f>
        <v>0</v>
      </c>
      <c r="L102" s="49">
        <f t="shared" ref="L102:L116" si="94">I102/F102</f>
        <v>0.770819695460367</v>
      </c>
      <c r="M102" s="28">
        <v>29.28</v>
      </c>
      <c r="N102" s="28">
        <v>24.37</v>
      </c>
      <c r="O102" s="49">
        <f t="shared" ref="O102:O116" si="95">(M102-N102)/N102</f>
        <v>0.201477226097661</v>
      </c>
      <c r="P102" s="31">
        <f t="shared" ref="P102:P116" si="96">N102*0.9056*0.85</f>
        <v>18.7590512</v>
      </c>
      <c r="Q102" s="31">
        <f t="shared" ref="Q102:Q116" si="97">N102*1.15</f>
        <v>28.0255</v>
      </c>
      <c r="R102" s="31">
        <f t="shared" ref="R102:R116" si="98">IF(M102&lt;N102*0.9056*0.85,N102*0.9056*0.85,IF(M102&gt;N102*1.15,N102*1.15,M102))</f>
        <v>28.0255</v>
      </c>
      <c r="S102" s="31">
        <f t="shared" si="89"/>
        <v>2057.5056</v>
      </c>
      <c r="T102" s="44">
        <f t="shared" si="90"/>
        <v>3575.52082025</v>
      </c>
      <c r="U102" s="74">
        <f t="shared" ref="U102:U116" si="99">S102+R102*J102</f>
        <v>3575.52082025</v>
      </c>
      <c r="V102" s="73">
        <f t="shared" si="69"/>
        <v>1518.01522025</v>
      </c>
      <c r="W102" s="74">
        <f t="shared" si="70"/>
        <v>0</v>
      </c>
      <c r="X102" s="76">
        <f t="shared" ref="X102:X116" si="100">+U102-T102</f>
        <v>0</v>
      </c>
      <c r="Y102" s="82"/>
    </row>
    <row r="103" ht="54" customHeight="1" spans="1:25">
      <c r="A103" s="27">
        <v>89</v>
      </c>
      <c r="B103" s="29" t="s">
        <v>298</v>
      </c>
      <c r="C103" s="29" t="s">
        <v>299</v>
      </c>
      <c r="D103" s="29" t="s">
        <v>300</v>
      </c>
      <c r="E103" s="28" t="s">
        <v>52</v>
      </c>
      <c r="F103" s="28">
        <v>522.17</v>
      </c>
      <c r="G103" s="31">
        <v>520.8234</v>
      </c>
      <c r="H103" s="32">
        <v>520.8234</v>
      </c>
      <c r="I103" s="31">
        <f t="shared" si="91"/>
        <v>-1.34659999999997</v>
      </c>
      <c r="J103" s="31">
        <f t="shared" si="92"/>
        <v>-1.34659999999997</v>
      </c>
      <c r="K103" s="31">
        <f t="shared" si="93"/>
        <v>0</v>
      </c>
      <c r="L103" s="49">
        <f t="shared" si="94"/>
        <v>-0.00257885363004379</v>
      </c>
      <c r="M103" s="28">
        <v>112.13</v>
      </c>
      <c r="N103" s="28">
        <v>74.24</v>
      </c>
      <c r="O103" s="49">
        <f t="shared" si="95"/>
        <v>0.510371767241379</v>
      </c>
      <c r="P103" s="31">
        <f t="shared" si="96"/>
        <v>57.1469824</v>
      </c>
      <c r="Q103" s="31">
        <f t="shared" si="97"/>
        <v>85.376</v>
      </c>
      <c r="R103" s="31">
        <f t="shared" si="98"/>
        <v>85.376</v>
      </c>
      <c r="S103" s="31">
        <f t="shared" ref="S103:S116" si="101">+F103*M103</f>
        <v>58550.9221</v>
      </c>
      <c r="T103" s="44">
        <f t="shared" ref="T103:T116" si="102">S103+R103*I103</f>
        <v>58435.9547784</v>
      </c>
      <c r="U103" s="74">
        <f t="shared" si="99"/>
        <v>58435.9547784</v>
      </c>
      <c r="V103" s="73">
        <f t="shared" si="69"/>
        <v>-114.967321600001</v>
      </c>
      <c r="W103" s="74">
        <f t="shared" si="70"/>
        <v>0</v>
      </c>
      <c r="X103" s="76">
        <f t="shared" si="100"/>
        <v>0</v>
      </c>
      <c r="Y103" s="82"/>
    </row>
    <row r="104" ht="66.75" customHeight="1" spans="1:25">
      <c r="A104" s="27">
        <v>90</v>
      </c>
      <c r="B104" s="29" t="s">
        <v>301</v>
      </c>
      <c r="C104" s="29" t="s">
        <v>302</v>
      </c>
      <c r="D104" s="29" t="s">
        <v>303</v>
      </c>
      <c r="E104" s="28" t="s">
        <v>52</v>
      </c>
      <c r="F104" s="28">
        <v>149.22</v>
      </c>
      <c r="G104" s="31">
        <v>148.0903</v>
      </c>
      <c r="H104" s="32">
        <v>148.0903</v>
      </c>
      <c r="I104" s="31">
        <f t="shared" si="91"/>
        <v>-1.12969999999999</v>
      </c>
      <c r="J104" s="31">
        <f t="shared" si="92"/>
        <v>-1.12969999999999</v>
      </c>
      <c r="K104" s="31">
        <f t="shared" si="93"/>
        <v>0</v>
      </c>
      <c r="L104" s="49">
        <f t="shared" si="94"/>
        <v>-0.00757070097842103</v>
      </c>
      <c r="M104" s="28">
        <v>142.46</v>
      </c>
      <c r="N104" s="28">
        <v>223.87</v>
      </c>
      <c r="O104" s="49">
        <f t="shared" si="95"/>
        <v>-0.363648546031179</v>
      </c>
      <c r="P104" s="31">
        <f t="shared" si="96"/>
        <v>172.3261712</v>
      </c>
      <c r="Q104" s="31">
        <f t="shared" si="97"/>
        <v>257.4505</v>
      </c>
      <c r="R104" s="31">
        <f t="shared" si="98"/>
        <v>172.3261712</v>
      </c>
      <c r="S104" s="31">
        <f t="shared" si="101"/>
        <v>21257.8812</v>
      </c>
      <c r="T104" s="44">
        <f t="shared" si="102"/>
        <v>21063.2043243954</v>
      </c>
      <c r="U104" s="74">
        <f t="shared" si="99"/>
        <v>21063.2043243954</v>
      </c>
      <c r="V104" s="73">
        <f t="shared" si="69"/>
        <v>-194.6768756046</v>
      </c>
      <c r="W104" s="74">
        <f t="shared" si="70"/>
        <v>0</v>
      </c>
      <c r="X104" s="76">
        <f t="shared" si="100"/>
        <v>-3.63797880709171e-11</v>
      </c>
      <c r="Y104" s="82"/>
    </row>
    <row r="105" ht="79.5" customHeight="1" spans="1:25">
      <c r="A105" s="27">
        <v>91</v>
      </c>
      <c r="B105" s="29" t="s">
        <v>304</v>
      </c>
      <c r="C105" s="29" t="s">
        <v>305</v>
      </c>
      <c r="D105" s="29" t="s">
        <v>306</v>
      </c>
      <c r="E105" s="28" t="s">
        <v>52</v>
      </c>
      <c r="F105" s="28">
        <v>8.99</v>
      </c>
      <c r="G105" s="31">
        <v>8.8587</v>
      </c>
      <c r="H105" s="32">
        <v>8.8587</v>
      </c>
      <c r="I105" s="31">
        <f t="shared" si="91"/>
        <v>-0.1313</v>
      </c>
      <c r="J105" s="31">
        <f t="shared" si="92"/>
        <v>-0.1313</v>
      </c>
      <c r="K105" s="31">
        <f t="shared" si="93"/>
        <v>0</v>
      </c>
      <c r="L105" s="49">
        <f t="shared" si="94"/>
        <v>-0.0146051167964404</v>
      </c>
      <c r="M105" s="28">
        <v>275.97</v>
      </c>
      <c r="N105" s="28">
        <v>451.48</v>
      </c>
      <c r="O105" s="49">
        <f t="shared" si="95"/>
        <v>-0.388743687428015</v>
      </c>
      <c r="P105" s="31">
        <f t="shared" si="96"/>
        <v>347.5312448</v>
      </c>
      <c r="Q105" s="31">
        <f t="shared" si="97"/>
        <v>519.202</v>
      </c>
      <c r="R105" s="31">
        <f t="shared" si="98"/>
        <v>347.5312448</v>
      </c>
      <c r="S105" s="31">
        <f t="shared" si="101"/>
        <v>2480.9703</v>
      </c>
      <c r="T105" s="44">
        <f t="shared" si="102"/>
        <v>2435.33944755776</v>
      </c>
      <c r="U105" s="74">
        <f t="shared" si="99"/>
        <v>2435.33944755776</v>
      </c>
      <c r="V105" s="73">
        <f t="shared" si="69"/>
        <v>-45.6308524422398</v>
      </c>
      <c r="W105" s="74">
        <f t="shared" si="70"/>
        <v>0</v>
      </c>
      <c r="X105" s="76">
        <f t="shared" si="100"/>
        <v>0</v>
      </c>
      <c r="Y105" s="82"/>
    </row>
    <row r="106" ht="41.25" customHeight="1" spans="1:25">
      <c r="A106" s="27">
        <v>92</v>
      </c>
      <c r="B106" s="29" t="s">
        <v>307</v>
      </c>
      <c r="C106" s="29" t="s">
        <v>308</v>
      </c>
      <c r="D106" s="29" t="s">
        <v>309</v>
      </c>
      <c r="E106" s="28" t="s">
        <v>52</v>
      </c>
      <c r="F106" s="28">
        <v>111.87</v>
      </c>
      <c r="G106" s="31">
        <v>96.7199</v>
      </c>
      <c r="H106" s="32">
        <v>96.7199</v>
      </c>
      <c r="I106" s="31">
        <f t="shared" si="91"/>
        <v>-15.1501</v>
      </c>
      <c r="J106" s="31">
        <f t="shared" si="92"/>
        <v>-15.1501</v>
      </c>
      <c r="K106" s="31">
        <f t="shared" si="93"/>
        <v>0</v>
      </c>
      <c r="L106" s="49">
        <f t="shared" si="94"/>
        <v>-0.135425940824171</v>
      </c>
      <c r="M106" s="28">
        <v>37.28</v>
      </c>
      <c r="N106" s="28">
        <v>45.52</v>
      </c>
      <c r="O106" s="49">
        <f t="shared" si="95"/>
        <v>-0.181019332161687</v>
      </c>
      <c r="P106" s="31">
        <f t="shared" si="96"/>
        <v>35.0394752</v>
      </c>
      <c r="Q106" s="31">
        <f t="shared" si="97"/>
        <v>52.348</v>
      </c>
      <c r="R106" s="31">
        <f t="shared" si="98"/>
        <v>37.28</v>
      </c>
      <c r="S106" s="31">
        <f t="shared" si="101"/>
        <v>4170.5136</v>
      </c>
      <c r="T106" s="44">
        <f t="shared" si="102"/>
        <v>3605.717872</v>
      </c>
      <c r="U106" s="74">
        <f t="shared" si="99"/>
        <v>3605.717872</v>
      </c>
      <c r="V106" s="73">
        <f t="shared" si="69"/>
        <v>-564.795728</v>
      </c>
      <c r="W106" s="74">
        <f t="shared" si="70"/>
        <v>0</v>
      </c>
      <c r="X106" s="76">
        <f t="shared" si="100"/>
        <v>0</v>
      </c>
      <c r="Y106" s="82"/>
    </row>
    <row r="107" ht="66.75" customHeight="1" spans="1:25">
      <c r="A107" s="27">
        <v>93</v>
      </c>
      <c r="B107" s="29" t="s">
        <v>310</v>
      </c>
      <c r="C107" s="29" t="s">
        <v>311</v>
      </c>
      <c r="D107" s="29" t="s">
        <v>312</v>
      </c>
      <c r="E107" s="28" t="s">
        <v>52</v>
      </c>
      <c r="F107" s="28">
        <v>28.42</v>
      </c>
      <c r="G107" s="31">
        <v>28.35</v>
      </c>
      <c r="H107" s="32">
        <v>28.35</v>
      </c>
      <c r="I107" s="31">
        <f t="shared" si="91"/>
        <v>-0.0700000000000003</v>
      </c>
      <c r="J107" s="31">
        <f t="shared" si="92"/>
        <v>-0.0700000000000003</v>
      </c>
      <c r="K107" s="31">
        <f t="shared" si="93"/>
        <v>0</v>
      </c>
      <c r="L107" s="49">
        <f t="shared" si="94"/>
        <v>-0.00246305418719213</v>
      </c>
      <c r="M107" s="28">
        <v>371.27</v>
      </c>
      <c r="N107" s="28">
        <v>486.78</v>
      </c>
      <c r="O107" s="49">
        <f t="shared" si="95"/>
        <v>-0.237294054809154</v>
      </c>
      <c r="P107" s="31">
        <f t="shared" si="96"/>
        <v>374.7037728</v>
      </c>
      <c r="Q107" s="31">
        <f t="shared" si="97"/>
        <v>559.797</v>
      </c>
      <c r="R107" s="31">
        <f t="shared" si="98"/>
        <v>374.7037728</v>
      </c>
      <c r="S107" s="31">
        <f t="shared" si="101"/>
        <v>10551.4934</v>
      </c>
      <c r="T107" s="44">
        <f t="shared" si="102"/>
        <v>10525.264135904</v>
      </c>
      <c r="U107" s="74">
        <f t="shared" si="99"/>
        <v>10525.264135904</v>
      </c>
      <c r="V107" s="73">
        <f t="shared" si="69"/>
        <v>-26.2292640959986</v>
      </c>
      <c r="W107" s="74">
        <f t="shared" si="70"/>
        <v>0</v>
      </c>
      <c r="X107" s="76">
        <f t="shared" si="100"/>
        <v>0</v>
      </c>
      <c r="Y107" s="82"/>
    </row>
    <row r="108" ht="66.75" customHeight="1" spans="1:25">
      <c r="A108" s="27">
        <v>94</v>
      </c>
      <c r="B108" s="29" t="s">
        <v>313</v>
      </c>
      <c r="C108" s="29" t="s">
        <v>305</v>
      </c>
      <c r="D108" s="29" t="s">
        <v>314</v>
      </c>
      <c r="E108" s="28" t="s">
        <v>52</v>
      </c>
      <c r="F108" s="28">
        <v>183.197</v>
      </c>
      <c r="G108" s="31">
        <v>182.499</v>
      </c>
      <c r="H108" s="32">
        <v>182.499</v>
      </c>
      <c r="I108" s="31">
        <f t="shared" si="91"/>
        <v>-0.698000000000008</v>
      </c>
      <c r="J108" s="31">
        <f t="shared" si="92"/>
        <v>-0.698000000000008</v>
      </c>
      <c r="K108" s="31">
        <f t="shared" si="93"/>
        <v>0</v>
      </c>
      <c r="L108" s="49">
        <f t="shared" si="94"/>
        <v>-0.00381010606068881</v>
      </c>
      <c r="M108" s="28">
        <v>309.33</v>
      </c>
      <c r="N108" s="28">
        <v>499.73</v>
      </c>
      <c r="O108" s="49">
        <f t="shared" si="95"/>
        <v>-0.381005743101275</v>
      </c>
      <c r="P108" s="31">
        <f t="shared" si="96"/>
        <v>384.6721648</v>
      </c>
      <c r="Q108" s="31">
        <f t="shared" si="97"/>
        <v>574.6895</v>
      </c>
      <c r="R108" s="31">
        <f t="shared" si="98"/>
        <v>384.6721648</v>
      </c>
      <c r="S108" s="31">
        <f t="shared" si="101"/>
        <v>56668.32801</v>
      </c>
      <c r="T108" s="44">
        <f t="shared" si="102"/>
        <v>56399.8268389696</v>
      </c>
      <c r="U108" s="74">
        <f t="shared" si="99"/>
        <v>56399.8268389696</v>
      </c>
      <c r="V108" s="73">
        <f t="shared" ref="V108:V139" si="103">U108-S108</f>
        <v>-268.501171030395</v>
      </c>
      <c r="W108" s="74">
        <f t="shared" ref="W108:W139" si="104">+U108-T108</f>
        <v>0</v>
      </c>
      <c r="X108" s="76">
        <f t="shared" si="100"/>
        <v>0</v>
      </c>
      <c r="Y108" s="82"/>
    </row>
    <row r="109" ht="79.5" customHeight="1" spans="1:25">
      <c r="A109" s="27">
        <v>95</v>
      </c>
      <c r="B109" s="29" t="s">
        <v>315</v>
      </c>
      <c r="C109" s="29" t="s">
        <v>316</v>
      </c>
      <c r="D109" s="29" t="s">
        <v>317</v>
      </c>
      <c r="E109" s="28" t="s">
        <v>52</v>
      </c>
      <c r="F109" s="28">
        <v>3115.37</v>
      </c>
      <c r="G109" s="31">
        <v>3127.595</v>
      </c>
      <c r="H109" s="32">
        <v>3127.595</v>
      </c>
      <c r="I109" s="31">
        <f t="shared" si="91"/>
        <v>12.2249999999999</v>
      </c>
      <c r="J109" s="31">
        <f t="shared" si="92"/>
        <v>12.2249999999999</v>
      </c>
      <c r="K109" s="31">
        <f t="shared" si="93"/>
        <v>0</v>
      </c>
      <c r="L109" s="49">
        <f t="shared" si="94"/>
        <v>0.00392409248339681</v>
      </c>
      <c r="M109" s="28">
        <v>162.27</v>
      </c>
      <c r="N109" s="28">
        <v>181.82</v>
      </c>
      <c r="O109" s="49">
        <f t="shared" si="95"/>
        <v>-0.107523924760752</v>
      </c>
      <c r="P109" s="31">
        <f t="shared" si="96"/>
        <v>139.9577632</v>
      </c>
      <c r="Q109" s="31">
        <f t="shared" si="97"/>
        <v>209.093</v>
      </c>
      <c r="R109" s="31">
        <f t="shared" si="98"/>
        <v>162.27</v>
      </c>
      <c r="S109" s="31">
        <f t="shared" si="101"/>
        <v>505531.0899</v>
      </c>
      <c r="T109" s="44">
        <f t="shared" si="102"/>
        <v>507514.84065</v>
      </c>
      <c r="U109" s="74">
        <f t="shared" si="99"/>
        <v>507514.84065</v>
      </c>
      <c r="V109" s="73">
        <f t="shared" si="103"/>
        <v>1983.75075000001</v>
      </c>
      <c r="W109" s="74">
        <f t="shared" si="104"/>
        <v>0</v>
      </c>
      <c r="X109" s="76">
        <f t="shared" si="100"/>
        <v>0</v>
      </c>
      <c r="Y109" s="82"/>
    </row>
    <row r="110" ht="79.5" customHeight="1" spans="1:25">
      <c r="A110" s="27">
        <v>96</v>
      </c>
      <c r="B110" s="29" t="s">
        <v>318</v>
      </c>
      <c r="C110" s="29" t="s">
        <v>319</v>
      </c>
      <c r="D110" s="29" t="s">
        <v>320</v>
      </c>
      <c r="E110" s="28" t="s">
        <v>52</v>
      </c>
      <c r="F110" s="28">
        <v>293.97</v>
      </c>
      <c r="G110" s="31">
        <v>282.6152</v>
      </c>
      <c r="H110" s="32">
        <v>282.6152</v>
      </c>
      <c r="I110" s="31">
        <f t="shared" si="91"/>
        <v>-11.3548</v>
      </c>
      <c r="J110" s="31">
        <f t="shared" si="92"/>
        <v>-11.3548</v>
      </c>
      <c r="K110" s="31">
        <f t="shared" si="93"/>
        <v>0</v>
      </c>
      <c r="L110" s="49">
        <f t="shared" si="94"/>
        <v>-0.0386257101064735</v>
      </c>
      <c r="M110" s="28">
        <v>160.56</v>
      </c>
      <c r="N110" s="28">
        <v>162.88</v>
      </c>
      <c r="O110" s="49">
        <f t="shared" si="95"/>
        <v>-0.0142436149312377</v>
      </c>
      <c r="P110" s="31">
        <f t="shared" si="96"/>
        <v>125.3785088</v>
      </c>
      <c r="Q110" s="31">
        <f t="shared" si="97"/>
        <v>187.312</v>
      </c>
      <c r="R110" s="31">
        <f t="shared" si="98"/>
        <v>160.56</v>
      </c>
      <c r="S110" s="31">
        <f t="shared" si="101"/>
        <v>47199.8232</v>
      </c>
      <c r="T110" s="44">
        <f t="shared" si="102"/>
        <v>45376.696512</v>
      </c>
      <c r="U110" s="74">
        <f t="shared" si="99"/>
        <v>45376.696512</v>
      </c>
      <c r="V110" s="73">
        <f t="shared" si="103"/>
        <v>-1823.126688</v>
      </c>
      <c r="W110" s="74">
        <f t="shared" si="104"/>
        <v>0</v>
      </c>
      <c r="X110" s="76">
        <f t="shared" si="100"/>
        <v>0</v>
      </c>
      <c r="Y110" s="82"/>
    </row>
    <row r="111" ht="79.5" customHeight="1" spans="1:25">
      <c r="A111" s="27">
        <v>97</v>
      </c>
      <c r="B111" s="29" t="s">
        <v>321</v>
      </c>
      <c r="C111" s="29" t="s">
        <v>319</v>
      </c>
      <c r="D111" s="29" t="s">
        <v>322</v>
      </c>
      <c r="E111" s="28" t="s">
        <v>52</v>
      </c>
      <c r="F111" s="28">
        <v>86.1</v>
      </c>
      <c r="G111" s="31">
        <v>85.1507</v>
      </c>
      <c r="H111" s="32">
        <v>85.1507</v>
      </c>
      <c r="I111" s="31">
        <f t="shared" si="91"/>
        <v>-0.949299999999994</v>
      </c>
      <c r="J111" s="31">
        <f t="shared" si="92"/>
        <v>-0.949299999999994</v>
      </c>
      <c r="K111" s="31">
        <f t="shared" si="93"/>
        <v>0</v>
      </c>
      <c r="L111" s="49">
        <f t="shared" si="94"/>
        <v>-0.0110255516840882</v>
      </c>
      <c r="M111" s="28">
        <v>160.56</v>
      </c>
      <c r="N111" s="28">
        <v>197.61</v>
      </c>
      <c r="O111" s="49">
        <f t="shared" si="95"/>
        <v>-0.187490511613785</v>
      </c>
      <c r="P111" s="31">
        <f t="shared" si="96"/>
        <v>152.1122736</v>
      </c>
      <c r="Q111" s="31">
        <f t="shared" si="97"/>
        <v>227.2515</v>
      </c>
      <c r="R111" s="31">
        <f t="shared" si="98"/>
        <v>160.56</v>
      </c>
      <c r="S111" s="31">
        <f t="shared" si="101"/>
        <v>13824.216</v>
      </c>
      <c r="T111" s="44">
        <f t="shared" si="102"/>
        <v>13671.796392</v>
      </c>
      <c r="U111" s="74">
        <f t="shared" si="99"/>
        <v>13671.796392</v>
      </c>
      <c r="V111" s="73">
        <f t="shared" si="103"/>
        <v>-152.419608</v>
      </c>
      <c r="W111" s="74">
        <f t="shared" si="104"/>
        <v>0</v>
      </c>
      <c r="X111" s="76">
        <f t="shared" si="100"/>
        <v>0</v>
      </c>
      <c r="Y111" s="82"/>
    </row>
    <row r="112" ht="66.75" customHeight="1" spans="1:25">
      <c r="A112" s="27">
        <v>98</v>
      </c>
      <c r="B112" s="29" t="s">
        <v>323</v>
      </c>
      <c r="C112" s="29" t="s">
        <v>324</v>
      </c>
      <c r="D112" s="29" t="s">
        <v>325</v>
      </c>
      <c r="E112" s="28" t="s">
        <v>52</v>
      </c>
      <c r="F112" s="28">
        <v>3705.78</v>
      </c>
      <c r="G112" s="31">
        <v>3908.85</v>
      </c>
      <c r="H112" s="32">
        <v>3908.85</v>
      </c>
      <c r="I112" s="31">
        <f t="shared" si="91"/>
        <v>203.07</v>
      </c>
      <c r="J112" s="31">
        <f t="shared" si="92"/>
        <v>203.07</v>
      </c>
      <c r="K112" s="31">
        <f t="shared" si="93"/>
        <v>0</v>
      </c>
      <c r="L112" s="49">
        <f t="shared" si="94"/>
        <v>0.0547981801402133</v>
      </c>
      <c r="M112" s="28">
        <v>129.21</v>
      </c>
      <c r="N112" s="28">
        <v>90.73</v>
      </c>
      <c r="O112" s="49">
        <f t="shared" si="95"/>
        <v>0.424115507549873</v>
      </c>
      <c r="P112" s="31">
        <f t="shared" si="96"/>
        <v>69.8403248</v>
      </c>
      <c r="Q112" s="31">
        <f t="shared" si="97"/>
        <v>104.3395</v>
      </c>
      <c r="R112" s="31">
        <f t="shared" si="98"/>
        <v>104.3395</v>
      </c>
      <c r="S112" s="31">
        <f t="shared" si="101"/>
        <v>478823.8338</v>
      </c>
      <c r="T112" s="44">
        <f t="shared" si="102"/>
        <v>500012.056065</v>
      </c>
      <c r="U112" s="74">
        <f t="shared" si="99"/>
        <v>500012.056065</v>
      </c>
      <c r="V112" s="73">
        <f t="shared" si="103"/>
        <v>21188.222265</v>
      </c>
      <c r="W112" s="74">
        <f t="shared" si="104"/>
        <v>0</v>
      </c>
      <c r="X112" s="76">
        <f t="shared" si="100"/>
        <v>0</v>
      </c>
      <c r="Y112" s="82"/>
    </row>
    <row r="113" ht="79.5" customHeight="1" spans="1:25">
      <c r="A113" s="27">
        <v>99</v>
      </c>
      <c r="B113" s="29" t="s">
        <v>326</v>
      </c>
      <c r="C113" s="29" t="s">
        <v>327</v>
      </c>
      <c r="D113" s="29" t="s">
        <v>328</v>
      </c>
      <c r="E113" s="28" t="s">
        <v>52</v>
      </c>
      <c r="F113" s="28">
        <v>721.18</v>
      </c>
      <c r="G113" s="31">
        <v>437.6272</v>
      </c>
      <c r="H113" s="32">
        <v>437.6272</v>
      </c>
      <c r="I113" s="31">
        <f t="shared" si="91"/>
        <v>-283.5528</v>
      </c>
      <c r="J113" s="31">
        <f t="shared" si="92"/>
        <v>-283.5528</v>
      </c>
      <c r="K113" s="31">
        <f t="shared" si="93"/>
        <v>0</v>
      </c>
      <c r="L113" s="49">
        <f t="shared" si="94"/>
        <v>-0.393178956709837</v>
      </c>
      <c r="M113" s="28">
        <v>256.98</v>
      </c>
      <c r="N113" s="28">
        <v>212.4</v>
      </c>
      <c r="O113" s="49">
        <f t="shared" si="95"/>
        <v>0.209887005649718</v>
      </c>
      <c r="P113" s="31">
        <f t="shared" si="96"/>
        <v>163.497024</v>
      </c>
      <c r="Q113" s="31">
        <f t="shared" si="97"/>
        <v>244.26</v>
      </c>
      <c r="R113" s="31">
        <f t="shared" si="98"/>
        <v>244.26</v>
      </c>
      <c r="S113" s="31">
        <f t="shared" si="101"/>
        <v>185328.8364</v>
      </c>
      <c r="T113" s="44">
        <f t="shared" si="102"/>
        <v>116068.229472</v>
      </c>
      <c r="U113" s="74">
        <f t="shared" si="99"/>
        <v>116068.229472</v>
      </c>
      <c r="V113" s="73">
        <f t="shared" si="103"/>
        <v>-69260.606928</v>
      </c>
      <c r="W113" s="74">
        <f t="shared" si="104"/>
        <v>0</v>
      </c>
      <c r="X113" s="76">
        <f t="shared" si="100"/>
        <v>0</v>
      </c>
      <c r="Y113" s="82"/>
    </row>
    <row r="114" ht="54" customHeight="1" spans="1:25">
      <c r="A114" s="27">
        <v>100</v>
      </c>
      <c r="B114" s="29" t="s">
        <v>329</v>
      </c>
      <c r="C114" s="29" t="s">
        <v>330</v>
      </c>
      <c r="D114" s="29" t="s">
        <v>331</v>
      </c>
      <c r="E114" s="28" t="s">
        <v>52</v>
      </c>
      <c r="F114" s="28">
        <v>11.6</v>
      </c>
      <c r="G114" s="31">
        <v>14.37</v>
      </c>
      <c r="H114" s="32">
        <v>14.37</v>
      </c>
      <c r="I114" s="31">
        <f t="shared" si="91"/>
        <v>2.77</v>
      </c>
      <c r="J114" s="31">
        <f t="shared" si="92"/>
        <v>2.77</v>
      </c>
      <c r="K114" s="31">
        <f t="shared" si="93"/>
        <v>0</v>
      </c>
      <c r="L114" s="49">
        <f t="shared" si="94"/>
        <v>0.238793103448276</v>
      </c>
      <c r="M114" s="28">
        <v>61.3</v>
      </c>
      <c r="N114" s="28">
        <v>41.42</v>
      </c>
      <c r="O114" s="49">
        <f t="shared" si="95"/>
        <v>0.479961371318204</v>
      </c>
      <c r="P114" s="31">
        <f t="shared" si="96"/>
        <v>31.8834592</v>
      </c>
      <c r="Q114" s="31">
        <f t="shared" si="97"/>
        <v>47.633</v>
      </c>
      <c r="R114" s="31">
        <f t="shared" si="98"/>
        <v>47.633</v>
      </c>
      <c r="S114" s="31">
        <f t="shared" si="101"/>
        <v>711.08</v>
      </c>
      <c r="T114" s="44">
        <f t="shared" si="102"/>
        <v>843.02341</v>
      </c>
      <c r="U114" s="74">
        <f t="shared" si="99"/>
        <v>843.02341</v>
      </c>
      <c r="V114" s="73">
        <f t="shared" si="103"/>
        <v>131.94341</v>
      </c>
      <c r="W114" s="74">
        <f t="shared" si="104"/>
        <v>0</v>
      </c>
      <c r="X114" s="76">
        <f t="shared" si="100"/>
        <v>0</v>
      </c>
      <c r="Y114" s="82"/>
    </row>
    <row r="115" ht="66.75" customHeight="1" spans="1:25">
      <c r="A115" s="27">
        <v>101</v>
      </c>
      <c r="B115" s="29" t="s">
        <v>332</v>
      </c>
      <c r="C115" s="29" t="s">
        <v>333</v>
      </c>
      <c r="D115" s="29" t="s">
        <v>334</v>
      </c>
      <c r="E115" s="28" t="s">
        <v>52</v>
      </c>
      <c r="F115" s="28">
        <v>299.7787</v>
      </c>
      <c r="G115" s="31">
        <v>99.4106</v>
      </c>
      <c r="H115" s="32">
        <v>99.4106</v>
      </c>
      <c r="I115" s="31">
        <f t="shared" si="91"/>
        <v>-200.3681</v>
      </c>
      <c r="J115" s="31">
        <f t="shared" si="92"/>
        <v>-200.3681</v>
      </c>
      <c r="K115" s="31">
        <f t="shared" si="93"/>
        <v>0</v>
      </c>
      <c r="L115" s="49">
        <f t="shared" si="94"/>
        <v>-0.668386713265486</v>
      </c>
      <c r="M115" s="28">
        <v>192.09</v>
      </c>
      <c r="N115" s="28">
        <v>190.61</v>
      </c>
      <c r="O115" s="49">
        <f t="shared" si="95"/>
        <v>0.00776454540685163</v>
      </c>
      <c r="P115" s="31">
        <f t="shared" si="96"/>
        <v>146.7239536</v>
      </c>
      <c r="Q115" s="31">
        <f t="shared" si="97"/>
        <v>219.2015</v>
      </c>
      <c r="R115" s="31">
        <f t="shared" si="98"/>
        <v>192.09</v>
      </c>
      <c r="S115" s="31">
        <f t="shared" si="101"/>
        <v>57584.490483</v>
      </c>
      <c r="T115" s="44">
        <f t="shared" si="102"/>
        <v>19095.782154</v>
      </c>
      <c r="U115" s="74">
        <f t="shared" si="99"/>
        <v>19095.782154</v>
      </c>
      <c r="V115" s="73">
        <f t="shared" si="103"/>
        <v>-38488.708329</v>
      </c>
      <c r="W115" s="74">
        <f t="shared" si="104"/>
        <v>0</v>
      </c>
      <c r="X115" s="76">
        <f t="shared" si="100"/>
        <v>0</v>
      </c>
      <c r="Y115" s="98"/>
    </row>
    <row r="116" s="2" customFormat="1" ht="79.5" customHeight="1" spans="1:25">
      <c r="A116" s="27">
        <v>102</v>
      </c>
      <c r="B116" s="29" t="s">
        <v>335</v>
      </c>
      <c r="C116" s="29" t="s">
        <v>336</v>
      </c>
      <c r="D116" s="29" t="s">
        <v>337</v>
      </c>
      <c r="E116" s="28" t="s">
        <v>70</v>
      </c>
      <c r="F116" s="28">
        <v>37.3</v>
      </c>
      <c r="G116" s="31">
        <v>59.0501</v>
      </c>
      <c r="H116" s="32">
        <v>59.0501</v>
      </c>
      <c r="I116" s="31">
        <f t="shared" si="91"/>
        <v>21.7501</v>
      </c>
      <c r="J116" s="31">
        <f t="shared" si="92"/>
        <v>21.7501</v>
      </c>
      <c r="K116" s="31">
        <f t="shared" si="93"/>
        <v>0</v>
      </c>
      <c r="L116" s="49">
        <f t="shared" si="94"/>
        <v>0.583112600536193</v>
      </c>
      <c r="M116" s="28">
        <v>240.47</v>
      </c>
      <c r="N116" s="28">
        <v>365.14</v>
      </c>
      <c r="O116" s="49">
        <f t="shared" si="95"/>
        <v>-0.341430684121159</v>
      </c>
      <c r="P116" s="31">
        <f t="shared" si="96"/>
        <v>281.0701664</v>
      </c>
      <c r="Q116" s="31">
        <f t="shared" si="97"/>
        <v>419.911</v>
      </c>
      <c r="R116" s="31">
        <f t="shared" si="98"/>
        <v>281.0701664</v>
      </c>
      <c r="S116" s="31">
        <f t="shared" si="101"/>
        <v>8969.531</v>
      </c>
      <c r="T116" s="44">
        <f t="shared" si="102"/>
        <v>15082.8352262166</v>
      </c>
      <c r="U116" s="74">
        <f t="shared" si="99"/>
        <v>15082.8352262166</v>
      </c>
      <c r="V116" s="73">
        <f t="shared" si="103"/>
        <v>6113.3042262166</v>
      </c>
      <c r="W116" s="74">
        <f t="shared" si="104"/>
        <v>0</v>
      </c>
      <c r="X116" s="76">
        <f t="shared" si="100"/>
        <v>4.00177668780088e-11</v>
      </c>
      <c r="Y116" s="82"/>
    </row>
    <row r="117" ht="41.25" customHeight="1" spans="1:25">
      <c r="A117" s="27"/>
      <c r="B117" s="29"/>
      <c r="C117" s="29" t="s">
        <v>338</v>
      </c>
      <c r="D117" s="29"/>
      <c r="E117" s="29"/>
      <c r="F117" s="28"/>
      <c r="G117" s="31"/>
      <c r="H117" s="30"/>
      <c r="I117" s="31"/>
      <c r="J117" s="31"/>
      <c r="K117" s="31"/>
      <c r="L117" s="49"/>
      <c r="M117" s="28"/>
      <c r="N117" s="28"/>
      <c r="O117" s="28"/>
      <c r="P117" s="28"/>
      <c r="Q117" s="28"/>
      <c r="R117" s="31"/>
      <c r="S117" s="73">
        <f>+SUM(S118:S140)</f>
        <v>3131958.690376</v>
      </c>
      <c r="T117" s="73">
        <f>+SUM(T118:T140)</f>
        <v>3345343.39042738</v>
      </c>
      <c r="U117" s="74">
        <f>SUM(U118:U140)</f>
        <v>3202246.83401085</v>
      </c>
      <c r="V117" s="73">
        <f t="shared" si="103"/>
        <v>70288.1436348502</v>
      </c>
      <c r="W117" s="74">
        <f t="shared" si="104"/>
        <v>-143096.55641653</v>
      </c>
      <c r="X117" s="75">
        <f>U117-T117</f>
        <v>-143096.556416531</v>
      </c>
      <c r="Y117" s="82"/>
    </row>
    <row r="118" ht="188" customHeight="1" spans="1:25">
      <c r="A118" s="27">
        <v>103</v>
      </c>
      <c r="B118" s="29" t="s">
        <v>339</v>
      </c>
      <c r="C118" s="29" t="s">
        <v>340</v>
      </c>
      <c r="D118" s="29" t="s">
        <v>341</v>
      </c>
      <c r="E118" s="28" t="s">
        <v>52</v>
      </c>
      <c r="F118" s="28">
        <v>4800.62</v>
      </c>
      <c r="G118" s="31">
        <v>5727.716</v>
      </c>
      <c r="H118" s="32">
        <v>5727.716</v>
      </c>
      <c r="I118" s="31">
        <f t="shared" ref="I118:I140" si="105">G118-F118</f>
        <v>927.096</v>
      </c>
      <c r="J118" s="31">
        <f t="shared" ref="J118:J140" si="106">H118-F118</f>
        <v>927.096</v>
      </c>
      <c r="K118" s="31">
        <f t="shared" ref="K118:K140" si="107">+H118-G118</f>
        <v>0</v>
      </c>
      <c r="L118" s="49">
        <f t="shared" ref="L118:L140" si="108">I118/F118</f>
        <v>0.193120055326187</v>
      </c>
      <c r="M118" s="28">
        <v>188.2</v>
      </c>
      <c r="N118" s="28">
        <v>140.67</v>
      </c>
      <c r="O118" s="49">
        <f t="shared" ref="O118:O140" si="109">(M118-N118)/N118</f>
        <v>0.337882988554774</v>
      </c>
      <c r="P118" s="31">
        <f t="shared" ref="P118:P140" si="110">N118*0.9056*0.85</f>
        <v>108.2821392</v>
      </c>
      <c r="Q118" s="31">
        <f t="shared" ref="Q118:Q140" si="111">N118*1.15</f>
        <v>161.7705</v>
      </c>
      <c r="R118" s="31">
        <f t="shared" ref="R118:R140" si="112">IF(M118&lt;N118*0.9056*0.85,N118*0.9056*0.85,IF(M118&gt;N118*1.15,N118*1.15,M118))</f>
        <v>161.7705</v>
      </c>
      <c r="S118" s="31">
        <f>+F118*M118</f>
        <v>903476.684</v>
      </c>
      <c r="T118" s="44">
        <f>S118+R118*I118</f>
        <v>1053453.467468</v>
      </c>
      <c r="U118" s="74">
        <f>S118+R118*J118</f>
        <v>1053453.467468</v>
      </c>
      <c r="V118" s="73">
        <f t="shared" si="103"/>
        <v>149976.783468</v>
      </c>
      <c r="W118" s="74">
        <f t="shared" si="104"/>
        <v>0</v>
      </c>
      <c r="X118" s="76">
        <f t="shared" ref="X118:X140" si="113">+U118-T118</f>
        <v>0</v>
      </c>
      <c r="Y118" s="82"/>
    </row>
    <row r="119" ht="157" customHeight="1" spans="1:25">
      <c r="A119" s="27">
        <v>104</v>
      </c>
      <c r="B119" s="29" t="s">
        <v>342</v>
      </c>
      <c r="C119" s="29" t="s">
        <v>343</v>
      </c>
      <c r="D119" s="29" t="s">
        <v>344</v>
      </c>
      <c r="E119" s="28" t="s">
        <v>52</v>
      </c>
      <c r="F119" s="28">
        <v>4141.885</v>
      </c>
      <c r="G119" s="31">
        <v>4617.4899</v>
      </c>
      <c r="H119" s="32">
        <v>4617.4899</v>
      </c>
      <c r="I119" s="31">
        <f t="shared" si="105"/>
        <v>475.604899999999</v>
      </c>
      <c r="J119" s="31">
        <f t="shared" si="106"/>
        <v>475.604899999999</v>
      </c>
      <c r="K119" s="31">
        <f t="shared" si="107"/>
        <v>0</v>
      </c>
      <c r="L119" s="49">
        <f t="shared" si="108"/>
        <v>0.114828127772741</v>
      </c>
      <c r="M119" s="28">
        <v>133.2</v>
      </c>
      <c r="N119" s="28">
        <v>98.47</v>
      </c>
      <c r="O119" s="49">
        <f t="shared" si="109"/>
        <v>0.352696252665786</v>
      </c>
      <c r="P119" s="31">
        <f t="shared" si="110"/>
        <v>75.7982672</v>
      </c>
      <c r="Q119" s="31">
        <f t="shared" si="111"/>
        <v>113.2405</v>
      </c>
      <c r="R119" s="31">
        <f t="shared" si="112"/>
        <v>113.2405</v>
      </c>
      <c r="S119" s="31">
        <f t="shared" ref="S119:S140" si="114">+F119*M119</f>
        <v>551699.082</v>
      </c>
      <c r="T119" s="44">
        <f t="shared" ref="T119:T140" si="115">S119+R119*I119</f>
        <v>605556.81867845</v>
      </c>
      <c r="U119" s="74">
        <f t="shared" ref="U118:U140" si="116">S119+R119*J119</f>
        <v>605556.81867845</v>
      </c>
      <c r="V119" s="73">
        <f t="shared" si="103"/>
        <v>53857.7366784499</v>
      </c>
      <c r="W119" s="74">
        <f t="shared" si="104"/>
        <v>0</v>
      </c>
      <c r="X119" s="76">
        <f t="shared" si="113"/>
        <v>0</v>
      </c>
      <c r="Y119" s="82"/>
    </row>
    <row r="120" ht="45" customHeight="1" spans="1:25">
      <c r="A120" s="27">
        <v>105</v>
      </c>
      <c r="B120" s="29" t="s">
        <v>345</v>
      </c>
      <c r="C120" s="29" t="s">
        <v>346</v>
      </c>
      <c r="D120" s="29" t="s">
        <v>347</v>
      </c>
      <c r="E120" s="28" t="s">
        <v>52</v>
      </c>
      <c r="F120" s="28">
        <v>860.21</v>
      </c>
      <c r="G120" s="31">
        <v>1062.8719</v>
      </c>
      <c r="H120" s="32">
        <v>1062.8719</v>
      </c>
      <c r="I120" s="31">
        <f t="shared" si="105"/>
        <v>202.6619</v>
      </c>
      <c r="J120" s="31">
        <f t="shared" si="106"/>
        <v>202.6619</v>
      </c>
      <c r="K120" s="31">
        <f t="shared" si="107"/>
        <v>0</v>
      </c>
      <c r="L120" s="49">
        <f t="shared" si="108"/>
        <v>0.235595842875577</v>
      </c>
      <c r="M120" s="28">
        <v>30.33</v>
      </c>
      <c r="N120" s="28">
        <v>31.52</v>
      </c>
      <c r="O120" s="49">
        <f t="shared" si="109"/>
        <v>-0.037753807106599</v>
      </c>
      <c r="P120" s="31">
        <f t="shared" si="110"/>
        <v>24.2628352</v>
      </c>
      <c r="Q120" s="31">
        <f t="shared" si="111"/>
        <v>36.248</v>
      </c>
      <c r="R120" s="31">
        <f t="shared" si="112"/>
        <v>30.33</v>
      </c>
      <c r="S120" s="31">
        <f t="shared" si="114"/>
        <v>26090.1693</v>
      </c>
      <c r="T120" s="44">
        <f t="shared" si="115"/>
        <v>32236.904727</v>
      </c>
      <c r="U120" s="74">
        <f t="shared" si="116"/>
        <v>32236.904727</v>
      </c>
      <c r="V120" s="73">
        <f t="shared" si="103"/>
        <v>6146.735427</v>
      </c>
      <c r="W120" s="74">
        <f t="shared" si="104"/>
        <v>0</v>
      </c>
      <c r="X120" s="76">
        <f t="shared" si="113"/>
        <v>0</v>
      </c>
      <c r="Y120" s="82"/>
    </row>
    <row r="121" ht="126" customHeight="1" spans="1:25">
      <c r="A121" s="27">
        <v>106</v>
      </c>
      <c r="B121" s="29" t="s">
        <v>348</v>
      </c>
      <c r="C121" s="29" t="s">
        <v>349</v>
      </c>
      <c r="D121" s="29" t="s">
        <v>350</v>
      </c>
      <c r="E121" s="28" t="s">
        <v>52</v>
      </c>
      <c r="F121" s="28">
        <v>1005.89</v>
      </c>
      <c r="G121" s="31">
        <v>942.1204</v>
      </c>
      <c r="H121" s="32">
        <v>942.1204</v>
      </c>
      <c r="I121" s="31">
        <f t="shared" si="105"/>
        <v>-63.7696</v>
      </c>
      <c r="J121" s="31">
        <f t="shared" si="106"/>
        <v>-63.7696</v>
      </c>
      <c r="K121" s="31">
        <f t="shared" si="107"/>
        <v>0</v>
      </c>
      <c r="L121" s="49">
        <f t="shared" si="108"/>
        <v>-0.0633961964031852</v>
      </c>
      <c r="M121" s="28">
        <v>334.46</v>
      </c>
      <c r="N121" s="28">
        <v>371.67</v>
      </c>
      <c r="O121" s="49">
        <f t="shared" si="109"/>
        <v>-0.10011569402965</v>
      </c>
      <c r="P121" s="31">
        <f t="shared" si="110"/>
        <v>286.0966992</v>
      </c>
      <c r="Q121" s="31">
        <f t="shared" si="111"/>
        <v>427.4205</v>
      </c>
      <c r="R121" s="31">
        <f t="shared" si="112"/>
        <v>334.46</v>
      </c>
      <c r="S121" s="31">
        <f t="shared" si="114"/>
        <v>336429.9694</v>
      </c>
      <c r="T121" s="44">
        <f t="shared" si="115"/>
        <v>315101.588984</v>
      </c>
      <c r="U121" s="74">
        <f t="shared" si="116"/>
        <v>315101.588984</v>
      </c>
      <c r="V121" s="73">
        <f t="shared" si="103"/>
        <v>-21328.380416</v>
      </c>
      <c r="W121" s="74">
        <f t="shared" si="104"/>
        <v>0</v>
      </c>
      <c r="X121" s="76">
        <f t="shared" si="113"/>
        <v>0</v>
      </c>
      <c r="Y121" s="82"/>
    </row>
    <row r="122" s="2" customFormat="1" ht="41.25" customHeight="1" spans="1:25">
      <c r="A122" s="27">
        <v>107</v>
      </c>
      <c r="B122" s="29" t="s">
        <v>351</v>
      </c>
      <c r="C122" s="29" t="s">
        <v>352</v>
      </c>
      <c r="D122" s="29" t="s">
        <v>353</v>
      </c>
      <c r="E122" s="28" t="s">
        <v>52</v>
      </c>
      <c r="F122" s="28">
        <v>7636.76</v>
      </c>
      <c r="G122" s="31">
        <v>7636.76</v>
      </c>
      <c r="H122" s="32">
        <f>7215.09+29.99</f>
        <v>7245.08</v>
      </c>
      <c r="I122" s="31">
        <f t="shared" si="105"/>
        <v>0</v>
      </c>
      <c r="J122" s="31">
        <f t="shared" si="106"/>
        <v>-391.68</v>
      </c>
      <c r="K122" s="31">
        <f t="shared" si="107"/>
        <v>-391.68</v>
      </c>
      <c r="L122" s="49">
        <f t="shared" si="108"/>
        <v>0</v>
      </c>
      <c r="M122" s="28">
        <v>36.95</v>
      </c>
      <c r="N122" s="28">
        <v>50.6</v>
      </c>
      <c r="O122" s="49">
        <f t="shared" si="109"/>
        <v>-0.269762845849802</v>
      </c>
      <c r="P122" s="31">
        <f t="shared" si="110"/>
        <v>38.949856</v>
      </c>
      <c r="Q122" s="31">
        <f t="shared" si="111"/>
        <v>58.19</v>
      </c>
      <c r="R122" s="31">
        <f t="shared" si="112"/>
        <v>38.949856</v>
      </c>
      <c r="S122" s="31">
        <f t="shared" si="114"/>
        <v>282178.282</v>
      </c>
      <c r="T122" s="44">
        <f t="shared" si="115"/>
        <v>282178.282</v>
      </c>
      <c r="U122" s="74">
        <f t="shared" si="116"/>
        <v>266922.40240192</v>
      </c>
      <c r="V122" s="73">
        <f t="shared" si="103"/>
        <v>-15255.87959808</v>
      </c>
      <c r="W122" s="74">
        <f t="shared" si="104"/>
        <v>-15255.87959808</v>
      </c>
      <c r="X122" s="76">
        <f t="shared" si="113"/>
        <v>-15255.87959808</v>
      </c>
      <c r="Y122" s="82"/>
    </row>
    <row r="123" ht="28.5" customHeight="1" spans="1:25">
      <c r="A123" s="27">
        <v>108</v>
      </c>
      <c r="B123" s="29" t="s">
        <v>354</v>
      </c>
      <c r="C123" s="29" t="s">
        <v>355</v>
      </c>
      <c r="D123" s="29" t="s">
        <v>356</v>
      </c>
      <c r="E123" s="28" t="s">
        <v>52</v>
      </c>
      <c r="F123" s="28">
        <v>1721.84</v>
      </c>
      <c r="G123" s="31">
        <v>1721.84</v>
      </c>
      <c r="H123" s="32">
        <v>1516.95</v>
      </c>
      <c r="I123" s="31">
        <f t="shared" si="105"/>
        <v>0</v>
      </c>
      <c r="J123" s="31">
        <f t="shared" si="106"/>
        <v>-204.89</v>
      </c>
      <c r="K123" s="31">
        <f t="shared" si="107"/>
        <v>-204.89</v>
      </c>
      <c r="L123" s="49">
        <f t="shared" si="108"/>
        <v>0</v>
      </c>
      <c r="M123" s="28">
        <v>148.21</v>
      </c>
      <c r="N123" s="28">
        <v>117.46</v>
      </c>
      <c r="O123" s="49">
        <f t="shared" si="109"/>
        <v>0.261791248084454</v>
      </c>
      <c r="P123" s="31">
        <f t="shared" si="110"/>
        <v>90.4160096</v>
      </c>
      <c r="Q123" s="31">
        <f t="shared" si="111"/>
        <v>135.079</v>
      </c>
      <c r="R123" s="31">
        <f t="shared" si="112"/>
        <v>135.079</v>
      </c>
      <c r="S123" s="31">
        <f t="shared" si="114"/>
        <v>255193.9064</v>
      </c>
      <c r="T123" s="44">
        <f t="shared" si="115"/>
        <v>255193.9064</v>
      </c>
      <c r="U123" s="74">
        <f t="shared" si="116"/>
        <v>227517.57009</v>
      </c>
      <c r="V123" s="73">
        <f t="shared" si="103"/>
        <v>-27676.33631</v>
      </c>
      <c r="W123" s="74">
        <f t="shared" si="104"/>
        <v>-27676.33631</v>
      </c>
      <c r="X123" s="76">
        <f t="shared" si="113"/>
        <v>-27676.33631</v>
      </c>
      <c r="Y123" s="82"/>
    </row>
    <row r="124" ht="41.25" customHeight="1" spans="1:25">
      <c r="A124" s="27">
        <v>109</v>
      </c>
      <c r="B124" s="29" t="s">
        <v>357</v>
      </c>
      <c r="C124" s="29" t="s">
        <v>358</v>
      </c>
      <c r="D124" s="29" t="s">
        <v>359</v>
      </c>
      <c r="E124" s="28" t="s">
        <v>52</v>
      </c>
      <c r="F124" s="28">
        <v>9577.91</v>
      </c>
      <c r="G124" s="31">
        <v>9577.91</v>
      </c>
      <c r="H124" s="32">
        <v>8407.99</v>
      </c>
      <c r="I124" s="31">
        <f t="shared" si="105"/>
        <v>0</v>
      </c>
      <c r="J124" s="31">
        <f t="shared" si="106"/>
        <v>-1169.92</v>
      </c>
      <c r="K124" s="31">
        <f t="shared" si="107"/>
        <v>-1169.92</v>
      </c>
      <c r="L124" s="49">
        <f t="shared" si="108"/>
        <v>0</v>
      </c>
      <c r="M124" s="28">
        <v>22.12</v>
      </c>
      <c r="N124" s="28">
        <v>24.38</v>
      </c>
      <c r="O124" s="49">
        <f t="shared" si="109"/>
        <v>-0.0926989335520918</v>
      </c>
      <c r="P124" s="31">
        <f t="shared" si="110"/>
        <v>18.7667488</v>
      </c>
      <c r="Q124" s="31">
        <f t="shared" si="111"/>
        <v>28.037</v>
      </c>
      <c r="R124" s="31">
        <f t="shared" si="112"/>
        <v>22.12</v>
      </c>
      <c r="S124" s="31">
        <f t="shared" si="114"/>
        <v>211863.3692</v>
      </c>
      <c r="T124" s="44">
        <f t="shared" si="115"/>
        <v>211863.3692</v>
      </c>
      <c r="U124" s="74">
        <f t="shared" si="116"/>
        <v>185984.7388</v>
      </c>
      <c r="V124" s="73">
        <f t="shared" si="103"/>
        <v>-25878.6304</v>
      </c>
      <c r="W124" s="74">
        <f t="shared" si="104"/>
        <v>-25878.6304</v>
      </c>
      <c r="X124" s="76">
        <f t="shared" si="113"/>
        <v>-25878.6304</v>
      </c>
      <c r="Y124" s="82"/>
    </row>
    <row r="125" ht="28.5" customHeight="1" spans="1:25">
      <c r="A125" s="27">
        <v>110</v>
      </c>
      <c r="B125" s="29" t="s">
        <v>360</v>
      </c>
      <c r="C125" s="29" t="s">
        <v>361</v>
      </c>
      <c r="D125" s="29" t="s">
        <v>362</v>
      </c>
      <c r="E125" s="28" t="s">
        <v>52</v>
      </c>
      <c r="F125" s="28">
        <v>439.79</v>
      </c>
      <c r="G125" s="31">
        <v>670.3701</v>
      </c>
      <c r="H125" s="32">
        <v>670.3701</v>
      </c>
      <c r="I125" s="31">
        <f t="shared" si="105"/>
        <v>230.5801</v>
      </c>
      <c r="J125" s="31">
        <f t="shared" si="106"/>
        <v>230.5801</v>
      </c>
      <c r="K125" s="31">
        <f t="shared" si="107"/>
        <v>0</v>
      </c>
      <c r="L125" s="49">
        <f t="shared" si="108"/>
        <v>0.524295913958935</v>
      </c>
      <c r="M125" s="28">
        <v>17.13</v>
      </c>
      <c r="N125" s="28">
        <v>18.67</v>
      </c>
      <c r="O125" s="49">
        <f t="shared" si="109"/>
        <v>-0.0824852704874131</v>
      </c>
      <c r="P125" s="31">
        <f t="shared" si="110"/>
        <v>14.3714192</v>
      </c>
      <c r="Q125" s="31">
        <f t="shared" si="111"/>
        <v>21.4705</v>
      </c>
      <c r="R125" s="31">
        <f t="shared" si="112"/>
        <v>17.13</v>
      </c>
      <c r="S125" s="31">
        <f t="shared" si="114"/>
        <v>7533.6027</v>
      </c>
      <c r="T125" s="44">
        <f t="shared" si="115"/>
        <v>11483.439813</v>
      </c>
      <c r="U125" s="74">
        <f t="shared" si="116"/>
        <v>11483.439813</v>
      </c>
      <c r="V125" s="73">
        <f t="shared" si="103"/>
        <v>3949.837113</v>
      </c>
      <c r="W125" s="74">
        <f t="shared" si="104"/>
        <v>0</v>
      </c>
      <c r="X125" s="76">
        <f t="shared" si="113"/>
        <v>0</v>
      </c>
      <c r="Y125" s="82"/>
    </row>
    <row r="126" ht="41.25" customHeight="1" spans="1:25">
      <c r="A126" s="27">
        <v>111</v>
      </c>
      <c r="B126" s="29" t="s">
        <v>363</v>
      </c>
      <c r="C126" s="29" t="s">
        <v>364</v>
      </c>
      <c r="D126" s="29" t="s">
        <v>365</v>
      </c>
      <c r="E126" s="28" t="s">
        <v>52</v>
      </c>
      <c r="F126" s="28">
        <v>1696.13</v>
      </c>
      <c r="G126" s="31">
        <v>1696.13</v>
      </c>
      <c r="H126" s="32">
        <v>1350.87</v>
      </c>
      <c r="I126" s="31">
        <f t="shared" si="105"/>
        <v>0</v>
      </c>
      <c r="J126" s="31">
        <f t="shared" si="106"/>
        <v>-345.26</v>
      </c>
      <c r="K126" s="31">
        <f t="shared" si="107"/>
        <v>-345.26</v>
      </c>
      <c r="L126" s="49">
        <f t="shared" si="108"/>
        <v>0</v>
      </c>
      <c r="M126" s="28">
        <v>162.51</v>
      </c>
      <c r="N126" s="28">
        <v>147.48</v>
      </c>
      <c r="O126" s="49">
        <f t="shared" si="109"/>
        <v>0.101912123677787</v>
      </c>
      <c r="P126" s="31">
        <f t="shared" si="110"/>
        <v>113.5242048</v>
      </c>
      <c r="Q126" s="31">
        <f t="shared" si="111"/>
        <v>169.602</v>
      </c>
      <c r="R126" s="31">
        <f t="shared" si="112"/>
        <v>162.51</v>
      </c>
      <c r="S126" s="31">
        <f t="shared" si="114"/>
        <v>275638.0863</v>
      </c>
      <c r="T126" s="44">
        <f t="shared" si="115"/>
        <v>275638.0863</v>
      </c>
      <c r="U126" s="74">
        <f t="shared" si="116"/>
        <v>219529.8837</v>
      </c>
      <c r="V126" s="73">
        <f t="shared" si="103"/>
        <v>-56108.2026</v>
      </c>
      <c r="W126" s="74">
        <f t="shared" si="104"/>
        <v>-56108.2026</v>
      </c>
      <c r="X126" s="76">
        <f t="shared" si="113"/>
        <v>-56108.2026</v>
      </c>
      <c r="Y126" s="82"/>
    </row>
    <row r="127" ht="41.25" customHeight="1" spans="1:25">
      <c r="A127" s="27">
        <v>112</v>
      </c>
      <c r="B127" s="29" t="s">
        <v>366</v>
      </c>
      <c r="C127" s="29" t="s">
        <v>367</v>
      </c>
      <c r="D127" s="29" t="s">
        <v>368</v>
      </c>
      <c r="E127" s="28" t="s">
        <v>52</v>
      </c>
      <c r="F127" s="28">
        <v>24.54</v>
      </c>
      <c r="G127" s="31">
        <v>24.54</v>
      </c>
      <c r="H127" s="32">
        <v>12.26</v>
      </c>
      <c r="I127" s="31">
        <f t="shared" si="105"/>
        <v>0</v>
      </c>
      <c r="J127" s="31">
        <f t="shared" si="106"/>
        <v>-12.28</v>
      </c>
      <c r="K127" s="31">
        <f t="shared" si="107"/>
        <v>-12.28</v>
      </c>
      <c r="L127" s="49">
        <f t="shared" si="108"/>
        <v>0</v>
      </c>
      <c r="M127" s="28">
        <v>139.68</v>
      </c>
      <c r="N127" s="28">
        <v>141.12</v>
      </c>
      <c r="O127" s="49">
        <f t="shared" si="109"/>
        <v>-0.010204081632653</v>
      </c>
      <c r="P127" s="31">
        <f t="shared" si="110"/>
        <v>108.6285312</v>
      </c>
      <c r="Q127" s="31">
        <f t="shared" si="111"/>
        <v>162.288</v>
      </c>
      <c r="R127" s="31">
        <f t="shared" si="112"/>
        <v>139.68</v>
      </c>
      <c r="S127" s="31">
        <f t="shared" si="114"/>
        <v>3427.7472</v>
      </c>
      <c r="T127" s="44">
        <f t="shared" si="115"/>
        <v>3427.7472</v>
      </c>
      <c r="U127" s="74">
        <f t="shared" si="116"/>
        <v>1712.4768</v>
      </c>
      <c r="V127" s="73">
        <f t="shared" si="103"/>
        <v>-1715.2704</v>
      </c>
      <c r="W127" s="74">
        <f t="shared" si="104"/>
        <v>-1715.2704</v>
      </c>
      <c r="X127" s="76">
        <f t="shared" si="113"/>
        <v>-1715.2704</v>
      </c>
      <c r="Y127" s="82"/>
    </row>
    <row r="128" s="1" customFormat="1" ht="54" customHeight="1" spans="1:26">
      <c r="A128" s="36">
        <v>113</v>
      </c>
      <c r="B128" s="37" t="s">
        <v>369</v>
      </c>
      <c r="C128" s="37" t="s">
        <v>370</v>
      </c>
      <c r="D128" s="37" t="s">
        <v>371</v>
      </c>
      <c r="E128" s="38" t="s">
        <v>52</v>
      </c>
      <c r="F128" s="38">
        <v>259.648</v>
      </c>
      <c r="G128" s="39">
        <v>281.4249</v>
      </c>
      <c r="H128" s="39">
        <v>281.42</v>
      </c>
      <c r="I128" s="39">
        <f t="shared" si="105"/>
        <v>21.7769</v>
      </c>
      <c r="J128" s="39">
        <f t="shared" si="106"/>
        <v>21.772</v>
      </c>
      <c r="K128" s="39">
        <f t="shared" si="107"/>
        <v>-0.00489999999996371</v>
      </c>
      <c r="L128" s="51">
        <f t="shared" si="108"/>
        <v>0.0838708559280255</v>
      </c>
      <c r="M128" s="38">
        <v>666.31</v>
      </c>
      <c r="N128" s="38">
        <v>453.37</v>
      </c>
      <c r="O128" s="51">
        <f t="shared" si="109"/>
        <v>0.469682599201535</v>
      </c>
      <c r="P128" s="39">
        <f t="shared" si="110"/>
        <v>348.9860912</v>
      </c>
      <c r="Q128" s="39">
        <f t="shared" si="111"/>
        <v>521.3755</v>
      </c>
      <c r="R128" s="39">
        <f t="shared" si="112"/>
        <v>521.3755</v>
      </c>
      <c r="S128" s="39">
        <f t="shared" si="114"/>
        <v>173006.05888</v>
      </c>
      <c r="T128" s="77">
        <f t="shared" si="115"/>
        <v>184360.00100595</v>
      </c>
      <c r="U128" s="95">
        <f t="shared" si="116"/>
        <v>184357.446266</v>
      </c>
      <c r="V128" s="73">
        <f t="shared" si="103"/>
        <v>11351.387386</v>
      </c>
      <c r="W128" s="74">
        <f t="shared" si="104"/>
        <v>-2.55473994999193</v>
      </c>
      <c r="X128" s="96">
        <f t="shared" si="113"/>
        <v>-2.55473995002103</v>
      </c>
      <c r="Y128" s="86"/>
      <c r="Z128" s="99"/>
    </row>
    <row r="129" ht="51" customHeight="1" spans="1:25">
      <c r="A129" s="27">
        <v>114</v>
      </c>
      <c r="B129" s="29" t="s">
        <v>372</v>
      </c>
      <c r="C129" s="29" t="s">
        <v>373</v>
      </c>
      <c r="D129" s="29" t="s">
        <v>374</v>
      </c>
      <c r="E129" s="28" t="s">
        <v>52</v>
      </c>
      <c r="F129" s="28">
        <v>16.8156</v>
      </c>
      <c r="G129" s="31">
        <v>16.8156</v>
      </c>
      <c r="H129" s="32">
        <v>6.73</v>
      </c>
      <c r="I129" s="31">
        <f t="shared" si="105"/>
        <v>0</v>
      </c>
      <c r="J129" s="31">
        <f t="shared" si="106"/>
        <v>-10.0856</v>
      </c>
      <c r="K129" s="31">
        <f t="shared" si="107"/>
        <v>-10.0856</v>
      </c>
      <c r="L129" s="49">
        <f t="shared" si="108"/>
        <v>0</v>
      </c>
      <c r="M129" s="28">
        <v>532.56</v>
      </c>
      <c r="N129" s="28">
        <v>490.86</v>
      </c>
      <c r="O129" s="49">
        <f t="shared" si="109"/>
        <v>0.0849529397384182</v>
      </c>
      <c r="P129" s="31">
        <f t="shared" si="110"/>
        <v>377.8443936</v>
      </c>
      <c r="Q129" s="31">
        <f t="shared" si="111"/>
        <v>564.489</v>
      </c>
      <c r="R129" s="31">
        <f t="shared" si="112"/>
        <v>532.56</v>
      </c>
      <c r="S129" s="31">
        <f t="shared" si="114"/>
        <v>8955.315936</v>
      </c>
      <c r="T129" s="44">
        <f t="shared" si="115"/>
        <v>8955.315936</v>
      </c>
      <c r="U129" s="74">
        <f t="shared" si="116"/>
        <v>3584.1288</v>
      </c>
      <c r="V129" s="73">
        <f t="shared" si="103"/>
        <v>-5371.187136</v>
      </c>
      <c r="W129" s="74">
        <f t="shared" si="104"/>
        <v>-5371.187136</v>
      </c>
      <c r="X129" s="76">
        <f t="shared" si="113"/>
        <v>-5371.187136</v>
      </c>
      <c r="Y129" s="82"/>
    </row>
    <row r="130" ht="79.5" customHeight="1" spans="1:25">
      <c r="A130" s="27">
        <v>115</v>
      </c>
      <c r="B130" s="29" t="s">
        <v>375</v>
      </c>
      <c r="C130" s="29" t="s">
        <v>376</v>
      </c>
      <c r="D130" s="29" t="s">
        <v>377</v>
      </c>
      <c r="E130" s="28" t="s">
        <v>52</v>
      </c>
      <c r="F130" s="28">
        <v>129.335</v>
      </c>
      <c r="G130" s="31">
        <v>136.492</v>
      </c>
      <c r="H130" s="32">
        <v>136.492</v>
      </c>
      <c r="I130" s="31">
        <f t="shared" si="105"/>
        <v>7.15699999999998</v>
      </c>
      <c r="J130" s="31">
        <f t="shared" si="106"/>
        <v>7.15699999999998</v>
      </c>
      <c r="K130" s="31">
        <f t="shared" si="107"/>
        <v>0</v>
      </c>
      <c r="L130" s="49">
        <f t="shared" si="108"/>
        <v>0.0553369157613947</v>
      </c>
      <c r="M130" s="28">
        <v>314.41</v>
      </c>
      <c r="N130" s="28">
        <v>271.64</v>
      </c>
      <c r="O130" s="49">
        <f t="shared" si="109"/>
        <v>0.157451038138713</v>
      </c>
      <c r="P130" s="31">
        <f t="shared" si="110"/>
        <v>209.0976064</v>
      </c>
      <c r="Q130" s="31">
        <f t="shared" si="111"/>
        <v>312.386</v>
      </c>
      <c r="R130" s="31">
        <f t="shared" si="112"/>
        <v>312.386</v>
      </c>
      <c r="S130" s="31">
        <f t="shared" si="114"/>
        <v>40664.21735</v>
      </c>
      <c r="T130" s="44">
        <f t="shared" si="115"/>
        <v>42899.963952</v>
      </c>
      <c r="U130" s="74">
        <f t="shared" si="116"/>
        <v>42899.963952</v>
      </c>
      <c r="V130" s="73">
        <f t="shared" si="103"/>
        <v>2235.746602</v>
      </c>
      <c r="W130" s="74">
        <f t="shared" si="104"/>
        <v>0</v>
      </c>
      <c r="X130" s="76">
        <f t="shared" si="113"/>
        <v>0</v>
      </c>
      <c r="Y130" s="82"/>
    </row>
    <row r="131" ht="41.25" customHeight="1" spans="1:25">
      <c r="A131" s="27">
        <v>116</v>
      </c>
      <c r="B131" s="29" t="s">
        <v>378</v>
      </c>
      <c r="C131" s="29" t="s">
        <v>376</v>
      </c>
      <c r="D131" s="29" t="s">
        <v>379</v>
      </c>
      <c r="E131" s="28" t="s">
        <v>52</v>
      </c>
      <c r="F131" s="28">
        <v>56.123</v>
      </c>
      <c r="G131" s="31">
        <v>70.043</v>
      </c>
      <c r="H131" s="32">
        <v>14.82</v>
      </c>
      <c r="I131" s="31">
        <f t="shared" si="105"/>
        <v>13.92</v>
      </c>
      <c r="J131" s="31">
        <f t="shared" si="106"/>
        <v>-41.303</v>
      </c>
      <c r="K131" s="31">
        <f t="shared" si="107"/>
        <v>-55.223</v>
      </c>
      <c r="L131" s="49">
        <f t="shared" si="108"/>
        <v>0.248026655738289</v>
      </c>
      <c r="M131" s="28">
        <v>341.48</v>
      </c>
      <c r="N131" s="28">
        <v>151.55</v>
      </c>
      <c r="O131" s="49">
        <f t="shared" si="109"/>
        <v>1.25324975255691</v>
      </c>
      <c r="P131" s="31">
        <f t="shared" si="110"/>
        <v>116.657128</v>
      </c>
      <c r="Q131" s="31">
        <f t="shared" si="111"/>
        <v>174.2825</v>
      </c>
      <c r="R131" s="31">
        <f t="shared" si="112"/>
        <v>174.2825</v>
      </c>
      <c r="S131" s="31">
        <f t="shared" si="114"/>
        <v>19164.88204</v>
      </c>
      <c r="T131" s="44">
        <f t="shared" si="115"/>
        <v>21590.89444</v>
      </c>
      <c r="U131" s="74">
        <f t="shared" si="116"/>
        <v>11966.4919425</v>
      </c>
      <c r="V131" s="73">
        <f t="shared" si="103"/>
        <v>-7198.3900975</v>
      </c>
      <c r="W131" s="74">
        <f t="shared" si="104"/>
        <v>-9624.4024975</v>
      </c>
      <c r="X131" s="76">
        <f t="shared" si="113"/>
        <v>-9624.4024975</v>
      </c>
      <c r="Y131" s="82"/>
    </row>
    <row r="132" ht="41.25" customHeight="1" spans="1:25">
      <c r="A132" s="27">
        <v>117</v>
      </c>
      <c r="B132" s="29" t="s">
        <v>380</v>
      </c>
      <c r="C132" s="29" t="s">
        <v>376</v>
      </c>
      <c r="D132" s="29" t="s">
        <v>381</v>
      </c>
      <c r="E132" s="28" t="s">
        <v>52</v>
      </c>
      <c r="F132" s="28">
        <v>31.04</v>
      </c>
      <c r="G132" s="31">
        <v>32.0486</v>
      </c>
      <c r="H132" s="32">
        <v>32.0486</v>
      </c>
      <c r="I132" s="31">
        <f t="shared" si="105"/>
        <v>1.0086</v>
      </c>
      <c r="J132" s="31">
        <f t="shared" si="106"/>
        <v>1.0086</v>
      </c>
      <c r="K132" s="31">
        <f t="shared" si="107"/>
        <v>0</v>
      </c>
      <c r="L132" s="49">
        <f t="shared" si="108"/>
        <v>0.032493556701031</v>
      </c>
      <c r="M132" s="28">
        <v>437.33</v>
      </c>
      <c r="N132" s="28">
        <v>228.53</v>
      </c>
      <c r="O132" s="49">
        <f t="shared" si="109"/>
        <v>0.913665601890343</v>
      </c>
      <c r="P132" s="31">
        <f t="shared" si="110"/>
        <v>175.9132528</v>
      </c>
      <c r="Q132" s="31">
        <f t="shared" si="111"/>
        <v>262.8095</v>
      </c>
      <c r="R132" s="31">
        <f t="shared" si="112"/>
        <v>262.8095</v>
      </c>
      <c r="S132" s="31">
        <f t="shared" si="114"/>
        <v>13574.7232</v>
      </c>
      <c r="T132" s="44">
        <f t="shared" si="115"/>
        <v>13839.7928617</v>
      </c>
      <c r="U132" s="74">
        <f t="shared" si="116"/>
        <v>13839.7928617</v>
      </c>
      <c r="V132" s="73">
        <f t="shared" si="103"/>
        <v>265.069661699999</v>
      </c>
      <c r="W132" s="74">
        <f t="shared" si="104"/>
        <v>0</v>
      </c>
      <c r="X132" s="76">
        <f t="shared" si="113"/>
        <v>0</v>
      </c>
      <c r="Y132" s="82"/>
    </row>
    <row r="133" ht="41.25" customHeight="1" spans="1:25">
      <c r="A133" s="27">
        <v>118</v>
      </c>
      <c r="B133" s="29" t="s">
        <v>382</v>
      </c>
      <c r="C133" s="29" t="s">
        <v>383</v>
      </c>
      <c r="D133" s="29" t="s">
        <v>384</v>
      </c>
      <c r="E133" s="28" t="s">
        <v>52</v>
      </c>
      <c r="F133" s="28">
        <v>4.77</v>
      </c>
      <c r="G133" s="31">
        <v>4.77</v>
      </c>
      <c r="H133" s="32">
        <v>1.76</v>
      </c>
      <c r="I133" s="31">
        <f t="shared" si="105"/>
        <v>0</v>
      </c>
      <c r="J133" s="31">
        <f t="shared" si="106"/>
        <v>-3.01</v>
      </c>
      <c r="K133" s="31">
        <f t="shared" si="107"/>
        <v>-3.01</v>
      </c>
      <c r="L133" s="49">
        <f t="shared" si="108"/>
        <v>0</v>
      </c>
      <c r="M133" s="28">
        <v>429.48</v>
      </c>
      <c r="N133" s="28">
        <v>300.05</v>
      </c>
      <c r="O133" s="49">
        <f t="shared" si="109"/>
        <v>0.43136143976004</v>
      </c>
      <c r="P133" s="31">
        <f t="shared" si="110"/>
        <v>230.966488</v>
      </c>
      <c r="Q133" s="31">
        <f t="shared" si="111"/>
        <v>345.0575</v>
      </c>
      <c r="R133" s="31">
        <f t="shared" si="112"/>
        <v>345.0575</v>
      </c>
      <c r="S133" s="31">
        <f t="shared" si="114"/>
        <v>2048.6196</v>
      </c>
      <c r="T133" s="44">
        <f t="shared" si="115"/>
        <v>2048.6196</v>
      </c>
      <c r="U133" s="74">
        <f t="shared" si="116"/>
        <v>1009.996525</v>
      </c>
      <c r="V133" s="73">
        <f t="shared" si="103"/>
        <v>-1038.623075</v>
      </c>
      <c r="W133" s="74">
        <f t="shared" si="104"/>
        <v>-1038.623075</v>
      </c>
      <c r="X133" s="76">
        <f t="shared" si="113"/>
        <v>-1038.623075</v>
      </c>
      <c r="Y133" s="82"/>
    </row>
    <row r="134" ht="54" customHeight="1" spans="1:25">
      <c r="A134" s="27">
        <v>119</v>
      </c>
      <c r="B134" s="29" t="s">
        <v>385</v>
      </c>
      <c r="C134" s="29" t="s">
        <v>376</v>
      </c>
      <c r="D134" s="29" t="s">
        <v>386</v>
      </c>
      <c r="E134" s="28" t="s">
        <v>52</v>
      </c>
      <c r="F134" s="28">
        <v>9.45</v>
      </c>
      <c r="G134" s="31">
        <v>9.45</v>
      </c>
      <c r="H134" s="32">
        <v>9.45</v>
      </c>
      <c r="I134" s="31">
        <f t="shared" si="105"/>
        <v>0</v>
      </c>
      <c r="J134" s="31">
        <f t="shared" si="106"/>
        <v>0</v>
      </c>
      <c r="K134" s="31">
        <f t="shared" si="107"/>
        <v>0</v>
      </c>
      <c r="L134" s="49">
        <f t="shared" si="108"/>
        <v>0</v>
      </c>
      <c r="M134" s="28">
        <v>419.95</v>
      </c>
      <c r="N134" s="28">
        <v>250.86</v>
      </c>
      <c r="O134" s="49">
        <f t="shared" si="109"/>
        <v>0.674041297935103</v>
      </c>
      <c r="P134" s="31">
        <f t="shared" si="110"/>
        <v>193.1019936</v>
      </c>
      <c r="Q134" s="31">
        <f t="shared" si="111"/>
        <v>288.489</v>
      </c>
      <c r="R134" s="31">
        <f t="shared" si="112"/>
        <v>288.489</v>
      </c>
      <c r="S134" s="31">
        <f t="shared" si="114"/>
        <v>3968.5275</v>
      </c>
      <c r="T134" s="44">
        <f t="shared" si="115"/>
        <v>3968.5275</v>
      </c>
      <c r="U134" s="74">
        <f t="shared" si="116"/>
        <v>3968.5275</v>
      </c>
      <c r="V134" s="73">
        <f t="shared" si="103"/>
        <v>0</v>
      </c>
      <c r="W134" s="74">
        <f t="shared" si="104"/>
        <v>0</v>
      </c>
      <c r="X134" s="76">
        <f t="shared" si="113"/>
        <v>0</v>
      </c>
      <c r="Y134" s="82"/>
    </row>
    <row r="135" ht="54" customHeight="1" spans="1:25">
      <c r="A135" s="27">
        <v>120</v>
      </c>
      <c r="B135" s="29" t="s">
        <v>387</v>
      </c>
      <c r="C135" s="29" t="s">
        <v>376</v>
      </c>
      <c r="D135" s="29" t="s">
        <v>388</v>
      </c>
      <c r="E135" s="28" t="s">
        <v>52</v>
      </c>
      <c r="F135" s="28">
        <v>20.52</v>
      </c>
      <c r="G135" s="31">
        <v>20.5764</v>
      </c>
      <c r="H135" s="32">
        <v>20.5764</v>
      </c>
      <c r="I135" s="31">
        <f t="shared" si="105"/>
        <v>0.0564</v>
      </c>
      <c r="J135" s="31">
        <f t="shared" si="106"/>
        <v>0.0564</v>
      </c>
      <c r="K135" s="31">
        <f t="shared" si="107"/>
        <v>0</v>
      </c>
      <c r="L135" s="49">
        <f t="shared" si="108"/>
        <v>0.00274853801169591</v>
      </c>
      <c r="M135" s="28">
        <v>217.33</v>
      </c>
      <c r="N135" s="28">
        <v>149.29</v>
      </c>
      <c r="O135" s="49">
        <f t="shared" si="109"/>
        <v>0.45575725098801</v>
      </c>
      <c r="P135" s="31">
        <f t="shared" si="110"/>
        <v>114.9174704</v>
      </c>
      <c r="Q135" s="31">
        <f t="shared" si="111"/>
        <v>171.6835</v>
      </c>
      <c r="R135" s="31">
        <f t="shared" si="112"/>
        <v>171.6835</v>
      </c>
      <c r="S135" s="31">
        <f t="shared" si="114"/>
        <v>4459.6116</v>
      </c>
      <c r="T135" s="44">
        <f t="shared" si="115"/>
        <v>4469.2945494</v>
      </c>
      <c r="U135" s="74">
        <f t="shared" si="116"/>
        <v>4469.2945494</v>
      </c>
      <c r="V135" s="73">
        <f t="shared" si="103"/>
        <v>9.68294939999942</v>
      </c>
      <c r="W135" s="74">
        <f t="shared" si="104"/>
        <v>0</v>
      </c>
      <c r="X135" s="76">
        <f t="shared" si="113"/>
        <v>0</v>
      </c>
      <c r="Y135" s="82"/>
    </row>
    <row r="136" ht="54" customHeight="1" spans="1:25">
      <c r="A136" s="27">
        <v>121</v>
      </c>
      <c r="B136" s="29" t="s">
        <v>389</v>
      </c>
      <c r="C136" s="29" t="s">
        <v>376</v>
      </c>
      <c r="D136" s="29" t="s">
        <v>390</v>
      </c>
      <c r="E136" s="28" t="s">
        <v>52</v>
      </c>
      <c r="F136" s="28">
        <v>36.5</v>
      </c>
      <c r="G136" s="31">
        <v>36.5</v>
      </c>
      <c r="H136" s="32">
        <v>36.5</v>
      </c>
      <c r="I136" s="31">
        <f t="shared" si="105"/>
        <v>0</v>
      </c>
      <c r="J136" s="31">
        <f t="shared" si="106"/>
        <v>0</v>
      </c>
      <c r="K136" s="31">
        <f t="shared" si="107"/>
        <v>0</v>
      </c>
      <c r="L136" s="49">
        <f t="shared" si="108"/>
        <v>0</v>
      </c>
      <c r="M136" s="28">
        <v>111.44</v>
      </c>
      <c r="N136" s="28">
        <v>113.84</v>
      </c>
      <c r="O136" s="49">
        <f t="shared" si="109"/>
        <v>-0.0210822206605763</v>
      </c>
      <c r="P136" s="31">
        <f t="shared" si="110"/>
        <v>87.6294784</v>
      </c>
      <c r="Q136" s="31">
        <f t="shared" si="111"/>
        <v>130.916</v>
      </c>
      <c r="R136" s="31">
        <f t="shared" si="112"/>
        <v>111.44</v>
      </c>
      <c r="S136" s="31">
        <f t="shared" si="114"/>
        <v>4067.56</v>
      </c>
      <c r="T136" s="44">
        <f t="shared" si="115"/>
        <v>4067.56</v>
      </c>
      <c r="U136" s="74">
        <f t="shared" si="116"/>
        <v>4067.56</v>
      </c>
      <c r="V136" s="73">
        <f t="shared" si="103"/>
        <v>0</v>
      </c>
      <c r="W136" s="74">
        <f t="shared" si="104"/>
        <v>0</v>
      </c>
      <c r="X136" s="76">
        <f t="shared" si="113"/>
        <v>0</v>
      </c>
      <c r="Y136" s="82"/>
    </row>
    <row r="137" ht="28.5" customHeight="1" spans="1:25">
      <c r="A137" s="27">
        <v>122</v>
      </c>
      <c r="B137" s="29" t="s">
        <v>391</v>
      </c>
      <c r="C137" s="29" t="s">
        <v>392</v>
      </c>
      <c r="D137" s="29" t="s">
        <v>393</v>
      </c>
      <c r="E137" s="28" t="s">
        <v>52</v>
      </c>
      <c r="F137" s="28">
        <v>7.217</v>
      </c>
      <c r="G137" s="31">
        <v>20.9214</v>
      </c>
      <c r="H137" s="32">
        <v>20.9214</v>
      </c>
      <c r="I137" s="31">
        <f t="shared" si="105"/>
        <v>13.7044</v>
      </c>
      <c r="J137" s="31">
        <f t="shared" si="106"/>
        <v>13.7044</v>
      </c>
      <c r="K137" s="31">
        <f t="shared" si="107"/>
        <v>0</v>
      </c>
      <c r="L137" s="49">
        <f t="shared" si="108"/>
        <v>1.89890536233892</v>
      </c>
      <c r="M137" s="28">
        <v>151.13</v>
      </c>
      <c r="N137" s="28">
        <v>392.16</v>
      </c>
      <c r="O137" s="49">
        <f t="shared" si="109"/>
        <v>-0.614621583027336</v>
      </c>
      <c r="P137" s="31">
        <f t="shared" si="110"/>
        <v>301.8690816</v>
      </c>
      <c r="Q137" s="31">
        <f t="shared" si="111"/>
        <v>450.984</v>
      </c>
      <c r="R137" s="31">
        <f t="shared" si="112"/>
        <v>301.8690816</v>
      </c>
      <c r="S137" s="31">
        <f t="shared" si="114"/>
        <v>1090.70521</v>
      </c>
      <c r="T137" s="44">
        <f t="shared" si="115"/>
        <v>5227.63985187904</v>
      </c>
      <c r="U137" s="74">
        <f t="shared" si="116"/>
        <v>5227.63985187904</v>
      </c>
      <c r="V137" s="73">
        <f t="shared" si="103"/>
        <v>4136.93464187904</v>
      </c>
      <c r="W137" s="74">
        <f t="shared" si="104"/>
        <v>0</v>
      </c>
      <c r="X137" s="76">
        <f t="shared" si="113"/>
        <v>0</v>
      </c>
      <c r="Y137" s="82"/>
    </row>
    <row r="138" ht="18" customHeight="1" spans="1:25">
      <c r="A138" s="27">
        <v>123</v>
      </c>
      <c r="B138" s="29" t="s">
        <v>394</v>
      </c>
      <c r="C138" s="29" t="s">
        <v>395</v>
      </c>
      <c r="D138" s="29" t="s">
        <v>396</v>
      </c>
      <c r="E138" s="28" t="s">
        <v>52</v>
      </c>
      <c r="F138" s="28">
        <v>3.9</v>
      </c>
      <c r="G138" s="31">
        <v>6.27</v>
      </c>
      <c r="H138" s="32">
        <v>6.27</v>
      </c>
      <c r="I138" s="31">
        <f t="shared" si="105"/>
        <v>2.37</v>
      </c>
      <c r="J138" s="31">
        <f t="shared" si="106"/>
        <v>2.37</v>
      </c>
      <c r="K138" s="31">
        <f t="shared" si="107"/>
        <v>0</v>
      </c>
      <c r="L138" s="49">
        <f t="shared" si="108"/>
        <v>0.607692307692308</v>
      </c>
      <c r="M138" s="28">
        <v>149.62</v>
      </c>
      <c r="N138" s="28">
        <v>182.2</v>
      </c>
      <c r="O138" s="49">
        <f t="shared" si="109"/>
        <v>-0.178814489571899</v>
      </c>
      <c r="P138" s="31">
        <f t="shared" si="110"/>
        <v>140.250272</v>
      </c>
      <c r="Q138" s="31">
        <f t="shared" si="111"/>
        <v>209.53</v>
      </c>
      <c r="R138" s="31">
        <f t="shared" si="112"/>
        <v>149.62</v>
      </c>
      <c r="S138" s="31">
        <f t="shared" si="114"/>
        <v>583.518</v>
      </c>
      <c r="T138" s="44">
        <f t="shared" si="115"/>
        <v>938.1174</v>
      </c>
      <c r="U138" s="74">
        <f t="shared" si="116"/>
        <v>938.1174</v>
      </c>
      <c r="V138" s="73">
        <f t="shared" si="103"/>
        <v>354.5994</v>
      </c>
      <c r="W138" s="74">
        <f t="shared" si="104"/>
        <v>0</v>
      </c>
      <c r="X138" s="76">
        <f t="shared" si="113"/>
        <v>0</v>
      </c>
      <c r="Y138" s="82"/>
    </row>
    <row r="139" ht="28.5" customHeight="1" spans="1:25">
      <c r="A139" s="27">
        <v>124</v>
      </c>
      <c r="B139" s="29" t="s">
        <v>397</v>
      </c>
      <c r="C139" s="29" t="s">
        <v>398</v>
      </c>
      <c r="D139" s="29" t="s">
        <v>399</v>
      </c>
      <c r="E139" s="28" t="s">
        <v>52</v>
      </c>
      <c r="F139" s="28">
        <v>39.888</v>
      </c>
      <c r="G139" s="31">
        <v>39.888</v>
      </c>
      <c r="H139" s="32">
        <v>35.67</v>
      </c>
      <c r="I139" s="31">
        <f t="shared" si="105"/>
        <v>0</v>
      </c>
      <c r="J139" s="31">
        <f t="shared" si="106"/>
        <v>-4.218</v>
      </c>
      <c r="K139" s="31">
        <f t="shared" si="107"/>
        <v>-4.218</v>
      </c>
      <c r="L139" s="49">
        <f t="shared" si="108"/>
        <v>0</v>
      </c>
      <c r="M139" s="28">
        <v>100.87</v>
      </c>
      <c r="N139" s="28">
        <v>103.02</v>
      </c>
      <c r="O139" s="49">
        <f t="shared" si="109"/>
        <v>-0.0208697340322267</v>
      </c>
      <c r="P139" s="31">
        <f t="shared" si="110"/>
        <v>79.3006752</v>
      </c>
      <c r="Q139" s="31">
        <f t="shared" si="111"/>
        <v>118.473</v>
      </c>
      <c r="R139" s="31">
        <f t="shared" si="112"/>
        <v>100.87</v>
      </c>
      <c r="S139" s="31">
        <f t="shared" si="114"/>
        <v>4023.50256</v>
      </c>
      <c r="T139" s="44">
        <f t="shared" si="115"/>
        <v>4023.50256</v>
      </c>
      <c r="U139" s="74">
        <f t="shared" si="116"/>
        <v>3598.0329</v>
      </c>
      <c r="V139" s="73">
        <f t="shared" si="103"/>
        <v>-425.46966</v>
      </c>
      <c r="W139" s="74">
        <f t="shared" si="104"/>
        <v>-425.46966</v>
      </c>
      <c r="X139" s="76">
        <f t="shared" si="113"/>
        <v>-425.46966</v>
      </c>
      <c r="Y139" s="82"/>
    </row>
    <row r="140" ht="28.5" customHeight="1" spans="1:25">
      <c r="A140" s="27">
        <v>125</v>
      </c>
      <c r="B140" s="29" t="s">
        <v>400</v>
      </c>
      <c r="C140" s="29" t="s">
        <v>401</v>
      </c>
      <c r="D140" s="29" t="s">
        <v>402</v>
      </c>
      <c r="E140" s="28" t="s">
        <v>84</v>
      </c>
      <c r="F140" s="28">
        <v>19</v>
      </c>
      <c r="G140" s="31">
        <v>19</v>
      </c>
      <c r="H140" s="34">
        <v>19</v>
      </c>
      <c r="I140" s="31">
        <f t="shared" si="105"/>
        <v>0</v>
      </c>
      <c r="J140" s="31">
        <f t="shared" si="106"/>
        <v>0</v>
      </c>
      <c r="K140" s="31">
        <f t="shared" si="107"/>
        <v>0</v>
      </c>
      <c r="L140" s="49">
        <f t="shared" si="108"/>
        <v>0</v>
      </c>
      <c r="M140" s="28">
        <v>148.45</v>
      </c>
      <c r="N140" s="28">
        <v>199.33</v>
      </c>
      <c r="O140" s="49">
        <f t="shared" si="109"/>
        <v>-0.255255104600412</v>
      </c>
      <c r="P140" s="31">
        <f t="shared" si="110"/>
        <v>153.4362608</v>
      </c>
      <c r="Q140" s="31">
        <f t="shared" si="111"/>
        <v>229.2295</v>
      </c>
      <c r="R140" s="31">
        <f t="shared" si="112"/>
        <v>153.4362608</v>
      </c>
      <c r="S140" s="31">
        <f t="shared" si="114"/>
        <v>2820.55</v>
      </c>
      <c r="T140" s="44">
        <f t="shared" si="115"/>
        <v>2820.55</v>
      </c>
      <c r="U140" s="74">
        <f t="shared" si="116"/>
        <v>2820.55</v>
      </c>
      <c r="V140" s="73">
        <f t="shared" ref="V140:V168" si="117">U140-S140</f>
        <v>0</v>
      </c>
      <c r="W140" s="74">
        <f t="shared" ref="W140:W168" si="118">+U140-T140</f>
        <v>0</v>
      </c>
      <c r="X140" s="76">
        <f t="shared" si="113"/>
        <v>0</v>
      </c>
      <c r="Y140" s="82"/>
    </row>
    <row r="141" ht="28.5" customHeight="1" spans="1:25">
      <c r="A141" s="27"/>
      <c r="B141" s="29"/>
      <c r="C141" s="29" t="s">
        <v>403</v>
      </c>
      <c r="D141" s="29"/>
      <c r="E141" s="29"/>
      <c r="F141" s="28"/>
      <c r="G141" s="31"/>
      <c r="H141" s="30"/>
      <c r="I141" s="31"/>
      <c r="J141" s="31"/>
      <c r="K141" s="31"/>
      <c r="L141" s="49"/>
      <c r="M141" s="28"/>
      <c r="N141" s="28"/>
      <c r="O141" s="49"/>
      <c r="P141" s="31"/>
      <c r="Q141" s="31"/>
      <c r="R141" s="31"/>
      <c r="S141" s="73">
        <f>+SUM(S142:S147)</f>
        <v>413275.0849</v>
      </c>
      <c r="T141" s="73">
        <f>+SUM(T142:T147)</f>
        <v>455854.175439</v>
      </c>
      <c r="U141" s="74">
        <f>SUM(U142:U147)</f>
        <v>455854.175439</v>
      </c>
      <c r="V141" s="73">
        <f t="shared" si="117"/>
        <v>42579.090539</v>
      </c>
      <c r="W141" s="74">
        <f t="shared" si="118"/>
        <v>0</v>
      </c>
      <c r="X141" s="75">
        <f>U141-T141</f>
        <v>0</v>
      </c>
      <c r="Y141" s="82"/>
    </row>
    <row r="142" ht="28.5" customHeight="1" spans="1:25">
      <c r="A142" s="27">
        <v>126</v>
      </c>
      <c r="B142" s="29" t="s">
        <v>404</v>
      </c>
      <c r="C142" s="29" t="s">
        <v>405</v>
      </c>
      <c r="D142" s="29" t="s">
        <v>406</v>
      </c>
      <c r="E142" s="28" t="s">
        <v>52</v>
      </c>
      <c r="F142" s="28">
        <v>7757.446</v>
      </c>
      <c r="G142" s="31">
        <v>7886.1285</v>
      </c>
      <c r="H142" s="32">
        <v>7886.1285</v>
      </c>
      <c r="I142" s="31">
        <f t="shared" ref="I142:I147" si="119">G142-F142</f>
        <v>128.6825</v>
      </c>
      <c r="J142" s="31">
        <f t="shared" ref="J142:J147" si="120">H142-F142</f>
        <v>128.6825</v>
      </c>
      <c r="K142" s="31">
        <f t="shared" ref="K142:K147" si="121">+H142-G142</f>
        <v>0</v>
      </c>
      <c r="L142" s="49">
        <f t="shared" ref="L142:L147" si="122">I142/F142</f>
        <v>0.0165882559801254</v>
      </c>
      <c r="M142" s="28">
        <v>39.44</v>
      </c>
      <c r="N142" s="28">
        <v>48.24</v>
      </c>
      <c r="O142" s="49">
        <f t="shared" ref="O142:O147" si="123">(M142-N142)/N142</f>
        <v>-0.182421227197347</v>
      </c>
      <c r="P142" s="31">
        <f t="shared" ref="P142:P147" si="124">N142*0.9056*0.85</f>
        <v>37.1332224</v>
      </c>
      <c r="Q142" s="31">
        <f t="shared" ref="Q142:Q147" si="125">N142*1.15</f>
        <v>55.476</v>
      </c>
      <c r="R142" s="31">
        <f t="shared" ref="R142:R147" si="126">IF(M142&lt;N142*0.9056*0.85,N142*0.9056*0.85,IF(M142&gt;N142*1.15,N142*1.15,M142))</f>
        <v>39.44</v>
      </c>
      <c r="S142" s="31">
        <f>+F142*M142</f>
        <v>305953.67024</v>
      </c>
      <c r="T142" s="44">
        <f>S142+R142*I142</f>
        <v>311028.90804</v>
      </c>
      <c r="U142" s="74">
        <f t="shared" ref="U142:U147" si="127">S142+R142*J142</f>
        <v>311028.90804</v>
      </c>
      <c r="V142" s="73">
        <f t="shared" si="117"/>
        <v>5075.2378</v>
      </c>
      <c r="W142" s="74">
        <f t="shared" si="118"/>
        <v>0</v>
      </c>
      <c r="X142" s="76">
        <f t="shared" ref="X142:X147" si="128">+U142-T142</f>
        <v>0</v>
      </c>
      <c r="Y142" s="82"/>
    </row>
    <row r="143" ht="28.5" customHeight="1" spans="1:25">
      <c r="A143" s="27">
        <v>127</v>
      </c>
      <c r="B143" s="29" t="s">
        <v>407</v>
      </c>
      <c r="C143" s="29" t="s">
        <v>408</v>
      </c>
      <c r="D143" s="29" t="s">
        <v>409</v>
      </c>
      <c r="E143" s="28" t="s">
        <v>52</v>
      </c>
      <c r="F143" s="28">
        <v>27.24</v>
      </c>
      <c r="G143" s="31">
        <v>40.2993</v>
      </c>
      <c r="H143" s="32">
        <v>40.2993</v>
      </c>
      <c r="I143" s="31">
        <f t="shared" si="119"/>
        <v>13.0593</v>
      </c>
      <c r="J143" s="31">
        <f t="shared" si="120"/>
        <v>13.0593</v>
      </c>
      <c r="K143" s="31">
        <f t="shared" si="121"/>
        <v>0</v>
      </c>
      <c r="L143" s="49">
        <f t="shared" si="122"/>
        <v>0.479416299559472</v>
      </c>
      <c r="M143" s="28">
        <v>19.62</v>
      </c>
      <c r="N143" s="28">
        <v>17.11</v>
      </c>
      <c r="O143" s="49">
        <f t="shared" si="123"/>
        <v>0.146697837521917</v>
      </c>
      <c r="P143" s="31">
        <f t="shared" si="124"/>
        <v>13.1705936</v>
      </c>
      <c r="Q143" s="31">
        <f t="shared" si="125"/>
        <v>19.6765</v>
      </c>
      <c r="R143" s="31">
        <f t="shared" si="126"/>
        <v>19.62</v>
      </c>
      <c r="S143" s="31">
        <f>+F143*M143</f>
        <v>534.4488</v>
      </c>
      <c r="T143" s="44">
        <f>S143+R143*I143</f>
        <v>790.672266</v>
      </c>
      <c r="U143" s="74">
        <f t="shared" si="127"/>
        <v>790.672266</v>
      </c>
      <c r="V143" s="73">
        <f t="shared" si="117"/>
        <v>256.223466</v>
      </c>
      <c r="W143" s="74">
        <f t="shared" si="118"/>
        <v>0</v>
      </c>
      <c r="X143" s="76">
        <f t="shared" si="128"/>
        <v>0</v>
      </c>
      <c r="Y143" s="82" t="s">
        <v>410</v>
      </c>
    </row>
    <row r="144" ht="79.5" customHeight="1" spans="1:25">
      <c r="A144" s="27">
        <v>128</v>
      </c>
      <c r="B144" s="29" t="s">
        <v>411</v>
      </c>
      <c r="C144" s="29" t="s">
        <v>412</v>
      </c>
      <c r="D144" s="29" t="s">
        <v>413</v>
      </c>
      <c r="E144" s="28" t="s">
        <v>52</v>
      </c>
      <c r="F144" s="28">
        <v>122.4</v>
      </c>
      <c r="G144" s="31">
        <v>122.4</v>
      </c>
      <c r="H144" s="32">
        <v>122.4</v>
      </c>
      <c r="I144" s="31">
        <f t="shared" si="119"/>
        <v>0</v>
      </c>
      <c r="J144" s="31">
        <f t="shared" si="120"/>
        <v>0</v>
      </c>
      <c r="K144" s="31">
        <f t="shared" si="121"/>
        <v>0</v>
      </c>
      <c r="L144" s="49">
        <f t="shared" si="122"/>
        <v>0</v>
      </c>
      <c r="M144" s="28">
        <v>127.13</v>
      </c>
      <c r="N144" s="28">
        <v>53.7</v>
      </c>
      <c r="O144" s="49">
        <f t="shared" si="123"/>
        <v>1.36741154562384</v>
      </c>
      <c r="P144" s="31">
        <f t="shared" si="124"/>
        <v>41.336112</v>
      </c>
      <c r="Q144" s="31">
        <f t="shared" si="125"/>
        <v>61.755</v>
      </c>
      <c r="R144" s="31">
        <f t="shared" si="126"/>
        <v>61.755</v>
      </c>
      <c r="S144" s="31">
        <f t="shared" ref="S144:S149" si="129">+F144*M144</f>
        <v>15560.712</v>
      </c>
      <c r="T144" s="44">
        <f t="shared" ref="T144:T149" si="130">S144+R144*I144</f>
        <v>15560.712</v>
      </c>
      <c r="U144" s="74">
        <f t="shared" si="127"/>
        <v>15560.712</v>
      </c>
      <c r="V144" s="73">
        <f t="shared" si="117"/>
        <v>0</v>
      </c>
      <c r="W144" s="74">
        <f t="shared" si="118"/>
        <v>0</v>
      </c>
      <c r="X144" s="76">
        <f t="shared" si="128"/>
        <v>0</v>
      </c>
      <c r="Y144" s="82"/>
    </row>
    <row r="145" ht="28.5" customHeight="1" spans="1:25">
      <c r="A145" s="27">
        <v>129</v>
      </c>
      <c r="B145" s="29" t="s">
        <v>414</v>
      </c>
      <c r="C145" s="29" t="s">
        <v>415</v>
      </c>
      <c r="D145" s="29" t="s">
        <v>416</v>
      </c>
      <c r="E145" s="28" t="s">
        <v>52</v>
      </c>
      <c r="F145" s="28">
        <v>3599.223</v>
      </c>
      <c r="G145" s="31">
        <v>5402.2846</v>
      </c>
      <c r="H145" s="32">
        <v>5402.2846</v>
      </c>
      <c r="I145" s="31">
        <f t="shared" si="119"/>
        <v>1803.0616</v>
      </c>
      <c r="J145" s="31">
        <f t="shared" si="120"/>
        <v>1803.0616</v>
      </c>
      <c r="K145" s="31">
        <f t="shared" si="121"/>
        <v>0</v>
      </c>
      <c r="L145" s="49">
        <f t="shared" si="122"/>
        <v>0.500958568002038</v>
      </c>
      <c r="M145" s="28">
        <v>19.62</v>
      </c>
      <c r="N145" s="28">
        <v>21.48</v>
      </c>
      <c r="O145" s="49">
        <f t="shared" si="123"/>
        <v>-0.0865921787709497</v>
      </c>
      <c r="P145" s="31">
        <f t="shared" si="124"/>
        <v>16.5344448</v>
      </c>
      <c r="Q145" s="31">
        <f t="shared" si="125"/>
        <v>24.702</v>
      </c>
      <c r="R145" s="31">
        <f t="shared" si="126"/>
        <v>19.62</v>
      </c>
      <c r="S145" s="31">
        <f t="shared" si="129"/>
        <v>70616.75526</v>
      </c>
      <c r="T145" s="44">
        <f t="shared" si="130"/>
        <v>105992.823852</v>
      </c>
      <c r="U145" s="74">
        <f t="shared" si="127"/>
        <v>105992.823852</v>
      </c>
      <c r="V145" s="73">
        <f t="shared" si="117"/>
        <v>35376.068592</v>
      </c>
      <c r="W145" s="74">
        <f t="shared" si="118"/>
        <v>0</v>
      </c>
      <c r="X145" s="76">
        <f t="shared" si="128"/>
        <v>0</v>
      </c>
      <c r="Y145" s="82"/>
    </row>
    <row r="146" ht="41.25" customHeight="1" spans="1:25">
      <c r="A146" s="27">
        <v>130</v>
      </c>
      <c r="B146" s="29" t="s">
        <v>417</v>
      </c>
      <c r="C146" s="29" t="s">
        <v>418</v>
      </c>
      <c r="D146" s="29" t="s">
        <v>419</v>
      </c>
      <c r="E146" s="28" t="s">
        <v>52</v>
      </c>
      <c r="F146" s="28">
        <v>22.36</v>
      </c>
      <c r="G146" s="31">
        <v>22.36</v>
      </c>
      <c r="H146" s="32">
        <v>22.36</v>
      </c>
      <c r="I146" s="31">
        <f t="shared" si="119"/>
        <v>0</v>
      </c>
      <c r="J146" s="31">
        <f t="shared" si="120"/>
        <v>0</v>
      </c>
      <c r="K146" s="31">
        <f t="shared" si="121"/>
        <v>0</v>
      </c>
      <c r="L146" s="49">
        <f t="shared" si="122"/>
        <v>0</v>
      </c>
      <c r="M146" s="28">
        <v>203.6</v>
      </c>
      <c r="N146" s="28">
        <v>174.62</v>
      </c>
      <c r="O146" s="49">
        <f t="shared" si="123"/>
        <v>0.165960371091513</v>
      </c>
      <c r="P146" s="31">
        <f t="shared" si="124"/>
        <v>134.4154912</v>
      </c>
      <c r="Q146" s="31">
        <f t="shared" si="125"/>
        <v>200.813</v>
      </c>
      <c r="R146" s="31">
        <f t="shared" si="126"/>
        <v>200.813</v>
      </c>
      <c r="S146" s="31">
        <f t="shared" si="129"/>
        <v>4552.496</v>
      </c>
      <c r="T146" s="44">
        <f t="shared" si="130"/>
        <v>4552.496</v>
      </c>
      <c r="U146" s="74">
        <f t="shared" si="127"/>
        <v>4552.496</v>
      </c>
      <c r="V146" s="73">
        <f t="shared" si="117"/>
        <v>0</v>
      </c>
      <c r="W146" s="74">
        <f t="shared" si="118"/>
        <v>0</v>
      </c>
      <c r="X146" s="76">
        <f t="shared" si="128"/>
        <v>0</v>
      </c>
      <c r="Y146" s="82"/>
    </row>
    <row r="147" ht="92.25" customHeight="1" spans="1:25">
      <c r="A147" s="27">
        <v>131</v>
      </c>
      <c r="B147" s="29" t="s">
        <v>420</v>
      </c>
      <c r="C147" s="29" t="s">
        <v>412</v>
      </c>
      <c r="D147" s="29" t="s">
        <v>421</v>
      </c>
      <c r="E147" s="28" t="s">
        <v>52</v>
      </c>
      <c r="F147" s="28">
        <v>92.34</v>
      </c>
      <c r="G147" s="31">
        <v>103.1029</v>
      </c>
      <c r="H147" s="32">
        <v>103.1029</v>
      </c>
      <c r="I147" s="31">
        <f t="shared" si="119"/>
        <v>10.7629</v>
      </c>
      <c r="J147" s="31">
        <f t="shared" si="120"/>
        <v>10.7629</v>
      </c>
      <c r="K147" s="31">
        <f t="shared" si="121"/>
        <v>0</v>
      </c>
      <c r="L147" s="49">
        <f t="shared" si="122"/>
        <v>0.116557288282435</v>
      </c>
      <c r="M147" s="28">
        <v>173.89</v>
      </c>
      <c r="N147" s="28">
        <v>176.34</v>
      </c>
      <c r="O147" s="49">
        <f t="shared" si="123"/>
        <v>-0.0138936146081435</v>
      </c>
      <c r="P147" s="31">
        <f t="shared" si="124"/>
        <v>135.7394784</v>
      </c>
      <c r="Q147" s="31">
        <f t="shared" si="125"/>
        <v>202.791</v>
      </c>
      <c r="R147" s="31">
        <f t="shared" si="126"/>
        <v>173.89</v>
      </c>
      <c r="S147" s="31">
        <f t="shared" si="129"/>
        <v>16057.0026</v>
      </c>
      <c r="T147" s="44">
        <f t="shared" si="130"/>
        <v>17928.563281</v>
      </c>
      <c r="U147" s="74">
        <f t="shared" si="127"/>
        <v>17928.563281</v>
      </c>
      <c r="V147" s="73">
        <f t="shared" si="117"/>
        <v>1871.560681</v>
      </c>
      <c r="W147" s="74">
        <f t="shared" si="118"/>
        <v>0</v>
      </c>
      <c r="X147" s="76">
        <f t="shared" si="128"/>
        <v>0</v>
      </c>
      <c r="Y147" s="82"/>
    </row>
    <row r="148" ht="28.5" customHeight="1" spans="1:25">
      <c r="A148" s="27"/>
      <c r="B148" s="29"/>
      <c r="C148" s="29" t="s">
        <v>422</v>
      </c>
      <c r="D148" s="29"/>
      <c r="E148" s="29"/>
      <c r="F148" s="28"/>
      <c r="G148" s="31"/>
      <c r="H148" s="30"/>
      <c r="I148" s="31"/>
      <c r="J148" s="31"/>
      <c r="K148" s="31"/>
      <c r="L148" s="49"/>
      <c r="M148" s="28"/>
      <c r="N148" s="28"/>
      <c r="O148" s="28"/>
      <c r="P148" s="28"/>
      <c r="Q148" s="28"/>
      <c r="R148" s="31"/>
      <c r="S148" s="73">
        <f>+SUM(S149:S166)</f>
        <v>1035133.99024</v>
      </c>
      <c r="T148" s="73">
        <f>+SUM(T149:T166)</f>
        <v>1086215.59757417</v>
      </c>
      <c r="U148" s="74">
        <f>SUM(U149:U166)</f>
        <v>1065875.59643631</v>
      </c>
      <c r="V148" s="73">
        <f t="shared" si="117"/>
        <v>30741.6061963101</v>
      </c>
      <c r="W148" s="74">
        <f t="shared" si="118"/>
        <v>-20340.0011378599</v>
      </c>
      <c r="X148" s="75">
        <f>U148-T148</f>
        <v>-20340.0011378569</v>
      </c>
      <c r="Y148" s="82"/>
    </row>
    <row r="149" s="2" customFormat="1" ht="95" customHeight="1" spans="1:25">
      <c r="A149" s="27">
        <v>132</v>
      </c>
      <c r="B149" s="29" t="s">
        <v>423</v>
      </c>
      <c r="C149" s="29" t="s">
        <v>424</v>
      </c>
      <c r="D149" s="29" t="s">
        <v>425</v>
      </c>
      <c r="E149" s="28" t="s">
        <v>70</v>
      </c>
      <c r="F149" s="28">
        <v>182.16</v>
      </c>
      <c r="G149" s="31">
        <v>224.1904</v>
      </c>
      <c r="H149" s="32">
        <v>194.56</v>
      </c>
      <c r="I149" s="31">
        <f t="shared" ref="I149:I166" si="131">G149-F149</f>
        <v>42.0304</v>
      </c>
      <c r="J149" s="31">
        <f t="shared" ref="J149:J166" si="132">H149-F149</f>
        <v>12.4</v>
      </c>
      <c r="K149" s="31">
        <f t="shared" ref="K149:K166" si="133">+H149-G149</f>
        <v>-29.6304</v>
      </c>
      <c r="L149" s="49">
        <f t="shared" ref="L149:L166" si="134">I149/F149</f>
        <v>0.230733421168204</v>
      </c>
      <c r="M149" s="28">
        <v>527.8</v>
      </c>
      <c r="N149" s="28">
        <v>781.46</v>
      </c>
      <c r="O149" s="49">
        <f t="shared" ref="O149:O166" si="135">(M149-N149)/N149</f>
        <v>-0.32459754817905</v>
      </c>
      <c r="P149" s="31">
        <f t="shared" ref="P149:P166" si="136">N149*0.9056*0.85</f>
        <v>601.5366496</v>
      </c>
      <c r="Q149" s="31">
        <f t="shared" ref="Q149:Q166" si="137">N149*1.15</f>
        <v>898.679</v>
      </c>
      <c r="R149" s="31">
        <f t="shared" ref="R149:R166" si="138">IF(M149&lt;N149*0.9056*0.85,N149*0.9056*0.85,IF(M149&gt;N149*1.15,N149*1.15,M149))</f>
        <v>601.5366496</v>
      </c>
      <c r="S149" s="31">
        <f t="shared" si="129"/>
        <v>96144.048</v>
      </c>
      <c r="T149" s="44">
        <f t="shared" si="130"/>
        <v>121426.873997348</v>
      </c>
      <c r="U149" s="74">
        <f t="shared" ref="U149:U166" si="139">S149+R149*J149</f>
        <v>103603.10245504</v>
      </c>
      <c r="V149" s="73">
        <f t="shared" si="117"/>
        <v>7459.05445504001</v>
      </c>
      <c r="W149" s="74">
        <f t="shared" si="118"/>
        <v>-17823.771542308</v>
      </c>
      <c r="X149" s="76">
        <f t="shared" ref="X149:X168" si="140">+U149-T149</f>
        <v>-17823.771542308</v>
      </c>
      <c r="Y149" s="82"/>
    </row>
    <row r="150" ht="78" customHeight="1" spans="1:25">
      <c r="A150" s="27">
        <v>133</v>
      </c>
      <c r="B150" s="29" t="s">
        <v>426</v>
      </c>
      <c r="C150" s="29" t="s">
        <v>424</v>
      </c>
      <c r="D150" s="29" t="s">
        <v>427</v>
      </c>
      <c r="E150" s="28" t="s">
        <v>70</v>
      </c>
      <c r="F150" s="28">
        <v>153.8</v>
      </c>
      <c r="G150" s="31">
        <v>159.8545</v>
      </c>
      <c r="H150" s="32">
        <v>159.8545</v>
      </c>
      <c r="I150" s="31">
        <f t="shared" si="131"/>
        <v>6.05449999999999</v>
      </c>
      <c r="J150" s="31">
        <f t="shared" si="132"/>
        <v>6.05449999999999</v>
      </c>
      <c r="K150" s="31">
        <f t="shared" si="133"/>
        <v>0</v>
      </c>
      <c r="L150" s="49">
        <f t="shared" si="134"/>
        <v>0.0393660598179453</v>
      </c>
      <c r="M150" s="28">
        <v>508.12</v>
      </c>
      <c r="N150" s="28">
        <v>816.95</v>
      </c>
      <c r="O150" s="49">
        <f t="shared" si="135"/>
        <v>-0.378028031091254</v>
      </c>
      <c r="P150" s="31">
        <f t="shared" si="136"/>
        <v>628.855432</v>
      </c>
      <c r="Q150" s="31">
        <f t="shared" si="137"/>
        <v>939.4925</v>
      </c>
      <c r="R150" s="31">
        <f t="shared" si="138"/>
        <v>628.855432</v>
      </c>
      <c r="S150" s="31">
        <f t="shared" ref="S150:S166" si="141">+F150*M150</f>
        <v>78148.856</v>
      </c>
      <c r="T150" s="44">
        <f t="shared" ref="T150:T166" si="142">S150+R150*I150</f>
        <v>81956.261213044</v>
      </c>
      <c r="U150" s="74">
        <f t="shared" si="139"/>
        <v>81956.261213044</v>
      </c>
      <c r="V150" s="73">
        <f t="shared" si="117"/>
        <v>3807.405213044</v>
      </c>
      <c r="W150" s="74">
        <f t="shared" si="118"/>
        <v>0</v>
      </c>
      <c r="X150" s="76">
        <f t="shared" si="140"/>
        <v>0</v>
      </c>
      <c r="Y150" s="82"/>
    </row>
    <row r="151" ht="77" customHeight="1" spans="1:25">
      <c r="A151" s="27">
        <v>134</v>
      </c>
      <c r="B151" s="29" t="s">
        <v>428</v>
      </c>
      <c r="C151" s="29" t="s">
        <v>424</v>
      </c>
      <c r="D151" s="29" t="s">
        <v>429</v>
      </c>
      <c r="E151" s="28" t="s">
        <v>70</v>
      </c>
      <c r="F151" s="28">
        <v>429.913</v>
      </c>
      <c r="G151" s="31">
        <v>442.3494</v>
      </c>
      <c r="H151" s="32">
        <v>442.3494</v>
      </c>
      <c r="I151" s="31">
        <f t="shared" si="131"/>
        <v>12.4364</v>
      </c>
      <c r="J151" s="31">
        <f t="shared" si="132"/>
        <v>12.4364</v>
      </c>
      <c r="K151" s="31">
        <f t="shared" si="133"/>
        <v>0</v>
      </c>
      <c r="L151" s="49">
        <f t="shared" si="134"/>
        <v>0.0289277132815244</v>
      </c>
      <c r="M151" s="28">
        <v>618.48</v>
      </c>
      <c r="N151" s="28">
        <v>849.58</v>
      </c>
      <c r="O151" s="49">
        <f t="shared" si="135"/>
        <v>-0.272016761223193</v>
      </c>
      <c r="P151" s="31">
        <f t="shared" si="136"/>
        <v>653.9727008</v>
      </c>
      <c r="Q151" s="31">
        <f t="shared" si="137"/>
        <v>977.017</v>
      </c>
      <c r="R151" s="31">
        <f t="shared" si="138"/>
        <v>653.9727008</v>
      </c>
      <c r="S151" s="31">
        <f t="shared" si="141"/>
        <v>265892.59224</v>
      </c>
      <c r="T151" s="44">
        <f t="shared" si="142"/>
        <v>274025.658336229</v>
      </c>
      <c r="U151" s="74">
        <f t="shared" si="139"/>
        <v>274025.658336229</v>
      </c>
      <c r="V151" s="73">
        <f t="shared" si="117"/>
        <v>8133.06609622895</v>
      </c>
      <c r="W151" s="74">
        <f t="shared" si="118"/>
        <v>0</v>
      </c>
      <c r="X151" s="76">
        <f t="shared" si="140"/>
        <v>0</v>
      </c>
      <c r="Y151" s="82"/>
    </row>
    <row r="152" ht="54" customHeight="1" spans="1:25">
      <c r="A152" s="27">
        <v>135</v>
      </c>
      <c r="B152" s="29" t="s">
        <v>430</v>
      </c>
      <c r="C152" s="29" t="s">
        <v>431</v>
      </c>
      <c r="D152" s="29" t="s">
        <v>432</v>
      </c>
      <c r="E152" s="28" t="s">
        <v>70</v>
      </c>
      <c r="F152" s="28">
        <v>25.228</v>
      </c>
      <c r="G152" s="31">
        <v>25.228</v>
      </c>
      <c r="H152" s="32">
        <v>25.228</v>
      </c>
      <c r="I152" s="31">
        <f t="shared" si="131"/>
        <v>0</v>
      </c>
      <c r="J152" s="31">
        <f t="shared" si="132"/>
        <v>0</v>
      </c>
      <c r="K152" s="31">
        <f t="shared" si="133"/>
        <v>0</v>
      </c>
      <c r="L152" s="49">
        <f t="shared" si="134"/>
        <v>0</v>
      </c>
      <c r="M152" s="28">
        <v>895.61</v>
      </c>
      <c r="N152" s="28">
        <v>1040.81</v>
      </c>
      <c r="O152" s="49">
        <f t="shared" si="135"/>
        <v>-0.139506730335027</v>
      </c>
      <c r="P152" s="31">
        <f t="shared" si="136"/>
        <v>801.1739056</v>
      </c>
      <c r="Q152" s="31">
        <f t="shared" si="137"/>
        <v>1196.9315</v>
      </c>
      <c r="R152" s="31">
        <f t="shared" si="138"/>
        <v>895.61</v>
      </c>
      <c r="S152" s="31">
        <f t="shared" si="141"/>
        <v>22594.44908</v>
      </c>
      <c r="T152" s="44">
        <f t="shared" si="142"/>
        <v>22594.44908</v>
      </c>
      <c r="U152" s="74">
        <f t="shared" si="139"/>
        <v>22594.44908</v>
      </c>
      <c r="V152" s="73">
        <f t="shared" si="117"/>
        <v>0</v>
      </c>
      <c r="W152" s="74">
        <f t="shared" si="118"/>
        <v>0</v>
      </c>
      <c r="X152" s="76">
        <f t="shared" si="140"/>
        <v>0</v>
      </c>
      <c r="Y152" s="82"/>
    </row>
    <row r="153" ht="78" customHeight="1" spans="1:25">
      <c r="A153" s="27">
        <v>136</v>
      </c>
      <c r="B153" s="29" t="s">
        <v>433</v>
      </c>
      <c r="C153" s="29" t="s">
        <v>434</v>
      </c>
      <c r="D153" s="29" t="s">
        <v>435</v>
      </c>
      <c r="E153" s="28" t="s">
        <v>70</v>
      </c>
      <c r="F153" s="28">
        <v>175.552</v>
      </c>
      <c r="G153" s="31">
        <v>187.8401</v>
      </c>
      <c r="H153" s="32">
        <v>187.84</v>
      </c>
      <c r="I153" s="31">
        <f t="shared" si="131"/>
        <v>12.2881</v>
      </c>
      <c r="J153" s="31">
        <f t="shared" si="132"/>
        <v>12.288</v>
      </c>
      <c r="K153" s="31">
        <f t="shared" si="133"/>
        <v>-0.00010000000000332</v>
      </c>
      <c r="L153" s="49">
        <f t="shared" si="134"/>
        <v>0.069996923988334</v>
      </c>
      <c r="M153" s="28">
        <v>473.06</v>
      </c>
      <c r="N153" s="28">
        <v>331.37</v>
      </c>
      <c r="O153" s="49">
        <f t="shared" si="135"/>
        <v>0.42758849624287</v>
      </c>
      <c r="P153" s="31">
        <f t="shared" si="136"/>
        <v>255.0753712</v>
      </c>
      <c r="Q153" s="31">
        <f t="shared" si="137"/>
        <v>381.0755</v>
      </c>
      <c r="R153" s="31">
        <f t="shared" si="138"/>
        <v>381.0755</v>
      </c>
      <c r="S153" s="31">
        <f t="shared" si="141"/>
        <v>83046.62912</v>
      </c>
      <c r="T153" s="44">
        <f t="shared" si="142"/>
        <v>87729.32297155</v>
      </c>
      <c r="U153" s="74">
        <f t="shared" si="139"/>
        <v>87729.284864</v>
      </c>
      <c r="V153" s="73">
        <f t="shared" si="117"/>
        <v>4682.655744</v>
      </c>
      <c r="W153" s="74">
        <f t="shared" si="118"/>
        <v>-0.0381075500044972</v>
      </c>
      <c r="X153" s="76">
        <f t="shared" si="140"/>
        <v>-0.0381075500044972</v>
      </c>
      <c r="Y153" s="98"/>
    </row>
    <row r="154" ht="41.25" customHeight="1" spans="1:25">
      <c r="A154" s="27">
        <v>137</v>
      </c>
      <c r="B154" s="29" t="s">
        <v>436</v>
      </c>
      <c r="C154" s="29" t="s">
        <v>434</v>
      </c>
      <c r="D154" s="29" t="s">
        <v>437</v>
      </c>
      <c r="E154" s="28" t="s">
        <v>70</v>
      </c>
      <c r="F154" s="28">
        <v>6.7</v>
      </c>
      <c r="G154" s="31">
        <v>6.7</v>
      </c>
      <c r="H154" s="32">
        <v>6.7</v>
      </c>
      <c r="I154" s="31">
        <f t="shared" si="131"/>
        <v>0</v>
      </c>
      <c r="J154" s="31">
        <f t="shared" si="132"/>
        <v>0</v>
      </c>
      <c r="K154" s="31">
        <f t="shared" si="133"/>
        <v>0</v>
      </c>
      <c r="L154" s="49">
        <f t="shared" si="134"/>
        <v>0</v>
      </c>
      <c r="M154" s="28">
        <v>468.51</v>
      </c>
      <c r="N154" s="28">
        <v>272</v>
      </c>
      <c r="O154" s="49">
        <f t="shared" si="135"/>
        <v>0.722463235294118</v>
      </c>
      <c r="P154" s="31">
        <f t="shared" si="136"/>
        <v>209.37472</v>
      </c>
      <c r="Q154" s="31">
        <f t="shared" si="137"/>
        <v>312.8</v>
      </c>
      <c r="R154" s="31">
        <f t="shared" si="138"/>
        <v>312.8</v>
      </c>
      <c r="S154" s="31">
        <f t="shared" si="141"/>
        <v>3139.017</v>
      </c>
      <c r="T154" s="44">
        <f t="shared" si="142"/>
        <v>3139.017</v>
      </c>
      <c r="U154" s="74">
        <f t="shared" si="139"/>
        <v>3139.017</v>
      </c>
      <c r="V154" s="73">
        <f t="shared" si="117"/>
        <v>0</v>
      </c>
      <c r="W154" s="74">
        <f t="shared" si="118"/>
        <v>0</v>
      </c>
      <c r="X154" s="76">
        <f t="shared" si="140"/>
        <v>0</v>
      </c>
      <c r="Y154" s="82"/>
    </row>
    <row r="155" ht="41.25" customHeight="1" spans="1:25">
      <c r="A155" s="27">
        <v>138</v>
      </c>
      <c r="B155" s="29" t="s">
        <v>438</v>
      </c>
      <c r="C155" s="29" t="s">
        <v>439</v>
      </c>
      <c r="D155" s="29" t="s">
        <v>440</v>
      </c>
      <c r="E155" s="28" t="s">
        <v>52</v>
      </c>
      <c r="F155" s="28">
        <v>516.315</v>
      </c>
      <c r="G155" s="31">
        <v>516.315</v>
      </c>
      <c r="H155" s="32">
        <v>516.315</v>
      </c>
      <c r="I155" s="31">
        <f t="shared" si="131"/>
        <v>0</v>
      </c>
      <c r="J155" s="31">
        <f t="shared" si="132"/>
        <v>0</v>
      </c>
      <c r="K155" s="31">
        <f t="shared" si="133"/>
        <v>0</v>
      </c>
      <c r="L155" s="49">
        <f t="shared" si="134"/>
        <v>0</v>
      </c>
      <c r="M155" s="28">
        <v>205.48</v>
      </c>
      <c r="N155" s="28">
        <v>308.59</v>
      </c>
      <c r="O155" s="49">
        <f t="shared" si="135"/>
        <v>-0.334132667941281</v>
      </c>
      <c r="P155" s="31">
        <f t="shared" si="136"/>
        <v>237.5402384</v>
      </c>
      <c r="Q155" s="31">
        <f t="shared" si="137"/>
        <v>354.8785</v>
      </c>
      <c r="R155" s="31">
        <f t="shared" si="138"/>
        <v>237.5402384</v>
      </c>
      <c r="S155" s="31">
        <f t="shared" si="141"/>
        <v>106092.4062</v>
      </c>
      <c r="T155" s="44">
        <f t="shared" si="142"/>
        <v>106092.4062</v>
      </c>
      <c r="U155" s="74">
        <f t="shared" si="139"/>
        <v>106092.4062</v>
      </c>
      <c r="V155" s="73">
        <f t="shared" si="117"/>
        <v>0</v>
      </c>
      <c r="W155" s="74">
        <f t="shared" si="118"/>
        <v>0</v>
      </c>
      <c r="X155" s="76">
        <f t="shared" si="140"/>
        <v>0</v>
      </c>
      <c r="Y155" s="82"/>
    </row>
    <row r="156" ht="79.5" customHeight="1" spans="1:25">
      <c r="A156" s="27">
        <v>139</v>
      </c>
      <c r="B156" s="29" t="s">
        <v>441</v>
      </c>
      <c r="C156" s="29" t="s">
        <v>442</v>
      </c>
      <c r="D156" s="29" t="s">
        <v>443</v>
      </c>
      <c r="E156" s="28" t="s">
        <v>52</v>
      </c>
      <c r="F156" s="28">
        <v>42.81</v>
      </c>
      <c r="G156" s="31">
        <v>42.81</v>
      </c>
      <c r="H156" s="32">
        <v>42.81</v>
      </c>
      <c r="I156" s="31">
        <f t="shared" si="131"/>
        <v>0</v>
      </c>
      <c r="J156" s="31">
        <f t="shared" si="132"/>
        <v>0</v>
      </c>
      <c r="K156" s="31">
        <f t="shared" si="133"/>
        <v>0</v>
      </c>
      <c r="L156" s="49">
        <f t="shared" si="134"/>
        <v>0</v>
      </c>
      <c r="M156" s="28">
        <v>801.02</v>
      </c>
      <c r="N156" s="28">
        <v>639.06</v>
      </c>
      <c r="O156" s="49">
        <f t="shared" si="135"/>
        <v>0.253434732263011</v>
      </c>
      <c r="P156" s="31">
        <f t="shared" si="136"/>
        <v>491.9228256</v>
      </c>
      <c r="Q156" s="31">
        <f t="shared" si="137"/>
        <v>734.919</v>
      </c>
      <c r="R156" s="31">
        <f t="shared" si="138"/>
        <v>734.919</v>
      </c>
      <c r="S156" s="31">
        <f t="shared" si="141"/>
        <v>34291.6662</v>
      </c>
      <c r="T156" s="44">
        <f t="shared" si="142"/>
        <v>34291.6662</v>
      </c>
      <c r="U156" s="74">
        <f t="shared" si="139"/>
        <v>34291.6662</v>
      </c>
      <c r="V156" s="73">
        <f t="shared" si="117"/>
        <v>0</v>
      </c>
      <c r="W156" s="74">
        <f t="shared" si="118"/>
        <v>0</v>
      </c>
      <c r="X156" s="76">
        <f t="shared" si="140"/>
        <v>0</v>
      </c>
      <c r="Y156" s="82"/>
    </row>
    <row r="157" ht="41.25" customHeight="1" spans="1:25">
      <c r="A157" s="27">
        <v>140</v>
      </c>
      <c r="B157" s="29" t="s">
        <v>444</v>
      </c>
      <c r="C157" s="29" t="s">
        <v>445</v>
      </c>
      <c r="D157" s="29" t="s">
        <v>446</v>
      </c>
      <c r="E157" s="28" t="s">
        <v>52</v>
      </c>
      <c r="F157" s="28">
        <v>42.24</v>
      </c>
      <c r="G157" s="31">
        <v>42.24</v>
      </c>
      <c r="H157" s="32">
        <v>42.24</v>
      </c>
      <c r="I157" s="31">
        <f t="shared" si="131"/>
        <v>0</v>
      </c>
      <c r="J157" s="31">
        <f t="shared" si="132"/>
        <v>0</v>
      </c>
      <c r="K157" s="31">
        <f t="shared" si="133"/>
        <v>0</v>
      </c>
      <c r="L157" s="49">
        <f t="shared" si="134"/>
        <v>0</v>
      </c>
      <c r="M157" s="28">
        <v>328.86</v>
      </c>
      <c r="N157" s="28">
        <v>295.82</v>
      </c>
      <c r="O157" s="49">
        <f t="shared" si="135"/>
        <v>0.111689540937056</v>
      </c>
      <c r="P157" s="31">
        <f t="shared" si="136"/>
        <v>227.7104032</v>
      </c>
      <c r="Q157" s="31">
        <f t="shared" si="137"/>
        <v>340.193</v>
      </c>
      <c r="R157" s="31">
        <f t="shared" si="138"/>
        <v>328.86</v>
      </c>
      <c r="S157" s="31">
        <f t="shared" si="141"/>
        <v>13891.0464</v>
      </c>
      <c r="T157" s="44">
        <f t="shared" si="142"/>
        <v>13891.0464</v>
      </c>
      <c r="U157" s="74">
        <f t="shared" si="139"/>
        <v>13891.0464</v>
      </c>
      <c r="V157" s="73">
        <f t="shared" si="117"/>
        <v>0</v>
      </c>
      <c r="W157" s="74">
        <f t="shared" si="118"/>
        <v>0</v>
      </c>
      <c r="X157" s="76">
        <f t="shared" si="140"/>
        <v>0</v>
      </c>
      <c r="Y157" s="82"/>
    </row>
    <row r="158" ht="66.75" customHeight="1" spans="1:25">
      <c r="A158" s="27">
        <v>141</v>
      </c>
      <c r="B158" s="29" t="s">
        <v>447</v>
      </c>
      <c r="C158" s="29" t="s">
        <v>448</v>
      </c>
      <c r="D158" s="29" t="s">
        <v>449</v>
      </c>
      <c r="E158" s="28" t="s">
        <v>70</v>
      </c>
      <c r="F158" s="28">
        <v>2.77</v>
      </c>
      <c r="G158" s="31">
        <v>2.77</v>
      </c>
      <c r="H158" s="32">
        <v>2.77</v>
      </c>
      <c r="I158" s="31">
        <f t="shared" si="131"/>
        <v>0</v>
      </c>
      <c r="J158" s="31">
        <f t="shared" si="132"/>
        <v>0</v>
      </c>
      <c r="K158" s="31">
        <f t="shared" si="133"/>
        <v>0</v>
      </c>
      <c r="L158" s="49">
        <f t="shared" si="134"/>
        <v>0</v>
      </c>
      <c r="M158" s="28">
        <v>1630</v>
      </c>
      <c r="N158" s="28">
        <v>841.97</v>
      </c>
      <c r="O158" s="49">
        <f t="shared" si="135"/>
        <v>0.935935959713529</v>
      </c>
      <c r="P158" s="31">
        <f t="shared" si="136"/>
        <v>648.1148272</v>
      </c>
      <c r="Q158" s="31">
        <f t="shared" si="137"/>
        <v>968.2655</v>
      </c>
      <c r="R158" s="31">
        <f t="shared" si="138"/>
        <v>968.2655</v>
      </c>
      <c r="S158" s="31">
        <f t="shared" si="141"/>
        <v>4515.1</v>
      </c>
      <c r="T158" s="44">
        <f t="shared" si="142"/>
        <v>4515.1</v>
      </c>
      <c r="U158" s="74">
        <f t="shared" si="139"/>
        <v>4515.1</v>
      </c>
      <c r="V158" s="73">
        <f t="shared" si="117"/>
        <v>0</v>
      </c>
      <c r="W158" s="74">
        <f t="shared" si="118"/>
        <v>0</v>
      </c>
      <c r="X158" s="76">
        <f t="shared" si="140"/>
        <v>0</v>
      </c>
      <c r="Y158" s="82"/>
    </row>
    <row r="159" ht="41.25" customHeight="1" spans="1:25">
      <c r="A159" s="27">
        <v>142</v>
      </c>
      <c r="B159" s="29" t="s">
        <v>450</v>
      </c>
      <c r="C159" s="29" t="s">
        <v>451</v>
      </c>
      <c r="D159" s="29" t="s">
        <v>452</v>
      </c>
      <c r="E159" s="28" t="s">
        <v>70</v>
      </c>
      <c r="F159" s="28">
        <v>12.61</v>
      </c>
      <c r="G159" s="31">
        <v>12.61</v>
      </c>
      <c r="H159" s="32">
        <v>12.61</v>
      </c>
      <c r="I159" s="31">
        <f t="shared" si="131"/>
        <v>0</v>
      </c>
      <c r="J159" s="31">
        <f t="shared" si="132"/>
        <v>0</v>
      </c>
      <c r="K159" s="31">
        <f t="shared" si="133"/>
        <v>0</v>
      </c>
      <c r="L159" s="49">
        <f t="shared" si="134"/>
        <v>0</v>
      </c>
      <c r="M159" s="28">
        <v>1030</v>
      </c>
      <c r="N159" s="28">
        <v>991.97</v>
      </c>
      <c r="O159" s="49">
        <f t="shared" si="135"/>
        <v>0.0383378529592629</v>
      </c>
      <c r="P159" s="31">
        <f t="shared" si="136"/>
        <v>763.5788272</v>
      </c>
      <c r="Q159" s="31">
        <f t="shared" si="137"/>
        <v>1140.7655</v>
      </c>
      <c r="R159" s="31">
        <f t="shared" si="138"/>
        <v>1030</v>
      </c>
      <c r="S159" s="31">
        <f t="shared" si="141"/>
        <v>12988.3</v>
      </c>
      <c r="T159" s="44">
        <f t="shared" si="142"/>
        <v>12988.3</v>
      </c>
      <c r="U159" s="74">
        <f t="shared" si="139"/>
        <v>12988.3</v>
      </c>
      <c r="V159" s="73">
        <f t="shared" si="117"/>
        <v>0</v>
      </c>
      <c r="W159" s="74">
        <f t="shared" si="118"/>
        <v>0</v>
      </c>
      <c r="X159" s="76">
        <f t="shared" si="140"/>
        <v>0</v>
      </c>
      <c r="Y159" s="82"/>
    </row>
    <row r="160" ht="41.25" customHeight="1" spans="1:25">
      <c r="A160" s="27">
        <v>143</v>
      </c>
      <c r="B160" s="29" t="s">
        <v>453</v>
      </c>
      <c r="C160" s="29" t="s">
        <v>454</v>
      </c>
      <c r="D160" s="29" t="s">
        <v>455</v>
      </c>
      <c r="E160" s="28" t="s">
        <v>70</v>
      </c>
      <c r="F160" s="28">
        <v>3</v>
      </c>
      <c r="G160" s="31">
        <v>3</v>
      </c>
      <c r="H160" s="32">
        <v>3</v>
      </c>
      <c r="I160" s="31">
        <f t="shared" si="131"/>
        <v>0</v>
      </c>
      <c r="J160" s="31">
        <f t="shared" si="132"/>
        <v>0</v>
      </c>
      <c r="K160" s="31">
        <f t="shared" si="133"/>
        <v>0</v>
      </c>
      <c r="L160" s="49">
        <f t="shared" si="134"/>
        <v>0</v>
      </c>
      <c r="M160" s="28">
        <v>1470</v>
      </c>
      <c r="N160" s="28">
        <v>841.97</v>
      </c>
      <c r="O160" s="49">
        <f t="shared" si="135"/>
        <v>0.745905436060667</v>
      </c>
      <c r="P160" s="31">
        <f t="shared" si="136"/>
        <v>648.1148272</v>
      </c>
      <c r="Q160" s="31">
        <f t="shared" si="137"/>
        <v>968.2655</v>
      </c>
      <c r="R160" s="31">
        <f t="shared" si="138"/>
        <v>968.2655</v>
      </c>
      <c r="S160" s="31">
        <f t="shared" si="141"/>
        <v>4410</v>
      </c>
      <c r="T160" s="44">
        <f t="shared" si="142"/>
        <v>4410</v>
      </c>
      <c r="U160" s="74">
        <f t="shared" si="139"/>
        <v>4410</v>
      </c>
      <c r="V160" s="73">
        <f t="shared" si="117"/>
        <v>0</v>
      </c>
      <c r="W160" s="74">
        <f t="shared" si="118"/>
        <v>0</v>
      </c>
      <c r="X160" s="76">
        <f t="shared" si="140"/>
        <v>0</v>
      </c>
      <c r="Y160" s="82"/>
    </row>
    <row r="161" ht="41.25" customHeight="1" spans="1:25">
      <c r="A161" s="27">
        <v>144</v>
      </c>
      <c r="B161" s="29" t="s">
        <v>456</v>
      </c>
      <c r="C161" s="29" t="s">
        <v>457</v>
      </c>
      <c r="D161" s="29" t="s">
        <v>458</v>
      </c>
      <c r="E161" s="28" t="s">
        <v>70</v>
      </c>
      <c r="F161" s="28">
        <v>5.27</v>
      </c>
      <c r="G161" s="31">
        <v>5.27</v>
      </c>
      <c r="H161" s="32">
        <v>5.27</v>
      </c>
      <c r="I161" s="31">
        <f t="shared" si="131"/>
        <v>0</v>
      </c>
      <c r="J161" s="31">
        <f t="shared" si="132"/>
        <v>0</v>
      </c>
      <c r="K161" s="31">
        <f t="shared" si="133"/>
        <v>0</v>
      </c>
      <c r="L161" s="49">
        <f t="shared" si="134"/>
        <v>0</v>
      </c>
      <c r="M161" s="28">
        <v>1670</v>
      </c>
      <c r="N161" s="28">
        <v>1026.97</v>
      </c>
      <c r="O161" s="49">
        <f t="shared" si="135"/>
        <v>0.626142925304537</v>
      </c>
      <c r="P161" s="31">
        <f t="shared" si="136"/>
        <v>790.5204272</v>
      </c>
      <c r="Q161" s="31">
        <f t="shared" si="137"/>
        <v>1181.0155</v>
      </c>
      <c r="R161" s="31">
        <f t="shared" si="138"/>
        <v>1181.0155</v>
      </c>
      <c r="S161" s="31">
        <f t="shared" si="141"/>
        <v>8800.9</v>
      </c>
      <c r="T161" s="44">
        <f t="shared" si="142"/>
        <v>8800.9</v>
      </c>
      <c r="U161" s="74">
        <f t="shared" si="139"/>
        <v>8800.9</v>
      </c>
      <c r="V161" s="73">
        <f t="shared" si="117"/>
        <v>0</v>
      </c>
      <c r="W161" s="74">
        <f t="shared" si="118"/>
        <v>0</v>
      </c>
      <c r="X161" s="76">
        <f t="shared" si="140"/>
        <v>0</v>
      </c>
      <c r="Y161" s="82"/>
    </row>
    <row r="162" ht="28.5" customHeight="1" spans="1:25">
      <c r="A162" s="27">
        <v>145</v>
      </c>
      <c r="B162" s="29" t="s">
        <v>459</v>
      </c>
      <c r="C162" s="29" t="s">
        <v>460</v>
      </c>
      <c r="D162" s="29" t="s">
        <v>461</v>
      </c>
      <c r="E162" s="28" t="s">
        <v>52</v>
      </c>
      <c r="F162" s="28">
        <v>61.49</v>
      </c>
      <c r="G162" s="31">
        <v>61.49</v>
      </c>
      <c r="H162" s="32">
        <v>61.49</v>
      </c>
      <c r="I162" s="31">
        <f t="shared" si="131"/>
        <v>0</v>
      </c>
      <c r="J162" s="31">
        <f t="shared" si="132"/>
        <v>0</v>
      </c>
      <c r="K162" s="31">
        <f t="shared" si="133"/>
        <v>0</v>
      </c>
      <c r="L162" s="49">
        <f t="shared" si="134"/>
        <v>0</v>
      </c>
      <c r="M162" s="28">
        <v>1390</v>
      </c>
      <c r="N162" s="28">
        <v>761.97</v>
      </c>
      <c r="O162" s="49">
        <f t="shared" si="135"/>
        <v>0.824218801265142</v>
      </c>
      <c r="P162" s="31">
        <f t="shared" si="136"/>
        <v>586.5340272</v>
      </c>
      <c r="Q162" s="31">
        <f t="shared" si="137"/>
        <v>876.2655</v>
      </c>
      <c r="R162" s="31">
        <f t="shared" si="138"/>
        <v>876.2655</v>
      </c>
      <c r="S162" s="31">
        <f t="shared" si="141"/>
        <v>85471.1</v>
      </c>
      <c r="T162" s="44">
        <f t="shared" si="142"/>
        <v>85471.1</v>
      </c>
      <c r="U162" s="74">
        <f t="shared" si="139"/>
        <v>85471.1</v>
      </c>
      <c r="V162" s="73">
        <f t="shared" si="117"/>
        <v>0</v>
      </c>
      <c r="W162" s="74">
        <f t="shared" si="118"/>
        <v>0</v>
      </c>
      <c r="X162" s="76">
        <f t="shared" si="140"/>
        <v>0</v>
      </c>
      <c r="Y162" s="82"/>
    </row>
    <row r="163" ht="54" customHeight="1" spans="1:25">
      <c r="A163" s="27">
        <v>146</v>
      </c>
      <c r="B163" s="29" t="s">
        <v>462</v>
      </c>
      <c r="C163" s="29" t="s">
        <v>463</v>
      </c>
      <c r="D163" s="29" t="s">
        <v>464</v>
      </c>
      <c r="E163" s="28" t="s">
        <v>84</v>
      </c>
      <c r="F163" s="28">
        <v>1</v>
      </c>
      <c r="G163" s="31">
        <v>8</v>
      </c>
      <c r="H163" s="34">
        <v>8</v>
      </c>
      <c r="I163" s="31">
        <f t="shared" si="131"/>
        <v>7</v>
      </c>
      <c r="J163" s="31">
        <f t="shared" si="132"/>
        <v>7</v>
      </c>
      <c r="K163" s="31">
        <f t="shared" si="133"/>
        <v>0</v>
      </c>
      <c r="L163" s="49">
        <f t="shared" si="134"/>
        <v>7</v>
      </c>
      <c r="M163" s="28">
        <v>148</v>
      </c>
      <c r="N163" s="28">
        <v>1235.9</v>
      </c>
      <c r="O163" s="49">
        <f t="shared" si="135"/>
        <v>-0.880249211101222</v>
      </c>
      <c r="P163" s="31">
        <f t="shared" si="136"/>
        <v>951.346384</v>
      </c>
      <c r="Q163" s="31">
        <f t="shared" si="137"/>
        <v>1421.285</v>
      </c>
      <c r="R163" s="31">
        <f t="shared" si="138"/>
        <v>951.346384</v>
      </c>
      <c r="S163" s="31">
        <f t="shared" si="141"/>
        <v>148</v>
      </c>
      <c r="T163" s="44">
        <f t="shared" si="142"/>
        <v>6807.424688</v>
      </c>
      <c r="U163" s="74">
        <f t="shared" si="139"/>
        <v>6807.424688</v>
      </c>
      <c r="V163" s="73">
        <f t="shared" si="117"/>
        <v>6659.424688</v>
      </c>
      <c r="W163" s="74">
        <f t="shared" si="118"/>
        <v>0</v>
      </c>
      <c r="X163" s="76">
        <f t="shared" si="140"/>
        <v>0</v>
      </c>
      <c r="Y163" s="82"/>
    </row>
    <row r="164" ht="54" customHeight="1" spans="1:25">
      <c r="A164" s="27">
        <v>147</v>
      </c>
      <c r="B164" s="29" t="s">
        <v>465</v>
      </c>
      <c r="C164" s="29" t="s">
        <v>463</v>
      </c>
      <c r="D164" s="29" t="s">
        <v>466</v>
      </c>
      <c r="E164" s="28" t="s">
        <v>84</v>
      </c>
      <c r="F164" s="28">
        <v>2</v>
      </c>
      <c r="G164" s="31">
        <v>2</v>
      </c>
      <c r="H164" s="34">
        <v>2</v>
      </c>
      <c r="I164" s="31">
        <f t="shared" si="131"/>
        <v>0</v>
      </c>
      <c r="J164" s="31">
        <f t="shared" si="132"/>
        <v>0</v>
      </c>
      <c r="K164" s="31">
        <f t="shared" si="133"/>
        <v>0</v>
      </c>
      <c r="L164" s="49">
        <f t="shared" si="134"/>
        <v>0</v>
      </c>
      <c r="M164" s="28">
        <v>110</v>
      </c>
      <c r="N164" s="28">
        <v>885.9</v>
      </c>
      <c r="O164" s="49">
        <f t="shared" si="135"/>
        <v>-0.875832486736652</v>
      </c>
      <c r="P164" s="31">
        <f t="shared" si="136"/>
        <v>681.930384</v>
      </c>
      <c r="Q164" s="31">
        <f t="shared" si="137"/>
        <v>1018.785</v>
      </c>
      <c r="R164" s="31">
        <f t="shared" si="138"/>
        <v>681.930384</v>
      </c>
      <c r="S164" s="31">
        <f t="shared" si="141"/>
        <v>220</v>
      </c>
      <c r="T164" s="44">
        <f t="shared" si="142"/>
        <v>220</v>
      </c>
      <c r="U164" s="74">
        <f t="shared" si="139"/>
        <v>220</v>
      </c>
      <c r="V164" s="73">
        <f t="shared" si="117"/>
        <v>0</v>
      </c>
      <c r="W164" s="74">
        <f t="shared" si="118"/>
        <v>0</v>
      </c>
      <c r="X164" s="76">
        <f t="shared" si="140"/>
        <v>0</v>
      </c>
      <c r="Y164" s="82"/>
    </row>
    <row r="165" ht="41.25" customHeight="1" spans="1:25">
      <c r="A165" s="27">
        <v>148</v>
      </c>
      <c r="B165" s="29" t="s">
        <v>467</v>
      </c>
      <c r="C165" s="29" t="s">
        <v>468</v>
      </c>
      <c r="D165" s="29" t="s">
        <v>469</v>
      </c>
      <c r="E165" s="28" t="s">
        <v>84</v>
      </c>
      <c r="F165" s="28">
        <v>2</v>
      </c>
      <c r="G165" s="31">
        <v>2</v>
      </c>
      <c r="H165" s="34">
        <v>2</v>
      </c>
      <c r="I165" s="31">
        <f t="shared" si="131"/>
        <v>0</v>
      </c>
      <c r="J165" s="31">
        <f t="shared" si="132"/>
        <v>0</v>
      </c>
      <c r="K165" s="31">
        <f t="shared" si="133"/>
        <v>0</v>
      </c>
      <c r="L165" s="49">
        <f t="shared" si="134"/>
        <v>0</v>
      </c>
      <c r="M165" s="28">
        <v>98676.85</v>
      </c>
      <c r="N165" s="28">
        <v>68323.99</v>
      </c>
      <c r="O165" s="49">
        <f t="shared" si="135"/>
        <v>0.444248938037723</v>
      </c>
      <c r="P165" s="31">
        <f t="shared" si="136"/>
        <v>52593.0745424</v>
      </c>
      <c r="Q165" s="31">
        <f t="shared" si="137"/>
        <v>78572.5885</v>
      </c>
      <c r="R165" s="31">
        <f t="shared" si="138"/>
        <v>78572.5885</v>
      </c>
      <c r="S165" s="31">
        <f t="shared" si="141"/>
        <v>197353.7</v>
      </c>
      <c r="T165" s="44">
        <f t="shared" si="142"/>
        <v>197353.7</v>
      </c>
      <c r="U165" s="74">
        <f t="shared" si="139"/>
        <v>197353.7</v>
      </c>
      <c r="V165" s="73">
        <f t="shared" si="117"/>
        <v>0</v>
      </c>
      <c r="W165" s="74">
        <f t="shared" si="118"/>
        <v>0</v>
      </c>
      <c r="X165" s="76">
        <f t="shared" si="140"/>
        <v>0</v>
      </c>
      <c r="Y165" s="82"/>
    </row>
    <row r="166" s="1" customFormat="1" ht="28.5" customHeight="1" spans="1:25">
      <c r="A166" s="36">
        <v>149</v>
      </c>
      <c r="B166" s="37" t="s">
        <v>470</v>
      </c>
      <c r="C166" s="37" t="s">
        <v>471</v>
      </c>
      <c r="D166" s="37" t="s">
        <v>472</v>
      </c>
      <c r="E166" s="38" t="s">
        <v>52</v>
      </c>
      <c r="F166" s="38">
        <v>8993.09</v>
      </c>
      <c r="G166" s="39">
        <v>10082.69</v>
      </c>
      <c r="H166" s="32">
        <v>8993.09</v>
      </c>
      <c r="I166" s="39">
        <f t="shared" si="131"/>
        <v>1089.6</v>
      </c>
      <c r="J166" s="39">
        <f t="shared" si="132"/>
        <v>0</v>
      </c>
      <c r="K166" s="39">
        <f t="shared" si="133"/>
        <v>-1089.6</v>
      </c>
      <c r="L166" s="51">
        <f t="shared" si="134"/>
        <v>0.121159690384506</v>
      </c>
      <c r="M166" s="38">
        <v>2</v>
      </c>
      <c r="N166" s="38">
        <v>3</v>
      </c>
      <c r="O166" s="51">
        <f t="shared" si="135"/>
        <v>-0.333333333333333</v>
      </c>
      <c r="P166" s="39">
        <f t="shared" si="136"/>
        <v>2.30928</v>
      </c>
      <c r="Q166" s="39">
        <f t="shared" si="137"/>
        <v>3.45</v>
      </c>
      <c r="R166" s="39">
        <f t="shared" si="138"/>
        <v>2.30928</v>
      </c>
      <c r="S166" s="39">
        <f t="shared" si="141"/>
        <v>17986.18</v>
      </c>
      <c r="T166" s="77">
        <f t="shared" si="142"/>
        <v>20502.371488</v>
      </c>
      <c r="U166" s="74">
        <f t="shared" si="139"/>
        <v>17986.18</v>
      </c>
      <c r="V166" s="73">
        <f t="shared" si="117"/>
        <v>0</v>
      </c>
      <c r="W166" s="74">
        <f t="shared" si="118"/>
        <v>-2516.191488</v>
      </c>
      <c r="X166" s="76">
        <f t="shared" si="140"/>
        <v>-2516.191488</v>
      </c>
      <c r="Y166" s="86"/>
    </row>
    <row r="167" s="5" customFormat="1" ht="25" customHeight="1" spans="1:25">
      <c r="A167" s="100"/>
      <c r="B167" s="101"/>
      <c r="C167" s="102" t="s">
        <v>473</v>
      </c>
      <c r="D167" s="101"/>
      <c r="E167" s="103"/>
      <c r="F167" s="103"/>
      <c r="G167" s="104"/>
      <c r="H167" s="30"/>
      <c r="I167" s="114"/>
      <c r="J167" s="114"/>
      <c r="K167" s="114"/>
      <c r="L167" s="115"/>
      <c r="M167" s="116"/>
      <c r="N167" s="103"/>
      <c r="O167" s="115"/>
      <c r="P167" s="114"/>
      <c r="Q167" s="114"/>
      <c r="R167" s="114"/>
      <c r="S167" s="120">
        <f>+S148+S141+S117+S101+S94+S79+S65+S61+S29+S19+S12+S6</f>
        <v>17297479.715964</v>
      </c>
      <c r="T167" s="120">
        <f>+T148+T141+T117+T101+T94+T79+T61+T65+T29+T19+T12+T6</f>
        <v>17926180.9428176</v>
      </c>
      <c r="U167" s="121">
        <f>+U148+U141+U117+U101+U94+U79+U61+U65+U29+U19+U12+U6</f>
        <v>17119960.9819645</v>
      </c>
      <c r="V167" s="120">
        <f t="shared" si="117"/>
        <v>-177518.733999502</v>
      </c>
      <c r="W167" s="122">
        <f t="shared" si="118"/>
        <v>-806219.9608531</v>
      </c>
      <c r="X167" s="123">
        <f t="shared" si="140"/>
        <v>-806219.960853066</v>
      </c>
      <c r="Y167" s="127"/>
    </row>
    <row r="168" s="5" customFormat="1" ht="20" customHeight="1" spans="1:25">
      <c r="A168" s="100"/>
      <c r="B168" s="101"/>
      <c r="C168" s="102" t="s">
        <v>474</v>
      </c>
      <c r="D168" s="101"/>
      <c r="E168" s="103"/>
      <c r="F168" s="103"/>
      <c r="G168" s="104"/>
      <c r="H168" s="30"/>
      <c r="I168" s="114"/>
      <c r="J168" s="114"/>
      <c r="K168" s="114"/>
      <c r="L168" s="115"/>
      <c r="M168" s="116"/>
      <c r="N168" s="103"/>
      <c r="O168" s="115"/>
      <c r="P168" s="114"/>
      <c r="Q168" s="114"/>
      <c r="R168" s="114"/>
      <c r="S168" s="120">
        <f t="shared" ref="S168:U168" si="143">SUM(S170:S213)</f>
        <v>4089040.989054</v>
      </c>
      <c r="T168" s="120">
        <f t="shared" si="143"/>
        <v>4325845.56950185</v>
      </c>
      <c r="U168" s="121">
        <f t="shared" si="143"/>
        <v>4187424.2668186</v>
      </c>
      <c r="V168" s="120">
        <f t="shared" si="117"/>
        <v>98383.2777645998</v>
      </c>
      <c r="W168" s="122">
        <f t="shared" si="118"/>
        <v>-138421.30268325</v>
      </c>
      <c r="X168" s="123">
        <f t="shared" si="140"/>
        <v>-138421.30268325</v>
      </c>
      <c r="Y168" s="127"/>
    </row>
    <row r="169" s="6" customFormat="1" ht="26" customHeight="1" spans="1:25">
      <c r="A169" s="105">
        <v>1</v>
      </c>
      <c r="B169" s="106"/>
      <c r="C169" s="107" t="s">
        <v>475</v>
      </c>
      <c r="D169" s="108"/>
      <c r="E169" s="109"/>
      <c r="F169" s="109"/>
      <c r="G169" s="110"/>
      <c r="H169" s="30"/>
      <c r="I169" s="117"/>
      <c r="J169" s="117"/>
      <c r="K169" s="117"/>
      <c r="L169" s="118"/>
      <c r="M169" s="119"/>
      <c r="N169" s="109"/>
      <c r="O169" s="118"/>
      <c r="P169" s="117"/>
      <c r="Q169" s="117"/>
      <c r="R169" s="117"/>
      <c r="S169" s="44"/>
      <c r="T169" s="44"/>
      <c r="U169" s="124"/>
      <c r="V169" s="44"/>
      <c r="W169" s="125"/>
      <c r="X169" s="126"/>
      <c r="Y169" s="128"/>
    </row>
    <row r="170" s="6" customFormat="1" ht="23" customHeight="1" spans="1:25">
      <c r="A170" s="105" t="s">
        <v>476</v>
      </c>
      <c r="B170" s="111" t="s">
        <v>470</v>
      </c>
      <c r="C170" s="112" t="s">
        <v>477</v>
      </c>
      <c r="D170" s="113"/>
      <c r="E170" s="109"/>
      <c r="F170" s="109"/>
      <c r="G170" s="110"/>
      <c r="H170" s="30"/>
      <c r="I170" s="117"/>
      <c r="J170" s="117"/>
      <c r="K170" s="117"/>
      <c r="L170" s="118"/>
      <c r="M170" s="119"/>
      <c r="N170" s="109"/>
      <c r="O170" s="118"/>
      <c r="P170" s="117"/>
      <c r="Q170" s="117"/>
      <c r="R170" s="117"/>
      <c r="S170" s="44">
        <v>703317.31</v>
      </c>
      <c r="T170" s="44">
        <v>703317.31</v>
      </c>
      <c r="U170" s="124">
        <v>703317.31</v>
      </c>
      <c r="V170" s="73">
        <f t="shared" ref="V170:V174" si="144">U170-S170</f>
        <v>0</v>
      </c>
      <c r="W170" s="74">
        <f t="shared" ref="W170:W174" si="145">+U170-T170</f>
        <v>0</v>
      </c>
      <c r="X170" s="126"/>
      <c r="Y170" s="128"/>
    </row>
    <row r="171" s="2" customFormat="1" ht="41.25" customHeight="1" spans="1:25">
      <c r="A171" s="27">
        <v>150</v>
      </c>
      <c r="B171" s="29" t="s">
        <v>478</v>
      </c>
      <c r="C171" s="29" t="s">
        <v>479</v>
      </c>
      <c r="D171" s="29" t="s">
        <v>480</v>
      </c>
      <c r="E171" s="28" t="s">
        <v>52</v>
      </c>
      <c r="F171" s="28">
        <v>639.8</v>
      </c>
      <c r="G171" s="31">
        <v>645.1</v>
      </c>
      <c r="H171" s="32">
        <v>645.1</v>
      </c>
      <c r="I171" s="31">
        <f t="shared" ref="I171:I174" si="146">G171-F171</f>
        <v>5.30000000000007</v>
      </c>
      <c r="J171" s="31">
        <f t="shared" ref="J171:J174" si="147">H171-F171</f>
        <v>5.30000000000007</v>
      </c>
      <c r="K171" s="31">
        <f t="shared" ref="K171:K174" si="148">+H171-G171</f>
        <v>0</v>
      </c>
      <c r="L171" s="49">
        <f t="shared" ref="L171:L174" si="149">I171/F171</f>
        <v>0.00828383869959373</v>
      </c>
      <c r="M171" s="28">
        <v>69.7</v>
      </c>
      <c r="N171" s="31">
        <v>75.62</v>
      </c>
      <c r="O171" s="49">
        <f t="shared" ref="O171:O174" si="150">(M171-N171)/N171</f>
        <v>-0.0782861676805078</v>
      </c>
      <c r="P171" s="31">
        <f t="shared" ref="P171:P174" si="151">N171*0.9056*0.85</f>
        <v>58.2092512</v>
      </c>
      <c r="Q171" s="31">
        <f t="shared" ref="Q171:Q174" si="152">N171*1.15</f>
        <v>86.963</v>
      </c>
      <c r="R171" s="31">
        <f t="shared" ref="R171:R174" si="153">IF(M171&lt;N171*0.9056*0.85,N171*0.9056*0.85,IF(M171&gt;N171*1.15,N171*1.15,M171))</f>
        <v>69.7</v>
      </c>
      <c r="S171" s="31">
        <f t="shared" ref="S171:S176" si="154">+F171*M171</f>
        <v>44594.06</v>
      </c>
      <c r="T171" s="44">
        <f t="shared" ref="T171:T176" si="155">S171+R171*I171</f>
        <v>44963.47</v>
      </c>
      <c r="U171" s="74">
        <f t="shared" ref="U171:U174" si="156">S171+R171*J171</f>
        <v>44963.47</v>
      </c>
      <c r="V171" s="73">
        <f t="shared" si="144"/>
        <v>369.410000000003</v>
      </c>
      <c r="W171" s="74">
        <f t="shared" si="145"/>
        <v>0</v>
      </c>
      <c r="X171" s="76">
        <f t="shared" ref="X171:X174" si="157">+U171-T171</f>
        <v>0</v>
      </c>
      <c r="Y171" s="82"/>
    </row>
    <row r="172" ht="41.25" customHeight="1" spans="1:25">
      <c r="A172" s="27">
        <v>151</v>
      </c>
      <c r="B172" s="29" t="s">
        <v>481</v>
      </c>
      <c r="C172" s="29" t="s">
        <v>479</v>
      </c>
      <c r="D172" s="29" t="s">
        <v>482</v>
      </c>
      <c r="E172" s="28" t="s">
        <v>52</v>
      </c>
      <c r="F172" s="28">
        <v>8201.8</v>
      </c>
      <c r="G172" s="31">
        <v>8699.7924</v>
      </c>
      <c r="H172" s="32">
        <v>8699.7924</v>
      </c>
      <c r="I172" s="31">
        <f t="shared" si="146"/>
        <v>497.992400000001</v>
      </c>
      <c r="J172" s="31">
        <f t="shared" si="147"/>
        <v>497.992400000001</v>
      </c>
      <c r="K172" s="31">
        <f t="shared" si="148"/>
        <v>0</v>
      </c>
      <c r="L172" s="49">
        <f t="shared" si="149"/>
        <v>0.0607174522665758</v>
      </c>
      <c r="M172" s="28">
        <v>65.35</v>
      </c>
      <c r="N172" s="31">
        <v>70.8</v>
      </c>
      <c r="O172" s="49">
        <f t="shared" si="150"/>
        <v>-0.0769774011299435</v>
      </c>
      <c r="P172" s="31">
        <f t="shared" si="151"/>
        <v>54.499008</v>
      </c>
      <c r="Q172" s="31">
        <f t="shared" si="152"/>
        <v>81.42</v>
      </c>
      <c r="R172" s="31">
        <f t="shared" si="153"/>
        <v>65.35</v>
      </c>
      <c r="S172" s="31">
        <f t="shared" si="154"/>
        <v>535987.63</v>
      </c>
      <c r="T172" s="44">
        <f t="shared" si="155"/>
        <v>568531.43334</v>
      </c>
      <c r="U172" s="74">
        <f t="shared" si="156"/>
        <v>568531.43334</v>
      </c>
      <c r="V172" s="73">
        <f t="shared" si="144"/>
        <v>32543.80334</v>
      </c>
      <c r="W172" s="74">
        <f t="shared" si="145"/>
        <v>0</v>
      </c>
      <c r="X172" s="76">
        <f t="shared" si="157"/>
        <v>0</v>
      </c>
      <c r="Y172" s="82"/>
    </row>
    <row r="173" ht="41.25" customHeight="1" spans="1:25">
      <c r="A173" s="27">
        <v>152</v>
      </c>
      <c r="B173" s="29" t="s">
        <v>483</v>
      </c>
      <c r="C173" s="29" t="s">
        <v>479</v>
      </c>
      <c r="D173" s="29" t="s">
        <v>484</v>
      </c>
      <c r="E173" s="28" t="s">
        <v>52</v>
      </c>
      <c r="F173" s="28">
        <v>704.64</v>
      </c>
      <c r="G173" s="31">
        <v>836.1376</v>
      </c>
      <c r="H173" s="32">
        <v>836.1376</v>
      </c>
      <c r="I173" s="31">
        <f t="shared" si="146"/>
        <v>131.4976</v>
      </c>
      <c r="J173" s="31">
        <f t="shared" si="147"/>
        <v>131.4976</v>
      </c>
      <c r="K173" s="31">
        <f t="shared" si="148"/>
        <v>0</v>
      </c>
      <c r="L173" s="49">
        <f t="shared" si="149"/>
        <v>0.186616712079927</v>
      </c>
      <c r="M173" s="28">
        <v>50.23</v>
      </c>
      <c r="N173" s="31">
        <v>54.32</v>
      </c>
      <c r="O173" s="49">
        <f t="shared" si="150"/>
        <v>-0.0752945508100148</v>
      </c>
      <c r="P173" s="31">
        <f t="shared" si="151"/>
        <v>41.8133632</v>
      </c>
      <c r="Q173" s="31">
        <f t="shared" si="152"/>
        <v>62.468</v>
      </c>
      <c r="R173" s="31">
        <f t="shared" si="153"/>
        <v>50.23</v>
      </c>
      <c r="S173" s="31">
        <f t="shared" si="154"/>
        <v>35394.0672</v>
      </c>
      <c r="T173" s="44">
        <f t="shared" si="155"/>
        <v>41999.191648</v>
      </c>
      <c r="U173" s="74">
        <f t="shared" si="156"/>
        <v>41999.191648</v>
      </c>
      <c r="V173" s="73">
        <f t="shared" si="144"/>
        <v>6605.124448</v>
      </c>
      <c r="W173" s="74">
        <f t="shared" si="145"/>
        <v>0</v>
      </c>
      <c r="X173" s="76">
        <f t="shared" si="157"/>
        <v>0</v>
      </c>
      <c r="Y173" s="82"/>
    </row>
    <row r="174" ht="28.5" customHeight="1" spans="1:25">
      <c r="A174" s="27">
        <v>153</v>
      </c>
      <c r="B174" s="29" t="s">
        <v>485</v>
      </c>
      <c r="C174" s="29" t="s">
        <v>486</v>
      </c>
      <c r="D174" s="29" t="s">
        <v>487</v>
      </c>
      <c r="E174" s="28" t="s">
        <v>88</v>
      </c>
      <c r="F174" s="28">
        <v>24.003</v>
      </c>
      <c r="G174" s="31">
        <v>24.003</v>
      </c>
      <c r="H174" s="32">
        <v>24.003</v>
      </c>
      <c r="I174" s="31">
        <f t="shared" si="146"/>
        <v>0</v>
      </c>
      <c r="J174" s="31">
        <f t="shared" si="147"/>
        <v>0</v>
      </c>
      <c r="K174" s="31">
        <f t="shared" si="148"/>
        <v>0</v>
      </c>
      <c r="L174" s="49">
        <f t="shared" si="149"/>
        <v>0</v>
      </c>
      <c r="M174" s="28">
        <v>6313.66</v>
      </c>
      <c r="N174" s="31">
        <v>6000</v>
      </c>
      <c r="O174" s="49">
        <f t="shared" si="150"/>
        <v>0.0522766666666666</v>
      </c>
      <c r="P174" s="31">
        <f t="shared" si="151"/>
        <v>4618.56</v>
      </c>
      <c r="Q174" s="31">
        <f t="shared" si="152"/>
        <v>6900</v>
      </c>
      <c r="R174" s="31">
        <f t="shared" si="153"/>
        <v>6313.66</v>
      </c>
      <c r="S174" s="31">
        <f t="shared" si="154"/>
        <v>151546.78098</v>
      </c>
      <c r="T174" s="44">
        <f t="shared" si="155"/>
        <v>151546.78098</v>
      </c>
      <c r="U174" s="74">
        <f t="shared" si="156"/>
        <v>151546.78098</v>
      </c>
      <c r="V174" s="73">
        <f t="shared" si="144"/>
        <v>0</v>
      </c>
      <c r="W174" s="74">
        <f t="shared" si="145"/>
        <v>0</v>
      </c>
      <c r="X174" s="76">
        <f t="shared" si="157"/>
        <v>0</v>
      </c>
      <c r="Y174" s="82"/>
    </row>
    <row r="175" ht="28.5" customHeight="1" spans="1:26">
      <c r="A175" s="27"/>
      <c r="B175" s="29"/>
      <c r="C175" s="29" t="s">
        <v>488</v>
      </c>
      <c r="D175" s="29"/>
      <c r="E175" s="28"/>
      <c r="F175" s="31"/>
      <c r="G175" s="31"/>
      <c r="H175" s="30"/>
      <c r="I175" s="31"/>
      <c r="J175" s="31"/>
      <c r="K175" s="31"/>
      <c r="L175" s="49"/>
      <c r="M175" s="28"/>
      <c r="N175" s="28"/>
      <c r="O175" s="49"/>
      <c r="P175" s="31"/>
      <c r="Q175" s="31"/>
      <c r="R175" s="31"/>
      <c r="S175" s="31"/>
      <c r="T175" s="73"/>
      <c r="U175" s="74"/>
      <c r="V175" s="73"/>
      <c r="W175" s="74"/>
      <c r="X175" s="75"/>
      <c r="Y175" s="82"/>
      <c r="Z175" s="129"/>
    </row>
    <row r="176" s="2" customFormat="1" ht="28.5" customHeight="1" spans="1:25">
      <c r="A176" s="27">
        <v>154</v>
      </c>
      <c r="B176" s="29" t="s">
        <v>489</v>
      </c>
      <c r="C176" s="29" t="s">
        <v>490</v>
      </c>
      <c r="D176" s="29" t="s">
        <v>491</v>
      </c>
      <c r="E176" s="28" t="s">
        <v>52</v>
      </c>
      <c r="F176" s="28">
        <v>7803.84</v>
      </c>
      <c r="G176" s="31">
        <v>6989.4478</v>
      </c>
      <c r="H176" s="32">
        <v>6989.4478</v>
      </c>
      <c r="I176" s="31">
        <f t="shared" ref="I176:I213" si="158">G176-F176</f>
        <v>-814.3922</v>
      </c>
      <c r="J176" s="31">
        <f t="shared" ref="J176:J213" si="159">H176-F176</f>
        <v>-814.3922</v>
      </c>
      <c r="K176" s="31">
        <f t="shared" ref="K176:K213" si="160">+H176-G176</f>
        <v>0</v>
      </c>
      <c r="L176" s="49">
        <f t="shared" ref="L176:L213" si="161">I176/F176</f>
        <v>-0.10435788022307</v>
      </c>
      <c r="M176" s="28">
        <v>14.69</v>
      </c>
      <c r="N176" s="28">
        <v>16.25</v>
      </c>
      <c r="O176" s="49">
        <f t="shared" ref="O176:O213" si="162">(M176-N176)/N176</f>
        <v>-0.096</v>
      </c>
      <c r="P176" s="31">
        <f t="shared" ref="P176:P213" si="163">N176*0.9056*0.85</f>
        <v>12.5086</v>
      </c>
      <c r="Q176" s="31">
        <f t="shared" ref="Q176:Q213" si="164">N176*1.15</f>
        <v>18.6875</v>
      </c>
      <c r="R176" s="31">
        <f t="shared" ref="R176:R213" si="165">IF(M176&lt;N176*0.9056*0.85,N176*0.9056*0.85,IF(M176&gt;N176*1.15,N176*1.15,M176))</f>
        <v>14.69</v>
      </c>
      <c r="S176" s="31">
        <f t="shared" si="154"/>
        <v>114638.4096</v>
      </c>
      <c r="T176" s="44">
        <f t="shared" si="155"/>
        <v>102674.988182</v>
      </c>
      <c r="U176" s="74">
        <f t="shared" ref="U176:U213" si="166">S176+R176*J176</f>
        <v>102674.988182</v>
      </c>
      <c r="V176" s="73">
        <f t="shared" ref="V176:V216" si="167">U176-S176</f>
        <v>-11963.421418</v>
      </c>
      <c r="W176" s="74">
        <f t="shared" ref="W176:W216" si="168">+U176-T176</f>
        <v>0</v>
      </c>
      <c r="X176" s="76">
        <f t="shared" ref="X176:X216" si="169">+U176-T176</f>
        <v>0</v>
      </c>
      <c r="Y176" s="82"/>
    </row>
    <row r="177" ht="28.5" customHeight="1" spans="1:25">
      <c r="A177" s="27">
        <v>155</v>
      </c>
      <c r="B177" s="29" t="s">
        <v>492</v>
      </c>
      <c r="C177" s="29" t="s">
        <v>490</v>
      </c>
      <c r="D177" s="29" t="s">
        <v>493</v>
      </c>
      <c r="E177" s="28" t="s">
        <v>52</v>
      </c>
      <c r="F177" s="28">
        <v>742.81</v>
      </c>
      <c r="G177" s="31">
        <v>224.1375</v>
      </c>
      <c r="H177" s="32">
        <v>224.1375</v>
      </c>
      <c r="I177" s="31">
        <f t="shared" si="158"/>
        <v>-518.6725</v>
      </c>
      <c r="J177" s="31">
        <f t="shared" si="159"/>
        <v>-518.6725</v>
      </c>
      <c r="K177" s="31">
        <f t="shared" si="160"/>
        <v>0</v>
      </c>
      <c r="L177" s="49">
        <f t="shared" si="161"/>
        <v>-0.698257293251302</v>
      </c>
      <c r="M177" s="28">
        <v>19.66</v>
      </c>
      <c r="N177" s="28">
        <v>21.74</v>
      </c>
      <c r="O177" s="49">
        <f t="shared" si="162"/>
        <v>-0.0956761729530818</v>
      </c>
      <c r="P177" s="31">
        <f t="shared" si="163"/>
        <v>16.7345824</v>
      </c>
      <c r="Q177" s="31">
        <f t="shared" si="164"/>
        <v>25.001</v>
      </c>
      <c r="R177" s="31">
        <f t="shared" si="165"/>
        <v>19.66</v>
      </c>
      <c r="S177" s="31">
        <f t="shared" ref="S177:S213" si="170">+F177*M177</f>
        <v>14603.6446</v>
      </c>
      <c r="T177" s="44">
        <f t="shared" ref="T177:T213" si="171">S177+R177*I177</f>
        <v>4406.54325</v>
      </c>
      <c r="U177" s="74">
        <f t="shared" si="166"/>
        <v>4406.54325</v>
      </c>
      <c r="V177" s="73">
        <f t="shared" si="167"/>
        <v>-10197.10135</v>
      </c>
      <c r="W177" s="74">
        <f t="shared" si="168"/>
        <v>0</v>
      </c>
      <c r="X177" s="76">
        <f t="shared" si="169"/>
        <v>0</v>
      </c>
      <c r="Y177" s="82"/>
    </row>
    <row r="178" ht="28.5" customHeight="1" spans="1:25">
      <c r="A178" s="27">
        <v>156</v>
      </c>
      <c r="B178" s="29" t="s">
        <v>494</v>
      </c>
      <c r="C178" s="29" t="s">
        <v>490</v>
      </c>
      <c r="D178" s="29" t="s">
        <v>495</v>
      </c>
      <c r="E178" s="28" t="s">
        <v>52</v>
      </c>
      <c r="F178" s="28">
        <v>107.7</v>
      </c>
      <c r="G178" s="31">
        <v>7.6525</v>
      </c>
      <c r="H178" s="32">
        <v>7.6525</v>
      </c>
      <c r="I178" s="31">
        <f t="shared" si="158"/>
        <v>-100.0475</v>
      </c>
      <c r="J178" s="31">
        <f t="shared" si="159"/>
        <v>-100.0475</v>
      </c>
      <c r="K178" s="31">
        <f t="shared" si="160"/>
        <v>0</v>
      </c>
      <c r="L178" s="49">
        <f t="shared" si="161"/>
        <v>-0.928946146703807</v>
      </c>
      <c r="M178" s="28">
        <v>34.57</v>
      </c>
      <c r="N178" s="28">
        <v>38.2</v>
      </c>
      <c r="O178" s="49">
        <f t="shared" si="162"/>
        <v>-0.0950261780104713</v>
      </c>
      <c r="P178" s="31">
        <f t="shared" si="163"/>
        <v>29.404832</v>
      </c>
      <c r="Q178" s="31">
        <f t="shared" si="164"/>
        <v>43.93</v>
      </c>
      <c r="R178" s="31">
        <f t="shared" si="165"/>
        <v>34.57</v>
      </c>
      <c r="S178" s="31">
        <f t="shared" si="170"/>
        <v>3723.189</v>
      </c>
      <c r="T178" s="44">
        <f t="shared" si="171"/>
        <v>264.546925</v>
      </c>
      <c r="U178" s="74">
        <f t="shared" si="166"/>
        <v>264.546925</v>
      </c>
      <c r="V178" s="73">
        <f t="shared" si="167"/>
        <v>-3458.642075</v>
      </c>
      <c r="W178" s="74">
        <f t="shared" si="168"/>
        <v>0</v>
      </c>
      <c r="X178" s="76">
        <f t="shared" si="169"/>
        <v>0</v>
      </c>
      <c r="Y178" s="82"/>
    </row>
    <row r="179" ht="28.5" customHeight="1" spans="1:25">
      <c r="A179" s="27">
        <v>157</v>
      </c>
      <c r="B179" s="29" t="s">
        <v>496</v>
      </c>
      <c r="C179" s="29" t="s">
        <v>490</v>
      </c>
      <c r="D179" s="29" t="s">
        <v>497</v>
      </c>
      <c r="E179" s="28" t="s">
        <v>52</v>
      </c>
      <c r="F179" s="28">
        <v>198.87</v>
      </c>
      <c r="G179" s="31">
        <v>74.6111</v>
      </c>
      <c r="H179" s="32">
        <v>74.6111</v>
      </c>
      <c r="I179" s="31">
        <f t="shared" si="158"/>
        <v>-124.2589</v>
      </c>
      <c r="J179" s="31">
        <f t="shared" si="159"/>
        <v>-124.2589</v>
      </c>
      <c r="K179" s="31">
        <f t="shared" si="160"/>
        <v>0</v>
      </c>
      <c r="L179" s="49">
        <f t="shared" si="161"/>
        <v>-0.624824759893398</v>
      </c>
      <c r="M179" s="28">
        <v>49.49</v>
      </c>
      <c r="N179" s="28">
        <v>54.67</v>
      </c>
      <c r="O179" s="49">
        <f t="shared" si="162"/>
        <v>-0.0947503201024328</v>
      </c>
      <c r="P179" s="31">
        <f t="shared" si="163"/>
        <v>42.0827792</v>
      </c>
      <c r="Q179" s="31">
        <f t="shared" si="164"/>
        <v>62.8705</v>
      </c>
      <c r="R179" s="31">
        <f t="shared" si="165"/>
        <v>49.49</v>
      </c>
      <c r="S179" s="31">
        <f t="shared" si="170"/>
        <v>9842.0763</v>
      </c>
      <c r="T179" s="44">
        <f t="shared" si="171"/>
        <v>3692.503339</v>
      </c>
      <c r="U179" s="74">
        <f t="shared" si="166"/>
        <v>3692.503339</v>
      </c>
      <c r="V179" s="73">
        <f t="shared" si="167"/>
        <v>-6149.572961</v>
      </c>
      <c r="W179" s="74">
        <f t="shared" si="168"/>
        <v>0</v>
      </c>
      <c r="X179" s="76">
        <f t="shared" si="169"/>
        <v>0</v>
      </c>
      <c r="Y179" s="82"/>
    </row>
    <row r="180" ht="28.5" customHeight="1" spans="1:25">
      <c r="A180" s="27">
        <v>158</v>
      </c>
      <c r="B180" s="29" t="s">
        <v>498</v>
      </c>
      <c r="C180" s="29" t="s">
        <v>499</v>
      </c>
      <c r="D180" s="29" t="s">
        <v>500</v>
      </c>
      <c r="E180" s="28" t="s">
        <v>52</v>
      </c>
      <c r="F180" s="28">
        <v>1485.61</v>
      </c>
      <c r="G180" s="31">
        <v>1344.767</v>
      </c>
      <c r="H180" s="32">
        <v>1344.767</v>
      </c>
      <c r="I180" s="31">
        <f t="shared" si="158"/>
        <v>-140.843</v>
      </c>
      <c r="J180" s="31">
        <f t="shared" si="159"/>
        <v>-140.843</v>
      </c>
      <c r="K180" s="31">
        <f t="shared" si="160"/>
        <v>0</v>
      </c>
      <c r="L180" s="49">
        <f t="shared" si="161"/>
        <v>-0.0948048276465559</v>
      </c>
      <c r="M180" s="28">
        <v>12.36</v>
      </c>
      <c r="N180" s="28">
        <v>13.43</v>
      </c>
      <c r="O180" s="49">
        <f t="shared" si="162"/>
        <v>-0.0796723752792256</v>
      </c>
      <c r="P180" s="31">
        <f t="shared" si="163"/>
        <v>10.3378768</v>
      </c>
      <c r="Q180" s="31">
        <f t="shared" si="164"/>
        <v>15.4445</v>
      </c>
      <c r="R180" s="31">
        <f t="shared" si="165"/>
        <v>12.36</v>
      </c>
      <c r="S180" s="31">
        <f t="shared" si="170"/>
        <v>18362.1396</v>
      </c>
      <c r="T180" s="44">
        <f t="shared" si="171"/>
        <v>16621.32012</v>
      </c>
      <c r="U180" s="74">
        <f t="shared" si="166"/>
        <v>16621.32012</v>
      </c>
      <c r="V180" s="73">
        <f t="shared" si="167"/>
        <v>-1740.81948</v>
      </c>
      <c r="W180" s="74">
        <f t="shared" si="168"/>
        <v>0</v>
      </c>
      <c r="X180" s="76">
        <f t="shared" si="169"/>
        <v>0</v>
      </c>
      <c r="Y180" s="82"/>
    </row>
    <row r="181" ht="28.5" customHeight="1" spans="1:25">
      <c r="A181" s="27">
        <v>159</v>
      </c>
      <c r="B181" s="29" t="s">
        <v>501</v>
      </c>
      <c r="C181" s="29" t="s">
        <v>499</v>
      </c>
      <c r="D181" s="29" t="s">
        <v>502</v>
      </c>
      <c r="E181" s="28" t="s">
        <v>52</v>
      </c>
      <c r="F181" s="28">
        <v>215.39</v>
      </c>
      <c r="G181" s="31">
        <v>149.5525</v>
      </c>
      <c r="H181" s="32">
        <v>149.5525</v>
      </c>
      <c r="I181" s="31">
        <f t="shared" si="158"/>
        <v>-65.8375</v>
      </c>
      <c r="J181" s="31">
        <f t="shared" si="159"/>
        <v>-65.8375</v>
      </c>
      <c r="K181" s="31">
        <f t="shared" si="160"/>
        <v>0</v>
      </c>
      <c r="L181" s="49">
        <f t="shared" si="161"/>
        <v>-0.30566646548122</v>
      </c>
      <c r="M181" s="28">
        <v>20.41</v>
      </c>
      <c r="N181" s="28">
        <v>22.27</v>
      </c>
      <c r="O181" s="49">
        <f t="shared" si="162"/>
        <v>-0.0835204310731926</v>
      </c>
      <c r="P181" s="31">
        <f t="shared" si="163"/>
        <v>17.1425552</v>
      </c>
      <c r="Q181" s="31">
        <f t="shared" si="164"/>
        <v>25.6105</v>
      </c>
      <c r="R181" s="31">
        <f t="shared" si="165"/>
        <v>20.41</v>
      </c>
      <c r="S181" s="31">
        <f t="shared" si="170"/>
        <v>4396.1099</v>
      </c>
      <c r="T181" s="44">
        <f t="shared" si="171"/>
        <v>3052.366525</v>
      </c>
      <c r="U181" s="74">
        <f t="shared" si="166"/>
        <v>3052.366525</v>
      </c>
      <c r="V181" s="73">
        <f t="shared" si="167"/>
        <v>-1343.743375</v>
      </c>
      <c r="W181" s="74">
        <f t="shared" si="168"/>
        <v>0</v>
      </c>
      <c r="X181" s="76">
        <f t="shared" si="169"/>
        <v>0</v>
      </c>
      <c r="Y181" s="82"/>
    </row>
    <row r="182" ht="28.5" customHeight="1" spans="1:25">
      <c r="A182" s="27">
        <v>160</v>
      </c>
      <c r="B182" s="29" t="s">
        <v>503</v>
      </c>
      <c r="C182" s="29" t="s">
        <v>499</v>
      </c>
      <c r="D182" s="29" t="s">
        <v>504</v>
      </c>
      <c r="E182" s="28" t="s">
        <v>52</v>
      </c>
      <c r="F182" s="28">
        <v>397.73</v>
      </c>
      <c r="G182" s="31">
        <v>361.7862</v>
      </c>
      <c r="H182" s="32">
        <v>361.7862</v>
      </c>
      <c r="I182" s="31">
        <f t="shared" si="158"/>
        <v>-35.9438</v>
      </c>
      <c r="J182" s="31">
        <f t="shared" si="159"/>
        <v>-35.9438</v>
      </c>
      <c r="K182" s="31">
        <f t="shared" si="160"/>
        <v>0</v>
      </c>
      <c r="L182" s="49">
        <f t="shared" si="161"/>
        <v>-0.0903723631609383</v>
      </c>
      <c r="M182" s="28">
        <v>32.47</v>
      </c>
      <c r="N182" s="28">
        <v>35.54</v>
      </c>
      <c r="O182" s="49">
        <f t="shared" si="162"/>
        <v>-0.086381541924592</v>
      </c>
      <c r="P182" s="31">
        <f t="shared" si="163"/>
        <v>27.3572704</v>
      </c>
      <c r="Q182" s="31">
        <f t="shared" si="164"/>
        <v>40.871</v>
      </c>
      <c r="R182" s="31">
        <f t="shared" si="165"/>
        <v>32.47</v>
      </c>
      <c r="S182" s="31">
        <f t="shared" si="170"/>
        <v>12914.2931</v>
      </c>
      <c r="T182" s="44">
        <f t="shared" si="171"/>
        <v>11747.197914</v>
      </c>
      <c r="U182" s="74">
        <f t="shared" si="166"/>
        <v>11747.197914</v>
      </c>
      <c r="V182" s="73">
        <f t="shared" si="167"/>
        <v>-1167.095186</v>
      </c>
      <c r="W182" s="74">
        <f t="shared" si="168"/>
        <v>0</v>
      </c>
      <c r="X182" s="76">
        <f t="shared" si="169"/>
        <v>0</v>
      </c>
      <c r="Y182" s="82"/>
    </row>
    <row r="183" ht="28.5" customHeight="1" spans="1:25">
      <c r="A183" s="27">
        <v>161</v>
      </c>
      <c r="B183" s="29" t="s">
        <v>505</v>
      </c>
      <c r="C183" s="29" t="s">
        <v>506</v>
      </c>
      <c r="D183" s="29" t="s">
        <v>507</v>
      </c>
      <c r="E183" s="28" t="s">
        <v>508</v>
      </c>
      <c r="F183" s="28">
        <v>1</v>
      </c>
      <c r="G183" s="31">
        <v>1</v>
      </c>
      <c r="H183" s="34">
        <v>1</v>
      </c>
      <c r="I183" s="31">
        <f t="shared" si="158"/>
        <v>0</v>
      </c>
      <c r="J183" s="31">
        <f t="shared" si="159"/>
        <v>0</v>
      </c>
      <c r="K183" s="31">
        <f t="shared" si="160"/>
        <v>0</v>
      </c>
      <c r="L183" s="49">
        <f t="shared" si="161"/>
        <v>0</v>
      </c>
      <c r="M183" s="28">
        <v>2876.01</v>
      </c>
      <c r="N183" s="28">
        <v>3126.05</v>
      </c>
      <c r="O183" s="49">
        <f t="shared" si="162"/>
        <v>-0.0799859247292909</v>
      </c>
      <c r="P183" s="31">
        <f t="shared" si="163"/>
        <v>2406.308248</v>
      </c>
      <c r="Q183" s="31">
        <f t="shared" si="164"/>
        <v>3594.9575</v>
      </c>
      <c r="R183" s="31">
        <f t="shared" si="165"/>
        <v>2876.01</v>
      </c>
      <c r="S183" s="31">
        <f t="shared" si="170"/>
        <v>2876.01</v>
      </c>
      <c r="T183" s="44">
        <f t="shared" si="171"/>
        <v>2876.01</v>
      </c>
      <c r="U183" s="74">
        <f t="shared" si="166"/>
        <v>2876.01</v>
      </c>
      <c r="V183" s="73">
        <f t="shared" si="167"/>
        <v>0</v>
      </c>
      <c r="W183" s="74">
        <f t="shared" si="168"/>
        <v>0</v>
      </c>
      <c r="X183" s="76">
        <f t="shared" si="169"/>
        <v>0</v>
      </c>
      <c r="Y183" s="82"/>
    </row>
    <row r="184" ht="28.5" customHeight="1" spans="1:25">
      <c r="A184" s="27">
        <v>162</v>
      </c>
      <c r="B184" s="29" t="s">
        <v>509</v>
      </c>
      <c r="C184" s="29" t="s">
        <v>510</v>
      </c>
      <c r="D184" s="29" t="s">
        <v>511</v>
      </c>
      <c r="E184" s="28" t="s">
        <v>52</v>
      </c>
      <c r="F184" s="28">
        <v>119.5</v>
      </c>
      <c r="G184" s="31">
        <v>119.5</v>
      </c>
      <c r="H184" s="32">
        <v>119.5</v>
      </c>
      <c r="I184" s="31">
        <f t="shared" si="158"/>
        <v>0</v>
      </c>
      <c r="J184" s="31">
        <f t="shared" si="159"/>
        <v>0</v>
      </c>
      <c r="K184" s="31">
        <f t="shared" si="160"/>
        <v>0</v>
      </c>
      <c r="L184" s="49">
        <f t="shared" si="161"/>
        <v>0</v>
      </c>
      <c r="M184" s="28">
        <v>8.3</v>
      </c>
      <c r="N184" s="28">
        <v>18.05</v>
      </c>
      <c r="O184" s="49">
        <f t="shared" si="162"/>
        <v>-0.54016620498615</v>
      </c>
      <c r="P184" s="31">
        <f t="shared" si="163"/>
        <v>13.894168</v>
      </c>
      <c r="Q184" s="31">
        <f t="shared" si="164"/>
        <v>20.7575</v>
      </c>
      <c r="R184" s="31">
        <f t="shared" si="165"/>
        <v>13.894168</v>
      </c>
      <c r="S184" s="31">
        <f t="shared" si="170"/>
        <v>991.85</v>
      </c>
      <c r="T184" s="44">
        <f t="shared" si="171"/>
        <v>991.85</v>
      </c>
      <c r="U184" s="74">
        <f t="shared" si="166"/>
        <v>991.85</v>
      </c>
      <c r="V184" s="73">
        <f t="shared" si="167"/>
        <v>0</v>
      </c>
      <c r="W184" s="74">
        <f t="shared" si="168"/>
        <v>0</v>
      </c>
      <c r="X184" s="76">
        <f t="shared" si="169"/>
        <v>0</v>
      </c>
      <c r="Y184" s="82"/>
    </row>
    <row r="185" ht="18" customHeight="1" spans="1:25">
      <c r="A185" s="27">
        <v>163</v>
      </c>
      <c r="B185" s="29" t="s">
        <v>512</v>
      </c>
      <c r="C185" s="29" t="s">
        <v>513</v>
      </c>
      <c r="D185" s="29" t="s">
        <v>514</v>
      </c>
      <c r="E185" s="28" t="s">
        <v>52</v>
      </c>
      <c r="F185" s="28">
        <v>194.52</v>
      </c>
      <c r="G185" s="31">
        <v>325.81626</v>
      </c>
      <c r="H185" s="32">
        <v>310.3</v>
      </c>
      <c r="I185" s="31">
        <f t="shared" si="158"/>
        <v>131.29626</v>
      </c>
      <c r="J185" s="31">
        <f t="shared" si="159"/>
        <v>115.78</v>
      </c>
      <c r="K185" s="31">
        <f t="shared" si="160"/>
        <v>-15.51626</v>
      </c>
      <c r="L185" s="49">
        <f t="shared" si="161"/>
        <v>0.674975632325725</v>
      </c>
      <c r="M185" s="28">
        <v>31.42</v>
      </c>
      <c r="N185" s="28">
        <v>34.37</v>
      </c>
      <c r="O185" s="49">
        <f t="shared" si="162"/>
        <v>-0.0858306662787313</v>
      </c>
      <c r="P185" s="31">
        <f t="shared" si="163"/>
        <v>26.4566512</v>
      </c>
      <c r="Q185" s="31">
        <f t="shared" si="164"/>
        <v>39.5255</v>
      </c>
      <c r="R185" s="31">
        <f t="shared" si="165"/>
        <v>31.42</v>
      </c>
      <c r="S185" s="31">
        <f t="shared" si="170"/>
        <v>6111.8184</v>
      </c>
      <c r="T185" s="44">
        <f t="shared" si="171"/>
        <v>10237.1468892</v>
      </c>
      <c r="U185" s="74">
        <f t="shared" si="166"/>
        <v>9749.626</v>
      </c>
      <c r="V185" s="73">
        <f t="shared" si="167"/>
        <v>3637.8076</v>
      </c>
      <c r="W185" s="74">
        <f t="shared" si="168"/>
        <v>-487.520889199999</v>
      </c>
      <c r="X185" s="76">
        <f t="shared" si="169"/>
        <v>-487.520889199999</v>
      </c>
      <c r="Y185" s="82"/>
    </row>
    <row r="186" ht="28.5" customHeight="1" spans="1:25">
      <c r="A186" s="27">
        <v>164</v>
      </c>
      <c r="B186" s="29" t="s">
        <v>515</v>
      </c>
      <c r="C186" s="29" t="s">
        <v>513</v>
      </c>
      <c r="D186" s="29" t="s">
        <v>516</v>
      </c>
      <c r="E186" s="28" t="s">
        <v>52</v>
      </c>
      <c r="F186" s="28">
        <v>449.65</v>
      </c>
      <c r="G186" s="31">
        <v>0</v>
      </c>
      <c r="H186" s="32">
        <v>0</v>
      </c>
      <c r="I186" s="31">
        <f t="shared" si="158"/>
        <v>-449.65</v>
      </c>
      <c r="J186" s="31">
        <f t="shared" si="159"/>
        <v>-449.65</v>
      </c>
      <c r="K186" s="31">
        <f t="shared" si="160"/>
        <v>0</v>
      </c>
      <c r="L186" s="49">
        <f t="shared" si="161"/>
        <v>-1</v>
      </c>
      <c r="M186" s="28">
        <v>47.62</v>
      </c>
      <c r="N186" s="28">
        <v>54.22</v>
      </c>
      <c r="O186" s="49">
        <f t="shared" si="162"/>
        <v>-0.121726300258207</v>
      </c>
      <c r="P186" s="31">
        <f t="shared" si="163"/>
        <v>41.7363872</v>
      </c>
      <c r="Q186" s="31">
        <f t="shared" si="164"/>
        <v>62.353</v>
      </c>
      <c r="R186" s="31">
        <f t="shared" si="165"/>
        <v>47.62</v>
      </c>
      <c r="S186" s="31">
        <f t="shared" si="170"/>
        <v>21412.333</v>
      </c>
      <c r="T186" s="44">
        <f t="shared" si="171"/>
        <v>0</v>
      </c>
      <c r="U186" s="74">
        <f t="shared" si="166"/>
        <v>0</v>
      </c>
      <c r="V186" s="73">
        <f t="shared" si="167"/>
        <v>-21412.333</v>
      </c>
      <c r="W186" s="74">
        <f t="shared" si="168"/>
        <v>0</v>
      </c>
      <c r="X186" s="76">
        <f t="shared" si="169"/>
        <v>0</v>
      </c>
      <c r="Y186" s="82"/>
    </row>
    <row r="187" ht="18" customHeight="1" spans="1:25">
      <c r="A187" s="27">
        <v>165</v>
      </c>
      <c r="B187" s="29" t="s">
        <v>517</v>
      </c>
      <c r="C187" s="29" t="s">
        <v>513</v>
      </c>
      <c r="D187" s="29" t="s">
        <v>518</v>
      </c>
      <c r="E187" s="28" t="s">
        <v>52</v>
      </c>
      <c r="F187" s="28">
        <v>24.83</v>
      </c>
      <c r="G187" s="31">
        <v>35.107275</v>
      </c>
      <c r="H187" s="32">
        <v>33.44</v>
      </c>
      <c r="I187" s="31">
        <f t="shared" si="158"/>
        <v>10.277275</v>
      </c>
      <c r="J187" s="31">
        <f t="shared" si="159"/>
        <v>8.61</v>
      </c>
      <c r="K187" s="31">
        <f t="shared" si="160"/>
        <v>-1.667275</v>
      </c>
      <c r="L187" s="49">
        <f t="shared" si="161"/>
        <v>0.413905557792992</v>
      </c>
      <c r="M187" s="28">
        <v>51.46</v>
      </c>
      <c r="N187" s="28">
        <v>58.36</v>
      </c>
      <c r="O187" s="49">
        <f t="shared" si="162"/>
        <v>-0.118231665524332</v>
      </c>
      <c r="P187" s="31">
        <f t="shared" si="163"/>
        <v>44.9231936</v>
      </c>
      <c r="Q187" s="31">
        <f t="shared" si="164"/>
        <v>67.114</v>
      </c>
      <c r="R187" s="31">
        <f t="shared" si="165"/>
        <v>51.46</v>
      </c>
      <c r="S187" s="31">
        <f t="shared" si="170"/>
        <v>1277.7518</v>
      </c>
      <c r="T187" s="44">
        <f t="shared" si="171"/>
        <v>1806.6203715</v>
      </c>
      <c r="U187" s="74">
        <f t="shared" si="166"/>
        <v>1720.8224</v>
      </c>
      <c r="V187" s="73">
        <f t="shared" si="167"/>
        <v>443.0706</v>
      </c>
      <c r="W187" s="74">
        <f t="shared" si="168"/>
        <v>-85.7979714999999</v>
      </c>
      <c r="X187" s="76">
        <f t="shared" si="169"/>
        <v>-85.7979714999999</v>
      </c>
      <c r="Y187" s="82"/>
    </row>
    <row r="188" ht="28.5" customHeight="1" spans="1:25">
      <c r="A188" s="27">
        <v>166</v>
      </c>
      <c r="B188" s="29" t="s">
        <v>519</v>
      </c>
      <c r="C188" s="29" t="s">
        <v>125</v>
      </c>
      <c r="D188" s="29" t="s">
        <v>520</v>
      </c>
      <c r="E188" s="28" t="s">
        <v>52</v>
      </c>
      <c r="F188" s="28">
        <v>754.35</v>
      </c>
      <c r="G188" s="31">
        <v>459.38109</v>
      </c>
      <c r="H188" s="32">
        <v>459.38109</v>
      </c>
      <c r="I188" s="31">
        <f t="shared" si="158"/>
        <v>-294.96891</v>
      </c>
      <c r="J188" s="31">
        <f t="shared" si="159"/>
        <v>-294.96891</v>
      </c>
      <c r="K188" s="31">
        <f t="shared" si="160"/>
        <v>0</v>
      </c>
      <c r="L188" s="49">
        <f t="shared" si="161"/>
        <v>-0.39102394114138</v>
      </c>
      <c r="M188" s="28">
        <v>62.37</v>
      </c>
      <c r="N188" s="28">
        <v>67.88</v>
      </c>
      <c r="O188" s="49">
        <f t="shared" si="162"/>
        <v>-0.0811726576311137</v>
      </c>
      <c r="P188" s="31">
        <f t="shared" si="163"/>
        <v>52.2513088</v>
      </c>
      <c r="Q188" s="31">
        <f t="shared" si="164"/>
        <v>78.062</v>
      </c>
      <c r="R188" s="31">
        <f t="shared" si="165"/>
        <v>62.37</v>
      </c>
      <c r="S188" s="31">
        <f t="shared" si="170"/>
        <v>47048.8095</v>
      </c>
      <c r="T188" s="44">
        <f t="shared" si="171"/>
        <v>28651.5985833</v>
      </c>
      <c r="U188" s="74">
        <f t="shared" si="166"/>
        <v>28651.5985833</v>
      </c>
      <c r="V188" s="73">
        <f t="shared" si="167"/>
        <v>-18397.2109167</v>
      </c>
      <c r="W188" s="74">
        <f t="shared" si="168"/>
        <v>0</v>
      </c>
      <c r="X188" s="76">
        <f t="shared" si="169"/>
        <v>0</v>
      </c>
      <c r="Y188" s="82"/>
    </row>
    <row r="189" ht="28.5" customHeight="1" spans="1:25">
      <c r="A189" s="27">
        <v>167</v>
      </c>
      <c r="B189" s="29" t="s">
        <v>521</v>
      </c>
      <c r="C189" s="29" t="s">
        <v>125</v>
      </c>
      <c r="D189" s="29" t="s">
        <v>522</v>
      </c>
      <c r="E189" s="28" t="s">
        <v>52</v>
      </c>
      <c r="F189" s="28">
        <v>2599.236</v>
      </c>
      <c r="G189" s="31">
        <v>1914.876075</v>
      </c>
      <c r="H189" s="32">
        <v>1823.69</v>
      </c>
      <c r="I189" s="31">
        <f t="shared" si="158"/>
        <v>-684.359925</v>
      </c>
      <c r="J189" s="31">
        <f t="shared" si="159"/>
        <v>-775.546</v>
      </c>
      <c r="K189" s="31">
        <f t="shared" si="160"/>
        <v>-91.1860749999998</v>
      </c>
      <c r="L189" s="49">
        <f t="shared" si="161"/>
        <v>-0.263292723323315</v>
      </c>
      <c r="M189" s="28">
        <v>58.27</v>
      </c>
      <c r="N189" s="28">
        <v>63.57</v>
      </c>
      <c r="O189" s="49">
        <f t="shared" si="162"/>
        <v>-0.0833726600597766</v>
      </c>
      <c r="P189" s="31">
        <f t="shared" si="163"/>
        <v>48.9336432</v>
      </c>
      <c r="Q189" s="31">
        <f t="shared" si="164"/>
        <v>73.1055</v>
      </c>
      <c r="R189" s="31">
        <f t="shared" si="165"/>
        <v>58.27</v>
      </c>
      <c r="S189" s="31">
        <f t="shared" si="170"/>
        <v>151457.48172</v>
      </c>
      <c r="T189" s="44">
        <f t="shared" si="171"/>
        <v>111579.82889025</v>
      </c>
      <c r="U189" s="74">
        <f t="shared" si="166"/>
        <v>106266.4163</v>
      </c>
      <c r="V189" s="73">
        <f t="shared" si="167"/>
        <v>-45191.06542</v>
      </c>
      <c r="W189" s="74">
        <f t="shared" si="168"/>
        <v>-5313.41259025001</v>
      </c>
      <c r="X189" s="76">
        <f t="shared" si="169"/>
        <v>-5313.41259024999</v>
      </c>
      <c r="Y189" s="82"/>
    </row>
    <row r="190" ht="28.5" customHeight="1" spans="1:25">
      <c r="A190" s="27">
        <v>168</v>
      </c>
      <c r="B190" s="29" t="s">
        <v>523</v>
      </c>
      <c r="C190" s="29" t="s">
        <v>125</v>
      </c>
      <c r="D190" s="29" t="s">
        <v>524</v>
      </c>
      <c r="E190" s="28" t="s">
        <v>52</v>
      </c>
      <c r="F190" s="28">
        <v>17.184</v>
      </c>
      <c r="G190" s="31">
        <v>682.21104</v>
      </c>
      <c r="H190" s="32">
        <v>649.72</v>
      </c>
      <c r="I190" s="31">
        <f t="shared" si="158"/>
        <v>665.02704</v>
      </c>
      <c r="J190" s="31">
        <f t="shared" si="159"/>
        <v>632.536</v>
      </c>
      <c r="K190" s="31">
        <f t="shared" si="160"/>
        <v>-32.49104</v>
      </c>
      <c r="L190" s="49">
        <f t="shared" si="161"/>
        <v>38.7003631284916</v>
      </c>
      <c r="M190" s="28">
        <v>53.08</v>
      </c>
      <c r="N190" s="28">
        <v>57.93</v>
      </c>
      <c r="O190" s="49">
        <f t="shared" si="162"/>
        <v>-0.0837217331261868</v>
      </c>
      <c r="P190" s="31">
        <f t="shared" si="163"/>
        <v>44.5921968</v>
      </c>
      <c r="Q190" s="31">
        <f t="shared" si="164"/>
        <v>66.6195</v>
      </c>
      <c r="R190" s="31">
        <f t="shared" si="165"/>
        <v>53.08</v>
      </c>
      <c r="S190" s="31">
        <f t="shared" si="170"/>
        <v>912.12672</v>
      </c>
      <c r="T190" s="44">
        <f t="shared" si="171"/>
        <v>36211.7620032</v>
      </c>
      <c r="U190" s="74">
        <f t="shared" si="166"/>
        <v>34487.1376</v>
      </c>
      <c r="V190" s="73">
        <f t="shared" si="167"/>
        <v>33575.01088</v>
      </c>
      <c r="W190" s="74">
        <f t="shared" si="168"/>
        <v>-1724.6244032</v>
      </c>
      <c r="X190" s="76">
        <f t="shared" si="169"/>
        <v>-1724.6244032</v>
      </c>
      <c r="Y190" s="82"/>
    </row>
    <row r="191" ht="28.5" customHeight="1" spans="1:25">
      <c r="A191" s="27">
        <v>169</v>
      </c>
      <c r="B191" s="29" t="s">
        <v>525</v>
      </c>
      <c r="C191" s="29" t="s">
        <v>132</v>
      </c>
      <c r="D191" s="29" t="s">
        <v>526</v>
      </c>
      <c r="E191" s="28" t="s">
        <v>52</v>
      </c>
      <c r="F191" s="28">
        <v>105.36</v>
      </c>
      <c r="G191" s="31">
        <v>60.86409</v>
      </c>
      <c r="H191" s="32">
        <v>60.86409</v>
      </c>
      <c r="I191" s="31">
        <f t="shared" si="158"/>
        <v>-44.49591</v>
      </c>
      <c r="J191" s="31">
        <f t="shared" si="159"/>
        <v>-44.49591</v>
      </c>
      <c r="K191" s="31">
        <f t="shared" si="160"/>
        <v>0</v>
      </c>
      <c r="L191" s="49">
        <f t="shared" si="161"/>
        <v>-0.422322608200456</v>
      </c>
      <c r="M191" s="28">
        <v>78.64</v>
      </c>
      <c r="N191" s="28">
        <v>89.79</v>
      </c>
      <c r="O191" s="49">
        <f t="shared" si="162"/>
        <v>-0.124178639046664</v>
      </c>
      <c r="P191" s="31">
        <f t="shared" si="163"/>
        <v>69.1167504</v>
      </c>
      <c r="Q191" s="31">
        <f t="shared" si="164"/>
        <v>103.2585</v>
      </c>
      <c r="R191" s="31">
        <f t="shared" si="165"/>
        <v>78.64</v>
      </c>
      <c r="S191" s="31">
        <f t="shared" si="170"/>
        <v>8285.5104</v>
      </c>
      <c r="T191" s="44">
        <f t="shared" si="171"/>
        <v>4786.3520376</v>
      </c>
      <c r="U191" s="74">
        <f t="shared" si="166"/>
        <v>4786.3520376</v>
      </c>
      <c r="V191" s="73">
        <f t="shared" si="167"/>
        <v>-3499.1583624</v>
      </c>
      <c r="W191" s="74">
        <f t="shared" si="168"/>
        <v>0</v>
      </c>
      <c r="X191" s="76">
        <f t="shared" si="169"/>
        <v>0</v>
      </c>
      <c r="Y191" s="82"/>
    </row>
    <row r="192" s="2" customFormat="1" ht="28.5" customHeight="1" spans="1:25">
      <c r="A192" s="27">
        <v>170</v>
      </c>
      <c r="B192" s="29" t="s">
        <v>527</v>
      </c>
      <c r="C192" s="29" t="s">
        <v>132</v>
      </c>
      <c r="D192" s="29" t="s">
        <v>528</v>
      </c>
      <c r="E192" s="28" t="s">
        <v>52</v>
      </c>
      <c r="F192" s="28">
        <v>160.18</v>
      </c>
      <c r="G192" s="31">
        <v>147.258195</v>
      </c>
      <c r="H192" s="32">
        <v>147.258195</v>
      </c>
      <c r="I192" s="31">
        <f t="shared" si="158"/>
        <v>-12.921805</v>
      </c>
      <c r="J192" s="31">
        <f t="shared" si="159"/>
        <v>-12.921805</v>
      </c>
      <c r="K192" s="31">
        <f t="shared" si="160"/>
        <v>0</v>
      </c>
      <c r="L192" s="49">
        <f t="shared" si="161"/>
        <v>-0.0806705269072294</v>
      </c>
      <c r="M192" s="28">
        <v>74.53</v>
      </c>
      <c r="N192" s="28">
        <v>85.23</v>
      </c>
      <c r="O192" s="49">
        <f t="shared" si="162"/>
        <v>-0.125542649301889</v>
      </c>
      <c r="P192" s="31">
        <f t="shared" si="163"/>
        <v>65.6066448</v>
      </c>
      <c r="Q192" s="31">
        <f t="shared" si="164"/>
        <v>98.0145</v>
      </c>
      <c r="R192" s="31">
        <f t="shared" si="165"/>
        <v>74.53</v>
      </c>
      <c r="S192" s="31">
        <f t="shared" si="170"/>
        <v>11938.2154</v>
      </c>
      <c r="T192" s="44">
        <f t="shared" si="171"/>
        <v>10975.15327335</v>
      </c>
      <c r="U192" s="74">
        <f t="shared" si="166"/>
        <v>10975.15327335</v>
      </c>
      <c r="V192" s="73">
        <f t="shared" si="167"/>
        <v>-963.062126649998</v>
      </c>
      <c r="W192" s="74">
        <f t="shared" si="168"/>
        <v>0</v>
      </c>
      <c r="X192" s="76">
        <f t="shared" si="169"/>
        <v>0</v>
      </c>
      <c r="Y192" s="82"/>
    </row>
    <row r="193" s="2" customFormat="1" ht="28.5" customHeight="1" spans="1:25">
      <c r="A193" s="27">
        <v>171</v>
      </c>
      <c r="B193" s="29" t="s">
        <v>529</v>
      </c>
      <c r="C193" s="29" t="s">
        <v>137</v>
      </c>
      <c r="D193" s="29" t="s">
        <v>530</v>
      </c>
      <c r="E193" s="28" t="s">
        <v>52</v>
      </c>
      <c r="F193" s="28">
        <v>1955.16</v>
      </c>
      <c r="G193" s="31">
        <v>1955.16</v>
      </c>
      <c r="H193" s="32">
        <v>1689.13</v>
      </c>
      <c r="I193" s="31">
        <f t="shared" si="158"/>
        <v>0</v>
      </c>
      <c r="J193" s="31">
        <f t="shared" si="159"/>
        <v>-266.03</v>
      </c>
      <c r="K193" s="31">
        <f t="shared" si="160"/>
        <v>-266.03</v>
      </c>
      <c r="L193" s="49">
        <f t="shared" si="161"/>
        <v>0</v>
      </c>
      <c r="M193" s="28">
        <v>66.62</v>
      </c>
      <c r="N193" s="28">
        <v>78.81</v>
      </c>
      <c r="O193" s="49">
        <f t="shared" si="162"/>
        <v>-0.154675802563126</v>
      </c>
      <c r="P193" s="31">
        <f t="shared" si="163"/>
        <v>60.6647856</v>
      </c>
      <c r="Q193" s="31">
        <f t="shared" si="164"/>
        <v>90.6315</v>
      </c>
      <c r="R193" s="31">
        <f t="shared" si="165"/>
        <v>66.62</v>
      </c>
      <c r="S193" s="31">
        <f t="shared" si="170"/>
        <v>130252.7592</v>
      </c>
      <c r="T193" s="44">
        <f t="shared" si="171"/>
        <v>130252.7592</v>
      </c>
      <c r="U193" s="74">
        <f t="shared" si="166"/>
        <v>112529.8406</v>
      </c>
      <c r="V193" s="73">
        <f t="shared" si="167"/>
        <v>-17722.9186</v>
      </c>
      <c r="W193" s="74">
        <f t="shared" si="168"/>
        <v>-17722.9186</v>
      </c>
      <c r="X193" s="76">
        <f t="shared" si="169"/>
        <v>-17722.9186</v>
      </c>
      <c r="Y193" s="82"/>
    </row>
    <row r="194" s="2" customFormat="1" ht="28.5" customHeight="1" spans="1:25">
      <c r="A194" s="27">
        <v>172</v>
      </c>
      <c r="B194" s="29" t="s">
        <v>531</v>
      </c>
      <c r="C194" s="29" t="s">
        <v>137</v>
      </c>
      <c r="D194" s="29" t="s">
        <v>532</v>
      </c>
      <c r="E194" s="28" t="s">
        <v>52</v>
      </c>
      <c r="F194" s="28">
        <v>343.48</v>
      </c>
      <c r="G194" s="31">
        <v>343.48</v>
      </c>
      <c r="H194" s="32">
        <v>293.8</v>
      </c>
      <c r="I194" s="31">
        <f t="shared" si="158"/>
        <v>0</v>
      </c>
      <c r="J194" s="31">
        <f t="shared" si="159"/>
        <v>-49.68</v>
      </c>
      <c r="K194" s="31">
        <f t="shared" si="160"/>
        <v>-49.68</v>
      </c>
      <c r="L194" s="49">
        <f t="shared" si="161"/>
        <v>0</v>
      </c>
      <c r="M194" s="28">
        <v>70.72</v>
      </c>
      <c r="N194" s="28">
        <v>83.12</v>
      </c>
      <c r="O194" s="49">
        <f t="shared" si="162"/>
        <v>-0.149181905678537</v>
      </c>
      <c r="P194" s="31">
        <f t="shared" si="163"/>
        <v>63.9824512</v>
      </c>
      <c r="Q194" s="31">
        <f t="shared" si="164"/>
        <v>95.588</v>
      </c>
      <c r="R194" s="31">
        <f t="shared" si="165"/>
        <v>70.72</v>
      </c>
      <c r="S194" s="31">
        <f t="shared" si="170"/>
        <v>24290.9056</v>
      </c>
      <c r="T194" s="44">
        <f t="shared" si="171"/>
        <v>24290.9056</v>
      </c>
      <c r="U194" s="74">
        <f t="shared" si="166"/>
        <v>20777.536</v>
      </c>
      <c r="V194" s="73">
        <f t="shared" si="167"/>
        <v>-3513.3696</v>
      </c>
      <c r="W194" s="74">
        <f t="shared" si="168"/>
        <v>-3513.3696</v>
      </c>
      <c r="X194" s="76">
        <f t="shared" si="169"/>
        <v>-3513.3696</v>
      </c>
      <c r="Y194" s="82"/>
    </row>
    <row r="195" s="2" customFormat="1" ht="28.5" customHeight="1" spans="1:25">
      <c r="A195" s="27">
        <v>173</v>
      </c>
      <c r="B195" s="29" t="s">
        <v>533</v>
      </c>
      <c r="C195" s="29" t="s">
        <v>140</v>
      </c>
      <c r="D195" s="29" t="s">
        <v>534</v>
      </c>
      <c r="E195" s="28" t="s">
        <v>52</v>
      </c>
      <c r="F195" s="28">
        <v>1956.61</v>
      </c>
      <c r="G195" s="31">
        <v>2114.52465</v>
      </c>
      <c r="H195" s="32">
        <v>2013.47</v>
      </c>
      <c r="I195" s="31">
        <f t="shared" si="158"/>
        <v>157.91465</v>
      </c>
      <c r="J195" s="31">
        <f t="shared" si="159"/>
        <v>56.8600000000001</v>
      </c>
      <c r="K195" s="31">
        <f t="shared" si="160"/>
        <v>-101.05465</v>
      </c>
      <c r="L195" s="49">
        <f t="shared" si="161"/>
        <v>0.0807082913815221</v>
      </c>
      <c r="M195" s="28">
        <v>43.27</v>
      </c>
      <c r="N195" s="28">
        <v>45.5</v>
      </c>
      <c r="O195" s="49">
        <f t="shared" si="162"/>
        <v>-0.0490109890109889</v>
      </c>
      <c r="P195" s="31">
        <f t="shared" si="163"/>
        <v>35.02408</v>
      </c>
      <c r="Q195" s="31">
        <f t="shared" si="164"/>
        <v>52.325</v>
      </c>
      <c r="R195" s="31">
        <f t="shared" si="165"/>
        <v>43.27</v>
      </c>
      <c r="S195" s="31">
        <f t="shared" si="170"/>
        <v>84662.5147</v>
      </c>
      <c r="T195" s="44">
        <f t="shared" si="171"/>
        <v>91495.4816055</v>
      </c>
      <c r="U195" s="74">
        <f t="shared" si="166"/>
        <v>87122.8469</v>
      </c>
      <c r="V195" s="73">
        <f t="shared" si="167"/>
        <v>2460.3322</v>
      </c>
      <c r="W195" s="74">
        <f t="shared" si="168"/>
        <v>-4372.63470549999</v>
      </c>
      <c r="X195" s="76">
        <f t="shared" si="169"/>
        <v>-4372.63470549999</v>
      </c>
      <c r="Y195" s="82"/>
    </row>
    <row r="196" ht="28.5" customHeight="1" spans="1:25">
      <c r="A196" s="27">
        <v>174</v>
      </c>
      <c r="B196" s="29" t="s">
        <v>535</v>
      </c>
      <c r="C196" s="29" t="s">
        <v>140</v>
      </c>
      <c r="D196" s="29" t="s">
        <v>536</v>
      </c>
      <c r="E196" s="28" t="s">
        <v>52</v>
      </c>
      <c r="F196" s="28">
        <v>421.32</v>
      </c>
      <c r="G196" s="31">
        <v>418.1415</v>
      </c>
      <c r="H196" s="32">
        <v>398.23</v>
      </c>
      <c r="I196" s="31">
        <f t="shared" si="158"/>
        <v>-3.17849999999999</v>
      </c>
      <c r="J196" s="31">
        <f t="shared" si="159"/>
        <v>-23.09</v>
      </c>
      <c r="K196" s="31">
        <f t="shared" si="160"/>
        <v>-19.9115</v>
      </c>
      <c r="L196" s="49">
        <f t="shared" si="161"/>
        <v>-0.00754414696667613</v>
      </c>
      <c r="M196" s="28">
        <v>45.51</v>
      </c>
      <c r="N196" s="28">
        <v>47.89</v>
      </c>
      <c r="O196" s="49">
        <f t="shared" si="162"/>
        <v>-0.0496972228022552</v>
      </c>
      <c r="P196" s="31">
        <f t="shared" si="163"/>
        <v>36.8638064</v>
      </c>
      <c r="Q196" s="31">
        <f t="shared" si="164"/>
        <v>55.0735</v>
      </c>
      <c r="R196" s="31">
        <f t="shared" si="165"/>
        <v>45.51</v>
      </c>
      <c r="S196" s="31">
        <f t="shared" si="170"/>
        <v>19174.2732</v>
      </c>
      <c r="T196" s="44">
        <f t="shared" si="171"/>
        <v>19029.619665</v>
      </c>
      <c r="U196" s="74">
        <f t="shared" si="166"/>
        <v>18123.4473</v>
      </c>
      <c r="V196" s="73">
        <f t="shared" si="167"/>
        <v>-1050.8259</v>
      </c>
      <c r="W196" s="74">
        <f t="shared" si="168"/>
        <v>-906.172364999999</v>
      </c>
      <c r="X196" s="76">
        <f t="shared" si="169"/>
        <v>-906.172364999999</v>
      </c>
      <c r="Y196" s="82"/>
    </row>
    <row r="197" ht="28.5" customHeight="1" spans="1:25">
      <c r="A197" s="27">
        <v>175</v>
      </c>
      <c r="B197" s="29" t="s">
        <v>537</v>
      </c>
      <c r="C197" s="29" t="s">
        <v>145</v>
      </c>
      <c r="D197" s="29" t="s">
        <v>538</v>
      </c>
      <c r="E197" s="28" t="s">
        <v>52</v>
      </c>
      <c r="F197" s="28">
        <v>1188.2744</v>
      </c>
      <c r="G197" s="31">
        <v>1340.70216</v>
      </c>
      <c r="H197" s="32">
        <v>1276.86</v>
      </c>
      <c r="I197" s="31">
        <f t="shared" si="158"/>
        <v>152.42776</v>
      </c>
      <c r="J197" s="31">
        <f t="shared" si="159"/>
        <v>88.5855999999999</v>
      </c>
      <c r="K197" s="31">
        <f t="shared" si="160"/>
        <v>-63.8421600000001</v>
      </c>
      <c r="L197" s="49">
        <f t="shared" si="161"/>
        <v>0.128276566422705</v>
      </c>
      <c r="M197" s="28">
        <v>67.34</v>
      </c>
      <c r="N197" s="28">
        <v>87.18</v>
      </c>
      <c r="O197" s="49">
        <f t="shared" si="162"/>
        <v>-0.227575131910989</v>
      </c>
      <c r="P197" s="31">
        <f t="shared" si="163"/>
        <v>67.1076768</v>
      </c>
      <c r="Q197" s="31">
        <f t="shared" si="164"/>
        <v>100.257</v>
      </c>
      <c r="R197" s="31">
        <f t="shared" si="165"/>
        <v>67.34</v>
      </c>
      <c r="S197" s="31">
        <f t="shared" si="170"/>
        <v>80018.398096</v>
      </c>
      <c r="T197" s="44">
        <f t="shared" si="171"/>
        <v>90282.8834544</v>
      </c>
      <c r="U197" s="74">
        <f t="shared" si="166"/>
        <v>85983.7524</v>
      </c>
      <c r="V197" s="73">
        <f t="shared" si="167"/>
        <v>5965.35430399999</v>
      </c>
      <c r="W197" s="74">
        <f t="shared" si="168"/>
        <v>-4299.1310544</v>
      </c>
      <c r="X197" s="76">
        <f t="shared" si="169"/>
        <v>-4299.1310544</v>
      </c>
      <c r="Y197" s="82"/>
    </row>
    <row r="198" ht="28.5" customHeight="1" spans="1:25">
      <c r="A198" s="27">
        <v>176</v>
      </c>
      <c r="B198" s="29" t="s">
        <v>539</v>
      </c>
      <c r="C198" s="29" t="s">
        <v>145</v>
      </c>
      <c r="D198" s="29" t="s">
        <v>540</v>
      </c>
      <c r="E198" s="28" t="s">
        <v>52</v>
      </c>
      <c r="F198" s="28">
        <v>6368.315</v>
      </c>
      <c r="G198" s="31">
        <v>6572.669145</v>
      </c>
      <c r="H198" s="32">
        <f>8032.06-H199</f>
        <v>6171.0673</v>
      </c>
      <c r="I198" s="31">
        <f t="shared" si="158"/>
        <v>204.354145</v>
      </c>
      <c r="J198" s="31">
        <f t="shared" si="159"/>
        <v>-197.2477</v>
      </c>
      <c r="K198" s="31">
        <f t="shared" si="160"/>
        <v>-401.601845</v>
      </c>
      <c r="L198" s="49">
        <f t="shared" si="161"/>
        <v>0.0320892017747238</v>
      </c>
      <c r="M198" s="28">
        <v>59.25</v>
      </c>
      <c r="N198" s="28">
        <v>63.21</v>
      </c>
      <c r="O198" s="49">
        <f t="shared" si="162"/>
        <v>-0.0626483151400095</v>
      </c>
      <c r="P198" s="31">
        <f t="shared" si="163"/>
        <v>48.6565296</v>
      </c>
      <c r="Q198" s="31">
        <f t="shared" si="164"/>
        <v>72.6915</v>
      </c>
      <c r="R198" s="31">
        <f t="shared" si="165"/>
        <v>59.25</v>
      </c>
      <c r="S198" s="31">
        <f t="shared" si="170"/>
        <v>377322.66375</v>
      </c>
      <c r="T198" s="44">
        <f t="shared" si="171"/>
        <v>389430.64684125</v>
      </c>
      <c r="U198" s="74">
        <f t="shared" si="166"/>
        <v>365635.737525</v>
      </c>
      <c r="V198" s="73">
        <f t="shared" si="167"/>
        <v>-11686.926225</v>
      </c>
      <c r="W198" s="74">
        <f t="shared" si="168"/>
        <v>-23794.90931625</v>
      </c>
      <c r="X198" s="76">
        <f t="shared" si="169"/>
        <v>-23794.90931625</v>
      </c>
      <c r="Y198" s="82"/>
    </row>
    <row r="199" ht="28.5" customHeight="1" spans="1:25">
      <c r="A199" s="27">
        <v>177</v>
      </c>
      <c r="B199" s="29" t="s">
        <v>541</v>
      </c>
      <c r="C199" s="29" t="s">
        <v>148</v>
      </c>
      <c r="D199" s="29" t="s">
        <v>540</v>
      </c>
      <c r="E199" s="28" t="s">
        <v>52</v>
      </c>
      <c r="F199" s="28">
        <v>1772.374</v>
      </c>
      <c r="G199" s="31">
        <v>1860.9927</v>
      </c>
      <c r="H199" s="32">
        <v>1860.9927</v>
      </c>
      <c r="I199" s="31">
        <f t="shared" si="158"/>
        <v>88.6187</v>
      </c>
      <c r="J199" s="31">
        <f t="shared" si="159"/>
        <v>88.6187</v>
      </c>
      <c r="K199" s="31">
        <f t="shared" si="160"/>
        <v>0</v>
      </c>
      <c r="L199" s="49">
        <f t="shared" si="161"/>
        <v>0.05</v>
      </c>
      <c r="M199" s="28">
        <v>59.25</v>
      </c>
      <c r="N199" s="28">
        <v>72.38</v>
      </c>
      <c r="O199" s="49">
        <f t="shared" si="162"/>
        <v>-0.181403702680298</v>
      </c>
      <c r="P199" s="31">
        <f t="shared" si="163"/>
        <v>55.7152288</v>
      </c>
      <c r="Q199" s="31">
        <f t="shared" si="164"/>
        <v>83.237</v>
      </c>
      <c r="R199" s="31">
        <f t="shared" si="165"/>
        <v>59.25</v>
      </c>
      <c r="S199" s="31">
        <f t="shared" si="170"/>
        <v>105013.1595</v>
      </c>
      <c r="T199" s="44">
        <f t="shared" si="171"/>
        <v>110263.817475</v>
      </c>
      <c r="U199" s="74">
        <f t="shared" si="166"/>
        <v>110263.817475</v>
      </c>
      <c r="V199" s="73">
        <f t="shared" si="167"/>
        <v>5250.65797500001</v>
      </c>
      <c r="W199" s="74">
        <f t="shared" si="168"/>
        <v>0</v>
      </c>
      <c r="X199" s="76">
        <f t="shared" si="169"/>
        <v>0</v>
      </c>
      <c r="Y199" s="82"/>
    </row>
    <row r="200" ht="28.5" customHeight="1" spans="1:25">
      <c r="A200" s="27">
        <v>178</v>
      </c>
      <c r="B200" s="29" t="s">
        <v>542</v>
      </c>
      <c r="C200" s="29" t="s">
        <v>543</v>
      </c>
      <c r="D200" s="29" t="s">
        <v>544</v>
      </c>
      <c r="E200" s="28" t="s">
        <v>52</v>
      </c>
      <c r="F200" s="28">
        <v>1534.1</v>
      </c>
      <c r="G200" s="31">
        <v>1554.467145</v>
      </c>
      <c r="H200" s="32">
        <v>1480.28</v>
      </c>
      <c r="I200" s="31">
        <f t="shared" si="158"/>
        <v>20.3671450000002</v>
      </c>
      <c r="J200" s="31">
        <f t="shared" si="159"/>
        <v>-53.8199999999999</v>
      </c>
      <c r="K200" s="31">
        <f t="shared" si="160"/>
        <v>-74.1871450000001</v>
      </c>
      <c r="L200" s="49">
        <f t="shared" si="161"/>
        <v>0.0132762825109186</v>
      </c>
      <c r="M200" s="28">
        <v>69.21</v>
      </c>
      <c r="N200" s="28">
        <v>86.96</v>
      </c>
      <c r="O200" s="49">
        <f t="shared" si="162"/>
        <v>-0.204116835326587</v>
      </c>
      <c r="P200" s="31">
        <f t="shared" si="163"/>
        <v>66.9383296</v>
      </c>
      <c r="Q200" s="31">
        <f t="shared" si="164"/>
        <v>100.004</v>
      </c>
      <c r="R200" s="31">
        <f t="shared" si="165"/>
        <v>69.21</v>
      </c>
      <c r="S200" s="31">
        <f t="shared" si="170"/>
        <v>106175.061</v>
      </c>
      <c r="T200" s="44">
        <f t="shared" si="171"/>
        <v>107584.67110545</v>
      </c>
      <c r="U200" s="74">
        <f t="shared" si="166"/>
        <v>102450.1788</v>
      </c>
      <c r="V200" s="73">
        <f t="shared" si="167"/>
        <v>-3724.88220000001</v>
      </c>
      <c r="W200" s="74">
        <f t="shared" si="168"/>
        <v>-5134.49230545001</v>
      </c>
      <c r="X200" s="76">
        <f t="shared" si="169"/>
        <v>-5134.49230545</v>
      </c>
      <c r="Y200" s="82"/>
    </row>
    <row r="201" ht="28.5" customHeight="1" spans="1:25">
      <c r="A201" s="27">
        <v>179</v>
      </c>
      <c r="B201" s="29" t="s">
        <v>545</v>
      </c>
      <c r="C201" s="29" t="s">
        <v>543</v>
      </c>
      <c r="D201" s="29" t="s">
        <v>546</v>
      </c>
      <c r="E201" s="28" t="s">
        <v>52</v>
      </c>
      <c r="F201" s="28">
        <v>31.648</v>
      </c>
      <c r="G201" s="31">
        <v>31.16967</v>
      </c>
      <c r="H201" s="32">
        <v>29.68</v>
      </c>
      <c r="I201" s="31">
        <f t="shared" si="158"/>
        <v>-0.47833</v>
      </c>
      <c r="J201" s="31">
        <f t="shared" si="159"/>
        <v>-1.968</v>
      </c>
      <c r="K201" s="31">
        <f t="shared" si="160"/>
        <v>-1.48967</v>
      </c>
      <c r="L201" s="49">
        <f t="shared" si="161"/>
        <v>-0.015114067239636</v>
      </c>
      <c r="M201" s="28">
        <v>75.32</v>
      </c>
      <c r="N201" s="28">
        <v>79.58</v>
      </c>
      <c r="O201" s="49">
        <f t="shared" si="162"/>
        <v>-0.0535310379492335</v>
      </c>
      <c r="P201" s="31">
        <f t="shared" si="163"/>
        <v>61.2575008</v>
      </c>
      <c r="Q201" s="31">
        <f t="shared" si="164"/>
        <v>91.517</v>
      </c>
      <c r="R201" s="31">
        <f t="shared" si="165"/>
        <v>75.32</v>
      </c>
      <c r="S201" s="31">
        <f t="shared" si="170"/>
        <v>2383.72736</v>
      </c>
      <c r="T201" s="44">
        <f t="shared" si="171"/>
        <v>2347.6995444</v>
      </c>
      <c r="U201" s="74">
        <f t="shared" si="166"/>
        <v>2235.4976</v>
      </c>
      <c r="V201" s="73">
        <f t="shared" si="167"/>
        <v>-148.22976</v>
      </c>
      <c r="W201" s="74">
        <f t="shared" si="168"/>
        <v>-112.2019444</v>
      </c>
      <c r="X201" s="76">
        <f t="shared" si="169"/>
        <v>-112.2019444</v>
      </c>
      <c r="Y201" s="82"/>
    </row>
    <row r="202" ht="28.5" customHeight="1" spans="1:25">
      <c r="A202" s="27">
        <v>180</v>
      </c>
      <c r="B202" s="29" t="s">
        <v>547</v>
      </c>
      <c r="C202" s="29" t="s">
        <v>543</v>
      </c>
      <c r="D202" s="29" t="s">
        <v>548</v>
      </c>
      <c r="E202" s="28" t="s">
        <v>52</v>
      </c>
      <c r="F202" s="28">
        <v>7386.904</v>
      </c>
      <c r="G202" s="31">
        <v>8480.662155</v>
      </c>
      <c r="H202" s="32">
        <v>8076.15</v>
      </c>
      <c r="I202" s="31">
        <f t="shared" si="158"/>
        <v>1093.758155</v>
      </c>
      <c r="J202" s="31">
        <f t="shared" si="159"/>
        <v>689.245999999999</v>
      </c>
      <c r="K202" s="31">
        <f t="shared" si="160"/>
        <v>-404.512155</v>
      </c>
      <c r="L202" s="49">
        <f t="shared" si="161"/>
        <v>0.148067194998067</v>
      </c>
      <c r="M202" s="28">
        <v>61.79</v>
      </c>
      <c r="N202" s="28">
        <v>65.84</v>
      </c>
      <c r="O202" s="49">
        <f t="shared" si="162"/>
        <v>-0.0615127582017012</v>
      </c>
      <c r="P202" s="31">
        <f t="shared" si="163"/>
        <v>50.6809984</v>
      </c>
      <c r="Q202" s="31">
        <f t="shared" si="164"/>
        <v>75.716</v>
      </c>
      <c r="R202" s="31">
        <f t="shared" si="165"/>
        <v>61.79</v>
      </c>
      <c r="S202" s="31">
        <f t="shared" si="170"/>
        <v>456436.79816</v>
      </c>
      <c r="T202" s="44">
        <f t="shared" si="171"/>
        <v>524020.11455745</v>
      </c>
      <c r="U202" s="74">
        <f t="shared" si="166"/>
        <v>499025.3085</v>
      </c>
      <c r="V202" s="73">
        <f t="shared" si="167"/>
        <v>42588.51034</v>
      </c>
      <c r="W202" s="74">
        <f t="shared" si="168"/>
        <v>-24994.80605745</v>
      </c>
      <c r="X202" s="76">
        <f t="shared" si="169"/>
        <v>-24994.8060574501</v>
      </c>
      <c r="Y202" s="82"/>
    </row>
    <row r="203" ht="28.5" customHeight="1" spans="1:25">
      <c r="A203" s="27">
        <v>181</v>
      </c>
      <c r="B203" s="29" t="s">
        <v>549</v>
      </c>
      <c r="C203" s="29" t="s">
        <v>543</v>
      </c>
      <c r="D203" s="29" t="s">
        <v>550</v>
      </c>
      <c r="E203" s="28" t="s">
        <v>52</v>
      </c>
      <c r="F203" s="28">
        <v>523.652</v>
      </c>
      <c r="G203" s="31">
        <v>550.6032</v>
      </c>
      <c r="H203" s="32">
        <v>524.38</v>
      </c>
      <c r="I203" s="31">
        <f t="shared" si="158"/>
        <v>26.9512</v>
      </c>
      <c r="J203" s="31">
        <f t="shared" si="159"/>
        <v>0.727999999999952</v>
      </c>
      <c r="K203" s="31">
        <f t="shared" si="160"/>
        <v>-26.2232</v>
      </c>
      <c r="L203" s="49">
        <f t="shared" si="161"/>
        <v>0.0514677686707966</v>
      </c>
      <c r="M203" s="28">
        <v>67.9</v>
      </c>
      <c r="N203" s="28">
        <v>72.21</v>
      </c>
      <c r="O203" s="49">
        <f t="shared" si="162"/>
        <v>-0.0596870239579004</v>
      </c>
      <c r="P203" s="31">
        <f t="shared" si="163"/>
        <v>55.5843696</v>
      </c>
      <c r="Q203" s="31">
        <f t="shared" si="164"/>
        <v>83.0415</v>
      </c>
      <c r="R203" s="31">
        <f t="shared" si="165"/>
        <v>67.9</v>
      </c>
      <c r="S203" s="31">
        <f t="shared" si="170"/>
        <v>35555.9708</v>
      </c>
      <c r="T203" s="44">
        <f t="shared" si="171"/>
        <v>37385.95728</v>
      </c>
      <c r="U203" s="74">
        <f t="shared" si="166"/>
        <v>35605.402</v>
      </c>
      <c r="V203" s="73">
        <f t="shared" si="167"/>
        <v>49.4311999999991</v>
      </c>
      <c r="W203" s="74">
        <f t="shared" si="168"/>
        <v>-1780.55528</v>
      </c>
      <c r="X203" s="76">
        <f t="shared" si="169"/>
        <v>-1780.55528</v>
      </c>
      <c r="Y203" s="82"/>
    </row>
    <row r="204" ht="28.5" customHeight="1" spans="1:25">
      <c r="A204" s="27">
        <v>182</v>
      </c>
      <c r="B204" s="29" t="s">
        <v>551</v>
      </c>
      <c r="C204" s="29" t="s">
        <v>552</v>
      </c>
      <c r="D204" s="29" t="s">
        <v>548</v>
      </c>
      <c r="E204" s="28" t="s">
        <v>52</v>
      </c>
      <c r="F204" s="28">
        <v>1014.696</v>
      </c>
      <c r="G204" s="31">
        <v>488.321085</v>
      </c>
      <c r="H204" s="32">
        <v>465.07</v>
      </c>
      <c r="I204" s="31">
        <f t="shared" si="158"/>
        <v>-526.374915</v>
      </c>
      <c r="J204" s="31">
        <f t="shared" si="159"/>
        <v>-549.626</v>
      </c>
      <c r="K204" s="31">
        <f t="shared" si="160"/>
        <v>-23.251085</v>
      </c>
      <c r="L204" s="49">
        <f t="shared" si="161"/>
        <v>-0.518751345230493</v>
      </c>
      <c r="M204" s="28">
        <v>61.79</v>
      </c>
      <c r="N204" s="28">
        <v>76.23</v>
      </c>
      <c r="O204" s="49">
        <f t="shared" si="162"/>
        <v>-0.18942673488128</v>
      </c>
      <c r="P204" s="31">
        <f t="shared" si="163"/>
        <v>58.6788048</v>
      </c>
      <c r="Q204" s="31">
        <f t="shared" si="164"/>
        <v>87.6645</v>
      </c>
      <c r="R204" s="31">
        <f t="shared" si="165"/>
        <v>61.79</v>
      </c>
      <c r="S204" s="31">
        <f t="shared" si="170"/>
        <v>62698.06584</v>
      </c>
      <c r="T204" s="44">
        <f t="shared" si="171"/>
        <v>30173.35984215</v>
      </c>
      <c r="U204" s="74">
        <f t="shared" si="166"/>
        <v>28736.6753</v>
      </c>
      <c r="V204" s="73">
        <f t="shared" si="167"/>
        <v>-33961.39054</v>
      </c>
      <c r="W204" s="74">
        <f t="shared" si="168"/>
        <v>-1436.68454215</v>
      </c>
      <c r="X204" s="76">
        <f t="shared" si="169"/>
        <v>-1436.68454215</v>
      </c>
      <c r="Y204" s="82"/>
    </row>
    <row r="205" ht="28.5" customHeight="1" spans="1:25">
      <c r="A205" s="27">
        <v>183</v>
      </c>
      <c r="B205" s="29" t="s">
        <v>553</v>
      </c>
      <c r="C205" s="29" t="s">
        <v>554</v>
      </c>
      <c r="D205" s="29" t="s">
        <v>555</v>
      </c>
      <c r="E205" s="28" t="s">
        <v>52</v>
      </c>
      <c r="F205" s="28">
        <v>1556.026</v>
      </c>
      <c r="G205" s="31">
        <v>1035.73092</v>
      </c>
      <c r="H205" s="32">
        <v>1035.73092</v>
      </c>
      <c r="I205" s="31">
        <f t="shared" si="158"/>
        <v>-520.29508</v>
      </c>
      <c r="J205" s="31">
        <f t="shared" si="159"/>
        <v>-520.29508</v>
      </c>
      <c r="K205" s="31">
        <f t="shared" si="160"/>
        <v>0</v>
      </c>
      <c r="L205" s="49">
        <f t="shared" si="161"/>
        <v>-0.334374284234325</v>
      </c>
      <c r="M205" s="28">
        <v>69.35</v>
      </c>
      <c r="N205" s="28">
        <v>74.27</v>
      </c>
      <c r="O205" s="49">
        <f t="shared" si="162"/>
        <v>-0.0662447825501549</v>
      </c>
      <c r="P205" s="31">
        <f t="shared" si="163"/>
        <v>57.1700752</v>
      </c>
      <c r="Q205" s="31">
        <f t="shared" si="164"/>
        <v>85.4105</v>
      </c>
      <c r="R205" s="31">
        <f t="shared" si="165"/>
        <v>69.35</v>
      </c>
      <c r="S205" s="31">
        <f t="shared" si="170"/>
        <v>107910.4031</v>
      </c>
      <c r="T205" s="44">
        <f t="shared" si="171"/>
        <v>71827.939302</v>
      </c>
      <c r="U205" s="74">
        <f t="shared" si="166"/>
        <v>71827.939302</v>
      </c>
      <c r="V205" s="73">
        <f t="shared" si="167"/>
        <v>-36082.463798</v>
      </c>
      <c r="W205" s="74">
        <f t="shared" si="168"/>
        <v>0</v>
      </c>
      <c r="X205" s="76">
        <f t="shared" si="169"/>
        <v>0</v>
      </c>
      <c r="Y205" s="82"/>
    </row>
    <row r="206" ht="28.5" customHeight="1" spans="1:25">
      <c r="A206" s="27">
        <v>184</v>
      </c>
      <c r="B206" s="29" t="s">
        <v>556</v>
      </c>
      <c r="C206" s="29" t="s">
        <v>153</v>
      </c>
      <c r="D206" s="29" t="s">
        <v>557</v>
      </c>
      <c r="E206" s="28" t="s">
        <v>52</v>
      </c>
      <c r="F206" s="28">
        <v>357.9</v>
      </c>
      <c r="G206" s="31">
        <v>1595.685945</v>
      </c>
      <c r="H206" s="32">
        <v>1595.685945</v>
      </c>
      <c r="I206" s="31">
        <f t="shared" si="158"/>
        <v>1237.785945</v>
      </c>
      <c r="J206" s="31">
        <f t="shared" si="159"/>
        <v>1237.785945</v>
      </c>
      <c r="K206" s="31">
        <f t="shared" si="160"/>
        <v>0</v>
      </c>
      <c r="L206" s="49">
        <f t="shared" si="161"/>
        <v>3.45846869237217</v>
      </c>
      <c r="M206" s="28">
        <v>64.39</v>
      </c>
      <c r="N206" s="28">
        <v>69.66</v>
      </c>
      <c r="O206" s="49">
        <f t="shared" si="162"/>
        <v>-0.0756531725523973</v>
      </c>
      <c r="P206" s="31">
        <f t="shared" si="163"/>
        <v>53.6214816</v>
      </c>
      <c r="Q206" s="31">
        <f t="shared" si="164"/>
        <v>80.109</v>
      </c>
      <c r="R206" s="31">
        <f t="shared" si="165"/>
        <v>64.39</v>
      </c>
      <c r="S206" s="31">
        <f t="shared" si="170"/>
        <v>23045.181</v>
      </c>
      <c r="T206" s="44">
        <f t="shared" si="171"/>
        <v>102746.21799855</v>
      </c>
      <c r="U206" s="74">
        <f t="shared" si="166"/>
        <v>102746.21799855</v>
      </c>
      <c r="V206" s="73">
        <f t="shared" si="167"/>
        <v>79701.03699855</v>
      </c>
      <c r="W206" s="74">
        <f t="shared" si="168"/>
        <v>0</v>
      </c>
      <c r="X206" s="76">
        <f t="shared" si="169"/>
        <v>0</v>
      </c>
      <c r="Y206" s="82"/>
    </row>
    <row r="207" ht="28.5" customHeight="1" spans="1:25">
      <c r="A207" s="27">
        <v>185</v>
      </c>
      <c r="B207" s="29" t="s">
        <v>558</v>
      </c>
      <c r="C207" s="29" t="s">
        <v>559</v>
      </c>
      <c r="D207" s="29" t="s">
        <v>560</v>
      </c>
      <c r="E207" s="28" t="s">
        <v>52</v>
      </c>
      <c r="F207" s="28">
        <v>426</v>
      </c>
      <c r="G207" s="31">
        <v>426</v>
      </c>
      <c r="H207" s="32">
        <v>226.27</v>
      </c>
      <c r="I207" s="31">
        <f t="shared" si="158"/>
        <v>0</v>
      </c>
      <c r="J207" s="31">
        <f t="shared" si="159"/>
        <v>-199.73</v>
      </c>
      <c r="K207" s="31">
        <f t="shared" si="160"/>
        <v>-199.73</v>
      </c>
      <c r="L207" s="49">
        <f t="shared" si="161"/>
        <v>0</v>
      </c>
      <c r="M207" s="28">
        <v>48.71</v>
      </c>
      <c r="N207" s="28">
        <v>69.5</v>
      </c>
      <c r="O207" s="49">
        <f t="shared" si="162"/>
        <v>-0.299136690647482</v>
      </c>
      <c r="P207" s="31">
        <f t="shared" si="163"/>
        <v>53.49832</v>
      </c>
      <c r="Q207" s="31">
        <f t="shared" si="164"/>
        <v>79.925</v>
      </c>
      <c r="R207" s="31">
        <f t="shared" si="165"/>
        <v>53.49832</v>
      </c>
      <c r="S207" s="31">
        <f t="shared" si="170"/>
        <v>20750.46</v>
      </c>
      <c r="T207" s="44">
        <f t="shared" si="171"/>
        <v>20750.46</v>
      </c>
      <c r="U207" s="74">
        <f t="shared" si="166"/>
        <v>10065.2405464</v>
      </c>
      <c r="V207" s="73">
        <f t="shared" si="167"/>
        <v>-10685.2194536</v>
      </c>
      <c r="W207" s="74">
        <f t="shared" si="168"/>
        <v>-10685.2194536</v>
      </c>
      <c r="X207" s="76">
        <f t="shared" si="169"/>
        <v>-10685.2194536</v>
      </c>
      <c r="Y207" s="82"/>
    </row>
    <row r="208" ht="18" customHeight="1" spans="1:25">
      <c r="A208" s="27">
        <v>186</v>
      </c>
      <c r="B208" s="29" t="s">
        <v>561</v>
      </c>
      <c r="C208" s="29" t="s">
        <v>159</v>
      </c>
      <c r="D208" s="29" t="s">
        <v>562</v>
      </c>
      <c r="E208" s="28" t="s">
        <v>52</v>
      </c>
      <c r="F208" s="28">
        <v>151.22</v>
      </c>
      <c r="G208" s="31">
        <v>151.22</v>
      </c>
      <c r="H208" s="32">
        <v>103.99</v>
      </c>
      <c r="I208" s="31">
        <f t="shared" si="158"/>
        <v>0</v>
      </c>
      <c r="J208" s="31">
        <f t="shared" si="159"/>
        <v>-47.23</v>
      </c>
      <c r="K208" s="31">
        <f t="shared" si="160"/>
        <v>-47.23</v>
      </c>
      <c r="L208" s="49">
        <f t="shared" si="161"/>
        <v>0</v>
      </c>
      <c r="M208" s="28">
        <v>48.71</v>
      </c>
      <c r="N208" s="28">
        <v>69.5</v>
      </c>
      <c r="O208" s="49">
        <f t="shared" si="162"/>
        <v>-0.299136690647482</v>
      </c>
      <c r="P208" s="31">
        <f t="shared" si="163"/>
        <v>53.49832</v>
      </c>
      <c r="Q208" s="31">
        <f t="shared" si="164"/>
        <v>79.925</v>
      </c>
      <c r="R208" s="31">
        <f t="shared" si="165"/>
        <v>53.49832</v>
      </c>
      <c r="S208" s="31">
        <f t="shared" si="170"/>
        <v>7365.9262</v>
      </c>
      <c r="T208" s="44">
        <f t="shared" si="171"/>
        <v>7365.9262</v>
      </c>
      <c r="U208" s="74">
        <f t="shared" si="166"/>
        <v>4839.2005464</v>
      </c>
      <c r="V208" s="73">
        <f t="shared" si="167"/>
        <v>-2526.7256536</v>
      </c>
      <c r="W208" s="74">
        <f t="shared" si="168"/>
        <v>-2526.7256536</v>
      </c>
      <c r="X208" s="76">
        <f t="shared" si="169"/>
        <v>-2526.7256536</v>
      </c>
      <c r="Y208" s="82"/>
    </row>
    <row r="209" ht="28.5" customHeight="1" spans="1:25">
      <c r="A209" s="27">
        <v>187</v>
      </c>
      <c r="B209" s="29" t="s">
        <v>563</v>
      </c>
      <c r="C209" s="29" t="s">
        <v>564</v>
      </c>
      <c r="D209" s="29" t="s">
        <v>565</v>
      </c>
      <c r="E209" s="28" t="s">
        <v>52</v>
      </c>
      <c r="F209" s="28">
        <v>181.06</v>
      </c>
      <c r="G209" s="31">
        <v>308.4432</v>
      </c>
      <c r="H209" s="32">
        <v>308.4432</v>
      </c>
      <c r="I209" s="31">
        <f t="shared" si="158"/>
        <v>127.3832</v>
      </c>
      <c r="J209" s="31">
        <f t="shared" si="159"/>
        <v>127.3832</v>
      </c>
      <c r="K209" s="31">
        <f t="shared" si="160"/>
        <v>0</v>
      </c>
      <c r="L209" s="49">
        <f t="shared" si="161"/>
        <v>0.703541367502485</v>
      </c>
      <c r="M209" s="28">
        <v>64.39</v>
      </c>
      <c r="N209" s="28">
        <v>69.5</v>
      </c>
      <c r="O209" s="49">
        <f t="shared" si="162"/>
        <v>-0.0735251798561151</v>
      </c>
      <c r="P209" s="31">
        <f t="shared" si="163"/>
        <v>53.49832</v>
      </c>
      <c r="Q209" s="31">
        <f t="shared" si="164"/>
        <v>79.925</v>
      </c>
      <c r="R209" s="31">
        <f t="shared" si="165"/>
        <v>64.39</v>
      </c>
      <c r="S209" s="31">
        <f t="shared" si="170"/>
        <v>11658.4534</v>
      </c>
      <c r="T209" s="44">
        <f t="shared" si="171"/>
        <v>19860.657648</v>
      </c>
      <c r="U209" s="74">
        <f t="shared" si="166"/>
        <v>19860.657648</v>
      </c>
      <c r="V209" s="73">
        <f t="shared" si="167"/>
        <v>8202.204248</v>
      </c>
      <c r="W209" s="74">
        <f t="shared" si="168"/>
        <v>0</v>
      </c>
      <c r="X209" s="76">
        <f t="shared" si="169"/>
        <v>0</v>
      </c>
      <c r="Y209" s="82"/>
    </row>
    <row r="210" ht="28.5" customHeight="1" spans="1:25">
      <c r="A210" s="27">
        <v>188</v>
      </c>
      <c r="B210" s="29" t="s">
        <v>566</v>
      </c>
      <c r="C210" s="29" t="s">
        <v>567</v>
      </c>
      <c r="D210" s="29" t="s">
        <v>568</v>
      </c>
      <c r="E210" s="28" t="s">
        <v>52</v>
      </c>
      <c r="F210" s="28">
        <v>579.55</v>
      </c>
      <c r="G210" s="31">
        <v>540.66831</v>
      </c>
      <c r="H210" s="32">
        <v>514.92</v>
      </c>
      <c r="I210" s="31">
        <f t="shared" si="158"/>
        <v>-38.8816899999999</v>
      </c>
      <c r="J210" s="31">
        <f t="shared" si="159"/>
        <v>-64.63</v>
      </c>
      <c r="K210" s="31">
        <f t="shared" si="160"/>
        <v>-25.7483100000001</v>
      </c>
      <c r="L210" s="49">
        <f t="shared" si="161"/>
        <v>-0.0670894487102061</v>
      </c>
      <c r="M210" s="28">
        <v>174.23</v>
      </c>
      <c r="N210" s="28">
        <v>190.32</v>
      </c>
      <c r="O210" s="49">
        <f t="shared" si="162"/>
        <v>-0.0845418242959227</v>
      </c>
      <c r="P210" s="31">
        <f t="shared" si="163"/>
        <v>146.5007232</v>
      </c>
      <c r="Q210" s="31">
        <f t="shared" si="164"/>
        <v>218.868</v>
      </c>
      <c r="R210" s="31">
        <f t="shared" si="165"/>
        <v>174.23</v>
      </c>
      <c r="S210" s="31">
        <f t="shared" si="170"/>
        <v>100974.9965</v>
      </c>
      <c r="T210" s="44">
        <f t="shared" si="171"/>
        <v>94200.6396513</v>
      </c>
      <c r="U210" s="74">
        <f t="shared" si="166"/>
        <v>89714.5116</v>
      </c>
      <c r="V210" s="73">
        <f t="shared" si="167"/>
        <v>-11260.4849</v>
      </c>
      <c r="W210" s="74">
        <f t="shared" si="168"/>
        <v>-4486.12805130001</v>
      </c>
      <c r="X210" s="76">
        <f t="shared" si="169"/>
        <v>-4486.12805130001</v>
      </c>
      <c r="Y210" s="82"/>
    </row>
    <row r="211" s="1" customFormat="1" ht="66.75" customHeight="1" spans="1:25">
      <c r="A211" s="36">
        <v>189</v>
      </c>
      <c r="B211" s="37" t="s">
        <v>569</v>
      </c>
      <c r="C211" s="37" t="s">
        <v>570</v>
      </c>
      <c r="D211" s="37" t="s">
        <v>571</v>
      </c>
      <c r="E211" s="38" t="s">
        <v>57</v>
      </c>
      <c r="F211" s="38">
        <v>130.7376</v>
      </c>
      <c r="G211" s="39">
        <v>361.577</v>
      </c>
      <c r="H211" s="32">
        <v>361.577</v>
      </c>
      <c r="I211" s="39">
        <f t="shared" si="158"/>
        <v>230.8394</v>
      </c>
      <c r="J211" s="39">
        <f t="shared" si="159"/>
        <v>230.8394</v>
      </c>
      <c r="K211" s="39">
        <f t="shared" si="160"/>
        <v>0</v>
      </c>
      <c r="L211" s="51">
        <f t="shared" si="161"/>
        <v>1.76566955489469</v>
      </c>
      <c r="M211" s="38">
        <v>527.28</v>
      </c>
      <c r="N211" s="38">
        <v>641.05</v>
      </c>
      <c r="O211" s="51">
        <f t="shared" si="162"/>
        <v>-0.177474455970673</v>
      </c>
      <c r="P211" s="39">
        <f t="shared" si="163"/>
        <v>493.454648</v>
      </c>
      <c r="Q211" s="39">
        <f t="shared" si="164"/>
        <v>737.2075</v>
      </c>
      <c r="R211" s="39">
        <f t="shared" si="165"/>
        <v>527.28</v>
      </c>
      <c r="S211" s="39">
        <f t="shared" si="170"/>
        <v>68935.321728</v>
      </c>
      <c r="T211" s="77">
        <f t="shared" si="171"/>
        <v>190652.32056</v>
      </c>
      <c r="U211" s="74">
        <f t="shared" si="166"/>
        <v>190652.32056</v>
      </c>
      <c r="V211" s="73">
        <f t="shared" si="167"/>
        <v>121716.998832</v>
      </c>
      <c r="W211" s="74">
        <f t="shared" si="168"/>
        <v>0</v>
      </c>
      <c r="X211" s="76">
        <f t="shared" si="169"/>
        <v>0</v>
      </c>
      <c r="Y211" s="86"/>
    </row>
    <row r="212" s="1" customFormat="1" ht="28.5" customHeight="1" spans="1:25">
      <c r="A212" s="36">
        <v>190</v>
      </c>
      <c r="B212" s="37" t="s">
        <v>572</v>
      </c>
      <c r="C212" s="37" t="s">
        <v>573</v>
      </c>
      <c r="D212" s="37" t="s">
        <v>574</v>
      </c>
      <c r="E212" s="38" t="s">
        <v>52</v>
      </c>
      <c r="F212" s="38">
        <v>8993.09</v>
      </c>
      <c r="G212" s="39">
        <v>10082.59</v>
      </c>
      <c r="H212" s="32">
        <v>9367.66</v>
      </c>
      <c r="I212" s="39">
        <f t="shared" si="158"/>
        <v>1089.5</v>
      </c>
      <c r="J212" s="39">
        <f t="shared" si="159"/>
        <v>374.57</v>
      </c>
      <c r="K212" s="39">
        <f t="shared" si="160"/>
        <v>-714.93</v>
      </c>
      <c r="L212" s="51">
        <f t="shared" si="161"/>
        <v>0.121148570735976</v>
      </c>
      <c r="M212" s="38">
        <v>35.03</v>
      </c>
      <c r="N212" s="38">
        <v>37.72</v>
      </c>
      <c r="O212" s="51">
        <f t="shared" si="162"/>
        <v>-0.0713149522799575</v>
      </c>
      <c r="P212" s="39">
        <f t="shared" si="163"/>
        <v>29.0353472</v>
      </c>
      <c r="Q212" s="39">
        <f t="shared" si="164"/>
        <v>43.378</v>
      </c>
      <c r="R212" s="39">
        <f t="shared" si="165"/>
        <v>35.03</v>
      </c>
      <c r="S212" s="39">
        <f t="shared" si="170"/>
        <v>315027.9427</v>
      </c>
      <c r="T212" s="77">
        <f t="shared" si="171"/>
        <v>353193.1277</v>
      </c>
      <c r="U212" s="74">
        <f t="shared" si="166"/>
        <v>328149.1298</v>
      </c>
      <c r="V212" s="73">
        <f t="shared" si="167"/>
        <v>13121.1871</v>
      </c>
      <c r="W212" s="74">
        <f t="shared" si="168"/>
        <v>-25043.9979</v>
      </c>
      <c r="X212" s="76">
        <f t="shared" si="169"/>
        <v>-25043.9979</v>
      </c>
      <c r="Y212" s="86"/>
    </row>
    <row r="213" ht="28.5" customHeight="1" spans="1:25">
      <c r="A213" s="27">
        <v>191</v>
      </c>
      <c r="B213" s="29" t="s">
        <v>575</v>
      </c>
      <c r="C213" s="29" t="s">
        <v>576</v>
      </c>
      <c r="D213" s="29" t="s">
        <v>577</v>
      </c>
      <c r="E213" s="28" t="s">
        <v>578</v>
      </c>
      <c r="F213" s="28">
        <v>1</v>
      </c>
      <c r="G213" s="31">
        <v>1</v>
      </c>
      <c r="H213" s="34">
        <v>1</v>
      </c>
      <c r="I213" s="31">
        <f t="shared" si="158"/>
        <v>0</v>
      </c>
      <c r="J213" s="31">
        <f t="shared" si="159"/>
        <v>0</v>
      </c>
      <c r="K213" s="31">
        <f t="shared" si="160"/>
        <v>0</v>
      </c>
      <c r="L213" s="49">
        <f t="shared" si="161"/>
        <v>0</v>
      </c>
      <c r="M213" s="28">
        <v>47756.39</v>
      </c>
      <c r="N213" s="28">
        <v>88431.92</v>
      </c>
      <c r="O213" s="49">
        <f t="shared" si="162"/>
        <v>-0.459964343191915</v>
      </c>
      <c r="P213" s="31">
        <f t="shared" si="163"/>
        <v>68071.3547392</v>
      </c>
      <c r="Q213" s="31">
        <f t="shared" si="164"/>
        <v>101696.708</v>
      </c>
      <c r="R213" s="31">
        <f t="shared" si="165"/>
        <v>68071.3547392</v>
      </c>
      <c r="S213" s="31">
        <f t="shared" si="170"/>
        <v>47756.39</v>
      </c>
      <c r="T213" s="44">
        <f t="shared" si="171"/>
        <v>47756.39</v>
      </c>
      <c r="U213" s="74">
        <f t="shared" si="166"/>
        <v>47756.39</v>
      </c>
      <c r="V213" s="73">
        <f t="shared" si="167"/>
        <v>0</v>
      </c>
      <c r="W213" s="74">
        <f t="shared" si="168"/>
        <v>0</v>
      </c>
      <c r="X213" s="76">
        <f t="shared" si="169"/>
        <v>0</v>
      </c>
      <c r="Y213" s="82"/>
    </row>
    <row r="214" s="7" customFormat="1" ht="23" customHeight="1" spans="1:27">
      <c r="A214" s="130" t="s">
        <v>579</v>
      </c>
      <c r="B214" s="131"/>
      <c r="C214" s="132" t="s">
        <v>580</v>
      </c>
      <c r="D214" s="133"/>
      <c r="E214" s="134"/>
      <c r="F214" s="134"/>
      <c r="G214" s="120"/>
      <c r="H214" s="30"/>
      <c r="I214" s="134"/>
      <c r="J214" s="134"/>
      <c r="K214" s="134"/>
      <c r="L214" s="145"/>
      <c r="M214" s="134"/>
      <c r="N214" s="134"/>
      <c r="O214" s="145"/>
      <c r="P214" s="120"/>
      <c r="Q214" s="120"/>
      <c r="R214" s="120"/>
      <c r="S214" s="120">
        <f t="shared" ref="S214:U214" si="172">+S167+S168</f>
        <v>21386520.705018</v>
      </c>
      <c r="T214" s="120">
        <f t="shared" si="172"/>
        <v>22252026.5123194</v>
      </c>
      <c r="U214" s="121">
        <f t="shared" si="172"/>
        <v>21307385.2487831</v>
      </c>
      <c r="V214" s="120">
        <f t="shared" si="167"/>
        <v>-79135.4562348984</v>
      </c>
      <c r="W214" s="74">
        <f t="shared" si="168"/>
        <v>-944641.263536301</v>
      </c>
      <c r="X214" s="76">
        <f t="shared" si="169"/>
        <v>-944641.263536267</v>
      </c>
      <c r="Y214" s="151"/>
      <c r="Z214" s="152"/>
      <c r="AA214" s="2"/>
    </row>
    <row r="215" s="7" customFormat="1" ht="23" customHeight="1" spans="1:26">
      <c r="A215" s="130" t="s">
        <v>581</v>
      </c>
      <c r="B215" s="131"/>
      <c r="C215" s="132" t="s">
        <v>582</v>
      </c>
      <c r="D215" s="133"/>
      <c r="E215" s="134"/>
      <c r="F215" s="134"/>
      <c r="G215" s="120"/>
      <c r="H215" s="30"/>
      <c r="I215" s="134"/>
      <c r="J215" s="134"/>
      <c r="K215" s="134"/>
      <c r="L215" s="145"/>
      <c r="M215" s="134"/>
      <c r="N215" s="134"/>
      <c r="O215" s="145"/>
      <c r="P215" s="120"/>
      <c r="Q215" s="120"/>
      <c r="R215" s="120"/>
      <c r="S215" s="120">
        <f t="shared" ref="S215:U215" si="173">S214*0.09</f>
        <v>1924786.86345162</v>
      </c>
      <c r="T215" s="120">
        <f t="shared" si="173"/>
        <v>2002682.38610875</v>
      </c>
      <c r="U215" s="121">
        <f t="shared" si="173"/>
        <v>1917664.67239048</v>
      </c>
      <c r="V215" s="120">
        <f t="shared" si="167"/>
        <v>-7122.19106114004</v>
      </c>
      <c r="W215" s="74">
        <f t="shared" si="168"/>
        <v>-85017.71371827</v>
      </c>
      <c r="X215" s="76">
        <f t="shared" si="169"/>
        <v>-85017.7137182681</v>
      </c>
      <c r="Y215" s="151"/>
      <c r="Z215" s="152"/>
    </row>
    <row r="216" s="8" customFormat="1" ht="21" customHeight="1" spans="1:26">
      <c r="A216" s="135" t="s">
        <v>583</v>
      </c>
      <c r="B216" s="136"/>
      <c r="C216" s="137" t="s">
        <v>584</v>
      </c>
      <c r="D216" s="138"/>
      <c r="E216" s="136"/>
      <c r="F216" s="139"/>
      <c r="G216" s="140"/>
      <c r="H216" s="141"/>
      <c r="I216" s="139"/>
      <c r="J216" s="139"/>
      <c r="K216" s="139"/>
      <c r="L216" s="146"/>
      <c r="M216" s="139"/>
      <c r="N216" s="139"/>
      <c r="O216" s="146"/>
      <c r="P216" s="140"/>
      <c r="Q216" s="140"/>
      <c r="R216" s="140"/>
      <c r="S216" s="140">
        <f t="shared" ref="S216:U216" si="174">S214+S215</f>
        <v>23311307.5684696</v>
      </c>
      <c r="T216" s="147">
        <f t="shared" si="174"/>
        <v>24254708.8984282</v>
      </c>
      <c r="U216" s="148">
        <f t="shared" si="174"/>
        <v>23225049.9211736</v>
      </c>
      <c r="V216" s="149">
        <f t="shared" si="167"/>
        <v>-86257.6472960003</v>
      </c>
      <c r="W216" s="74">
        <f t="shared" si="168"/>
        <v>-1029658.9772546</v>
      </c>
      <c r="X216" s="76">
        <f t="shared" si="169"/>
        <v>-1029658.97725458</v>
      </c>
      <c r="Y216" s="153"/>
      <c r="Z216" s="154"/>
    </row>
    <row r="217" ht="12" spans="8:8">
      <c r="H217" s="142"/>
    </row>
    <row r="218" ht="12" spans="8:8">
      <c r="H218" s="142"/>
    </row>
    <row r="219" ht="12" spans="8:8">
      <c r="H219" s="142"/>
    </row>
    <row r="220" ht="12" spans="8:8">
      <c r="H220" s="142"/>
    </row>
    <row r="221" ht="12" spans="8:8">
      <c r="H221" s="142"/>
    </row>
    <row r="222" ht="12" spans="8:8">
      <c r="H222" s="142"/>
    </row>
    <row r="223" ht="12" spans="8:24">
      <c r="H223" s="142"/>
      <c r="X223" s="150">
        <f>X216/T216</f>
        <v>-0.0424519206380296</v>
      </c>
    </row>
    <row r="224" ht="12" spans="8:8">
      <c r="H224" s="142"/>
    </row>
    <row r="225" ht="12" spans="8:8">
      <c r="H225" s="142"/>
    </row>
    <row r="226" ht="12" spans="8:8">
      <c r="H226" s="142"/>
    </row>
    <row r="227" ht="12" spans="8:8">
      <c r="H227" s="142"/>
    </row>
    <row r="228" ht="12" spans="8:8">
      <c r="H228" s="142"/>
    </row>
    <row r="229" ht="12" spans="8:8">
      <c r="H229" s="142"/>
    </row>
    <row r="230" ht="12" spans="8:8">
      <c r="H230" s="142"/>
    </row>
    <row r="231" ht="12" spans="8:8">
      <c r="H231" s="142"/>
    </row>
    <row r="232" ht="12" spans="8:8">
      <c r="H232" s="142"/>
    </row>
    <row r="233" ht="12" spans="8:8">
      <c r="H233" s="142"/>
    </row>
    <row r="234" ht="12" spans="8:8">
      <c r="H234" s="142"/>
    </row>
    <row r="235" ht="12" spans="8:8">
      <c r="H235" s="142"/>
    </row>
    <row r="236" ht="12" spans="8:8">
      <c r="H236" s="142"/>
    </row>
    <row r="237" ht="12" spans="8:8">
      <c r="H237" s="142"/>
    </row>
    <row r="238" ht="12" spans="8:8">
      <c r="H238" s="142"/>
    </row>
    <row r="239" ht="12" spans="8:8">
      <c r="H239" s="142"/>
    </row>
    <row r="240" ht="12" spans="8:8">
      <c r="H240" s="142"/>
    </row>
    <row r="241" ht="12" spans="8:8">
      <c r="H241" s="142"/>
    </row>
    <row r="242" ht="12" spans="8:8">
      <c r="H242" s="142"/>
    </row>
    <row r="243" ht="12" spans="8:8">
      <c r="H243" s="142"/>
    </row>
    <row r="244" ht="12" spans="8:8">
      <c r="H244" s="142"/>
    </row>
    <row r="245" ht="12" spans="8:8">
      <c r="H245" s="143"/>
    </row>
    <row r="246" ht="12" spans="8:8">
      <c r="H246" s="143"/>
    </row>
    <row r="247" spans="8:8">
      <c r="H247" s="144"/>
    </row>
  </sheetData>
  <mergeCells count="24">
    <mergeCell ref="A1:Y1"/>
    <mergeCell ref="A2:D2"/>
    <mergeCell ref="E2:F2"/>
    <mergeCell ref="M2:Y2"/>
    <mergeCell ref="F3:L3"/>
    <mergeCell ref="M3:R3"/>
    <mergeCell ref="S3:U3"/>
    <mergeCell ref="C169:D169"/>
    <mergeCell ref="C170:D170"/>
    <mergeCell ref="C214:D214"/>
    <mergeCell ref="C215:D215"/>
    <mergeCell ref="C216:D216"/>
    <mergeCell ref="A3:A5"/>
    <mergeCell ref="B3:B5"/>
    <mergeCell ref="C3:C5"/>
    <mergeCell ref="D3:D5"/>
    <mergeCell ref="E3:E5"/>
    <mergeCell ref="V3:V4"/>
    <mergeCell ref="W3:W4"/>
    <mergeCell ref="X3:X4"/>
    <mergeCell ref="Y3:Y4"/>
    <mergeCell ref="Y7:Y11"/>
    <mergeCell ref="Z3:Z4"/>
    <mergeCell ref="AA3:AA4"/>
  </mergeCells>
  <printOptions horizontalCentered="1"/>
  <pageMargins left="0.118055555555556" right="0.118055555555556" top="0.594444444444444" bottom="0" header="0.594444444444444" footer="0"/>
  <pageSetup paperSize="9" scale="34" fitToHeight="0" orientation="portrait" horizontalDpi="600"/>
  <headerFooter/>
  <ignoredErrors>
    <ignoredError sqref="S65:T6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表-08 分部分项工程和单价措施项目清单-教学楼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MR.wang</cp:lastModifiedBy>
  <dcterms:created xsi:type="dcterms:W3CDTF">2024-05-23T10:20:00Z</dcterms:created>
  <dcterms:modified xsi:type="dcterms:W3CDTF">2025-09-27T07:29:28Z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12177318F3114CC7B61577693C28BE91_13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