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activeTab="2"/>
  </bookViews>
  <sheets>
    <sheet name="表-08 分部分项工程和单价措施项目清单-综合楼" sheetId="1" r:id="rId1"/>
    <sheet name="表-08 分部分项工程和单价措施项目清单-教学楼" sheetId="2" r:id="rId2"/>
    <sheet name="清单汇总" sheetId="3" r:id="rId3"/>
    <sheet name="合并说明" sheetId="4" r:id="rId4"/>
  </sheets>
  <definedNames>
    <definedName name="_xlnm._FilterDatabase" localSheetId="0" hidden="1">'表-08 分部分项工程和单价措施项目清单-综合楼'!$A$3:$AI$261</definedName>
    <definedName name="_xlnm.Print_Titles" localSheetId="0">'表-08 分部分项工程和单价措施项目清单-综合楼'!$1:$5</definedName>
    <definedName name="_xlnm.Print_Area" localSheetId="0">'表-08 分部分项工程和单价措施项目清单-综合楼'!$A$1:$Z$263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<sst xmlns="http://schemas.openxmlformats.org/spreadsheetml/2006/main" count="10957" uniqueCount="2803">
  <si>
    <t>工程量偏差或漏项对比表</t>
  </si>
  <si>
    <t>工程名称：综合楼</t>
  </si>
  <si>
    <t>序号</t>
  </si>
  <si>
    <t>项目编码</t>
  </si>
  <si>
    <t>项目名称</t>
  </si>
  <si>
    <t>项目特征描述</t>
  </si>
  <si>
    <t>计量单位</t>
  </si>
  <si>
    <t>工程量_合同工程量_A</t>
  </si>
  <si>
    <t>工程量_送审工程量_B</t>
  </si>
  <si>
    <t>工程量_审核工程量_C</t>
  </si>
  <si>
    <t>工程量_施工单位复核工程量</t>
  </si>
  <si>
    <t>工程量_送审增减工程量（±）_D=B-A</t>
  </si>
  <si>
    <t>工程量_增减工程量（±）_D=C-A</t>
  </si>
  <si>
    <t>工程量_核增减工程量（±）_E=C-B</t>
  </si>
  <si>
    <t>工程量_增减工程量比例（%）_E=D/A</t>
  </si>
  <si>
    <t>单价（元）_投标单价（元）_P0</t>
  </si>
  <si>
    <t>单价（元）_预算备案单价（元）_P1</t>
  </si>
  <si>
    <t>单价（元）_单价偏差率（%）_H=(P1-P0)/P1</t>
  </si>
  <si>
    <t>单价（元）_P1*L*(1-15%)_打印时隐藏</t>
  </si>
  <si>
    <t>单价（元）_P1*(1+15%)_打印时隐藏</t>
  </si>
  <si>
    <t>单价（元）_增减部分单价（元）_I</t>
  </si>
  <si>
    <t>合价（元）_合同合价（元）_J</t>
  </si>
  <si>
    <t>合价（元）_结算合价（元）_K</t>
  </si>
  <si>
    <t>合价（元）_审核合价（元）_L</t>
  </si>
  <si>
    <t>送审增减部分金额（元）_M=K-J</t>
  </si>
  <si>
    <t>审核增减部分金额（元）_N</t>
  </si>
  <si>
    <t>核增减金额（元）_O</t>
  </si>
  <si>
    <t>备注</t>
  </si>
  <si>
    <t>土石方工程</t>
  </si>
  <si>
    <t>010101001001</t>
  </si>
  <si>
    <t>平整场地</t>
  </si>
  <si>
    <t>1.平整场地</t>
  </si>
  <si>
    <t>m2</t>
  </si>
  <si>
    <t>包干</t>
  </si>
  <si>
    <t>010101002001</t>
  </si>
  <si>
    <t>挖一般土方</t>
  </si>
  <si>
    <t>1.土壤类别:综合考虑
2.挖土深度:综合考虑
3.综合考虑桩间土开挖等因素</t>
  </si>
  <si>
    <t>m3</t>
  </si>
  <si>
    <t>010101003001</t>
  </si>
  <si>
    <t>挖沟槽土方</t>
  </si>
  <si>
    <t>1.土壤类别:综合考虑
2.挖土深度:综合考虑</t>
  </si>
  <si>
    <t>010101004001</t>
  </si>
  <si>
    <t>挖基坑土方</t>
  </si>
  <si>
    <t>010103001001</t>
  </si>
  <si>
    <t>回填方</t>
  </si>
  <si>
    <t>1.填方材料品种:原土
2.密实度要求:按设计及规范要求</t>
  </si>
  <si>
    <t>010103002001</t>
  </si>
  <si>
    <t>余方弃置</t>
  </si>
  <si>
    <t>1.土方弃置
2.运距:智能渣土车运输运距综合考虑</t>
  </si>
  <si>
    <t>桩基工程</t>
  </si>
  <si>
    <t>010301002001</t>
  </si>
  <si>
    <t>预制钢筋混凝土管桩</t>
  </si>
  <si>
    <t>1.桩外径、壁厚:Φ400PHC80预应力管桩AB型壁厚95mm（综合考虑抗拔桩）
2.沉桩方法:静压
3.混凝土强度等级:C40\C30
4.填充材料种类:微膨胀混凝土
5.接桩
6.预埋钢板</t>
  </si>
  <si>
    <t>m</t>
  </si>
  <si>
    <t>010301002002</t>
  </si>
  <si>
    <t>预制钢筋混凝土管桩（试验桩）</t>
  </si>
  <si>
    <t>1.桩外径、壁厚:Φ400PHC80预应力管桩AB型壁厚95mm
2.沉桩方法:静压
3.混凝土强度等级:C40\C30
4.填充材料种类:微膨胀混凝土
5.接桩
6.预埋钢板</t>
  </si>
  <si>
    <t>010301002004</t>
  </si>
  <si>
    <t>预制钢筋混凝土管桩（送桩）</t>
  </si>
  <si>
    <t>1.桩外径、壁厚:Φ400PHC80预应力管桩AB型壁厚95mm</t>
  </si>
  <si>
    <t>010301004001</t>
  </si>
  <si>
    <t>截(凿)桩头</t>
  </si>
  <si>
    <t>1.桩类型:管桩
2.桩头截面、高度:桩径D为400
3.场外运输:综合考虑</t>
  </si>
  <si>
    <t>根</t>
  </si>
  <si>
    <t>粤010301005001</t>
  </si>
  <si>
    <t>桩尖</t>
  </si>
  <si>
    <t>1.钢桩尖制作
2.桩径:400
3.具体做法详见图纸</t>
  </si>
  <si>
    <t>个</t>
  </si>
  <si>
    <t>010515001001</t>
  </si>
  <si>
    <t>现浇构件钢筋</t>
  </si>
  <si>
    <t>1.桩头插筋</t>
  </si>
  <si>
    <t>t</t>
  </si>
  <si>
    <t>砌筑工程</t>
  </si>
  <si>
    <t>010103001002</t>
  </si>
  <si>
    <t>1.卫生间回填
2.20厚WSM15找平层
3.陶粒混凝土(水泥:陶粒=1:8)回填兼找坡
4.20厚M20水泥砂浆找平层</t>
  </si>
  <si>
    <t>010402001001</t>
  </si>
  <si>
    <t>砌块墙</t>
  </si>
  <si>
    <t>1.砌块品种、规格、强度等级:A5.0蒸压加气混凝土砌块
2.墙体类型:外墙
3.厚度:200
4.砂浆强度等级、配合比:DMM5专用砌筑砂浆</t>
  </si>
  <si>
    <t>010402001002</t>
  </si>
  <si>
    <t>1.砌块品种、规格、强度等级:A5.0蒸压加气混凝土砌块
2.墙体类型:内墙
3.厚度:200
4.砂浆强度等级、配合比:DMM5专用砌筑砂浆</t>
  </si>
  <si>
    <t>010402001004</t>
  </si>
  <si>
    <t>1.砌块品种、规格、强度等级:A5.0蒸压加气混凝土砌块
2.墙体类型:内墙
3.厚度:100
4.砂浆强度等级、配合比:DMM5专用砌筑砂浆</t>
  </si>
  <si>
    <t>010402001005</t>
  </si>
  <si>
    <t>1.砌块品种、规格、强度等级:A5.0蒸压加气混凝土砌块
2.墙体类型:装饰墙
3.厚度:100
4.砂浆强度等级、配合比:DMM5专用砌筑砂浆</t>
  </si>
  <si>
    <t>010402001006</t>
  </si>
  <si>
    <t>1.砌块品种、规格、强度等级:A5.0蒸压加气混凝土砌块
2.墙体类型:装饰墙
3.厚度:200
4.砂浆强度等级、配合比:DMM5专用砌筑砂浆</t>
  </si>
  <si>
    <t>010402001007</t>
  </si>
  <si>
    <t>1.砌块品种、规格、强度等级:MU15混凝土实心砖
2.墙体类型:女儿墙、栏板
3.厚度:200
4.砂浆强度等级、配合比:DMM10专用砌筑砂浆</t>
  </si>
  <si>
    <t>010401012001</t>
  </si>
  <si>
    <t>零星砌砖</t>
  </si>
  <si>
    <t>1.砖砌台阶
2.砂浆强度等级、配合比:WMM5专用砌筑砂浆</t>
  </si>
  <si>
    <t>010401012003</t>
  </si>
  <si>
    <t>1.台阶侧边、砖砌小步级
2.砂浆强度等级、配合比:WMM5专用砌筑砂浆</t>
  </si>
  <si>
    <t>混凝土及钢筋混凝土工程</t>
  </si>
  <si>
    <t>010501001001</t>
  </si>
  <si>
    <t>垫层</t>
  </si>
  <si>
    <t>1.垫层
2.混凝土种类:预拌混凝土
3.混凝土强度等级:C15
4.含混凝土泵送费用</t>
  </si>
  <si>
    <t>加负一层垫层</t>
  </si>
  <si>
    <t>010501005001</t>
  </si>
  <si>
    <t>桩承台基础</t>
  </si>
  <si>
    <t>1.桩承台
2.混凝土种类:预拌混凝土
3.混凝土强度等级:C35P6
4.含混凝土泵送费用</t>
  </si>
  <si>
    <t>010503001001</t>
  </si>
  <si>
    <t>基础梁</t>
  </si>
  <si>
    <t>1.基础梁
2.混凝土种类:预拌混凝土
3.混凝土强度等级:C35P6
4.含混凝土泵送费用</t>
  </si>
  <si>
    <t>010501004001</t>
  </si>
  <si>
    <t>满堂基础</t>
  </si>
  <si>
    <t>1.满堂基础
2.预拌混凝土
3.混凝土强度等级:C35P6
4.含混凝土泵送费用</t>
  </si>
  <si>
    <t>加首层集水井</t>
  </si>
  <si>
    <t>010502001005</t>
  </si>
  <si>
    <t>矩形柱、异性柱</t>
  </si>
  <si>
    <t>1.现浇建筑物混凝土矩形、多边形、异形、圆形柱、钢管柱
2.混凝土种类:预拌混凝土
3.混凝土强度等级:C30
4.含混凝土泵送费用</t>
  </si>
  <si>
    <t>010502002001</t>
  </si>
  <si>
    <t>构造柱</t>
  </si>
  <si>
    <t>1.构造柱
2.混凝土种类:预拌混凝土
3.混凝土强度等级:C25</t>
  </si>
  <si>
    <t>010505001002</t>
  </si>
  <si>
    <t>有梁板</t>
  </si>
  <si>
    <t>1.有梁板
2.混凝土种类:预拌混凝土
3.混凝土强度等级:C30
4.含混凝土泵送费用</t>
  </si>
  <si>
    <t>010505001003</t>
  </si>
  <si>
    <t>有梁板（斜板）</t>
  </si>
  <si>
    <t>010504001003</t>
  </si>
  <si>
    <t>直形墙</t>
  </si>
  <si>
    <t>1.直行墙
2.混凝土种类:预拌混凝土
3.混凝土强度等级:C30
4.含混凝土泵送费用</t>
  </si>
  <si>
    <t>010506001002</t>
  </si>
  <si>
    <t>直形楼梯</t>
  </si>
  <si>
    <t>1.混凝土种类:预拌混凝土
2.混凝土强度等级:C30
3.含混凝土泵送费用</t>
  </si>
  <si>
    <t>010505008001</t>
  </si>
  <si>
    <t>飘板</t>
  </si>
  <si>
    <t>1.部位:空调板、装饰飘板
2.混凝土种类:预拌混凝土
3.混凝土强度等级:C30
4.含混凝土泵送费用</t>
  </si>
  <si>
    <t>加首层排水沟，复核单价</t>
  </si>
  <si>
    <t>010507007002</t>
  </si>
  <si>
    <t>其他构件</t>
  </si>
  <si>
    <t>1.部位:外墙造型、挑檐
2.混凝土种类:预拌混凝土
3.混凝土强度等级:C30
4.含混凝土泵送费用</t>
  </si>
  <si>
    <t>010503004002</t>
  </si>
  <si>
    <t>圈梁</t>
  </si>
  <si>
    <t>1.部位:圈梁
2.混凝土种类:预拌混凝土
3.混凝土强度等级:C30
4.含混凝土泵送费用</t>
  </si>
  <si>
    <t>010503004003</t>
  </si>
  <si>
    <t>1.部位:圈梁、压顶
2.混凝土种类:预拌混凝土
3.混凝土强度等级:C25
4.含混凝土泵送费用</t>
  </si>
  <si>
    <t>010503005001</t>
  </si>
  <si>
    <t>过梁</t>
  </si>
  <si>
    <t>1.过梁
2.混凝土种类:预拌混凝土
3.混凝土强度等级:C25</t>
  </si>
  <si>
    <t>010505006001</t>
  </si>
  <si>
    <t>栏板、反檐</t>
  </si>
  <si>
    <t>1.部位:栏板、反坎
2.混凝土强度等级:C25商品混凝土
3.含混凝土泵送费用</t>
  </si>
  <si>
    <t>010401013001</t>
  </si>
  <si>
    <t>砖散水、地坪</t>
  </si>
  <si>
    <t>1.散水
2.C20素砼垫层60厚
3.150厚3:7灰土</t>
  </si>
  <si>
    <t>周边有园建铺装，无需做散水</t>
  </si>
  <si>
    <t>010515001002</t>
  </si>
  <si>
    <t>1.钢筋种类、规格:现浇构件带肋钢筋(HRB400)φ10以内</t>
  </si>
  <si>
    <t>010515001003</t>
  </si>
  <si>
    <t>1.钢筋种类、规格:现浇构件带肋钢筋(HRB400E)φ10以内</t>
  </si>
  <si>
    <t>010515001004</t>
  </si>
  <si>
    <t>1.钢筋种类、规格:现浇构件带肋钢筋(HRB400)φ25以内</t>
  </si>
  <si>
    <t>010515001005</t>
  </si>
  <si>
    <t>1.钢筋种类、规格:现浇构件带肋钢筋(HRB400E)φ25以内</t>
  </si>
  <si>
    <t>010515001006</t>
  </si>
  <si>
    <t>1.钢筋种类、规格:现浇构件带肋钢筋(HRB400E)φ25以外</t>
  </si>
  <si>
    <t>010515001007</t>
  </si>
  <si>
    <t>1.钢筋种类、规格:现浇构件箍筋带肋钢筋(HRB400)φ10以内</t>
  </si>
  <si>
    <t>010516003001</t>
  </si>
  <si>
    <t>钢筋连接</t>
  </si>
  <si>
    <t>1.连接方式:电渣压力焊接
2.规格:φ18以内</t>
  </si>
  <si>
    <t>010516003002</t>
  </si>
  <si>
    <t>1.连接方式:电渣压力焊接
2.规格:φ32以内</t>
  </si>
  <si>
    <t>010516003003</t>
  </si>
  <si>
    <t>机械连接</t>
  </si>
  <si>
    <t>1.连接方式:套筒直螺纹钢筋接头
2.规格:φ32以内</t>
  </si>
  <si>
    <t>金属结构工程</t>
  </si>
  <si>
    <t>010607005001</t>
  </si>
  <si>
    <t>砌块墙钢丝网加固</t>
  </si>
  <si>
    <t>1.镀锌钢丝网
2.材料品种、规格:Φ0.9@12.7*12.7</t>
  </si>
  <si>
    <t>010607005002</t>
  </si>
  <si>
    <t>1.耐碱玻璃纤维网布</t>
  </si>
  <si>
    <t>010603002001</t>
  </si>
  <si>
    <t>钢柱</t>
  </si>
  <si>
    <t>1.钢结构柱
2.钢材品种、规格:Q235B
3.钢柱制作、安装、除锈
4.综合考虑场内、场外运输
5.其他详见施工设计图</t>
  </si>
  <si>
    <t>010604001001</t>
  </si>
  <si>
    <t>钢梁</t>
  </si>
  <si>
    <t>1.钢结构梁
2.钢材品种、规格:Q355B
3.钢梁制作、安装、除锈
4.其他详见施工设计图</t>
  </si>
  <si>
    <t>010604001002</t>
  </si>
  <si>
    <t>1.钢结构梁
2.钢材品种、规格:Q235B
3.钢梁制作、安装、除锈
4.其他详见施工设计图</t>
  </si>
  <si>
    <t>010602003001</t>
  </si>
  <si>
    <t>钢桁架</t>
  </si>
  <si>
    <t>1.钢桁架
2.钢材品种、规格:Q355B
3.钢桁架制作、安装、除锈
4.综合考虑场内、场外运输
5.其他详见施工设计图</t>
  </si>
  <si>
    <t>010602001001</t>
  </si>
  <si>
    <t>钢屋架</t>
  </si>
  <si>
    <t>1.钢屋架
2.钢材品种、规格:Q235B
3.钢屋架制作、安装、除锈
4.综合考虑场内、场外运输
5.其他详见施工设计图</t>
  </si>
  <si>
    <t>010602001002</t>
  </si>
  <si>
    <t>1.钢屋架
2.钢材品种、规格:Q355B
3.钢屋架制作、安装、除锈
4.综合考虑场内、场外运输
5.其他详见施工设计图</t>
  </si>
  <si>
    <t>010606007001</t>
  </si>
  <si>
    <t>钢马道</t>
  </si>
  <si>
    <t>1.钢马道
2.钢材品种、规格:Q235B、
3.钢屋架制作、安装、除锈
4.综合考虑场内、场外运输
5.其他详见施工设计图</t>
  </si>
  <si>
    <t>010516002001</t>
  </si>
  <si>
    <t>预埋铁件</t>
  </si>
  <si>
    <t>1.钢材种类:预埋铁件
2.其他详见施工设计图</t>
  </si>
  <si>
    <t>010605001001</t>
  </si>
  <si>
    <t>钢板楼板</t>
  </si>
  <si>
    <t>1.部位：钢板楼板
2.钢材品种、规格：压型钢板YXB65-185-555(B)Q355B（含镀锌层）
3.钢板厚：0.91mm
4.金属结构件场内运输
5.其他详见施工设计图</t>
  </si>
  <si>
    <t>区分0.75和0.91</t>
  </si>
  <si>
    <t>010606013001</t>
  </si>
  <si>
    <t>零星钢构件</t>
  </si>
  <si>
    <t>1.构件名称:栓钉
2.钢材规格:Φ16，L=100mm
3.其他:具体详见图纸</t>
  </si>
  <si>
    <t>套</t>
  </si>
  <si>
    <t>011405001004</t>
  </si>
  <si>
    <t>金属面油漆</t>
  </si>
  <si>
    <t>部位：钢板楼板
1.膨胀型防火涂料（耐火极限1.0h）
2.聚硅氧烷面漆2遍
3.其他详见施工设计图</t>
  </si>
  <si>
    <t>011405001002</t>
  </si>
  <si>
    <t>部位：钢柱
1.环氧富锌底漆2遍
2.环氧云铁中间漆3遍
3.非膨胀型防火涂料40mm（耐火极限2.5h）
4.聚硅氧烷面漆2遍
5.其他详见施工设计图</t>
  </si>
  <si>
    <t>011405001003</t>
  </si>
  <si>
    <t>部位：钢梁、钢屋架、钢桁架、钢马道等
1.环氧富锌底漆2遍
2.环氧云铁中间漆3遍
3.膨胀型防火涂料（耐火极限1.5h）
4.聚硅氧烷面漆2遍
5.其他详见施工设计图</t>
  </si>
  <si>
    <t>011303001001</t>
  </si>
  <si>
    <t>采光窗</t>
  </si>
  <si>
    <t>1.low-E中空玻璃（6+12A+6）+0.76PVB+6mm夹胶玻璃采光窗
2.铝合金骨架、铁丝网防护
3.其他详见施工设计图</t>
  </si>
  <si>
    <t>门窗工程</t>
  </si>
  <si>
    <t>010802003001</t>
  </si>
  <si>
    <t>钢质防火门</t>
  </si>
  <si>
    <t>1.门类型:钢质防火门单扇(甲级）
2.闭门器安装
3.其他详见施工设计图</t>
  </si>
  <si>
    <t>010802003002</t>
  </si>
  <si>
    <t>1.门类型:钢质防火门单扇(乙级）
2.闭门器安装
3.其他详见施工设计图</t>
  </si>
  <si>
    <t>010802003003</t>
  </si>
  <si>
    <t>1.门类型:钢质防火门单扇(丙级）
2.闭门器安装
3.其他详见施工设计图</t>
  </si>
  <si>
    <t>010802003004</t>
  </si>
  <si>
    <t>1.门类型:钢质防火门双扇(甲级）
2.闭门器安装
3.其他详见施工设计图</t>
  </si>
  <si>
    <t>010802003005</t>
  </si>
  <si>
    <t>1.门类型:钢质防火门双扇(乙级）
2.闭门器安装
3.其他详见施工设计图</t>
  </si>
  <si>
    <t>010802003006</t>
  </si>
  <si>
    <t>1.门类型:钢质防火门四扇(乙级）
2.闭门器安装
3.其他详见施工设计图</t>
  </si>
  <si>
    <t>010802001001</t>
  </si>
  <si>
    <t>金属(塑钢)门</t>
  </si>
  <si>
    <t>1.门类型:钢质平开门单扇
2.闭门器安装
3.其他详见施工设计图</t>
  </si>
  <si>
    <t>010802001002</t>
  </si>
  <si>
    <t>1.门类型:钢质平开门双扇
2.闭门器安装
3.其他详见施工设计图</t>
  </si>
  <si>
    <t>010802001003</t>
  </si>
  <si>
    <t>1.门类型:钢质平开门四扇
2.闭门器安装
3.其他详见施工设计图</t>
  </si>
  <si>
    <t>010802001004</t>
  </si>
  <si>
    <t>1.门类型:铝合金门联窗
2.铝材厚度:1.8mm
3.玻璃品种、厚度:Low-E中空玻璃(6+12A+6)
4.门拉手安装
5.其他详见施工设计图</t>
  </si>
  <si>
    <t>010807006001</t>
  </si>
  <si>
    <t>配餐间售卖窗</t>
  </si>
  <si>
    <t>1.配餐间售卖窗
2.立杆：1.0mm304原色磨砂不锈钢
3.横杆：1.0mm304原色哑光不锈钢
4.上部8mm钢化清玻璃
5.下部15mm活动透明亚克力板
6.其他详见施工设计图</t>
  </si>
  <si>
    <t>图纸手算</t>
  </si>
  <si>
    <t>010807001001</t>
  </si>
  <si>
    <t>金属(塑钢、断桥)窗</t>
  </si>
  <si>
    <t>1.窗类型:外墙铝合金玻璃窗（编号MQ）
2.铝材厚度:1.8mm
3.玻璃品种、厚度:Low-E中空玻璃(6+12A+6)
4.排烟窗、新风防雨百叶做法详见图纸
5.其他详见施工设计图</t>
  </si>
  <si>
    <t>010807001002</t>
  </si>
  <si>
    <t>1.厨房钢质传递窗
2.其他详见施工设计图</t>
  </si>
  <si>
    <t>010807001003</t>
  </si>
  <si>
    <t>1.窗类型:90系列推拉窗
2.铝材厚度:1.8mm
3.玻璃品种、厚度:Low-E中空玻璃(6+12A+6)
4.排烟窗、新风防雨百叶做法详见图纸
5.其他详见施工设计图</t>
  </si>
  <si>
    <t>010807001004</t>
  </si>
  <si>
    <t>1.窗类型:70系列铝合金平开窗
2.铝材厚度:1.8mm
3.玻璃品种、厚度:Low-E中空玻璃(6+12A+6)
4.其他详见施工设计图</t>
  </si>
  <si>
    <t>010807001005</t>
  </si>
  <si>
    <t>1.窗类型:铝合金固定窗
2.铝材厚度:1.8mm
3.玻璃品种、厚度:Low-E中空玻璃(6+12A+6)
4.其他详见施工设计图</t>
  </si>
  <si>
    <t>010807003001</t>
  </si>
  <si>
    <t>金属百叶窗</t>
  </si>
  <si>
    <t>1.铝合金百叶窗
2.其他详见施工设计图</t>
  </si>
  <si>
    <t>010807003004</t>
  </si>
  <si>
    <t>1.铝合金空调百叶
2.30*30*2.0灰色铝方通
3.25*50*1.5灰色铝方通
4.其他详见施工设计图</t>
  </si>
  <si>
    <t>010807005001</t>
  </si>
  <si>
    <t>封窗铁丝网</t>
  </si>
  <si>
    <t>1.室内篮球场窗内封定制铁丝网
2.其他详见施工设计图</t>
  </si>
  <si>
    <t>010808004001</t>
  </si>
  <si>
    <t>金属门窗套</t>
  </si>
  <si>
    <t>1.基层材料种类:30*30阻燃木龙骨底架
2.面层材料品种、规格:2.5mm厚黄色铝单板
3.其他详见施工设计图</t>
  </si>
  <si>
    <t>010808005001</t>
  </si>
  <si>
    <t>石材门窗套</t>
  </si>
  <si>
    <t>1.成品石材门窗套</t>
  </si>
  <si>
    <t>在变更23扣减，变更23的投标单价有误，需修改</t>
  </si>
  <si>
    <t>屋面及防水工程</t>
  </si>
  <si>
    <t>010903002002</t>
  </si>
  <si>
    <t>墙面涂膜防水（墙4）</t>
  </si>
  <si>
    <t>1.1.5厚聚合物水泥防水涂料分3遍成活，遇门洞反入梁面不少于50mm（本防水层与地面反起防水层为同一道防水层）
2.15厚WPM20水泥砂浆找平,分两遍成活，底层抹灰应压实搓毛</t>
  </si>
  <si>
    <t>010904002001</t>
  </si>
  <si>
    <t>楼(地)面涂膜防水（沉池）</t>
  </si>
  <si>
    <t>1.1.5厚聚合物水泥防水涂料
2.20厚M20水泥砂浆找平找坡层</t>
  </si>
  <si>
    <t>010904002002</t>
  </si>
  <si>
    <t>楼(地)面涂膜防水（卫生间）</t>
  </si>
  <si>
    <t>1.1.5厚聚合物水泥防水涂料</t>
  </si>
  <si>
    <t>010903002003</t>
  </si>
  <si>
    <t>1.1.5厚聚合物水泥基防水涂料
2.15厚WPM20水泥砂浆找平,分两遍成活,底层抹灰应压实搓毛</t>
  </si>
  <si>
    <t>011102003001</t>
  </si>
  <si>
    <t>块料楼地面（屋1）</t>
  </si>
  <si>
    <t>1.面层:8~10厚防滑地砖,缝宽5~8
2.20厚M15干硬性水泥沙浆</t>
  </si>
  <si>
    <t>010902003002</t>
  </si>
  <si>
    <t>屋面刚性层（屋1）</t>
  </si>
  <si>
    <t>1.40厚C20细石混凝土找平层,表面压光。(双向配筋ΦC4@150,每6米设缝,密封胶嵌缝。）</t>
  </si>
  <si>
    <t>010902001004</t>
  </si>
  <si>
    <t>屋面卷材防水（屋1、屋3、屋4）</t>
  </si>
  <si>
    <t>1.1.5厚自粘聚合物改性沥青防水卷材(无胎)</t>
  </si>
  <si>
    <t>010902003003</t>
  </si>
  <si>
    <t>1.40厚WSM20水泥浆找平层,纵横设置分格缝间距≤4000,缝宽15~20</t>
  </si>
  <si>
    <t>010902002001</t>
  </si>
  <si>
    <t>屋面涂膜防水（屋1、屋3、屋4）</t>
  </si>
  <si>
    <t>1.1.5厚聚氨酯防水涂膜</t>
  </si>
  <si>
    <t>建筑大样图有注明上翻</t>
  </si>
  <si>
    <t>010902003004</t>
  </si>
  <si>
    <t>屋面刚性层（屋3）</t>
  </si>
  <si>
    <t>1.20厚(最薄处)WSM20水泥浆找2%坡,纵横设置分格缝间距≤6000,缝宽10~20的分格缝</t>
  </si>
  <si>
    <t>010902003005</t>
  </si>
  <si>
    <t>1.20厚(最薄处)WSM20水泥浆找平,纵横设置分格缝间距≤4000,缝宽10~20的分格缝</t>
  </si>
  <si>
    <t>010902003006</t>
  </si>
  <si>
    <t>屋面刚性层（屋4）</t>
  </si>
  <si>
    <t>1.20厚(最薄处)DSM15水泥浆找平</t>
  </si>
  <si>
    <t>010901001001</t>
  </si>
  <si>
    <t>瓦屋面（屋4、屋5）</t>
  </si>
  <si>
    <t>1.彩石金属瓦
2.冷弯型钢挂瓦条,中距按瓦材规格
3.其他详见施工设计图</t>
  </si>
  <si>
    <t>保温、隔热、防腐工程</t>
  </si>
  <si>
    <t>011001003002</t>
  </si>
  <si>
    <t>保温隔热墙面</t>
  </si>
  <si>
    <t>1.外墙内保温
2.15mm玻化微珠保温砂浆
3.5厚抗裂砂浆内置保温专用玻纤网(130g/m2)
4.做法详见图纸</t>
  </si>
  <si>
    <t>外墙东西方向</t>
  </si>
  <si>
    <t>011407001001</t>
  </si>
  <si>
    <t>墙面喷刷涂料</t>
  </si>
  <si>
    <t>1.隔热反射涂料
2.外墙内保温处
3.其他详见施工设计图</t>
  </si>
  <si>
    <t>011003001002</t>
  </si>
  <si>
    <t>隔离层（屋1、屋2、屋3、屋4）</t>
  </si>
  <si>
    <t>1.0.4厚聚乙烯薄膜隔离层</t>
  </si>
  <si>
    <t>011001001001</t>
  </si>
  <si>
    <t>保温隔热屋面（屋4）</t>
  </si>
  <si>
    <t>1.50厚RC型B2级挤塑聚苯乙烯泡沫塑料板</t>
  </si>
  <si>
    <t>楼地面装饰工程</t>
  </si>
  <si>
    <t>011101001001</t>
  </si>
  <si>
    <t>水泥砂浆楼地面（地1）</t>
  </si>
  <si>
    <t>1.20厚M20水泥砂浆打底,加水泥粉随手抹光向地漏找坡
2.20~40厚C15素混凝土找坡兼找平水</t>
  </si>
  <si>
    <t>011101001002</t>
  </si>
  <si>
    <t>水泥砂浆楼地面（地1）（水电井）</t>
  </si>
  <si>
    <t>1.20厚M20水泥砂浆打底,加水泥粉随手抹光向地漏找坡</t>
  </si>
  <si>
    <t>011102003002</t>
  </si>
  <si>
    <t>块料楼地面（地2）</t>
  </si>
  <si>
    <t>1.400*400mm防滑地砖铺平拍实,纯水泥浆擦缝
2.15厚DSM15水泥砂浆结合层</t>
  </si>
  <si>
    <t>011103002001</t>
  </si>
  <si>
    <t>橡胶板卷材楼地面（地4）</t>
  </si>
  <si>
    <t>1.成品2厚UPVC卷材(同质透心)专用粘合剂粘贴
2.20~45厚M20水泥砂浆,压实赶光
3.做法详见图纸</t>
  </si>
  <si>
    <t>010507004001</t>
  </si>
  <si>
    <t>台阶</t>
  </si>
  <si>
    <t>1.阶梯教室台阶地面
2.C15混凝土
3.具体详尽施工设计图</t>
  </si>
  <si>
    <t>011104002001</t>
  </si>
  <si>
    <t>竹、木(复合)地板（地7）</t>
  </si>
  <si>
    <t>1.1200*150*20mm舞台专业木地板
2.24MM厚弹性龙骨，详见附图《T15R运动地板技术参数》
3.其他做法详见图纸</t>
  </si>
  <si>
    <t>复核室外阶梯是否做木地板</t>
  </si>
  <si>
    <t>011104002002</t>
  </si>
  <si>
    <t>运动木地板</t>
  </si>
  <si>
    <t>1.1800*62*22mm厚运动木地板
2.24MM厚弹性龙骨，详见附图《T15R运动地板技术参数》
3.含面层造型线
4.其他做法详见图纸</t>
  </si>
  <si>
    <t>011102003003</t>
  </si>
  <si>
    <t>块料楼地面（地8）</t>
  </si>
  <si>
    <t>1.楼地面铺贴800X800mm仿古地砖,面用白水泥擦缝
2.30厚1:3干硬性水泥砂浆结合层
3.3厚ALE隔声涂料
4.其他做法详见图纸</t>
  </si>
  <si>
    <t>011102003004</t>
  </si>
  <si>
    <t>块料楼地面</t>
  </si>
  <si>
    <t>1.仿古地砖门槛石
2.30厚1:3干硬性水泥砂浆结合层
3.3厚ALE隔声涂料
4.其他做法详见图纸</t>
  </si>
  <si>
    <t>011102003005</t>
  </si>
  <si>
    <t>1.楼地面铺贴600X600mm仿古地砖,面用白水泥擦缝
2.30厚1:3干硬性水泥砂浆结合层
3.3厚ALE隔声涂料
4.做法详见图纸</t>
  </si>
  <si>
    <t>011102003006</t>
  </si>
  <si>
    <t>块料楼地面（地10）</t>
  </si>
  <si>
    <t>1.8~10厚防滑地砖铺实拍平,水泥砂浆填缝
2.30厚1:3干硬性水泥砂浆结合层
3.做法详见图纸</t>
  </si>
  <si>
    <t>011106002001</t>
  </si>
  <si>
    <t>块料楼梯面层（地10）</t>
  </si>
  <si>
    <t>1.楼梯面层
2.8~10厚防滑地砖铺实拍平,水泥砂浆填缝
3.30厚1:3干硬性水泥砂浆结合层
4.做法详见图纸</t>
  </si>
  <si>
    <t>011105003001</t>
  </si>
  <si>
    <t>块料踢脚线</t>
  </si>
  <si>
    <t>1.5-10mm厚地砖踢脚线，稀水泥浆（或彩色水泥浆）擦缝
2.9mm厚M20水泥砂浆粘接层（内掺建筑胶）
3.高度:120mm</t>
  </si>
  <si>
    <t>011105003002</t>
  </si>
  <si>
    <t>1.木纹砖地脚线，稀水泥浆（或彩色水泥浆）擦缝
2.9mm厚M20水泥砂浆粘接层（内掺建筑胶）
3.高度:100mm</t>
  </si>
  <si>
    <t>011105006001</t>
  </si>
  <si>
    <t>金属踢脚线</t>
  </si>
  <si>
    <t>1.100mm高1.0mm厚深灰色磨砂不锈钢踢脚线
2.其他详见施工设计图</t>
  </si>
  <si>
    <t>011105006002</t>
  </si>
  <si>
    <t>1.100mm高1.2mm厚原色拉丝不锈钢踢脚线
2.其他详见施工设计图</t>
  </si>
  <si>
    <t>011105005001</t>
  </si>
  <si>
    <t>木质踢脚线</t>
  </si>
  <si>
    <t>1.100mm实木板踢脚线
2.其他详见施工设计图</t>
  </si>
  <si>
    <t>墙、柱面装饰与隔断、幕墙工程</t>
  </si>
  <si>
    <t>011204003001</t>
  </si>
  <si>
    <t>块料墙面(外墙2)</t>
  </si>
  <si>
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</si>
  <si>
    <t>011407001002</t>
  </si>
  <si>
    <t>墙面喷刷涂料(外墙1)</t>
  </si>
  <si>
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</si>
  <si>
    <t>011407001003</t>
  </si>
  <si>
    <t>柱面喷刷涂料(外墙1)</t>
  </si>
  <si>
    <t>011201001001</t>
  </si>
  <si>
    <t>墙面一般抹灰（墙1、墙5）</t>
  </si>
  <si>
    <t>1.20厚M10水泥砂浆抹面压光
2.甩浆拉毛刷108胶素水泥浆一道(内掺水重8%的胶料)</t>
  </si>
  <si>
    <t>011201001002</t>
  </si>
  <si>
    <t>墙面一般抹灰（墙3、4）</t>
  </si>
  <si>
    <t>1.15mm厚WPM20水泥砂浆找平，分两遍成活，底层抹灰应压实搓毛</t>
  </si>
  <si>
    <t>011204003002</t>
  </si>
  <si>
    <t>块料墙面（墙4）</t>
  </si>
  <si>
    <t>1.镶贴400*400陶瓷面砖墙面建筑胶粘剂粘贴</t>
  </si>
  <si>
    <t>011406001001</t>
  </si>
  <si>
    <t>墙面喷刷涂料(墙3）</t>
  </si>
  <si>
    <t>1.满刮腻子二道
2.刷内墙无机涂料,底漆一道,面漆两道</t>
  </si>
  <si>
    <t>011406001002</t>
  </si>
  <si>
    <t>墙面喷刷涂料(墙5）</t>
  </si>
  <si>
    <t>1.满刮耐水防霉白色腻子</t>
  </si>
  <si>
    <t>复核首层车道墙5是否在地下室计算</t>
  </si>
  <si>
    <t>011204003005</t>
  </si>
  <si>
    <t>块料墙面（墙8）</t>
  </si>
  <si>
    <t>1.镶贴300*600陶瓷面砖墙面建筑胶粘剂粘贴
2.15厚WPM20水泥砂浆找平</t>
  </si>
  <si>
    <t>011205001001</t>
  </si>
  <si>
    <t>石材柱面</t>
  </si>
  <si>
    <t>1.石材柱面
2.安装方式:挂贴米色大理石
3.其他详见施工设计图</t>
  </si>
  <si>
    <t>011502001001</t>
  </si>
  <si>
    <t>金属装饰线</t>
  </si>
  <si>
    <t>1.外墙装饰线
2.200*200*2.5mm厚铝通
3.其他详见施工设计图</t>
  </si>
  <si>
    <t>011208001001</t>
  </si>
  <si>
    <t>柱(梁)面装饰</t>
  </si>
  <si>
    <t>1.外墙装饰造型
2.2.5mm铝单板
3.L50*5角钢龙骨@1200
4.其他详见施工设计图</t>
  </si>
  <si>
    <t>011207001001</t>
  </si>
  <si>
    <t>墙面装饰板</t>
  </si>
  <si>
    <t>1.外墙窗侧异性铝通造型
2.2.5mm铝单板
3.其他详见施工设计图</t>
  </si>
  <si>
    <t>011207001002</t>
  </si>
  <si>
    <t>1.9mm阻燃夹板
2.30*30阻燃木龙骨
3.其他详见施工设计图纸</t>
  </si>
  <si>
    <t>011207001003</t>
  </si>
  <si>
    <t>1.1mm厚304原色磨砂不锈钢
2.9mm阻燃夹板
3.30*30阻燃木龙骨
4.其他详见施工设计图纸</t>
  </si>
  <si>
    <t>011207001004</t>
  </si>
  <si>
    <t>1.18mm厚A级防火吸音板
2.15mm阻燃夹板
3.双层50*50阻燃木龙骨底架
4.整体厚度233mm
5.其他详见施工设计图纸</t>
  </si>
  <si>
    <t>011207001005</t>
  </si>
  <si>
    <t>1.18mm厚A级防火吸音板
2.15mm阻燃夹板
3.50*50阻燃木龙骨底架
4.50mm厚超细玻璃棉（容重32kg/m3）
5.外包吸声无纺布
6.30mm黑缝（黑色填缝剂）
7.其他详见施工设计图纸</t>
  </si>
  <si>
    <t>011207001011</t>
  </si>
  <si>
    <t>1.18mm厚A级防火吸音板（条形木纹）
2.15mm阻燃夹板
3.50*50阻燃木龙骨底架
4.50mm厚超细玻璃棉（容重32kg/m3）
5.外包吸声无纺布
6.30mm黑缝（黑色填缝剂）
7.其他详见施工设计图纸</t>
  </si>
  <si>
    <t>011207001006</t>
  </si>
  <si>
    <t>1.18mm厚A级防火吸音板
2.15mm阻燃夹板
3.50*50*4mm+60*60*3mm镀锌钢管龙骨
4.35mm厚超细玻璃棉（容重32kg/m3）
5.外包吸声无纺布
6.30mm黑缝（黑色填缝剂）
7.其他详见施工设计图纸</t>
  </si>
  <si>
    <t>011207001007</t>
  </si>
  <si>
    <t>1.2.5mm厚氟碳冲孔铝单板
2.40*40*3mm镀锌方钢管+L40*3角钢骨架
3.50mm厚超细玻璃棉（容重32kg/m3）
4.外包吸声无纺布
5.侧边5mm木纹免漆板
6.其他详见施工设计图纸</t>
  </si>
  <si>
    <t>011207001008</t>
  </si>
  <si>
    <t>1.2.5mm厚氟碳冲孔铝单板
2.40*40*3mm镀锌角钢+40*100*2镀锌矩形管
3.50mm厚超细玻璃棉（容重32kg/m3）
4.外包吸声无纺布
5.侧边5mm木纹免漆板墙身造型凸出身50mm
6.定制铝合金LED灯槽（含LED灯带）
7.其他详见施工设计图纸</t>
  </si>
  <si>
    <t>011207001009</t>
  </si>
  <si>
    <t>1.25mm厚灰色吸音软包
2.50*50阻燃木龙骨
3.50mm厚超细玻璃棉（容重32kg/m3）
4.外包吸声无纺布
5.15mm阻燃夹板
6.其他详见施工设计图纸</t>
  </si>
  <si>
    <t>011207001010</t>
  </si>
  <si>
    <t>1.采光窗装饰墙面
2.22*22*1.0不锈钢方形管龙骨
3.8mm硅钙板
4.无机装修涂料
5.其他详见施工设计图</t>
  </si>
  <si>
    <t>010809004001</t>
  </si>
  <si>
    <t>石材窗台板</t>
  </si>
  <si>
    <t>1.15mm深褐色人造石
2.位置：售卖窗窗台
3.其他详见施工设计图</t>
  </si>
  <si>
    <t>011502002001</t>
  </si>
  <si>
    <t>墙面装饰线</t>
  </si>
  <si>
    <t>1.阶梯教室墙面装饰线
2.20*20阻燃木龙骨底架
3.8mm硅钙板
4.无机装修涂料
5.其他详见施工设计图</t>
  </si>
  <si>
    <t>011210001001</t>
  </si>
  <si>
    <t>轻钢龙骨隔墙</t>
  </si>
  <si>
    <t>1.教师餐厅售卖隔墙（不含售卖窗）
2.轻钢龙骨+30*30阻燃木龙骨
3.8mm硅钙板
4.双层5mm阻燃夹板造型
5.1.0mm304原色磨砂不锈钢
6.40*40*4.0mm镀锌角铁钢桁架过梁
7.刮塑油白色无机装修涂料
8.其他详见施工设计图</t>
  </si>
  <si>
    <t>011507003001</t>
  </si>
  <si>
    <t>灯箱</t>
  </si>
  <si>
    <t>1.广告牌灯箱
2.位置：售卖窗
3.其他详见施工设计图</t>
  </si>
  <si>
    <t>天棚工程</t>
  </si>
  <si>
    <t>011407002001</t>
  </si>
  <si>
    <t>天棚喷刷涂料（顶1）</t>
  </si>
  <si>
    <t>1.加强型腻子找平层5厚
2.无机涂料,三遍成活</t>
  </si>
  <si>
    <t>复核车道顶棚是否在地下室计算</t>
  </si>
  <si>
    <t>011406001006</t>
  </si>
  <si>
    <t>抹灰面油漆（顶2）</t>
  </si>
  <si>
    <t>1.扫白色灰水二道</t>
  </si>
  <si>
    <t>变更16修改做法，在变更扣减</t>
  </si>
  <si>
    <t>011302001001</t>
  </si>
  <si>
    <t>吊顶天棚（室外）</t>
  </si>
  <si>
    <t>1.2.5mm铝单板吊顶
2.L50*5角钢@1200
3.做法详见图纸</t>
  </si>
  <si>
    <t>此处还需再核对</t>
  </si>
  <si>
    <t>此处详怡海小学
铝合金门窗深化图</t>
  </si>
  <si>
    <t>补变更手续</t>
  </si>
  <si>
    <t>011406001007</t>
  </si>
  <si>
    <t>抹灰面油漆（顶5）</t>
  </si>
  <si>
    <t>1.耐水防霉白色腻子两遍</t>
  </si>
  <si>
    <t>011302001002</t>
  </si>
  <si>
    <t>吊顶天棚</t>
  </si>
  <si>
    <t>1.3mm厚穿孔铝板吊顶
2.龙骨：40*40*2mm厚不锈钢方管底架，金属吊杆
3.50厚超细玻璃棉（容重24kg/m3）
4.不燃黑色无妨布包裹800*800
5.其他详见施工设计图</t>
  </si>
  <si>
    <t>011302001003</t>
  </si>
  <si>
    <t>1.装配式U型轻钢天棚龙骨(不上人型)面层规格(mm)600×600跌级
2.9mm胶合板基层
3.8MM厚硅钙板天花面层
4.加强型腻子找平层5厚
5.无机涂料,三遍成活</t>
  </si>
  <si>
    <t>011302001004</t>
  </si>
  <si>
    <t>1.龙骨材料种类、规格、中距:轻钢龙骨
2.面层材料品种、规格:600*600*0.8mm铝扣板平面方板</t>
  </si>
  <si>
    <t>011302002001</t>
  </si>
  <si>
    <t>格栅吊顶</t>
  </si>
  <si>
    <t>1.50*100*1.0铝方管格栅天花(木纹转印)
2.做法详见图纸</t>
  </si>
  <si>
    <t>011302001005</t>
  </si>
  <si>
    <t>1.2.5mm厚氟碳冲孔铝单板
2.40*40*3镀锌角钢网架+底架
3.50mm厚超细玻璃棉（容重24KG/M3）
4.不燃黑色无纺布
5.其他详细施工设计图</t>
  </si>
  <si>
    <t>其他装饰工程</t>
  </si>
  <si>
    <t>010507001001</t>
  </si>
  <si>
    <t>室外坡道</t>
  </si>
  <si>
    <t>1.室外坡道（13ZJ301-5/19）
2.300mm厚3：7灰土垫层
3.100mm厚C15混凝土
4.25厚1：3干硬性水泥砂浆结合层
5.30mm厚花岗石板</t>
  </si>
  <si>
    <t>010507003002</t>
  </si>
  <si>
    <t>排水沟</t>
  </si>
  <si>
    <t>1.排水沟
2.沟深40mm
3.DWM20水泥砂浆
4.其他详见施工图</t>
  </si>
  <si>
    <t>010507003004</t>
  </si>
  <si>
    <t>截水沟</t>
  </si>
  <si>
    <t>1.截水沟
2.成品雨水格栅
3.底部：细石混凝土找坡层+20厚1：2.5水泥砂浆面层
4.侧边：20厚1：2.5水泥砂浆面层
5.其他详见中南标11ZJ9011/42</t>
  </si>
  <si>
    <t>011503001008</t>
  </si>
  <si>
    <t>金属扶手、栏杆、栏板</t>
  </si>
  <si>
    <t>1.名称:浅灰色拉丝不锈钢栏杆(H=1200MM)
2.上扶手:Φ60x3.0不锈钢管
3.栏杆:Φ28x1.2不锈钢管
4.含热镀锌预埋件及螺栓
5.做法参照国标15J403-1</t>
  </si>
  <si>
    <t>011503001009</t>
  </si>
  <si>
    <t>1.名称:浅灰色拉丝不锈钢栏杆(H=850MM)
2.上扶手:Φ60x3.0不锈钢管
3.栏杆:Φ28x1.2不锈钢管
4.含热镀锌预埋件及螺栓
5.做法参照国标15J403-1</t>
  </si>
  <si>
    <t>011503001010</t>
  </si>
  <si>
    <t>1.名称:浅灰色拉丝不锈钢栏杆(H=850-550MM)
2.上扶手:Φ60x3.0不锈钢管
3.栏杆:Φ28x1.2不锈钢管
4.含热镀锌预埋件及螺栓
5.做法参照国标15J403-1</t>
  </si>
  <si>
    <t>011503001011</t>
  </si>
  <si>
    <t>1.名称:浅灰色拉丝不锈钢栏杆(H=550MM)
2.上扶手:Φ60x3.0不锈钢管
3.栏杆:Φ28x1.2不锈钢管
4.含热镀锌预埋件及螺栓
5.做法参照国标15J403-1</t>
  </si>
  <si>
    <t>011503001006</t>
  </si>
  <si>
    <t>1.名称:不锈钢楼梯栏杆H=1200mm
2.上扶手:Φ60x3.0不锈钢管
3.栏杆:Φ28x1.2不锈钢管
4.含热镀锌预埋件及螺栓
5.做法参照国标15J403-1</t>
  </si>
  <si>
    <t>1、LT1、LT2楼梯
栏杆模型未布置，漏计
2、阶梯教室侧边步级通道栏杆漏计</t>
  </si>
  <si>
    <t>发函确认</t>
  </si>
  <si>
    <t>011503001007</t>
  </si>
  <si>
    <t>1.名称:不锈钢护窗栏杆H=1000mm
2.上扶手:Φ60x2.5不锈钢管
3.栏杆:Φ30x2.0不锈钢管
4.含热镀锌预埋件及螺栓</t>
  </si>
  <si>
    <t>送审将此清单与165护窗栏杆工程量互掉了</t>
  </si>
  <si>
    <t>011503005001</t>
  </si>
  <si>
    <t>金属靠墙扶手</t>
  </si>
  <si>
    <t>1.卫生间无障碍扶手
2.Φ40x1.5不锈钢管靠墙扶手</t>
  </si>
  <si>
    <t>011503005002</t>
  </si>
  <si>
    <t>1.楼梯靠墙扶手
2.Φ60x2不锈钢管靠墙扶手
3.做法参照国标15J403-1</t>
  </si>
  <si>
    <t>清单162楼梯栏杆部分工程量归到此计算</t>
  </si>
  <si>
    <t>出设计变更</t>
  </si>
  <si>
    <t>011210005001</t>
  </si>
  <si>
    <t>成品隔断</t>
  </si>
  <si>
    <t>1.卫生间成品抗培特饰面隔断
2.其他详见图纸</t>
  </si>
  <si>
    <t>011505001001</t>
  </si>
  <si>
    <t>洗漱台</t>
  </si>
  <si>
    <t>1.20mm厚国产金沙黑洗漱台（洗手台）L40*4镀锌角钢底架
2.台面开水龙头孔
3.台面开洗手盆孔
4.石材水磨斜边</t>
  </si>
  <si>
    <t>011505010002</t>
  </si>
  <si>
    <t>镜面玻璃</t>
  </si>
  <si>
    <t>1.卫生间镜
2.6mm车边银镜
3.具体做法详见图纸</t>
  </si>
  <si>
    <t>011502001002</t>
  </si>
  <si>
    <t>1.1mm厚304原色哑光不锈钢收边线</t>
  </si>
  <si>
    <t>011508004001</t>
  </si>
  <si>
    <t>金属字</t>
  </si>
  <si>
    <t>1.白色拉丝不锈钢喷漆字体
2.字体外框约0.9*0.6m</t>
  </si>
  <si>
    <t>011508004002</t>
  </si>
  <si>
    <t>1.白色拉丝不锈钢喷漆奥运五环
2.外框尺寸约2.3*1.1m</t>
  </si>
  <si>
    <t>01B001</t>
  </si>
  <si>
    <t>白蚁防治</t>
  </si>
  <si>
    <t>1.白蚁防治</t>
  </si>
  <si>
    <t>分部分项合计</t>
  </si>
  <si>
    <t>措施合计</t>
  </si>
  <si>
    <t>安全文明施工措施费</t>
  </si>
  <si>
    <t>1.1</t>
  </si>
  <si>
    <t>绿色施工安全防护措施费</t>
  </si>
  <si>
    <t>粤011701008002</t>
  </si>
  <si>
    <t>综合钢脚手架</t>
  </si>
  <si>
    <t>1.搭设高度:综合钢脚手架搭拆高度(m以内)30.5
2.建筑用综合脚手架使用费</t>
  </si>
  <si>
    <t>MBZC001</t>
  </si>
  <si>
    <t>模板的支架</t>
  </si>
  <si>
    <t>1.模板钢支撑</t>
  </si>
  <si>
    <t>措施其他项目</t>
  </si>
  <si>
    <t>粤011701011003</t>
  </si>
  <si>
    <t>里脚手架</t>
  </si>
  <si>
    <t>1.里脚手架(钢管)民用建筑实际高度4.8m以内</t>
  </si>
  <si>
    <t>粤011701011004</t>
  </si>
  <si>
    <t>1.里脚手架(钢管)民用建筑实际高度5.5m以内</t>
  </si>
  <si>
    <t>粤011701011005</t>
  </si>
  <si>
    <t>1.里脚手架(钢管)民用建筑实际高度12.15m以内</t>
  </si>
  <si>
    <t>粤011701010002</t>
  </si>
  <si>
    <t>满堂脚手架</t>
  </si>
  <si>
    <t>1.满堂脚手架(钢管)5.2m以内</t>
  </si>
  <si>
    <t>是否车道是否在地下室计算</t>
  </si>
  <si>
    <t>粤011701010003</t>
  </si>
  <si>
    <t>1.满堂脚手架(钢管)5.5m以内</t>
  </si>
  <si>
    <t>粤011701010004</t>
  </si>
  <si>
    <t>1.满堂脚手架(钢管)12.15m以内</t>
  </si>
  <si>
    <t>粤011701010005</t>
  </si>
  <si>
    <t>1.满堂脚手架(钢管)15.45m以内</t>
  </si>
  <si>
    <t>粤011701010006</t>
  </si>
  <si>
    <t>1.满堂脚手架(钢管)16.95m以内</t>
  </si>
  <si>
    <t>011702001001</t>
  </si>
  <si>
    <t>基础</t>
  </si>
  <si>
    <t>1.基础垫层模板</t>
  </si>
  <si>
    <t>011702002011</t>
  </si>
  <si>
    <t>矩形柱</t>
  </si>
  <si>
    <t>1.矩形柱模板(周长m)支模高度3.6m内1.2内</t>
  </si>
  <si>
    <t>011702002012</t>
  </si>
  <si>
    <t>1.矩形柱模板(周长m)支模高度4.6m内1.2内</t>
  </si>
  <si>
    <t>011702002013</t>
  </si>
  <si>
    <t>1.矩形柱模板(周长m)支模高度5.6m内1.2内</t>
  </si>
  <si>
    <t>011702002014</t>
  </si>
  <si>
    <t>1.矩形柱模板(周长m)支模高度9.4m内1.2内</t>
  </si>
  <si>
    <t>011702002015</t>
  </si>
  <si>
    <t>1.矩形柱模板(周长m)支模高度3.6m内1.8内</t>
  </si>
  <si>
    <t>011702002016</t>
  </si>
  <si>
    <t>1.矩形柱模板(周长m)支模高度4.6m内1.8内</t>
  </si>
  <si>
    <t>011702002017</t>
  </si>
  <si>
    <t>1.矩形柱模板(周长m)支模高度5.6m内1.8内</t>
  </si>
  <si>
    <t>将清单序号193工程量归到此计算</t>
  </si>
  <si>
    <t>5.6、6.6m高1.8外工程量</t>
  </si>
  <si>
    <t>011702002018</t>
  </si>
  <si>
    <t>1.矩形柱模板(周长m)支模高度3.6m内1.8外</t>
  </si>
  <si>
    <t>011702002019</t>
  </si>
  <si>
    <t>1.矩形柱模板(周长m)支模高度4.6m内1.8外</t>
  </si>
  <si>
    <t>011702002020</t>
  </si>
  <si>
    <t>1.矩形柱模板(周长m)支模高度9.4m内1.8外</t>
  </si>
  <si>
    <t>011702002021</t>
  </si>
  <si>
    <t>1.矩形柱模板(周长m)支模高度11.4m内1.8外</t>
  </si>
  <si>
    <t>011702002022</t>
  </si>
  <si>
    <t>1.矩形柱模板(周长m)支模高度12.4m内1.8外</t>
  </si>
  <si>
    <t>011702003001</t>
  </si>
  <si>
    <t>1.构造柱模板(周长m)支模高度3.6m内1.2内</t>
  </si>
  <si>
    <t>011702003003</t>
  </si>
  <si>
    <t>1.构造柱模板(周长m)支模高度4.6m内1.2内</t>
  </si>
  <si>
    <t>011702004005</t>
  </si>
  <si>
    <t>异形柱</t>
  </si>
  <si>
    <t>1.圆形柱模板(周长m)支模高度4.6m内</t>
  </si>
  <si>
    <t>011702004006</t>
  </si>
  <si>
    <t>1.圆形柱模板(周长m)支模高度5.6m内</t>
  </si>
  <si>
    <t>011702004007</t>
  </si>
  <si>
    <t>1.圆形柱模板(周长m)支模高度13.4m内</t>
  </si>
  <si>
    <t>011702004008</t>
  </si>
  <si>
    <t>1.圆形柱模板(周长m)支模高度14.4m内</t>
  </si>
  <si>
    <t>011702004009</t>
  </si>
  <si>
    <t>1.圆形柱模板(周长m)支模高度15.4m内</t>
  </si>
  <si>
    <t>将清单序号203工程量归到此计算</t>
  </si>
  <si>
    <t>16.4m高工程量</t>
  </si>
  <si>
    <t>011702004010</t>
  </si>
  <si>
    <t>1.圆形柱模板(周长m)支模高度17.4m内</t>
  </si>
  <si>
    <t>011702011014</t>
  </si>
  <si>
    <t>1.直形墙模板墙厚(cm以内)40支模高度3.6m内</t>
  </si>
  <si>
    <t>011702011011</t>
  </si>
  <si>
    <t>1.直形墙模板墙厚(cm以内)40支模高度4.6m内</t>
  </si>
  <si>
    <t>011702011012</t>
  </si>
  <si>
    <t>1.直形墙模板墙厚(cm以内)40支模高度7.6m内</t>
  </si>
  <si>
    <t>011702011013</t>
  </si>
  <si>
    <t>1.直形墙模板墙厚(cm以内)40支模高度17.4m内</t>
  </si>
  <si>
    <t>011702014001</t>
  </si>
  <si>
    <t>1.有梁板模板支模高度3.6m内</t>
  </si>
  <si>
    <t>将清单序号213工程量归到此计算</t>
  </si>
  <si>
    <t>011702014002</t>
  </si>
  <si>
    <t>1.有梁板模板支模高度4.6m内</t>
  </si>
  <si>
    <t>011702014003</t>
  </si>
  <si>
    <t>1.有梁板模板支模高度5.6m内</t>
  </si>
  <si>
    <t>011702014004</t>
  </si>
  <si>
    <t>1.有梁板模板支模高度9.6m内</t>
  </si>
  <si>
    <t>011702014005</t>
  </si>
  <si>
    <t>1.有梁板模板支模高度14.6m内</t>
  </si>
  <si>
    <t>011702014010</t>
  </si>
  <si>
    <t>1.有梁板模板支模高度7.6m内</t>
  </si>
  <si>
    <t>011702006009</t>
  </si>
  <si>
    <t>矩形梁（斜梁）</t>
  </si>
  <si>
    <t>1.单梁、连续梁模板(梁宽cm)25以内支模高度4.6m内</t>
  </si>
  <si>
    <t>011702006010</t>
  </si>
  <si>
    <t>1.单梁、连续梁模板(梁宽cm)25以内支模高度5.6m内</t>
  </si>
  <si>
    <t>011702006011</t>
  </si>
  <si>
    <t>1.单梁、连续梁模板(梁宽cm)25以内支模高度6.6m内</t>
  </si>
  <si>
    <t>011702006012</t>
  </si>
  <si>
    <t>1.单梁、连续梁模板(梁宽cm)25以内支模高度7.6m内</t>
  </si>
  <si>
    <t>011702006013</t>
  </si>
  <si>
    <t>矩形梁</t>
  </si>
  <si>
    <t>1.单梁、连续梁模板(梁宽cm)25以内支模高度3.6m内</t>
  </si>
  <si>
    <t>将清单序号214工程量归到此计算</t>
  </si>
  <si>
    <t>011702006014</t>
  </si>
  <si>
    <t>011702006015</t>
  </si>
  <si>
    <t>011702006016</t>
  </si>
  <si>
    <t>1.单梁、连续梁模板(梁宽cm)25以内支模高度9.4m内</t>
  </si>
  <si>
    <t>011702006017</t>
  </si>
  <si>
    <t>1.单梁、连续梁模板(梁宽cm)25以内支模高度12.4m内</t>
  </si>
  <si>
    <t>011702006018</t>
  </si>
  <si>
    <t>1.单梁、连续梁模板(梁宽cm)25以外支模高度3.6m内</t>
  </si>
  <si>
    <t>011702006019</t>
  </si>
  <si>
    <t>1.单梁、连续梁模板(梁宽cm)25以外支模高度4.6m内</t>
  </si>
  <si>
    <t>011702006020</t>
  </si>
  <si>
    <t>1.单梁、连续梁模板(梁宽cm)25以外支模高度5.6m内</t>
  </si>
  <si>
    <t>011702006021</t>
  </si>
  <si>
    <t>1.单梁、连续梁模板(梁宽cm)25以外支模高度9.4m内</t>
  </si>
  <si>
    <t>011702006022</t>
  </si>
  <si>
    <t>1.单梁、连续梁模板(梁宽cm)25以外支模高度10.4m内</t>
  </si>
  <si>
    <t>011702006023</t>
  </si>
  <si>
    <t>1.单梁、连续梁模板(梁宽cm)25以外支模高度11.4m内</t>
  </si>
  <si>
    <t>011702030001</t>
  </si>
  <si>
    <t>后浇带（梁）</t>
  </si>
  <si>
    <t>1.单梁、连续梁模板支模高度3.6m以内
2.在洞内、地下室内、库内或暗室内进行施工（模板拆除）</t>
  </si>
  <si>
    <t>011702030002</t>
  </si>
  <si>
    <t>后浇带（板）</t>
  </si>
  <si>
    <t>1.有梁板模板支模高度3.6m以内
2.在洞内、地下室内、库内或暗室内进行施工（模板拆除）</t>
  </si>
  <si>
    <t>011702030003</t>
  </si>
  <si>
    <t>后浇带(墙)</t>
  </si>
  <si>
    <t>1.直形墙模板墙厚(cm以内)40支模高度3.6m以内
2.在洞内、地下室内、库内或暗室内进行施工（模板拆除）</t>
  </si>
  <si>
    <t>011702023001</t>
  </si>
  <si>
    <t>雨篷、悬挑板、阳台板</t>
  </si>
  <si>
    <t>1.雨篷、悬挑板、阳台板</t>
  </si>
  <si>
    <t>011702021001</t>
  </si>
  <si>
    <t>1.栏板、反檐模板</t>
  </si>
  <si>
    <t>011702022001</t>
  </si>
  <si>
    <t>天沟、檐沟</t>
  </si>
  <si>
    <t>1.外墙造型、挑檐</t>
  </si>
  <si>
    <t>011702008001</t>
  </si>
  <si>
    <t>圈梁、压顶、过梁</t>
  </si>
  <si>
    <t>1.圈梁、压顶、过梁模板支模高度3.6m内</t>
  </si>
  <si>
    <t>011702024002</t>
  </si>
  <si>
    <t>楼梯</t>
  </si>
  <si>
    <t>1.楼梯模板直形</t>
  </si>
  <si>
    <t>011703001001</t>
  </si>
  <si>
    <t>垂直运输</t>
  </si>
  <si>
    <t>1.建筑物30m以内的垂直运输现浇框架结构</t>
  </si>
  <si>
    <t>按工规证</t>
  </si>
  <si>
    <t>011704001001</t>
  </si>
  <si>
    <t>超高施工增加</t>
  </si>
  <si>
    <t>1.建筑物超高增加人工、机械降效率高度30m以内</t>
  </si>
  <si>
    <t>项</t>
  </si>
  <si>
    <t>三</t>
  </si>
  <si>
    <t>不含税造价</t>
  </si>
  <si>
    <t>四</t>
  </si>
  <si>
    <t>税金（9%）</t>
  </si>
  <si>
    <t>五</t>
  </si>
  <si>
    <t>含税造价</t>
  </si>
  <si>
    <t>工程名称：教学楼</t>
  </si>
  <si>
    <t>010101004002</t>
  </si>
  <si>
    <t>010103002002</t>
  </si>
  <si>
    <t>1.余方弃置
2.运距:智能渣土车运输运距综合考虑</t>
  </si>
  <si>
    <t>1.桩外径、壁厚:Φ400PHC80预应力管桩AB型壁厚95mm（综合考虑抗拔桩）
2.沉桩方法:静压
3.混凝土强度等级:C30C40
4.填充材料种类:微膨胀混凝土
5.接桩
6.预埋钢板</t>
  </si>
  <si>
    <t>010301002006</t>
  </si>
  <si>
    <t>1.桩外径、壁厚:Φ400PHC80预应力管桩AB型壁厚95mm
2.沉桩方法:静压
3.混凝土强度等级:C30C40
4.填充材料种类:微膨胀混凝土
5.接桩
6.预埋钢板</t>
  </si>
  <si>
    <t>010301002003</t>
  </si>
  <si>
    <t>010515001013</t>
  </si>
  <si>
    <t>010402001003</t>
  </si>
  <si>
    <t>1.砌块品种、规格、强度等级:MU15混凝土实心砖
2.墙体类型:女儿墙
3.厚度:200
4.砂浆强度等级、配合比:DMM10专用砌筑砂浆</t>
  </si>
  <si>
    <t>010401012002</t>
  </si>
  <si>
    <t>1.砖砌台阶
2.MU10轻质砖
3.砂浆强度等级、配合比:M7.5水泥砂浆</t>
  </si>
  <si>
    <t>010401012004</t>
  </si>
  <si>
    <t>1.花池
2.MU10轻质砖
3.砂浆强度等级、配合比:M7.5水泥砂浆</t>
  </si>
  <si>
    <t>010401003001</t>
  </si>
  <si>
    <t>实心砖墙</t>
  </si>
  <si>
    <t>1.轻质砖
2.墙体类型:内墙
3.120
4.砂浆强度等级、配合比:DMM5专用砌筑砂浆</t>
  </si>
  <si>
    <t>010501001002</t>
  </si>
  <si>
    <t>1.桩承台
2.混凝土种类:预拌混凝土
3.混凝土强度等级:C35
4.含混凝土泵送费用</t>
  </si>
  <si>
    <t>1.基础梁
2.混凝土种类:预拌混凝土
3.混凝土强度等级:C35
4.含混凝土泵送费用</t>
  </si>
  <si>
    <t>010501004002</t>
  </si>
  <si>
    <t>1.满堂基础
2.预拌混凝土
3.混凝土强度等级:C35
4.含混凝土泵送费用</t>
  </si>
  <si>
    <t>010502001002</t>
  </si>
  <si>
    <t>1.现浇建筑物混凝土矩形柱
2.混凝土种类:预拌混凝土
3.混凝土强度等级:C40
4.含混凝土泵送费用</t>
  </si>
  <si>
    <t>010502001006</t>
  </si>
  <si>
    <t>1.现浇建筑物混凝土矩形柱
2.混凝土种类:预拌混凝土
3.混凝土强度等级:C35
4.含混凝土泵送费用</t>
  </si>
  <si>
    <t>010502001004</t>
  </si>
  <si>
    <t>1.现浇建筑物混凝土矩形柱
2.混凝土种类:预拌混凝土
3.混凝土强度等级:C30
4.含混凝土泵送费用</t>
  </si>
  <si>
    <t>010502001007</t>
  </si>
  <si>
    <t>1.现浇建筑物混凝土异形柱
2.混凝土种类:预拌混凝土
3.混凝土强度等级:C40
4.含混凝土泵送费用</t>
  </si>
  <si>
    <t>010502001008</t>
  </si>
  <si>
    <t>1.现浇建筑物混凝土异形柱
2.混凝土种类:预拌混凝土
3.混凝土强度等级:C35
4.含混凝土泵送费用</t>
  </si>
  <si>
    <t>010504001001</t>
  </si>
  <si>
    <t>1.装饰墙
2.混凝土种类:预拌混凝土
3.混凝土强度等级:C25
4.含混凝土泵送费用</t>
  </si>
  <si>
    <t>010504001002</t>
  </si>
  <si>
    <t>1.电梯井
2.混凝土种类:预拌混凝土
3.混凝土强度等级:C30
4.含混凝土泵送费用</t>
  </si>
  <si>
    <t>010505001004</t>
  </si>
  <si>
    <t>010505008002</t>
  </si>
  <si>
    <t>1.部位:空调板、装饰飘板
2.混凝土种类:预拌混凝土
3.混凝土强度等级:C30</t>
  </si>
  <si>
    <t>010505006004</t>
  </si>
  <si>
    <t>1.部位:栏板、反坎
2.混凝土强度等级:C25商品混凝土</t>
  </si>
  <si>
    <t>010503004001</t>
  </si>
  <si>
    <t>圈梁（女儿墙压顶、窗台压顶）</t>
  </si>
  <si>
    <t>1.部位:圈梁
2.混凝土种类:预拌混凝土
3.混凝土强度等级:C25</t>
  </si>
  <si>
    <t>010503005002</t>
  </si>
  <si>
    <t>010507007001</t>
  </si>
  <si>
    <t>1.反坎
2.混凝土种类:预拌混凝土
3.混凝土强度等级:C25</t>
  </si>
  <si>
    <t>010506001001</t>
  </si>
  <si>
    <t>010401013006</t>
  </si>
  <si>
    <t>010515001015</t>
  </si>
  <si>
    <t>010515001016</t>
  </si>
  <si>
    <t>010515001017</t>
  </si>
  <si>
    <t>010515001026</t>
  </si>
  <si>
    <t>010515001025</t>
  </si>
  <si>
    <t>010515001022</t>
  </si>
  <si>
    <t>010515001023</t>
  </si>
  <si>
    <t>1.钢筋种类、规格:现浇构件箍筋带肋钢筋(HRB400)φ10以外</t>
  </si>
  <si>
    <t>010606008002</t>
  </si>
  <si>
    <t>钢梯</t>
  </si>
  <si>
    <t>1.钢爬梯
2.防锈漆一道
3.图集:15J403</t>
  </si>
  <si>
    <t>010802003013</t>
  </si>
  <si>
    <t>1.门类型:钢质防火门丙扇(级）
2.闭门器安装
3.其他详见施工设计图</t>
  </si>
  <si>
    <t>010802003015</t>
  </si>
  <si>
    <t>010802003014</t>
  </si>
  <si>
    <t>010802003016</t>
  </si>
  <si>
    <t>1.镀锌钢板门
2.1.5mm厚优质镀锌钢表面氟碳漆静电喷涂
3.304不锈钢五金件及门锁</t>
  </si>
  <si>
    <t>1.镀锌钢板门
2.1.5mm厚优质镀锌钢表面氟碳漆静电喷涂
3.304不锈钢五金件及门锁
4.上部开启窗6mm钢化玻璃</t>
  </si>
  <si>
    <t>010807001014</t>
  </si>
  <si>
    <t>1.窗类型:90系列推拉窗
2.铝材厚度:1.8mm
3.玻璃品种、厚度:Low-E中空玻璃(6+12A+6)
4.排烟窗做法详见图纸
5.其他详见施工设计图</t>
  </si>
  <si>
    <t>010807001015</t>
  </si>
  <si>
    <t>010807001016</t>
  </si>
  <si>
    <t>010807002001</t>
  </si>
  <si>
    <t>金属防火窗</t>
  </si>
  <si>
    <t>1.铝合金乙级防火玻璃固定窗安装
2.其他详见施工设计图</t>
  </si>
  <si>
    <t>010807003003</t>
  </si>
  <si>
    <t>金属格栅窗</t>
  </si>
  <si>
    <t>1.3.0厚300*100深灰色铝合金方管装饰格栅，中心间距300
2.其他详见施工设计图</t>
  </si>
  <si>
    <t>011102003008</t>
  </si>
  <si>
    <t>010902003012</t>
  </si>
  <si>
    <t>010902001007</t>
  </si>
  <si>
    <t>屋面卷材防水（屋1、屋4）</t>
  </si>
  <si>
    <t>010902003013</t>
  </si>
  <si>
    <t>010902002005</t>
  </si>
  <si>
    <t>屋面涂膜防水（屋1、屋4）</t>
  </si>
  <si>
    <t>010902001008</t>
  </si>
  <si>
    <t>屋面卷材防水（屋2）</t>
  </si>
  <si>
    <t>1.4.0厚塑性体改性沥青防水卷材(耐根穿刺防水层)</t>
  </si>
  <si>
    <t>010902002006</t>
  </si>
  <si>
    <t>屋面涂膜防水（屋2）</t>
  </si>
  <si>
    <t>1.2厚聚氨酯防水涂膜</t>
  </si>
  <si>
    <t>010902003014</t>
  </si>
  <si>
    <t>屋面刚性层（屋2、屋3）</t>
  </si>
  <si>
    <t>010902003015</t>
  </si>
  <si>
    <t>010902003016</t>
  </si>
  <si>
    <t>010904002003</t>
  </si>
  <si>
    <t>1.1.5厚聚合物水泥基防水涂料
2.20厚M20水泥砂浆找平找坡层</t>
  </si>
  <si>
    <t>1.1.5厚聚合物水泥基防水涂料</t>
  </si>
  <si>
    <t>010903002001</t>
  </si>
  <si>
    <t>墙面涂膜防水（卫生间）</t>
  </si>
  <si>
    <t>1.卫生间墙身
2.1.5厚聚合物水泥基防水涂料
3.15厚WPM20水泥砂浆找平,分两遍成活,底层抹灰应压实搓毛</t>
  </si>
  <si>
    <t>保温隔热屋面（屋1）</t>
  </si>
  <si>
    <t>1.55厚RC型B2级挤塑聚苯乙烯泡沫塑料板</t>
  </si>
  <si>
    <t>011003001001</t>
  </si>
  <si>
    <t>隔离层（屋2）</t>
  </si>
  <si>
    <t>1.部位:种植屋面
2.聚酯无纺布过滤层
3.凹凸型排(蓄)水板</t>
  </si>
  <si>
    <t>011001001002</t>
  </si>
  <si>
    <t>保温隔热屋面（屋2）</t>
  </si>
  <si>
    <t>1.20厚RC型B2级挤塑聚苯乙烯泡沫塑料板</t>
  </si>
  <si>
    <t>011001001003</t>
  </si>
  <si>
    <t>011001003001</t>
  </si>
  <si>
    <t>1.西向外墙内保温10mm玻化微珠保温砂浆
2.5厚抗裂砂浆内置保温专用玻纤网(130g/m2)
3.做法详见图纸</t>
  </si>
  <si>
    <t>011101001004</t>
  </si>
  <si>
    <t>011102003016</t>
  </si>
  <si>
    <t>橡胶板卷材楼地面</t>
  </si>
  <si>
    <t>1.2.0mm厚PVC卷材木纹地板胶专用粘合剂粘贴
2.20~45厚M20水泥砂浆,压实赶光
3.做法详见图纸</t>
  </si>
  <si>
    <t>竹、木(复合)地板</t>
  </si>
  <si>
    <t>1.成品2厚UPVC卷材(同质透心)专用粘合剂粘贴
2.18mm阻燃夹板面铺
3.40*40*2方钢底架(横竖间隔≤600)
4.做法详见图纸</t>
  </si>
  <si>
    <t>011101003002</t>
  </si>
  <si>
    <t>细石混凝土楼地面（地5）</t>
  </si>
  <si>
    <t>1.40厚C20细石混凝土,随打随抹光(骨料用石灰石、白云石)</t>
  </si>
  <si>
    <t>011104004002</t>
  </si>
  <si>
    <t>防静电活动地板（地6）</t>
  </si>
  <si>
    <t>1.150~250高架空防静电活动地板
2.20厚M20水泥砂浆,压实赶光,面层涂刷地板漆
3.做法详见图纸</t>
  </si>
  <si>
    <t>1.12mm厚900*150实木地板
2.18mm阻燃夹板面铺
3.40*40*2方钢底架(横竖间隔≤600)
4.做法详见图纸</t>
  </si>
  <si>
    <t>011102003017</t>
  </si>
  <si>
    <t>1.楼地面铺贴800X800mm仿古地砖,面用白水泥擦缝
2.30厚1:3干硬性水泥砂浆结合层
3.3厚ALE隔声涂料
4.做法详见图纸</t>
  </si>
  <si>
    <t>011102003019</t>
  </si>
  <si>
    <t>011102003020</t>
  </si>
  <si>
    <t>1.楼地面铺贴600*600木纹砖,面用白水泥擦缝
2.30厚1:3干硬性水泥砂浆结合层
3.3厚ALE隔声涂料
4.做法详见图纸</t>
  </si>
  <si>
    <t>011102003018</t>
  </si>
  <si>
    <t>011105001001</t>
  </si>
  <si>
    <t>水泥砂浆踢脚线</t>
  </si>
  <si>
    <t>1.水泥砂浆踢脚线
2.15厚M15水泥砂浆底+10厚M20水泥砂浆面
3.高度:120mm</t>
  </si>
  <si>
    <t>1.5~10厚砖块踢脚线,稀水泥浆(或彩色水泥浆)擦缝
2.高度:120mm
3.9厚M20水泥砂浆粘接层(内掺建筑胶)</t>
  </si>
  <si>
    <t>040201022001</t>
  </si>
  <si>
    <t>排水沟、截水沟</t>
  </si>
  <si>
    <t>1.排水沟
2.最薄15厚DSM20水泥砂找坡0.5%(沟底)阴角位置做R=50的圆弧处理
3.20厚DWM20防水砂浆
4.380mm成品不锈钢格栅</t>
  </si>
  <si>
    <t>011201001007</t>
  </si>
  <si>
    <t>墙面装饰板（墙2）</t>
  </si>
  <si>
    <t>1.护墙板墙面
2.面层材料品种、规格、颜色:顶部:10*60mm浅金檀护墙板收口线
中部:9mm浅金檀护墙板
底部:17mm浅金檀护墙板地脚线
3.做法详见图纸</t>
  </si>
  <si>
    <t>011406001004</t>
  </si>
  <si>
    <t>011204003012</t>
  </si>
  <si>
    <t>011201001008</t>
  </si>
  <si>
    <t>1.15厚WPM20水泥砂浆找平,分两遍成活,底层抹灰应压实搓毛</t>
  </si>
  <si>
    <t>011406001009</t>
  </si>
  <si>
    <t>011204003014</t>
  </si>
  <si>
    <t>011204003015</t>
  </si>
  <si>
    <t>块料墙面</t>
  </si>
  <si>
    <t>1.镶贴300*300仿古砖墙面建筑胶粘剂粘贴
2.15厚WPM20水泥砂浆找平</t>
  </si>
  <si>
    <t>1.首层柱脚
2.安装方式:挂贴米色大理石
3.其他详见施工设计图</t>
  </si>
  <si>
    <t>1.米黄花岗石窗台石</t>
  </si>
  <si>
    <t>1.18MM厚A级防火吸音板
2.50厚超细玻璃棉容重:32KG/m3外包吸声无纺布
3.15mm阻燃夹板
4.50*50阻燃木龙骨底架
5.1.2厚黑色不锈钢压槽</t>
  </si>
  <si>
    <t>1.4MM蓝色免漆板
2.15mm阻燃夹板
3.30*30阻燃木龙骨底架</t>
  </si>
  <si>
    <t>1.5MM厚清镜
2.15mm阻燃夹板
3.50*50阻燃木龙骨底架</t>
  </si>
  <si>
    <t>墙面装饰板（logo）</t>
  </si>
  <si>
    <t>1.15MM蓝色免漆板
2.15mm阻燃夹板
3.30*30阻燃木龙骨底架</t>
  </si>
  <si>
    <t>1.9mm欧松板
2.15mm阻燃夹板
3.30*30阻燃木龙骨底架
4.30mm透明亚克力板</t>
  </si>
  <si>
    <t>1.贴黄色墙布
2.9mm阻燃夹板
3.30*30阻燃木龙骨底架
4.1.2厚黑色不锈钢压槽</t>
  </si>
  <si>
    <t>1.刮塑油浅橙色无机装修涂料
2.5mm阻燃夹板
3.30*30阻燃木龙骨底架</t>
  </si>
  <si>
    <t>1.实木地板原木色地脚线
2.踢脚线高度:100mm</t>
  </si>
  <si>
    <t>011210003001</t>
  </si>
  <si>
    <t>玻璃隔断</t>
  </si>
  <si>
    <t>1.8mm厚钢化清玻璃隔断</t>
  </si>
  <si>
    <t>011210006001</t>
  </si>
  <si>
    <t>其他隔断</t>
  </si>
  <si>
    <t>1.轻钢龙骨12mm硅钙板隔墙(包龙骨)双面</t>
  </si>
  <si>
    <t>011508002001</t>
  </si>
  <si>
    <t>有机玻璃字</t>
  </si>
  <si>
    <t>1.订做亚克力广告字体logo
2.H=190mm</t>
  </si>
  <si>
    <t>011407002003</t>
  </si>
  <si>
    <t>变更</t>
  </si>
  <si>
    <t>011302001006</t>
  </si>
  <si>
    <t>1.装配式U型轻钢天棚龙骨(不上人型)面层规格(mm)600×600平面
2.600*600*8mm厚穿孔硅钙板天花
3.做法详见图纸</t>
  </si>
  <si>
    <t>011406001008</t>
  </si>
  <si>
    <t>011302001007</t>
  </si>
  <si>
    <t>1.名称:不锈钢护窗栏杆H=900mm
2.上扶手:Φ60x2.5不锈钢管
3.栏杆:Φ30x2.0不锈钢管
4.含热镀锌预埋件及螺栓</t>
  </si>
  <si>
    <t>011503001003</t>
  </si>
  <si>
    <t>1.名称:走廊拉丝不锈钢烤漆栏杆H=1200mm
2.上扶手:Φ60x3.0不锈钢管
3.栏杆:Φ28x1.2不锈钢管
4.含热镀锌预埋件及螺栓
5.做法参照国标15J403-1</t>
  </si>
  <si>
    <t>011503008001</t>
  </si>
  <si>
    <t>玻璃栏板</t>
  </si>
  <si>
    <t>1.不锈钢立柱玻璃栏板
2.H=1250mm
3.不锈钢扶手Φ50x3.0直型
4.做法参照国标15J403-1</t>
  </si>
  <si>
    <t>011503005003</t>
  </si>
  <si>
    <t>011505001002</t>
  </si>
  <si>
    <t>011505010001</t>
  </si>
  <si>
    <t>011501001003</t>
  </si>
  <si>
    <t>直播台</t>
  </si>
  <si>
    <t>1.直播台
2.H=800
3.4MM阻燃夹板底面刮离子灰喷光面漆
4.做法详见设计图纸</t>
  </si>
  <si>
    <t>011501001005</t>
  </si>
  <si>
    <t>洗手柜</t>
  </si>
  <si>
    <t>1.4mm蓝色免漆板洗手柜
2.H=650
3.做法详见设计图纸</t>
  </si>
  <si>
    <t>011501001008</t>
  </si>
  <si>
    <t>电脑桌</t>
  </si>
  <si>
    <t>1.4mm白橡木免漆板电脑桌
2.H=700
3.做法详见设计图纸</t>
  </si>
  <si>
    <t>011501001007</t>
  </si>
  <si>
    <t>讲台</t>
  </si>
  <si>
    <t>1.4mm蓝色免漆板讲台
2.H=650
3.做法详见设计图纸</t>
  </si>
  <si>
    <t>011501001006</t>
  </si>
  <si>
    <t>4MM白橡木免漆板书架</t>
  </si>
  <si>
    <t>1.4MM白橡木免漆板书架
2.做法详见设计图纸</t>
  </si>
  <si>
    <t>011508001001</t>
  </si>
  <si>
    <t>装饰构件</t>
  </si>
  <si>
    <t>1.01装饰构件
2.白色发泡陶瓷构件
3.规格:2m
4.做法详见设计图纸</t>
  </si>
  <si>
    <t>011508001002</t>
  </si>
  <si>
    <t>1.02装饰构件
2.白色发泡陶瓷构件
3.规格:1.6m
4.做法详见设计图纸</t>
  </si>
  <si>
    <t>011508001003</t>
  </si>
  <si>
    <t>成品塔钟</t>
  </si>
  <si>
    <t>1.成品塔钟
2.规格:R=2m
3.做法详见设计图纸</t>
  </si>
  <si>
    <t>粤011701008003</t>
  </si>
  <si>
    <t>1.搭设高度:综合钢脚手架搭拆高度(m以内)39
2.建筑用综合脚手架使用费</t>
  </si>
  <si>
    <t>粤011701008005</t>
  </si>
  <si>
    <t>1.搭设高度:综合钢脚手架搭拆高度(m以内)25.1
2.建筑用综合脚手架使用费</t>
  </si>
  <si>
    <t>粤011701008004</t>
  </si>
  <si>
    <t>1.搭设高度:综合钢脚手架搭拆高度(m以内)9.6
2.建筑用综合脚手架使用费</t>
  </si>
  <si>
    <t>粤011701011002</t>
  </si>
  <si>
    <t>1.里脚手架(钢管)民用建筑实际高度﹤3.6m</t>
  </si>
  <si>
    <t>1.里脚手架(钢管)民用建筑实际高度4.2m</t>
  </si>
  <si>
    <t>1.里脚手架(钢管)民用建筑实际高度7.8m</t>
  </si>
  <si>
    <t>1.里脚手架(钢管)民用建筑实际高度11.4m</t>
  </si>
  <si>
    <t>粤011701010001</t>
  </si>
  <si>
    <t>1.满堂脚手架(钢管)基本层4.2m</t>
  </si>
  <si>
    <t>1.满堂脚手架(钢管)基本层7.8m</t>
  </si>
  <si>
    <t>1.满堂脚手架(钢管)基本层11.4m</t>
  </si>
  <si>
    <t>粤011701015001</t>
  </si>
  <si>
    <t>电梯井脚手架</t>
  </si>
  <si>
    <t>1.电梯井脚手架(钢管)高度(m以内)30</t>
  </si>
  <si>
    <t>座</t>
  </si>
  <si>
    <t>粤011701009001</t>
  </si>
  <si>
    <t>单排钢脚手架</t>
  </si>
  <si>
    <t>1.搭设高度:高度(m以内)10
2.建筑用单排脚手架使用费</t>
  </si>
  <si>
    <t>011702001007</t>
  </si>
  <si>
    <t>011702001005</t>
  </si>
  <si>
    <t>1.基础类型:桩承台模板</t>
  </si>
  <si>
    <t>011702001006</t>
  </si>
  <si>
    <t>1.基础类型:满堂基础模板</t>
  </si>
  <si>
    <t>011702002002</t>
  </si>
  <si>
    <t>1.矩形柱模板(周长m)支模高度4.5m1.8外</t>
  </si>
  <si>
    <t>011702002008</t>
  </si>
  <si>
    <t>011702002006</t>
  </si>
  <si>
    <t>011702004003</t>
  </si>
  <si>
    <t>1.异形柱模板支模高度3.6m内实际支模高度(m):4.2</t>
  </si>
  <si>
    <t>011702004002</t>
  </si>
  <si>
    <t>1.异形柱模板支模高度3.6m内</t>
  </si>
  <si>
    <t>011702003004</t>
  </si>
  <si>
    <t>1.构造柱模板(周长m)支模高度4.5m内1.2内</t>
  </si>
  <si>
    <t>011702011002</t>
  </si>
  <si>
    <t>011702011003</t>
  </si>
  <si>
    <t>1.直形墙模板墙厚(cm以内)40支模高度4.2m</t>
  </si>
  <si>
    <t>1.有梁板模板支模高度4.2m内</t>
  </si>
  <si>
    <t>011702014006</t>
  </si>
  <si>
    <t>011702006003</t>
  </si>
  <si>
    <t>1.单梁、连续梁模板(梁宽cm)25以内支模高度4.2m内</t>
  </si>
  <si>
    <t>011702006006</t>
  </si>
  <si>
    <t>1.单梁、连续梁模板(梁宽cm)25以外支模高度4.2m内</t>
  </si>
  <si>
    <t>011702006007</t>
  </si>
  <si>
    <t>011702006005</t>
  </si>
  <si>
    <t>011702006008</t>
  </si>
  <si>
    <t>011702023002</t>
  </si>
  <si>
    <t>011702021002</t>
  </si>
  <si>
    <t>1.圈梁模板支模高度3.6m内</t>
  </si>
  <si>
    <t>011702008004</t>
  </si>
  <si>
    <t>1.过梁模板支模高度3.6m内</t>
  </si>
  <si>
    <t>011702008003</t>
  </si>
  <si>
    <t>反坎</t>
  </si>
  <si>
    <t>1.反坎模板支模高度3.6m内</t>
  </si>
  <si>
    <t>011702024001</t>
  </si>
  <si>
    <t>010401001002</t>
  </si>
  <si>
    <t>砖基础</t>
  </si>
  <si>
    <t>1.砖胎膜
2.砖品种、规格、强度等级:Mu15蒸压灰砂砖
3.砂浆强度等级:WMM5专用砌筑砂浆</t>
  </si>
  <si>
    <t>1.建筑物20m以上的垂直运输30m以内</t>
  </si>
  <si>
    <t>业态</t>
  </si>
  <si>
    <t>扩展列_1</t>
  </si>
  <si>
    <t>扩展列_2</t>
  </si>
  <si>
    <t>扩展列_3</t>
  </si>
  <si>
    <t>扩展列_4</t>
  </si>
  <si>
    <t>表-08 分部分项工程和单价措施项目清单-综合楼</t>
  </si>
  <si>
    <t/>
  </si>
  <si>
    <t>139151.88</t>
  </si>
  <si>
    <t>2090.01</t>
  </si>
  <si>
    <t>2.32</t>
  </si>
  <si>
    <t>2.49</t>
  </si>
  <si>
    <t>4848.83</t>
  </si>
  <si>
    <t>1585.62</t>
  </si>
  <si>
    <t>5.77</t>
  </si>
  <si>
    <t>6.22</t>
  </si>
  <si>
    <t>9149</t>
  </si>
  <si>
    <t>350.37</t>
  </si>
  <si>
    <t>9.86</t>
  </si>
  <si>
    <t>9.32</t>
  </si>
  <si>
    <t>3454.64</t>
  </si>
  <si>
    <t>752.53</t>
  </si>
  <si>
    <t>8.25</t>
  </si>
  <si>
    <t>9.45</t>
  </si>
  <si>
    <t>6208.41</t>
  </si>
  <si>
    <t>764.17</t>
  </si>
  <si>
    <t>17.92</t>
  </si>
  <si>
    <t>19.89</t>
  </si>
  <si>
    <t>13694</t>
  </si>
  <si>
    <t>1809.72</t>
  </si>
  <si>
    <t>56.25</t>
  </si>
  <si>
    <t>59.2</t>
  </si>
  <si>
    <t>101797</t>
  </si>
  <si>
    <t>1069070.38</t>
  </si>
  <si>
    <t>1137925.24</t>
  </si>
  <si>
    <t>3420</t>
  </si>
  <si>
    <t>3847.9</t>
  </si>
  <si>
    <t>3536.74</t>
  </si>
  <si>
    <t>276.89</t>
  </si>
  <si>
    <t>320.16</t>
  </si>
  <si>
    <t>946963.8</t>
  </si>
  <si>
    <t>1065445.03</t>
  </si>
  <si>
    <t>100</t>
  </si>
  <si>
    <t>0</t>
  </si>
  <si>
    <t>315.52</t>
  </si>
  <si>
    <t>357.1</t>
  </si>
  <si>
    <t>31552</t>
  </si>
  <si>
    <t>264</t>
  </si>
  <si>
    <t>122.3</t>
  </si>
  <si>
    <t>56.37</t>
  </si>
  <si>
    <t>58.71</t>
  </si>
  <si>
    <t>14881.68</t>
  </si>
  <si>
    <t>6894.05</t>
  </si>
  <si>
    <t>176</t>
  </si>
  <si>
    <t>78.16</t>
  </si>
  <si>
    <t>95.36</t>
  </si>
  <si>
    <t>13756.16</t>
  </si>
  <si>
    <t>268.05</t>
  </si>
  <si>
    <t>259.06</t>
  </si>
  <si>
    <t>47176.8</t>
  </si>
  <si>
    <t>2.76</t>
  </si>
  <si>
    <t>0.87</t>
  </si>
  <si>
    <t>5341.14</t>
  </si>
  <si>
    <t>6492.43</t>
  </si>
  <si>
    <t>14739.94</t>
  </si>
  <si>
    <t>4653.2</t>
  </si>
  <si>
    <t>563645.69</t>
  </si>
  <si>
    <t>835049.33</t>
  </si>
  <si>
    <t>27.86</t>
  </si>
  <si>
    <t>266.77</t>
  </si>
  <si>
    <t>793.81</t>
  </si>
  <si>
    <t>770.77</t>
  </si>
  <si>
    <t>22116.18</t>
  </si>
  <si>
    <t>211762.63</t>
  </si>
  <si>
    <t>384.69</t>
  </si>
  <si>
    <t>399.19</t>
  </si>
  <si>
    <t>589.41</t>
  </si>
  <si>
    <t>676.12</t>
  </si>
  <si>
    <t>226742.37</t>
  </si>
  <si>
    <t>235288.82</t>
  </si>
  <si>
    <t>331.51</t>
  </si>
  <si>
    <t>440.98</t>
  </si>
  <si>
    <t>424.16</t>
  </si>
  <si>
    <t>576.98</t>
  </si>
  <si>
    <t>661.47</t>
  </si>
  <si>
    <t>191272.56</t>
  </si>
  <si>
    <t>254438.2</t>
  </si>
  <si>
    <t>1.09</t>
  </si>
  <si>
    <t>2.59</t>
  </si>
  <si>
    <t>599.51</t>
  </si>
  <si>
    <t>686.9</t>
  </si>
  <si>
    <t>655.5</t>
  </si>
  <si>
    <t>1554.77</t>
  </si>
  <si>
    <t>147.47</t>
  </si>
  <si>
    <t>148.91</t>
  </si>
  <si>
    <t>599.53</t>
  </si>
  <si>
    <t>88409.93</t>
  </si>
  <si>
    <t>89273.91</t>
  </si>
  <si>
    <t>33.46</t>
  </si>
  <si>
    <t>35.46</t>
  </si>
  <si>
    <t>19722.31</t>
  </si>
  <si>
    <t>20901.13</t>
  </si>
  <si>
    <t>17.53</t>
  </si>
  <si>
    <t>18.74</t>
  </si>
  <si>
    <t>591.21</t>
  </si>
  <si>
    <t>677</t>
  </si>
  <si>
    <t>10362.08</t>
  </si>
  <si>
    <t>11081.76</t>
  </si>
  <si>
    <t>6.24</t>
  </si>
  <si>
    <t>10.57</t>
  </si>
  <si>
    <t>159.23</t>
  </si>
  <si>
    <t>189.88</t>
  </si>
  <si>
    <t>993.6</t>
  </si>
  <si>
    <t>1683.7</t>
  </si>
  <si>
    <t>4.66</t>
  </si>
  <si>
    <t>12.54</t>
  </si>
  <si>
    <t>722.99</t>
  </si>
  <si>
    <t>864.65</t>
  </si>
  <si>
    <t>3371.16</t>
  </si>
  <si>
    <t>9064.41</t>
  </si>
  <si>
    <t>4004682.77</t>
  </si>
  <si>
    <t>3988491.76</t>
  </si>
  <si>
    <t>295.51</t>
  </si>
  <si>
    <t>261.34</t>
  </si>
  <si>
    <t>626.18</t>
  </si>
  <si>
    <t>830</t>
  </si>
  <si>
    <t>185040.01</t>
  </si>
  <si>
    <t>163210.83</t>
  </si>
  <si>
    <t>181.51</t>
  </si>
  <si>
    <t>233.54</t>
  </si>
  <si>
    <t>687.16</t>
  </si>
  <si>
    <t>871.16</t>
  </si>
  <si>
    <t>124725.04</t>
  </si>
  <si>
    <t>160477.65</t>
  </si>
  <si>
    <t>113.08</t>
  </si>
  <si>
    <t>114.47</t>
  </si>
  <si>
    <t>110.3</t>
  </si>
  <si>
    <t>679.67</t>
  </si>
  <si>
    <t>863.84</t>
  </si>
  <si>
    <t>76855.86</t>
  </si>
  <si>
    <t>77801.22</t>
  </si>
  <si>
    <t>411.63</t>
  </si>
  <si>
    <t>360.95</t>
  </si>
  <si>
    <t>686.38</t>
  </si>
  <si>
    <t>282533.23</t>
  </si>
  <si>
    <t>247750.59</t>
  </si>
  <si>
    <t>374.97</t>
  </si>
  <si>
    <t>389.37</t>
  </si>
  <si>
    <t>767.69</t>
  </si>
  <si>
    <t>959.74</t>
  </si>
  <si>
    <t>287859.49</t>
  </si>
  <si>
    <t>298913.06</t>
  </si>
  <si>
    <t>59.54</t>
  </si>
  <si>
    <t>65.14</t>
  </si>
  <si>
    <t>820.94</t>
  </si>
  <si>
    <t>1006.12</t>
  </si>
  <si>
    <t>48878.52</t>
  </si>
  <si>
    <t>53476.03</t>
  </si>
  <si>
    <t>1100.15</t>
  </si>
  <si>
    <t>1139.02</t>
  </si>
  <si>
    <t>674.8</t>
  </si>
  <si>
    <t>855.35</t>
  </si>
  <si>
    <t>742380.21</t>
  </si>
  <si>
    <t>768609.1</t>
  </si>
  <si>
    <t>36.14</t>
  </si>
  <si>
    <t>27.25</t>
  </si>
  <si>
    <t>869.35</t>
  </si>
  <si>
    <t>24386.26</t>
  </si>
  <si>
    <t>18387.39</t>
  </si>
  <si>
    <t>49.41</t>
  </si>
  <si>
    <t>22.39</t>
  </si>
  <si>
    <t>699.01</t>
  </si>
  <si>
    <t>882.44</t>
  </si>
  <si>
    <t>34535.99</t>
  </si>
  <si>
    <t>15647.96</t>
  </si>
  <si>
    <t>145.46</t>
  </si>
  <si>
    <t>111.17</t>
  </si>
  <si>
    <t>107.54</t>
  </si>
  <si>
    <t>726.66</t>
  </si>
  <si>
    <t>913.95</t>
  </si>
  <si>
    <t>105702.36</t>
  </si>
  <si>
    <t>80781.2</t>
  </si>
  <si>
    <t>3.49</t>
  </si>
  <si>
    <t>12.68</t>
  </si>
  <si>
    <t>838.64</t>
  </si>
  <si>
    <t>1035.77</t>
  </si>
  <si>
    <t>2923</t>
  </si>
  <si>
    <t>10630.79</t>
  </si>
  <si>
    <t>116.23</t>
  </si>
  <si>
    <t>71.21</t>
  </si>
  <si>
    <t>69.74</t>
  </si>
  <si>
    <t>994.44</t>
  </si>
  <si>
    <t>1058.32</t>
  </si>
  <si>
    <t>115587.84</t>
  </si>
  <si>
    <t>70817.89</t>
  </si>
  <si>
    <t>4.76</t>
  </si>
  <si>
    <t>15.08</t>
  </si>
  <si>
    <t>766.65</t>
  </si>
  <si>
    <t>957.91</t>
  </si>
  <si>
    <t>3650.17</t>
  </si>
  <si>
    <t>11559.47</t>
  </si>
  <si>
    <t>7.63</t>
  </si>
  <si>
    <t>24.62</t>
  </si>
  <si>
    <t>730.1</t>
  </si>
  <si>
    <t>934.35</t>
  </si>
  <si>
    <t>5568.11</t>
  </si>
  <si>
    <t>17975.06</t>
  </si>
  <si>
    <t>4.46</t>
  </si>
  <si>
    <t>906.2</t>
  </si>
  <si>
    <t>3257.2</t>
  </si>
  <si>
    <t>4.3</t>
  </si>
  <si>
    <t>0.2</t>
  </si>
  <si>
    <t>0.19</t>
  </si>
  <si>
    <t>826.88</t>
  </si>
  <si>
    <t>1019.22</t>
  </si>
  <si>
    <t>3557.57</t>
  </si>
  <si>
    <t>166.7</t>
  </si>
  <si>
    <t>142.78</t>
  </si>
  <si>
    <t>80.24</t>
  </si>
  <si>
    <t>95.34</t>
  </si>
  <si>
    <t>11456.35</t>
  </si>
  <si>
    <t>88.84</t>
  </si>
  <si>
    <t>100.86</t>
  </si>
  <si>
    <t>5708.81</t>
  </si>
  <si>
    <t>6995.45</t>
  </si>
  <si>
    <t>507176.39</t>
  </si>
  <si>
    <t>575817.64</t>
  </si>
  <si>
    <t>10.71</t>
  </si>
  <si>
    <t>7.35</t>
  </si>
  <si>
    <t>7085.72</t>
  </si>
  <si>
    <t>61118.52</t>
  </si>
  <si>
    <t>41966.95</t>
  </si>
  <si>
    <t>44.38</t>
  </si>
  <si>
    <t>41.66</t>
  </si>
  <si>
    <t>5570.86</t>
  </si>
  <si>
    <t>6793.55</t>
  </si>
  <si>
    <t>247212.48</t>
  </si>
  <si>
    <t>232074.03</t>
  </si>
  <si>
    <t>102.11</t>
  </si>
  <si>
    <t>110.02</t>
  </si>
  <si>
    <t>6884.26</t>
  </si>
  <si>
    <t>568818.23</t>
  </si>
  <si>
    <t>612880.85</t>
  </si>
  <si>
    <t>13.81</t>
  </si>
  <si>
    <t>11.02</t>
  </si>
  <si>
    <t>11.015</t>
  </si>
  <si>
    <t>5507.01</t>
  </si>
  <si>
    <t>6766.86</t>
  </si>
  <si>
    <t>76051.81</t>
  </si>
  <si>
    <t>60671.42</t>
  </si>
  <si>
    <t>64.07</t>
  </si>
  <si>
    <t>66.42</t>
  </si>
  <si>
    <t>6837.26</t>
  </si>
  <si>
    <t>8255.91</t>
  </si>
  <si>
    <t>438076.92</t>
  </si>
  <si>
    <t>454162.38</t>
  </si>
  <si>
    <t>1022</t>
  </si>
  <si>
    <t>7.47</t>
  </si>
  <si>
    <t>7634.34</t>
  </si>
  <si>
    <t>1509</t>
  </si>
  <si>
    <t>9.46</t>
  </si>
  <si>
    <t>10.44</t>
  </si>
  <si>
    <t>14275.14</t>
  </si>
  <si>
    <t>1525</t>
  </si>
  <si>
    <t>16.67</t>
  </si>
  <si>
    <t>21.53</t>
  </si>
  <si>
    <t>25421.75</t>
  </si>
  <si>
    <t>1979944.66</t>
  </si>
  <si>
    <t>1901843.25</t>
  </si>
  <si>
    <t>5631.67</t>
  </si>
  <si>
    <t>4161.91</t>
  </si>
  <si>
    <t>6.91</t>
  </si>
  <si>
    <t>16.21</t>
  </si>
  <si>
    <t>38914.84</t>
  </si>
  <si>
    <t>20575.48</t>
  </si>
  <si>
    <t>781.41</t>
  </si>
  <si>
    <t>788.4</t>
  </si>
  <si>
    <t>784.84</t>
  </si>
  <si>
    <t>4.58</t>
  </si>
  <si>
    <t>11.97</t>
  </si>
  <si>
    <t>3578.85</t>
  </si>
  <si>
    <t>3643.3</t>
  </si>
  <si>
    <t>0.69</t>
  </si>
  <si>
    <t>1.85</t>
  </si>
  <si>
    <t>8068.1</t>
  </si>
  <si>
    <t>9670.09</t>
  </si>
  <si>
    <t>5534.72</t>
  </si>
  <si>
    <t>14887.26</t>
  </si>
  <si>
    <t>12.35</t>
  </si>
  <si>
    <t>19.01</t>
  </si>
  <si>
    <t>19.004</t>
  </si>
  <si>
    <t>8895</t>
  </si>
  <si>
    <t>9802.52</t>
  </si>
  <si>
    <t>109890.61</t>
  </si>
  <si>
    <t>169073.49</t>
  </si>
  <si>
    <t>38.23</t>
  </si>
  <si>
    <t>11.43</t>
  </si>
  <si>
    <t>11.424</t>
  </si>
  <si>
    <t>6839.9</t>
  </si>
  <si>
    <t>9706.68</t>
  </si>
  <si>
    <t>261520.16</t>
  </si>
  <si>
    <t>61226.23</t>
  </si>
  <si>
    <t>49.33</t>
  </si>
  <si>
    <t>45.65</t>
  </si>
  <si>
    <t>45.645</t>
  </si>
  <si>
    <t>10367.99</t>
  </si>
  <si>
    <t>11465.39</t>
  </si>
  <si>
    <t>511438.43</t>
  </si>
  <si>
    <t>473276.97</t>
  </si>
  <si>
    <t>23.92</t>
  </si>
  <si>
    <t>41.4</t>
  </si>
  <si>
    <t>7068.28</t>
  </si>
  <si>
    <t>9954.19</t>
  </si>
  <si>
    <t>169081.74</t>
  </si>
  <si>
    <t>303046.21</t>
  </si>
  <si>
    <t>9.51</t>
  </si>
  <si>
    <t>10.26</t>
  </si>
  <si>
    <t>9123.38</t>
  </si>
  <si>
    <t>10054.19</t>
  </si>
  <si>
    <t>86719.55</t>
  </si>
  <si>
    <t>93584.9</t>
  </si>
  <si>
    <t>5.92</t>
  </si>
  <si>
    <t>9.02</t>
  </si>
  <si>
    <t>7232.27</t>
  </si>
  <si>
    <t>10133.72</t>
  </si>
  <si>
    <t>42788.28</t>
  </si>
  <si>
    <t>67004.25</t>
  </si>
  <si>
    <t>2.11</t>
  </si>
  <si>
    <t>2.12</t>
  </si>
  <si>
    <t>9040.46</t>
  </si>
  <si>
    <t>10467.11</t>
  </si>
  <si>
    <t>19099.78</t>
  </si>
  <si>
    <t>19208.27</t>
  </si>
  <si>
    <t>1681.88</t>
  </si>
  <si>
    <t>1695</t>
  </si>
  <si>
    <t>133.37</t>
  </si>
  <si>
    <t>156.01</t>
  </si>
  <si>
    <t>224312.34</t>
  </si>
  <si>
    <t>226062.15</t>
  </si>
  <si>
    <t>5586</t>
  </si>
  <si>
    <t>6828</t>
  </si>
  <si>
    <t>3.34</t>
  </si>
  <si>
    <t>5.64</t>
  </si>
  <si>
    <t>18657.24</t>
  </si>
  <si>
    <t>24049.32</t>
  </si>
  <si>
    <t>32.5</t>
  </si>
  <si>
    <t>42.71</t>
  </si>
  <si>
    <t>54661.1</t>
  </si>
  <si>
    <t>55092.44</t>
  </si>
  <si>
    <t>14.99</t>
  </si>
  <si>
    <t>25.23</t>
  </si>
  <si>
    <t>311.94</t>
  </si>
  <si>
    <t>214.23</t>
  </si>
  <si>
    <t>4675.98</t>
  </si>
  <si>
    <t>7198.75</t>
  </si>
  <si>
    <t>3436.94</t>
  </si>
  <si>
    <t>2873.67</t>
  </si>
  <si>
    <t>116.14</t>
  </si>
  <si>
    <t>114.29</t>
  </si>
  <si>
    <t>399166.21</t>
  </si>
  <si>
    <t>333748.03</t>
  </si>
  <si>
    <t>36.82</t>
  </si>
  <si>
    <t>37.24</t>
  </si>
  <si>
    <t>812.19</t>
  </si>
  <si>
    <t>537.81</t>
  </si>
  <si>
    <t>29904.84</t>
  </si>
  <si>
    <t>30166.21</t>
  </si>
  <si>
    <t>954137.67</t>
  </si>
  <si>
    <t>998562.19</t>
  </si>
  <si>
    <t>2.3</t>
  </si>
  <si>
    <t>3.85</t>
  </si>
  <si>
    <t>569.81</t>
  </si>
  <si>
    <t>650.54</t>
  </si>
  <si>
    <t>1310.56</t>
  </si>
  <si>
    <t>2193.77</t>
  </si>
  <si>
    <t>7.25</t>
  </si>
  <si>
    <t>11.15</t>
  </si>
  <si>
    <t>547.91</t>
  </si>
  <si>
    <t>602.37</t>
  </si>
  <si>
    <t>3969.61</t>
  </si>
  <si>
    <t>6106.46</t>
  </si>
  <si>
    <t>9.6</t>
  </si>
  <si>
    <t>17.6</t>
  </si>
  <si>
    <t>585.85</t>
  </si>
  <si>
    <t>565.65</t>
  </si>
  <si>
    <t>5624.16</t>
  </si>
  <si>
    <t>10310.96</t>
  </si>
  <si>
    <t>16.4</t>
  </si>
  <si>
    <t>585.83</t>
  </si>
  <si>
    <t>686.35</t>
  </si>
  <si>
    <t>9607.61</t>
  </si>
  <si>
    <t>38.87</t>
  </si>
  <si>
    <t>52.67</t>
  </si>
  <si>
    <t>514.69</t>
  </si>
  <si>
    <t>636.8</t>
  </si>
  <si>
    <t>20006</t>
  </si>
  <si>
    <t>27108.72</t>
  </si>
  <si>
    <t>8.28</t>
  </si>
  <si>
    <t>554.23</t>
  </si>
  <si>
    <t>636.94</t>
  </si>
  <si>
    <t>4589.02</t>
  </si>
  <si>
    <t>33.81</t>
  </si>
  <si>
    <t>767.13</t>
  </si>
  <si>
    <t>592.75</t>
  </si>
  <si>
    <t>25936.67</t>
  </si>
  <si>
    <t>77.74</t>
  </si>
  <si>
    <t>818.97</t>
  </si>
  <si>
    <t>638.31</t>
  </si>
  <si>
    <t>63666.73</t>
  </si>
  <si>
    <t>13.32</t>
  </si>
  <si>
    <t>880.74</t>
  </si>
  <si>
    <t>7292.53</t>
  </si>
  <si>
    <t>10984.23</t>
  </si>
  <si>
    <t>95.98</t>
  </si>
  <si>
    <t>735.1</t>
  </si>
  <si>
    <t>686.26</t>
  </si>
  <si>
    <t>70554.9</t>
  </si>
  <si>
    <t>42.28</t>
  </si>
  <si>
    <t>43.08</t>
  </si>
  <si>
    <t>543</t>
  </si>
  <si>
    <t>450</t>
  </si>
  <si>
    <t>22958.04</t>
  </si>
  <si>
    <t>23372.04</t>
  </si>
  <si>
    <t>673.01</t>
  </si>
  <si>
    <t>673.25</t>
  </si>
  <si>
    <t>803.79</t>
  </si>
  <si>
    <t>591.27</t>
  </si>
  <si>
    <t>540958.71</t>
  </si>
  <si>
    <t>541121.9</t>
  </si>
  <si>
    <t>0.96</t>
  </si>
  <si>
    <t>582</t>
  </si>
  <si>
    <t>428.75</t>
  </si>
  <si>
    <t>558.72</t>
  </si>
  <si>
    <t>101.88</t>
  </si>
  <si>
    <t>565.96</t>
  </si>
  <si>
    <t>604.01</t>
  </si>
  <si>
    <t>57660</t>
  </si>
  <si>
    <t>5.07</t>
  </si>
  <si>
    <t>5.85</t>
  </si>
  <si>
    <t>657.93</t>
  </si>
  <si>
    <t>574.3</t>
  </si>
  <si>
    <t>3335.71</t>
  </si>
  <si>
    <t>3848.89</t>
  </si>
  <si>
    <t>48.24</t>
  </si>
  <si>
    <t>79.29</t>
  </si>
  <si>
    <t>568.25</t>
  </si>
  <si>
    <t>523.72</t>
  </si>
  <si>
    <t>27412.38</t>
  </si>
  <si>
    <t>45053.7</t>
  </si>
  <si>
    <t>13.44</t>
  </si>
  <si>
    <t>36.73</t>
  </si>
  <si>
    <t>301.24</t>
  </si>
  <si>
    <t>401</t>
  </si>
  <si>
    <t>4047.16</t>
  </si>
  <si>
    <t>11238.7</t>
  </si>
  <si>
    <t>21</t>
  </si>
  <si>
    <t>428.94</t>
  </si>
  <si>
    <t>6326.04</t>
  </si>
  <si>
    <t>324.72</t>
  </si>
  <si>
    <t>200</t>
  </si>
  <si>
    <t>227.64</t>
  </si>
  <si>
    <t>64944</t>
  </si>
  <si>
    <t>12.97</t>
  </si>
  <si>
    <t>583.16</t>
  </si>
  <si>
    <t>890.22</t>
  </si>
  <si>
    <t>7563.59</t>
  </si>
  <si>
    <t>4.49</t>
  </si>
  <si>
    <t>1295.22</t>
  </si>
  <si>
    <t>410.19</t>
  </si>
  <si>
    <t>5815.54</t>
  </si>
  <si>
    <t>789275.49</t>
  </si>
  <si>
    <t>880995.26</t>
  </si>
  <si>
    <t>1624.08</t>
  </si>
  <si>
    <t>1764.22</t>
  </si>
  <si>
    <t>52.26</t>
  </si>
  <si>
    <t>81.35</t>
  </si>
  <si>
    <t>84874.62</t>
  </si>
  <si>
    <t>93650.01</t>
  </si>
  <si>
    <t>108.07</t>
  </si>
  <si>
    <t>63.95</t>
  </si>
  <si>
    <t>70.44</t>
  </si>
  <si>
    <t>6911.22</t>
  </si>
  <si>
    <t>78.15</t>
  </si>
  <si>
    <t>78.42</t>
  </si>
  <si>
    <t>42.91</t>
  </si>
  <si>
    <t>46.07</t>
  </si>
  <si>
    <t>3353.3</t>
  </si>
  <si>
    <t>80.23</t>
  </si>
  <si>
    <t>-15425.3</t>
  </si>
  <si>
    <t>1372.8</t>
  </si>
  <si>
    <t>2337.08</t>
  </si>
  <si>
    <t>117.09</t>
  </si>
  <si>
    <t>116.28</t>
  </si>
  <si>
    <t>160741.15</t>
  </si>
  <si>
    <t>273648.33</t>
  </si>
  <si>
    <t>1943.37</t>
  </si>
  <si>
    <t>59.04</t>
  </si>
  <si>
    <t>56.42</t>
  </si>
  <si>
    <t>114736.56</t>
  </si>
  <si>
    <t>137981.02</t>
  </si>
  <si>
    <t>2533.72</t>
  </si>
  <si>
    <t>2890.84</t>
  </si>
  <si>
    <t>38.75</t>
  </si>
  <si>
    <t>31.86</t>
  </si>
  <si>
    <t>98181.75</t>
  </si>
  <si>
    <t>111266.07</t>
  </si>
  <si>
    <t>2459.24</t>
  </si>
  <si>
    <t>37.14</t>
  </si>
  <si>
    <t>55.93</t>
  </si>
  <si>
    <t>72176.76</t>
  </si>
  <si>
    <t>94386.21</t>
  </si>
  <si>
    <t>2449.13</t>
  </si>
  <si>
    <t>33.79</t>
  </si>
  <si>
    <t>31.82</t>
  </si>
  <si>
    <t>82756.1</t>
  </si>
  <si>
    <t>97681.39</t>
  </si>
  <si>
    <t>303.77</t>
  </si>
  <si>
    <t>28.13</t>
  </si>
  <si>
    <t>21.75</t>
  </si>
  <si>
    <t>8545.05</t>
  </si>
  <si>
    <t>23.7</t>
  </si>
  <si>
    <t>28.16</t>
  </si>
  <si>
    <t>8554.16</t>
  </si>
  <si>
    <t>242.44</t>
  </si>
  <si>
    <t>253.07</t>
  </si>
  <si>
    <t>21.35</t>
  </si>
  <si>
    <t>22.51</t>
  </si>
  <si>
    <t>5176.09</t>
  </si>
  <si>
    <t>5402.99</t>
  </si>
  <si>
    <t>240.86</t>
  </si>
  <si>
    <t>182.42</t>
  </si>
  <si>
    <t>58394.1</t>
  </si>
  <si>
    <t>236978.02</t>
  </si>
  <si>
    <t>189955.02</t>
  </si>
  <si>
    <t>1536.73</t>
  </si>
  <si>
    <t>1143.98</t>
  </si>
  <si>
    <t>798.76</t>
  </si>
  <si>
    <t>95.23</t>
  </si>
  <si>
    <t>75.67</t>
  </si>
  <si>
    <t>146342.32</t>
  </si>
  <si>
    <t>112165.59</t>
  </si>
  <si>
    <t>2348.5</t>
  </si>
  <si>
    <t>1907.81</t>
  </si>
  <si>
    <t>31.26</t>
  </si>
  <si>
    <t>31.36</t>
  </si>
  <si>
    <t>73414.19</t>
  </si>
  <si>
    <t>59638.07</t>
  </si>
  <si>
    <t>2706.13</t>
  </si>
  <si>
    <t>4.06</t>
  </si>
  <si>
    <t>7.24</t>
  </si>
  <si>
    <t>9943.47</t>
  </si>
  <si>
    <t>11375.75</t>
  </si>
  <si>
    <t>229.37</t>
  </si>
  <si>
    <t>30.02</t>
  </si>
  <si>
    <t>49.93</t>
  </si>
  <si>
    <t>7278.05</t>
  </si>
  <si>
    <t>6775.61</t>
  </si>
  <si>
    <t>852794.73</t>
  </si>
  <si>
    <t>850302.36</t>
  </si>
  <si>
    <t>15.72</t>
  </si>
  <si>
    <t>69.78</t>
  </si>
  <si>
    <t>64.92</t>
  </si>
  <si>
    <t>48.18</t>
  </si>
  <si>
    <t>1020.46</t>
  </si>
  <si>
    <t>4016.02</t>
  </si>
  <si>
    <t>13.26</t>
  </si>
  <si>
    <t>17.16</t>
  </si>
  <si>
    <t>29.28</t>
  </si>
  <si>
    <t>24.37</t>
  </si>
  <si>
    <t>388.25</t>
  </si>
  <si>
    <t>497.55</t>
  </si>
  <si>
    <t>609.25</t>
  </si>
  <si>
    <t>727.13</t>
  </si>
  <si>
    <t>112.13</t>
  </si>
  <si>
    <t>74.24</t>
  </si>
  <si>
    <t>68315.75</t>
  </si>
  <si>
    <t>78379.57</t>
  </si>
  <si>
    <t>312.05</t>
  </si>
  <si>
    <t>313.35</t>
  </si>
  <si>
    <t>142.46</t>
  </si>
  <si>
    <t>223.87</t>
  </si>
  <si>
    <t>44454.93</t>
  </si>
  <si>
    <t>44679.33</t>
  </si>
  <si>
    <t>29.84</t>
  </si>
  <si>
    <t>31.74</t>
  </si>
  <si>
    <t>31.71</t>
  </si>
  <si>
    <t>652.85</t>
  </si>
  <si>
    <t>856.45</t>
  </si>
  <si>
    <t>19482.35</t>
  </si>
  <si>
    <t>20731.91</t>
  </si>
  <si>
    <t>91.8</t>
  </si>
  <si>
    <t>114.81</t>
  </si>
  <si>
    <t>107.87</t>
  </si>
  <si>
    <t>296.71</t>
  </si>
  <si>
    <t>528</t>
  </si>
  <si>
    <t>27237.98</t>
  </si>
  <si>
    <t>36588.46</t>
  </si>
  <si>
    <t>1026.02</t>
  </si>
  <si>
    <t>1025.87</t>
  </si>
  <si>
    <t>530.46</t>
  </si>
  <si>
    <t>304430.39</t>
  </si>
  <si>
    <t>304368.12</t>
  </si>
  <si>
    <t>1293.78</t>
  </si>
  <si>
    <t>1285.93</t>
  </si>
  <si>
    <t>1283.96</t>
  </si>
  <si>
    <t>167.91</t>
  </si>
  <si>
    <t>181.82</t>
  </si>
  <si>
    <t>217238.1</t>
  </si>
  <si>
    <t>215920.94</t>
  </si>
  <si>
    <t>0.42</t>
  </si>
  <si>
    <t>220.22</t>
  </si>
  <si>
    <t>249.18</t>
  </si>
  <si>
    <t>510.91</t>
  </si>
  <si>
    <t>23.76</t>
  </si>
  <si>
    <t>23.47</t>
  </si>
  <si>
    <t>139.46</t>
  </si>
  <si>
    <t>162.88</t>
  </si>
  <si>
    <t>3313.47</t>
  </si>
  <si>
    <t>3272.54</t>
  </si>
  <si>
    <t>860.32</t>
  </si>
  <si>
    <t>762.89</t>
  </si>
  <si>
    <t>762.56</t>
  </si>
  <si>
    <t>129.21</t>
  </si>
  <si>
    <t>90.73</t>
  </si>
  <si>
    <t>111162.35</t>
  </si>
  <si>
    <t>100996.22</t>
  </si>
  <si>
    <t>163.06</t>
  </si>
  <si>
    <t>60.62</t>
  </si>
  <si>
    <t>256.98</t>
  </si>
  <si>
    <t>212.4</t>
  </si>
  <si>
    <t>41903.16</t>
  </si>
  <si>
    <t>16882.14</t>
  </si>
  <si>
    <t>14.69</t>
  </si>
  <si>
    <t>27.2</t>
  </si>
  <si>
    <t>103.72</t>
  </si>
  <si>
    <t>127.05</t>
  </si>
  <si>
    <t>1524.06</t>
  </si>
  <si>
    <t>2821.24</t>
  </si>
  <si>
    <t>2.86</t>
  </si>
  <si>
    <t>8.83</t>
  </si>
  <si>
    <t>8.82</t>
  </si>
  <si>
    <t>98.75</t>
  </si>
  <si>
    <t>116.9</t>
  </si>
  <si>
    <t>282.83</t>
  </si>
  <si>
    <t>871.49</t>
  </si>
  <si>
    <t>19.35</t>
  </si>
  <si>
    <t>29.34</t>
  </si>
  <si>
    <t>392.29</t>
  </si>
  <si>
    <t>287.46</t>
  </si>
  <si>
    <t>7591.2</t>
  </si>
  <si>
    <t>10893.26</t>
  </si>
  <si>
    <t>3.14</t>
  </si>
  <si>
    <t>16</t>
  </si>
  <si>
    <t>333.66</t>
  </si>
  <si>
    <t>1230.61</t>
  </si>
  <si>
    <t>6164.73</t>
  </si>
  <si>
    <t>9.96</t>
  </si>
  <si>
    <t>2.51</t>
  </si>
  <si>
    <t>271.88</t>
  </si>
  <si>
    <t>392.16</t>
  </si>
  <si>
    <t>2707.92</t>
  </si>
  <si>
    <t>2850747.95</t>
  </si>
  <si>
    <t>3314824.03</t>
  </si>
  <si>
    <t>2787.83</t>
  </si>
  <si>
    <t>3039.21</t>
  </si>
  <si>
    <t>3037.23</t>
  </si>
  <si>
    <t>188.2</t>
  </si>
  <si>
    <t>140.67</t>
  </si>
  <si>
    <t>524669.61</t>
  </si>
  <si>
    <t>565335.38</t>
  </si>
  <si>
    <t>858.46</t>
  </si>
  <si>
    <t>1044.02</t>
  </si>
  <si>
    <t>133.2</t>
  </si>
  <si>
    <t>98.47</t>
  </si>
  <si>
    <t>114347.24</t>
  </si>
  <si>
    <t>135360.23</t>
  </si>
  <si>
    <t>380.82</t>
  </si>
  <si>
    <t>431.67</t>
  </si>
  <si>
    <t>105.64</t>
  </si>
  <si>
    <t>50725.22</t>
  </si>
  <si>
    <t>56903.22</t>
  </si>
  <si>
    <t>680.54</t>
  </si>
  <si>
    <t>797.9</t>
  </si>
  <si>
    <t>30.33</t>
  </si>
  <si>
    <t>31.52</t>
  </si>
  <si>
    <t>20640.63</t>
  </si>
  <si>
    <t>24200.2</t>
  </si>
  <si>
    <t>5055.46</t>
  </si>
  <si>
    <t>22.12</t>
  </si>
  <si>
    <t>25.5</t>
  </si>
  <si>
    <t>111826.78</t>
  </si>
  <si>
    <t>2173.41</t>
  </si>
  <si>
    <t>148.21</t>
  </si>
  <si>
    <t>117.46</t>
  </si>
  <si>
    <t>240705.46</t>
  </si>
  <si>
    <t>314907.73</t>
  </si>
  <si>
    <t>3431.38</t>
  </si>
  <si>
    <t>36.95</t>
  </si>
  <si>
    <t>50.6</t>
  </si>
  <si>
    <t>126789.35</t>
  </si>
  <si>
    <t>312.9</t>
  </si>
  <si>
    <t>437.02</t>
  </si>
  <si>
    <t>17.13</t>
  </si>
  <si>
    <t>18.67</t>
  </si>
  <si>
    <t>5359.91</t>
  </si>
  <si>
    <t>7486.18</t>
  </si>
  <si>
    <t>977.19</t>
  </si>
  <si>
    <t>162.51</t>
  </si>
  <si>
    <t>147.48</t>
  </si>
  <si>
    <t>158803.15</t>
  </si>
  <si>
    <t>186.44</t>
  </si>
  <si>
    <t>682.21</t>
  </si>
  <si>
    <t>453.37</t>
  </si>
  <si>
    <t>127191.23</t>
  </si>
  <si>
    <t>379.9</t>
  </si>
  <si>
    <t>404.6</t>
  </si>
  <si>
    <t>217.73</t>
  </si>
  <si>
    <t>207.95</t>
  </si>
  <si>
    <t>82715.63</t>
  </si>
  <si>
    <t>88093.56</t>
  </si>
  <si>
    <t>791.39</t>
  </si>
  <si>
    <t>588.26</t>
  </si>
  <si>
    <t>621.97</t>
  </si>
  <si>
    <t>465543.08</t>
  </si>
  <si>
    <t>683.02</t>
  </si>
  <si>
    <t>950.67</t>
  </si>
  <si>
    <t>604.05</t>
  </si>
  <si>
    <t>569.7</t>
  </si>
  <si>
    <t>412578.23</t>
  </si>
  <si>
    <t>574252.15</t>
  </si>
  <si>
    <t>8.19</t>
  </si>
  <si>
    <t>18.98</t>
  </si>
  <si>
    <t>97.03</t>
  </si>
  <si>
    <t>786.08</t>
  </si>
  <si>
    <t>1822.11</t>
  </si>
  <si>
    <t>18.65</t>
  </si>
  <si>
    <t>585.51</t>
  </si>
  <si>
    <t>329.74</t>
  </si>
  <si>
    <t>10919.76</t>
  </si>
  <si>
    <t>11046.53</t>
  </si>
  <si>
    <t>132.14</t>
  </si>
  <si>
    <t>249.83</t>
  </si>
  <si>
    <t>239.51</t>
  </si>
  <si>
    <t>33012.54</t>
  </si>
  <si>
    <t>252.81</t>
  </si>
  <si>
    <t>295.33</t>
  </si>
  <si>
    <t>275.9</t>
  </si>
  <si>
    <t>74662.38</t>
  </si>
  <si>
    <t>52</t>
  </si>
  <si>
    <t>52.75</t>
  </si>
  <si>
    <t>272.31</t>
  </si>
  <si>
    <t>15357.16</t>
  </si>
  <si>
    <t>15579.72</t>
  </si>
  <si>
    <t>216.53</t>
  </si>
  <si>
    <t>462.7</t>
  </si>
  <si>
    <t>283.46</t>
  </si>
  <si>
    <t>510.23</t>
  </si>
  <si>
    <t>61377.59</t>
  </si>
  <si>
    <t>158063.22</t>
  </si>
  <si>
    <t>48.48</t>
  </si>
  <si>
    <t>52.41</t>
  </si>
  <si>
    <t>696.19</t>
  </si>
  <si>
    <t>632.95</t>
  </si>
  <si>
    <t>33750.25</t>
  </si>
  <si>
    <t>36487.87</t>
  </si>
  <si>
    <t>83.45</t>
  </si>
  <si>
    <t>103</t>
  </si>
  <si>
    <t>102.89</t>
  </si>
  <si>
    <t>823.85</t>
  </si>
  <si>
    <t>68750.28</t>
  </si>
  <si>
    <t>82981.16</t>
  </si>
  <si>
    <t>9.19</t>
  </si>
  <si>
    <t>9.31</t>
  </si>
  <si>
    <t>442.56</t>
  </si>
  <si>
    <t>211.74</t>
  </si>
  <si>
    <t>4065.09</t>
  </si>
  <si>
    <t>4095.77</t>
  </si>
  <si>
    <t>42.33</t>
  </si>
  <si>
    <t>137.8</t>
  </si>
  <si>
    <t>423.33</t>
  </si>
  <si>
    <t>160.16</t>
  </si>
  <si>
    <t>17920.83</t>
  </si>
  <si>
    <t>35504.91</t>
  </si>
  <si>
    <t>25.43</t>
  </si>
  <si>
    <t>29.82</t>
  </si>
  <si>
    <t>430.56</t>
  </si>
  <si>
    <t>300.56</t>
  </si>
  <si>
    <t>10949.14</t>
  </si>
  <si>
    <t>12466.24</t>
  </si>
  <si>
    <t>56.07</t>
  </si>
  <si>
    <t>336.58</t>
  </si>
  <si>
    <t>103.69</t>
  </si>
  <si>
    <t>30.94</t>
  </si>
  <si>
    <t>5813.9</t>
  </si>
  <si>
    <t>15794.6</t>
  </si>
  <si>
    <t>80.95</t>
  </si>
  <si>
    <t>89.22</t>
  </si>
  <si>
    <t>730.81</t>
  </si>
  <si>
    <t>456.55</t>
  </si>
  <si>
    <t>59155.42</t>
  </si>
  <si>
    <t>63497.8</t>
  </si>
  <si>
    <t>17.63</t>
  </si>
  <si>
    <t>20.27</t>
  </si>
  <si>
    <t>699.57</t>
  </si>
  <si>
    <t>258.08</t>
  </si>
  <si>
    <t>12332.02</t>
  </si>
  <si>
    <t>13116.92</t>
  </si>
  <si>
    <t>1110460.07</t>
  </si>
  <si>
    <t>1163442.67</t>
  </si>
  <si>
    <t>3212.05</t>
  </si>
  <si>
    <t>39.44</t>
  </si>
  <si>
    <t>126683.18</t>
  </si>
  <si>
    <t>16.56</t>
  </si>
  <si>
    <t>17.45</t>
  </si>
  <si>
    <t>17.25</t>
  </si>
  <si>
    <t>19.62</t>
  </si>
  <si>
    <t>17.11</t>
  </si>
  <si>
    <t>324.87</t>
  </si>
  <si>
    <t>342.27</t>
  </si>
  <si>
    <t>631.61</t>
  </si>
  <si>
    <t>665.34</t>
  </si>
  <si>
    <t>645.25</t>
  </si>
  <si>
    <t>420235.4</t>
  </si>
  <si>
    <t>1449.08</t>
  </si>
  <si>
    <t>1624.99</t>
  </si>
  <si>
    <t>21.48</t>
  </si>
  <si>
    <t>28430.92</t>
  </si>
  <si>
    <t>31882.38</t>
  </si>
  <si>
    <t>485.21</t>
  </si>
  <si>
    <t>485.43</t>
  </si>
  <si>
    <t>685.63</t>
  </si>
  <si>
    <t>780.55</t>
  </si>
  <si>
    <t>332674.53</t>
  </si>
  <si>
    <t>332824.75</t>
  </si>
  <si>
    <t>116.4</t>
  </si>
  <si>
    <t>231.88</t>
  </si>
  <si>
    <t>170.61</t>
  </si>
  <si>
    <t>176.34</t>
  </si>
  <si>
    <t>19859.46</t>
  </si>
  <si>
    <t>39561.59</t>
  </si>
  <si>
    <t>194.8</t>
  </si>
  <si>
    <t>197.41</t>
  </si>
  <si>
    <t>167.7</t>
  </si>
  <si>
    <t>195.42</t>
  </si>
  <si>
    <t>32668.71</t>
  </si>
  <si>
    <t>33105.66</t>
  </si>
  <si>
    <t>81.71</t>
  </si>
  <si>
    <t>130.25</t>
  </si>
  <si>
    <t>203.6</t>
  </si>
  <si>
    <t>199.66</t>
  </si>
  <si>
    <t>16635.85</t>
  </si>
  <si>
    <t>26519.65</t>
  </si>
  <si>
    <t>219.24</t>
  </si>
  <si>
    <t>251.13</t>
  </si>
  <si>
    <t>606.4</t>
  </si>
  <si>
    <t>699.74</t>
  </si>
  <si>
    <t>132947.14</t>
  </si>
  <si>
    <t>152287.78</t>
  </si>
  <si>
    <t>181690.65</t>
  </si>
  <si>
    <t>214493.81</t>
  </si>
  <si>
    <t>62.43</t>
  </si>
  <si>
    <t>52.5</t>
  </si>
  <si>
    <t>373.22</t>
  </si>
  <si>
    <t>441.35</t>
  </si>
  <si>
    <t>23300.12</t>
  </si>
  <si>
    <t>19592.59</t>
  </si>
  <si>
    <t>179.57</t>
  </si>
  <si>
    <t>276.55</t>
  </si>
  <si>
    <t>27.17</t>
  </si>
  <si>
    <t>10.82</t>
  </si>
  <si>
    <t>4878.92</t>
  </si>
  <si>
    <t>6085.65</t>
  </si>
  <si>
    <t>63.9</t>
  </si>
  <si>
    <t>62.83</t>
  </si>
  <si>
    <t>252.01</t>
  </si>
  <si>
    <t>247.5</t>
  </si>
  <si>
    <t>16103.44</t>
  </si>
  <si>
    <t>15834.75</t>
  </si>
  <si>
    <t>31.73</t>
  </si>
  <si>
    <t>31.8</t>
  </si>
  <si>
    <t>508.12</t>
  </si>
  <si>
    <t>816.95</t>
  </si>
  <si>
    <t>16122.65</t>
  </si>
  <si>
    <t>16166.42</t>
  </si>
  <si>
    <t>3.8</t>
  </si>
  <si>
    <t>486.8</t>
  </si>
  <si>
    <t>721.68</t>
  </si>
  <si>
    <t>1849.84</t>
  </si>
  <si>
    <t>4.2</t>
  </si>
  <si>
    <t>478.8</t>
  </si>
  <si>
    <t>680.89</t>
  </si>
  <si>
    <t>2010.96</t>
  </si>
  <si>
    <t>16.8</t>
  </si>
  <si>
    <t>28.1</t>
  </si>
  <si>
    <t>462.8</t>
  </si>
  <si>
    <t>640.1</t>
  </si>
  <si>
    <t>7775.04</t>
  </si>
  <si>
    <t>13342.91</t>
  </si>
  <si>
    <t>43.05</t>
  </si>
  <si>
    <t>21874.57</t>
  </si>
  <si>
    <t>47.9</t>
  </si>
  <si>
    <t>66.59</t>
  </si>
  <si>
    <t>26.59</t>
  </si>
  <si>
    <t>497.52</t>
  </si>
  <si>
    <t>752.19</t>
  </si>
  <si>
    <t>23831.21</t>
  </si>
  <si>
    <t>34650.51</t>
  </si>
  <si>
    <t>6.7</t>
  </si>
  <si>
    <t>468.51</t>
  </si>
  <si>
    <t>272</t>
  </si>
  <si>
    <t>3139.02</t>
  </si>
  <si>
    <t>59.61</t>
  </si>
  <si>
    <t>473.06</t>
  </si>
  <si>
    <t>331.37</t>
  </si>
  <si>
    <t>14116.11</t>
  </si>
  <si>
    <t>95.29</t>
  </si>
  <si>
    <t>205.48</t>
  </si>
  <si>
    <t>308.59</t>
  </si>
  <si>
    <t>19580.02</t>
  </si>
  <si>
    <t>7.3</t>
  </si>
  <si>
    <t>801.02</t>
  </si>
  <si>
    <t>638.84</t>
  </si>
  <si>
    <t>5847.45</t>
  </si>
  <si>
    <t>328.86</t>
  </si>
  <si>
    <t>295.82</t>
  </si>
  <si>
    <t>2400.68</t>
  </si>
  <si>
    <t>49.01</t>
  </si>
  <si>
    <t>641.79</t>
  </si>
  <si>
    <t>69.83</t>
  </si>
  <si>
    <t>26.86</t>
  </si>
  <si>
    <t>3422.37</t>
  </si>
  <si>
    <t>21732.74</t>
  </si>
  <si>
    <t>3</t>
  </si>
  <si>
    <t>1112.92</t>
  </si>
  <si>
    <t>900</t>
  </si>
  <si>
    <t>3338.76</t>
  </si>
  <si>
    <t>1</t>
  </si>
  <si>
    <t>2574.58</t>
  </si>
  <si>
    <t>2035.4</t>
  </si>
  <si>
    <t>4762.46</t>
  </si>
  <si>
    <t>5122.46</t>
  </si>
  <si>
    <t>2</t>
  </si>
  <si>
    <t>9524.92</t>
  </si>
  <si>
    <t>10356.26</t>
  </si>
  <si>
    <t>14732579.96</t>
  </si>
  <si>
    <t>15615036.81</t>
  </si>
  <si>
    <t>2214992.31</t>
  </si>
  <si>
    <t>2754116.16</t>
  </si>
  <si>
    <t>529002.35</t>
  </si>
  <si>
    <t>3288.12</t>
  </si>
  <si>
    <t>9179.96</t>
  </si>
  <si>
    <t>65.35</t>
  </si>
  <si>
    <t>69.55</t>
  </si>
  <si>
    <t>214878.64</t>
  </si>
  <si>
    <t>599910.39</t>
  </si>
  <si>
    <t>14.42</t>
  </si>
  <si>
    <t>6313.66</t>
  </si>
  <si>
    <t>6000</t>
  </si>
  <si>
    <t>91023.4</t>
  </si>
  <si>
    <t>1596.93</t>
  </si>
  <si>
    <t>1593.65</t>
  </si>
  <si>
    <t>19.66</t>
  </si>
  <si>
    <t>21.74</t>
  </si>
  <si>
    <t>31395.64</t>
  </si>
  <si>
    <t>31331.23</t>
  </si>
  <si>
    <t>54.83</t>
  </si>
  <si>
    <t>54.35</t>
  </si>
  <si>
    <t>24.63</t>
  </si>
  <si>
    <t>27.23</t>
  </si>
  <si>
    <t>1350.34</t>
  </si>
  <si>
    <t>1338.64</t>
  </si>
  <si>
    <t>593.08</t>
  </si>
  <si>
    <t>519.33</t>
  </si>
  <si>
    <t>49.49</t>
  </si>
  <si>
    <t>54.67</t>
  </si>
  <si>
    <t>29351.53</t>
  </si>
  <si>
    <t>25701.39</t>
  </si>
  <si>
    <t>3466.65</t>
  </si>
  <si>
    <t>3154.87</t>
  </si>
  <si>
    <t>3018.44</t>
  </si>
  <si>
    <t>12.36</t>
  </si>
  <si>
    <t>13.43</t>
  </si>
  <si>
    <t>42847.84</t>
  </si>
  <si>
    <t>38994.15</t>
  </si>
  <si>
    <t>109.65</t>
  </si>
  <si>
    <t>110.5</t>
  </si>
  <si>
    <t>107.63</t>
  </si>
  <si>
    <t>1355.27</t>
  </si>
  <si>
    <t>1365.72</t>
  </si>
  <si>
    <t>1186.16</t>
  </si>
  <si>
    <t>1142.45</t>
  </si>
  <si>
    <t>36.49</t>
  </si>
  <si>
    <t>39.96</t>
  </si>
  <si>
    <t>43282.98</t>
  </si>
  <si>
    <t>41688</t>
  </si>
  <si>
    <t>315.5</t>
  </si>
  <si>
    <t>313.22</t>
  </si>
  <si>
    <t>48.55</t>
  </si>
  <si>
    <t>15317.73</t>
  </si>
  <si>
    <t>15212.72</t>
  </si>
  <si>
    <t>222</t>
  </si>
  <si>
    <t>226.2</t>
  </si>
  <si>
    <t>52.57</t>
  </si>
  <si>
    <t>11670.54</t>
  </si>
  <si>
    <t>11863.55</t>
  </si>
  <si>
    <t>199.69</t>
  </si>
  <si>
    <t>297.75</t>
  </si>
  <si>
    <t>31.42</t>
  </si>
  <si>
    <t>34.37</t>
  </si>
  <si>
    <t>6274.33</t>
  </si>
  <si>
    <t>9355.29</t>
  </si>
  <si>
    <t>101.01</t>
  </si>
  <si>
    <t>4.28</t>
  </si>
  <si>
    <t>4.08</t>
  </si>
  <si>
    <t>66.62</t>
  </si>
  <si>
    <t>71.22</t>
  </si>
  <si>
    <t>6729.43</t>
  </si>
  <si>
    <t>285.4</t>
  </si>
  <si>
    <t>289.41</t>
  </si>
  <si>
    <t>395.28</t>
  </si>
  <si>
    <t>70.72</t>
  </si>
  <si>
    <t>75.53</t>
  </si>
  <si>
    <t>20466.86</t>
  </si>
  <si>
    <t>27954.14</t>
  </si>
  <si>
    <t>52.16</t>
  </si>
  <si>
    <t>31.12</t>
  </si>
  <si>
    <t>74.82</t>
  </si>
  <si>
    <t>79.85</t>
  </si>
  <si>
    <t>3902.61</t>
  </si>
  <si>
    <t>2328.56</t>
  </si>
  <si>
    <t>64.8</t>
  </si>
  <si>
    <t>80.36</t>
  </si>
  <si>
    <t>100.9</t>
  </si>
  <si>
    <t>108.33</t>
  </si>
  <si>
    <t>6538.32</t>
  </si>
  <si>
    <t>8108.18</t>
  </si>
  <si>
    <t>18.42</t>
  </si>
  <si>
    <t>53.08</t>
  </si>
  <si>
    <t>57.93</t>
  </si>
  <si>
    <t>977.8</t>
  </si>
  <si>
    <t>43.68</t>
  </si>
  <si>
    <t>57.18</t>
  </si>
  <si>
    <t>62.24</t>
  </si>
  <si>
    <t>2497.62</t>
  </si>
  <si>
    <t>72.8</t>
  </si>
  <si>
    <t>61.28</t>
  </si>
  <si>
    <t>66.56</t>
  </si>
  <si>
    <t>4461.18</t>
  </si>
  <si>
    <t>23.36</t>
  </si>
  <si>
    <t>21.63</t>
  </si>
  <si>
    <t>58.27</t>
  </si>
  <si>
    <t>63.57</t>
  </si>
  <si>
    <t>1360.94</t>
  </si>
  <si>
    <t>1260.31</t>
  </si>
  <si>
    <t>722.53</t>
  </si>
  <si>
    <t>224.97</t>
  </si>
  <si>
    <t>62.37</t>
  </si>
  <si>
    <t>67.88</t>
  </si>
  <si>
    <t>45064.47</t>
  </si>
  <si>
    <t>14031.23</t>
  </si>
  <si>
    <t>230.4</t>
  </si>
  <si>
    <t>868.28</t>
  </si>
  <si>
    <t>102.3</t>
  </si>
  <si>
    <t>100.46</t>
  </si>
  <si>
    <t>23569.92</t>
  </si>
  <si>
    <t>88825.3</t>
  </si>
  <si>
    <t>105.49</t>
  </si>
  <si>
    <t>106.73</t>
  </si>
  <si>
    <t>109.38</t>
  </si>
  <si>
    <t>11258.74</t>
  </si>
  <si>
    <t>119.71</t>
  </si>
  <si>
    <t>111.16</t>
  </si>
  <si>
    <t>113.85</t>
  </si>
  <si>
    <t>13307.02</t>
  </si>
  <si>
    <t>106.68</t>
  </si>
  <si>
    <t>323.15</t>
  </si>
  <si>
    <t>78.81</t>
  </si>
  <si>
    <t>7107.3</t>
  </si>
  <si>
    <t>21528.25</t>
  </si>
  <si>
    <t>708.62</t>
  </si>
  <si>
    <t>560.48</t>
  </si>
  <si>
    <t>83.12</t>
  </si>
  <si>
    <t>50113.95</t>
  </si>
  <si>
    <t>39637.36</t>
  </si>
  <si>
    <t>120.09</t>
  </si>
  <si>
    <t>11.16</t>
  </si>
  <si>
    <t>78.64</t>
  </si>
  <si>
    <t>128.71</t>
  </si>
  <si>
    <t>9443.85</t>
  </si>
  <si>
    <t>-1348.18</t>
  </si>
  <si>
    <t>13.17</t>
  </si>
  <si>
    <t>89.83</t>
  </si>
  <si>
    <t>82.74</t>
  </si>
  <si>
    <t>133.03</t>
  </si>
  <si>
    <t>1089.55</t>
  </si>
  <si>
    <t>8939.73</t>
  </si>
  <si>
    <t>24.96</t>
  </si>
  <si>
    <t>131.77</t>
  </si>
  <si>
    <t>172.21</t>
  </si>
  <si>
    <t>3288.56</t>
  </si>
  <si>
    <t>-19.73</t>
  </si>
  <si>
    <t>49.91</t>
  </si>
  <si>
    <t>136.2</t>
  </si>
  <si>
    <t>176.67</t>
  </si>
  <si>
    <t>6798.23</t>
  </si>
  <si>
    <t>11.53</t>
  </si>
  <si>
    <t>140.63</t>
  </si>
  <si>
    <t>90.57</t>
  </si>
  <si>
    <t>7019.35</t>
  </si>
  <si>
    <t>3021.68</t>
  </si>
  <si>
    <t>325.5</t>
  </si>
  <si>
    <t>490.53</t>
  </si>
  <si>
    <t>429.35</t>
  </si>
  <si>
    <t>149.49</t>
  </si>
  <si>
    <t>190.06</t>
  </si>
  <si>
    <t>48659.67</t>
  </si>
  <si>
    <t>73329.81</t>
  </si>
  <si>
    <t>271.46</t>
  </si>
  <si>
    <t>302.14</t>
  </si>
  <si>
    <t>43.27</t>
  </si>
  <si>
    <t>45.5</t>
  </si>
  <si>
    <t>11746.07</t>
  </si>
  <si>
    <t>13073.56</t>
  </si>
  <si>
    <t>36.56</t>
  </si>
  <si>
    <t>192.98</t>
  </si>
  <si>
    <t>183.12</t>
  </si>
  <si>
    <t>45.51</t>
  </si>
  <si>
    <t>1663.78</t>
  </si>
  <si>
    <t>8782.64</t>
  </si>
  <si>
    <t>6.26</t>
  </si>
  <si>
    <t>52.24</t>
  </si>
  <si>
    <t>327.13</t>
  </si>
  <si>
    <t>184.81</t>
  </si>
  <si>
    <t>84.7</t>
  </si>
  <si>
    <t>84.13</t>
  </si>
  <si>
    <t>15653.07</t>
  </si>
  <si>
    <t>137.31</t>
  </si>
  <si>
    <t>27.34</t>
  </si>
  <si>
    <t>59.25</t>
  </si>
  <si>
    <t>63.21</t>
  </si>
  <si>
    <t>8135.84</t>
  </si>
  <si>
    <t>1619.79</t>
  </si>
  <si>
    <t>2425.67</t>
  </si>
  <si>
    <t>2800.8</t>
  </si>
  <si>
    <t>67.34</t>
  </si>
  <si>
    <t>71.47</t>
  </si>
  <si>
    <t>163344.85</t>
  </si>
  <si>
    <t>188605.61</t>
  </si>
  <si>
    <t>107.85</t>
  </si>
  <si>
    <t>101.46</t>
  </si>
  <si>
    <t>96.63</t>
  </si>
  <si>
    <t>75.42</t>
  </si>
  <si>
    <t>79.73</t>
  </si>
  <si>
    <t>8134.05</t>
  </si>
  <si>
    <t>7652.23</t>
  </si>
  <si>
    <t>29.53</t>
  </si>
  <si>
    <t>142.61</t>
  </si>
  <si>
    <t>136.94</t>
  </si>
  <si>
    <t>4211.27</t>
  </si>
  <si>
    <t>95.67</t>
  </si>
  <si>
    <t>192.07</t>
  </si>
  <si>
    <t>179.5</t>
  </si>
  <si>
    <t>18375.34</t>
  </si>
  <si>
    <t>137.73</t>
  </si>
  <si>
    <t>207.7</t>
  </si>
  <si>
    <t>101.92</t>
  </si>
  <si>
    <t>111.72</t>
  </si>
  <si>
    <t>14037.38</t>
  </si>
  <si>
    <t>21168.65</t>
  </si>
  <si>
    <t>136.19</t>
  </si>
  <si>
    <t>82.72</t>
  </si>
  <si>
    <t>77.07</t>
  </si>
  <si>
    <t>84.99</t>
  </si>
  <si>
    <t>10495.97</t>
  </si>
  <si>
    <t>6374.91</t>
  </si>
  <si>
    <t>1.59</t>
  </si>
  <si>
    <t>85.41</t>
  </si>
  <si>
    <t>93.74</t>
  </si>
  <si>
    <t>135.72</t>
  </si>
  <si>
    <t>38.08</t>
  </si>
  <si>
    <t>25.4</t>
  </si>
  <si>
    <t>24.19</t>
  </si>
  <si>
    <t>93.75</t>
  </si>
  <si>
    <t>3569.61</t>
  </si>
  <si>
    <t>2381.64</t>
  </si>
  <si>
    <t>102.09</t>
  </si>
  <si>
    <t>111.25</t>
  </si>
  <si>
    <t>485.66</t>
  </si>
  <si>
    <t>3.64</t>
  </si>
  <si>
    <t>274.75</t>
  </si>
  <si>
    <t>61.79</t>
  </si>
  <si>
    <t>65.84</t>
  </si>
  <si>
    <t>224.92</t>
  </si>
  <si>
    <t>16976.97</t>
  </si>
  <si>
    <t>1379.94</t>
  </si>
  <si>
    <t>1057.1</t>
  </si>
  <si>
    <t>73.21</t>
  </si>
  <si>
    <t>106351.71</t>
  </si>
  <si>
    <t>81471.08</t>
  </si>
  <si>
    <t>69.63</t>
  </si>
  <si>
    <t>1113.39</t>
  </si>
  <si>
    <t>80.59</t>
  </si>
  <si>
    <t>5947.1</t>
  </si>
  <si>
    <t>95094.97</t>
  </si>
  <si>
    <t>7.49</t>
  </si>
  <si>
    <t>293.37</t>
  </si>
  <si>
    <t>279.4</t>
  </si>
  <si>
    <t>142.8</t>
  </si>
  <si>
    <t>126.98</t>
  </si>
  <si>
    <t>1069.57</t>
  </si>
  <si>
    <t>41893.24</t>
  </si>
  <si>
    <t>83.04</t>
  </si>
  <si>
    <t>100.34</t>
  </si>
  <si>
    <t>95.56</t>
  </si>
  <si>
    <t>171.41</t>
  </si>
  <si>
    <t>150.05</t>
  </si>
  <si>
    <t>14233.89</t>
  </si>
  <si>
    <t>17198.94</t>
  </si>
  <si>
    <t>38.11</t>
  </si>
  <si>
    <t>67.9</t>
  </si>
  <si>
    <t>72.21</t>
  </si>
  <si>
    <t>2587.72</t>
  </si>
  <si>
    <t>1354.79</t>
  </si>
  <si>
    <t>622.07</t>
  </si>
  <si>
    <t>75.32</t>
  </si>
  <si>
    <t>79.58</t>
  </si>
  <si>
    <t>102042.97</t>
  </si>
  <si>
    <t>46854.37</t>
  </si>
  <si>
    <t>218.76</t>
  </si>
  <si>
    <t>86.96</t>
  </si>
  <si>
    <t>18099.87</t>
  </si>
  <si>
    <t>65231.93</t>
  </si>
  <si>
    <t>122.08</t>
  </si>
  <si>
    <t>155.36</t>
  </si>
  <si>
    <t>141.13</t>
  </si>
  <si>
    <t>18966.35</t>
  </si>
  <si>
    <t>94.98</t>
  </si>
  <si>
    <t>164.9</t>
  </si>
  <si>
    <t>148.82</t>
  </si>
  <si>
    <t>15662.2</t>
  </si>
  <si>
    <t>99.22</t>
  </si>
  <si>
    <t>174.44</t>
  </si>
  <si>
    <t>156.51</t>
  </si>
  <si>
    <t>17307.94</t>
  </si>
  <si>
    <t>0.64</t>
  </si>
  <si>
    <t>37.77</t>
  </si>
  <si>
    <t>39.55</t>
  </si>
  <si>
    <t>2333.74</t>
  </si>
  <si>
    <t>49.6</t>
  </si>
  <si>
    <t>100.4</t>
  </si>
  <si>
    <t>2938.8</t>
  </si>
  <si>
    <t>5948.57</t>
  </si>
  <si>
    <t>29.62</t>
  </si>
  <si>
    <t>29.4</t>
  </si>
  <si>
    <t>1281.48</t>
  </si>
  <si>
    <t>1272.14</t>
  </si>
  <si>
    <t>33.74</t>
  </si>
  <si>
    <t>125.57</t>
  </si>
  <si>
    <t>69.35</t>
  </si>
  <si>
    <t>74.27</t>
  </si>
  <si>
    <t>2339.87</t>
  </si>
  <si>
    <t>8708.14</t>
  </si>
  <si>
    <t>15.96</t>
  </si>
  <si>
    <t>933.23</t>
  </si>
  <si>
    <t>64.39</t>
  </si>
  <si>
    <t>69.66</t>
  </si>
  <si>
    <t>1027.66</t>
  </si>
  <si>
    <t>60090.92</t>
  </si>
  <si>
    <t>1274.33</t>
  </si>
  <si>
    <t>736.6</t>
  </si>
  <si>
    <t>62.33</t>
  </si>
  <si>
    <t>66.94</t>
  </si>
  <si>
    <t>79429.11</t>
  </si>
  <si>
    <t>45912.24</t>
  </si>
  <si>
    <t>208.37</t>
  </si>
  <si>
    <t>448.94</t>
  </si>
  <si>
    <t>48.71</t>
  </si>
  <si>
    <t>69.5</t>
  </si>
  <si>
    <t>10149.8</t>
  </si>
  <si>
    <t>23019.9</t>
  </si>
  <si>
    <t>376.43</t>
  </si>
  <si>
    <t>502.95</t>
  </si>
  <si>
    <t>174.23</t>
  </si>
  <si>
    <t>190.32</t>
  </si>
  <si>
    <t>65585.4</t>
  </si>
  <si>
    <t>87629.66</t>
  </si>
  <si>
    <t>4489.67</t>
  </si>
  <si>
    <t>35.03</t>
  </si>
  <si>
    <t>37.72</t>
  </si>
  <si>
    <t>157273</t>
  </si>
  <si>
    <t>179439.77</t>
  </si>
  <si>
    <t>40711.69</t>
  </si>
  <si>
    <t>57645.41</t>
  </si>
  <si>
    <t>16947572.28</t>
  </si>
  <si>
    <t>18369152.96</t>
  </si>
  <si>
    <t>1525281.51</t>
  </si>
  <si>
    <t>1653223.77</t>
  </si>
  <si>
    <t>18472853.78</t>
  </si>
  <si>
    <t>20022376.73</t>
  </si>
  <si>
    <t>表-08 分部分项工程和单价措施项目清单-教学楼</t>
  </si>
  <si>
    <t>45309.76</t>
  </si>
  <si>
    <t>1860.25</t>
  </si>
  <si>
    <t>371.95</t>
  </si>
  <si>
    <t>3667.43</t>
  </si>
  <si>
    <t>872.09</t>
  </si>
  <si>
    <t>7194.74</t>
  </si>
  <si>
    <t>851.99</t>
  </si>
  <si>
    <t>15267.66</t>
  </si>
  <si>
    <t>264.2515</t>
  </si>
  <si>
    <t>264.25</t>
  </si>
  <si>
    <t>14864.15</t>
  </si>
  <si>
    <t>4149.5</t>
  </si>
  <si>
    <t>4342.6</t>
  </si>
  <si>
    <t>4099.4</t>
  </si>
  <si>
    <t>270.2</t>
  </si>
  <si>
    <t>319.38</t>
  </si>
  <si>
    <t>107.5</t>
  </si>
  <si>
    <t>314.72</t>
  </si>
  <si>
    <t>356.32</t>
  </si>
  <si>
    <t>396</t>
  </si>
  <si>
    <t>113.5</t>
  </si>
  <si>
    <t>198</t>
  </si>
  <si>
    <t>191</t>
  </si>
  <si>
    <t>4.5728</t>
  </si>
  <si>
    <t>0.95</t>
  </si>
  <si>
    <t>0.945</t>
  </si>
  <si>
    <t>197.372</t>
  </si>
  <si>
    <t>286.11</t>
  </si>
  <si>
    <t>230.85</t>
  </si>
  <si>
    <t>754.16</t>
  </si>
  <si>
    <t>1133.36</t>
  </si>
  <si>
    <t>1141.36</t>
  </si>
  <si>
    <t>1015.03</t>
  </si>
  <si>
    <t>284.54</t>
  </si>
  <si>
    <t>307.27</t>
  </si>
  <si>
    <t>9.087</t>
  </si>
  <si>
    <t>12.09</t>
  </si>
  <si>
    <t>599.54</t>
  </si>
  <si>
    <t>45.56</t>
  </si>
  <si>
    <t>83.18</t>
  </si>
  <si>
    <t>23.9</t>
  </si>
  <si>
    <t>28.9</t>
  </si>
  <si>
    <t>19.78</t>
  </si>
  <si>
    <t>22.87</t>
  </si>
  <si>
    <t>13.34</t>
  </si>
  <si>
    <t>159.51</t>
  </si>
  <si>
    <t>17.01</t>
  </si>
  <si>
    <t>20.5</t>
  </si>
  <si>
    <t>18.49</t>
  </si>
  <si>
    <t>722.98</t>
  </si>
  <si>
    <t>5.6117</t>
  </si>
  <si>
    <t>5.61</t>
  </si>
  <si>
    <t>3.93</t>
  </si>
  <si>
    <t>586.04</t>
  </si>
  <si>
    <t>735.46</t>
  </si>
  <si>
    <t>214.32</t>
  </si>
  <si>
    <t>218.67</t>
  </si>
  <si>
    <t>207.67</t>
  </si>
  <si>
    <t>302.65</t>
  </si>
  <si>
    <t>861.01</t>
  </si>
  <si>
    <t>147.955</t>
  </si>
  <si>
    <t>129.16</t>
  </si>
  <si>
    <t>853.69</t>
  </si>
  <si>
    <t>190.44</t>
  </si>
  <si>
    <t>218.73</t>
  </si>
  <si>
    <t>208.31</t>
  </si>
  <si>
    <t>909.17</t>
  </si>
  <si>
    <t>191.488</t>
  </si>
  <si>
    <t>184.33</t>
  </si>
  <si>
    <t>175.55</t>
  </si>
  <si>
    <t>787.99</t>
  </si>
  <si>
    <t>990.83</t>
  </si>
  <si>
    <t>133.32</t>
  </si>
  <si>
    <t>140.88</t>
  </si>
  <si>
    <t>134.17</t>
  </si>
  <si>
    <t>777.84</t>
  </si>
  <si>
    <t>975.54</t>
  </si>
  <si>
    <t>167.06</t>
  </si>
  <si>
    <t>195.11</t>
  </si>
  <si>
    <t>185.82</t>
  </si>
  <si>
    <t>43.022</t>
  </si>
  <si>
    <t>57.83</t>
  </si>
  <si>
    <t>18.55</t>
  </si>
  <si>
    <t>12.89</t>
  </si>
  <si>
    <t>142.86</t>
  </si>
  <si>
    <t>130.02</t>
  </si>
  <si>
    <t>112.42</t>
  </si>
  <si>
    <t>688.86</t>
  </si>
  <si>
    <t>830.73</t>
  </si>
  <si>
    <t>1.118</t>
  </si>
  <si>
    <t>2.43</t>
  </si>
  <si>
    <t>2.31</t>
  </si>
  <si>
    <t>1987.3127</t>
  </si>
  <si>
    <t>2199.78</t>
  </si>
  <si>
    <t>325.8433</t>
  </si>
  <si>
    <t>272.63</t>
  </si>
  <si>
    <t>134.61</t>
  </si>
  <si>
    <t>110.91</t>
  </si>
  <si>
    <t>1007.51</t>
  </si>
  <si>
    <t>28.37</t>
  </si>
  <si>
    <t>2.89</t>
  </si>
  <si>
    <t>982.99</t>
  </si>
  <si>
    <t>44.62</t>
  </si>
  <si>
    <t>10.13</t>
  </si>
  <si>
    <t>18.106</t>
  </si>
  <si>
    <t>957.9</t>
  </si>
  <si>
    <t>1157.57</t>
  </si>
  <si>
    <t>102.36</t>
  </si>
  <si>
    <t>113.33</t>
  </si>
  <si>
    <t>107.93</t>
  </si>
  <si>
    <t>141.6688</t>
  </si>
  <si>
    <t>239.87</t>
  </si>
  <si>
    <t>178.2</t>
  </si>
  <si>
    <t>163.8</t>
  </si>
  <si>
    <t>163.799</t>
  </si>
  <si>
    <t>6.982</t>
  </si>
  <si>
    <t>11.74</t>
  </si>
  <si>
    <t>11.744</t>
  </si>
  <si>
    <t>30.489</t>
  </si>
  <si>
    <t>65.32</t>
  </si>
  <si>
    <t>65.324</t>
  </si>
  <si>
    <t>205.801</t>
  </si>
  <si>
    <t>180.93</t>
  </si>
  <si>
    <t>180.929</t>
  </si>
  <si>
    <t>9.881</t>
  </si>
  <si>
    <t>8.13</t>
  </si>
  <si>
    <t>8.126</t>
  </si>
  <si>
    <t>97.663</t>
  </si>
  <si>
    <t>109.47</t>
  </si>
  <si>
    <t>109.473</t>
  </si>
  <si>
    <t>3.526</t>
  </si>
  <si>
    <t>4.1</t>
  </si>
  <si>
    <t>4.104</t>
  </si>
  <si>
    <t>5844.44</t>
  </si>
  <si>
    <t>7106.92</t>
  </si>
  <si>
    <t>2456</t>
  </si>
  <si>
    <t>2572</t>
  </si>
  <si>
    <t>3536</t>
  </si>
  <si>
    <t>13762.06</t>
  </si>
  <si>
    <t>10786.52</t>
  </si>
  <si>
    <t>3398.102</t>
  </si>
  <si>
    <t>1581.43</t>
  </si>
  <si>
    <t>0.25</t>
  </si>
  <si>
    <t>11361.56</t>
  </si>
  <si>
    <t>9563.91</t>
  </si>
  <si>
    <t>30.24</t>
  </si>
  <si>
    <t>545.42</t>
  </si>
  <si>
    <t>575.79</t>
  </si>
  <si>
    <t>15.35</t>
  </si>
  <si>
    <t>16.97</t>
  </si>
  <si>
    <t>559.82</t>
  </si>
  <si>
    <t>644.14</t>
  </si>
  <si>
    <t>48.3</t>
  </si>
  <si>
    <t>612.94</t>
  </si>
  <si>
    <t>2.415</t>
  </si>
  <si>
    <t>2.42</t>
  </si>
  <si>
    <t>616.58</t>
  </si>
  <si>
    <t>5.865</t>
  </si>
  <si>
    <t>777.73</t>
  </si>
  <si>
    <t>700.9</t>
  </si>
  <si>
    <t>337.84</t>
  </si>
  <si>
    <t>746.49</t>
  </si>
  <si>
    <t>662.8</t>
  </si>
  <si>
    <t>1315.21</t>
  </si>
  <si>
    <t>819.47</t>
  </si>
  <si>
    <t>605.7</t>
  </si>
  <si>
    <t>15.075</t>
  </si>
  <si>
    <t>568.34</t>
  </si>
  <si>
    <t>310.21</t>
  </si>
  <si>
    <t>828.54</t>
  </si>
  <si>
    <t>534.64</t>
  </si>
  <si>
    <t>4.88</t>
  </si>
  <si>
    <t>537.53</t>
  </si>
  <si>
    <t>665.09</t>
  </si>
  <si>
    <t>10.7</t>
  </si>
  <si>
    <t>404.84</t>
  </si>
  <si>
    <t>321.13</t>
  </si>
  <si>
    <t>664.5</t>
  </si>
  <si>
    <t>669</t>
  </si>
  <si>
    <t>329</t>
  </si>
  <si>
    <t>380</t>
  </si>
  <si>
    <t>127.5</t>
  </si>
  <si>
    <t>116.74</t>
  </si>
  <si>
    <t>285.67</t>
  </si>
  <si>
    <t>418.55</t>
  </si>
  <si>
    <t>2127.181</t>
  </si>
  <si>
    <t>2760.03</t>
  </si>
  <si>
    <t>301.37</t>
  </si>
  <si>
    <t>425.93</t>
  </si>
  <si>
    <t>55.94</t>
  </si>
  <si>
    <t>197.7197</t>
  </si>
  <si>
    <t>198.38</t>
  </si>
  <si>
    <t>63.61</t>
  </si>
  <si>
    <t>122.57</t>
  </si>
  <si>
    <t>44.88</t>
  </si>
  <si>
    <t>42.2</t>
  </si>
  <si>
    <t>174.74</t>
  </si>
  <si>
    <t>354.61</t>
  </si>
  <si>
    <t>25.06</t>
  </si>
  <si>
    <t>21.76</t>
  </si>
  <si>
    <t>1772.31</t>
  </si>
  <si>
    <t>2238.69</t>
  </si>
  <si>
    <t>24.44</t>
  </si>
  <si>
    <t>1774.67</t>
  </si>
  <si>
    <t>657.43</t>
  </si>
  <si>
    <t>493.43</t>
  </si>
  <si>
    <t>1721.84</t>
  </si>
  <si>
    <t>76.48</t>
  </si>
  <si>
    <t>124.33</t>
  </si>
  <si>
    <t>54.05</t>
  </si>
  <si>
    <t>14.58</t>
  </si>
  <si>
    <t>23.14</t>
  </si>
  <si>
    <t>29</t>
  </si>
  <si>
    <t>2232.72</t>
  </si>
  <si>
    <t>2927.74</t>
  </si>
  <si>
    <t>625.6</t>
  </si>
  <si>
    <t>463.18</t>
  </si>
  <si>
    <t>85.13</t>
  </si>
  <si>
    <t>65.26</t>
  </si>
  <si>
    <t>70.27</t>
  </si>
  <si>
    <t>124.44</t>
  </si>
  <si>
    <t>522.17</t>
  </si>
  <si>
    <t>520.82</t>
  </si>
  <si>
    <t>149.22</t>
  </si>
  <si>
    <t>148.09</t>
  </si>
  <si>
    <t>8.99</t>
  </si>
  <si>
    <t>8.86</t>
  </si>
  <si>
    <t>275.97</t>
  </si>
  <si>
    <t>451.48</t>
  </si>
  <si>
    <t>111.87</t>
  </si>
  <si>
    <t>96.72</t>
  </si>
  <si>
    <t>37.28</t>
  </si>
  <si>
    <t>45.52</t>
  </si>
  <si>
    <t>28.42</t>
  </si>
  <si>
    <t>28.35</t>
  </si>
  <si>
    <t>371.27</t>
  </si>
  <si>
    <t>486.78</t>
  </si>
  <si>
    <t>183.197</t>
  </si>
  <si>
    <t>182.5</t>
  </si>
  <si>
    <t>309.33</t>
  </si>
  <si>
    <t>499.73</t>
  </si>
  <si>
    <t>3115.37</t>
  </si>
  <si>
    <t>3127.6</t>
  </si>
  <si>
    <t>162.27</t>
  </si>
  <si>
    <t>293.97</t>
  </si>
  <si>
    <t>282.62</t>
  </si>
  <si>
    <t>160.56</t>
  </si>
  <si>
    <t>86.1</t>
  </si>
  <si>
    <t>85.15</t>
  </si>
  <si>
    <t>197.61</t>
  </si>
  <si>
    <t>3705.78</t>
  </si>
  <si>
    <t>3908.85</t>
  </si>
  <si>
    <t>721.18</t>
  </si>
  <si>
    <t>437.63</t>
  </si>
  <si>
    <t>11.6</t>
  </si>
  <si>
    <t>14.37</t>
  </si>
  <si>
    <t>61.3</t>
  </si>
  <si>
    <t>41.42</t>
  </si>
  <si>
    <t>299.7787</t>
  </si>
  <si>
    <t>99.41</t>
  </si>
  <si>
    <t>192.09</t>
  </si>
  <si>
    <t>190.61</t>
  </si>
  <si>
    <t>37.3</t>
  </si>
  <si>
    <t>59.05</t>
  </si>
  <si>
    <t>240.47</t>
  </si>
  <si>
    <t>365.14</t>
  </si>
  <si>
    <t>4800.62</t>
  </si>
  <si>
    <t>5727.72</t>
  </si>
  <si>
    <t>4141.885</t>
  </si>
  <si>
    <t>4617.49</t>
  </si>
  <si>
    <t>860.21</t>
  </si>
  <si>
    <t>1062.87</t>
  </si>
  <si>
    <t>1005.89</t>
  </si>
  <si>
    <t>942.12</t>
  </si>
  <si>
    <t>334.46</t>
  </si>
  <si>
    <t>371.67</t>
  </si>
  <si>
    <t>7636.76</t>
  </si>
  <si>
    <t>1516.95</t>
  </si>
  <si>
    <t>9577.91</t>
  </si>
  <si>
    <t>8407.99</t>
  </si>
  <si>
    <t>24.38</t>
  </si>
  <si>
    <t>439.79</t>
  </si>
  <si>
    <t>670.37</t>
  </si>
  <si>
    <t>1696.13</t>
  </si>
  <si>
    <t>1350.87</t>
  </si>
  <si>
    <t>24.54</t>
  </si>
  <si>
    <t>12.26</t>
  </si>
  <si>
    <t>139.68</t>
  </si>
  <si>
    <t>141.12</t>
  </si>
  <si>
    <t>259.648</t>
  </si>
  <si>
    <t>281.42</t>
  </si>
  <si>
    <t>666.31</t>
  </si>
  <si>
    <t>16.8156</t>
  </si>
  <si>
    <t>16.82</t>
  </si>
  <si>
    <t>6.73</t>
  </si>
  <si>
    <t>532.56</t>
  </si>
  <si>
    <t>490.86</t>
  </si>
  <si>
    <t>129.335</t>
  </si>
  <si>
    <t>136.49</t>
  </si>
  <si>
    <t>314.41</t>
  </si>
  <si>
    <t>271.64</t>
  </si>
  <si>
    <t>56.123</t>
  </si>
  <si>
    <t>70.04</t>
  </si>
  <si>
    <t>14.82</t>
  </si>
  <si>
    <t>341.48</t>
  </si>
  <si>
    <t>151.55</t>
  </si>
  <si>
    <t>31.04</t>
  </si>
  <si>
    <t>32.05</t>
  </si>
  <si>
    <t>437.33</t>
  </si>
  <si>
    <t>228.53</t>
  </si>
  <si>
    <t>4.77</t>
  </si>
  <si>
    <t>1.76</t>
  </si>
  <si>
    <t>429.48</t>
  </si>
  <si>
    <t>300.05</t>
  </si>
  <si>
    <t>419.95</t>
  </si>
  <si>
    <t>250.86</t>
  </si>
  <si>
    <t>20.52</t>
  </si>
  <si>
    <t>20.58</t>
  </si>
  <si>
    <t>217.33</t>
  </si>
  <si>
    <t>149.29</t>
  </si>
  <si>
    <t>36.5</t>
  </si>
  <si>
    <t>111.44</t>
  </si>
  <si>
    <t>113.84</t>
  </si>
  <si>
    <t>7.217</t>
  </si>
  <si>
    <t>20.92</t>
  </si>
  <si>
    <t>151.13</t>
  </si>
  <si>
    <t>3.9</t>
  </si>
  <si>
    <t>6.27</t>
  </si>
  <si>
    <t>149.62</t>
  </si>
  <si>
    <t>182.2</t>
  </si>
  <si>
    <t>39.888</t>
  </si>
  <si>
    <t>39.89</t>
  </si>
  <si>
    <t>35.67</t>
  </si>
  <si>
    <t>100.87</t>
  </si>
  <si>
    <t>103.02</t>
  </si>
  <si>
    <t>19</t>
  </si>
  <si>
    <t>148.45</t>
  </si>
  <si>
    <t>199.33</t>
  </si>
  <si>
    <t>7757.446</t>
  </si>
  <si>
    <t>7886.13</t>
  </si>
  <si>
    <t>27.24</t>
  </si>
  <si>
    <t>40.3</t>
  </si>
  <si>
    <t>122.4</t>
  </si>
  <si>
    <t>127.13</t>
  </si>
  <si>
    <t>53.7</t>
  </si>
  <si>
    <t>3599.223</t>
  </si>
  <si>
    <t>5402.28</t>
  </si>
  <si>
    <t>22.36</t>
  </si>
  <si>
    <t>174.62</t>
  </si>
  <si>
    <t>92.34</t>
  </si>
  <si>
    <t>103.1</t>
  </si>
  <si>
    <t>173.89</t>
  </si>
  <si>
    <t>182.16</t>
  </si>
  <si>
    <t>224.19</t>
  </si>
  <si>
    <t>194.56</t>
  </si>
  <si>
    <t>527.8</t>
  </si>
  <si>
    <t>781.46</t>
  </si>
  <si>
    <t>153.8</t>
  </si>
  <si>
    <t>159.85</t>
  </si>
  <si>
    <t>429.913</t>
  </si>
  <si>
    <t>442.35</t>
  </si>
  <si>
    <t>618.48</t>
  </si>
  <si>
    <t>849.58</t>
  </si>
  <si>
    <t>25.228</t>
  </si>
  <si>
    <t>895.61</t>
  </si>
  <si>
    <t>1040.81</t>
  </si>
  <si>
    <t>175.552</t>
  </si>
  <si>
    <t>187.84</t>
  </si>
  <si>
    <t>516.315</t>
  </si>
  <si>
    <t>516.32</t>
  </si>
  <si>
    <t>42.81</t>
  </si>
  <si>
    <t>639.06</t>
  </si>
  <si>
    <t>42.24</t>
  </si>
  <si>
    <t>2.77</t>
  </si>
  <si>
    <t>1630</t>
  </si>
  <si>
    <t>841.97</t>
  </si>
  <si>
    <t>12.61</t>
  </si>
  <si>
    <t>1030</t>
  </si>
  <si>
    <t>991.97</t>
  </si>
  <si>
    <t>1470</t>
  </si>
  <si>
    <t>5.27</t>
  </si>
  <si>
    <t>1670</t>
  </si>
  <si>
    <t>1026.97</t>
  </si>
  <si>
    <t>61.49</t>
  </si>
  <si>
    <t>1390</t>
  </si>
  <si>
    <t>761.97</t>
  </si>
  <si>
    <t>8</t>
  </si>
  <si>
    <t>148</t>
  </si>
  <si>
    <t>1235.9</t>
  </si>
  <si>
    <t>110</t>
  </si>
  <si>
    <t>885.9</t>
  </si>
  <si>
    <t>98676.85</t>
  </si>
  <si>
    <t>68323.99</t>
  </si>
  <si>
    <t>8993.09</t>
  </si>
  <si>
    <t>10082.69</t>
  </si>
  <si>
    <t>703317.31</t>
  </si>
  <si>
    <t>639.8</t>
  </si>
  <si>
    <t>645.1</t>
  </si>
  <si>
    <t>69.7</t>
  </si>
  <si>
    <t>75.62</t>
  </si>
  <si>
    <t>8201.8</t>
  </si>
  <si>
    <t>8699.79</t>
  </si>
  <si>
    <t>70.8</t>
  </si>
  <si>
    <t>704.64</t>
  </si>
  <si>
    <t>836.14</t>
  </si>
  <si>
    <t>50.23</t>
  </si>
  <si>
    <t>54.32</t>
  </si>
  <si>
    <t>24.003</t>
  </si>
  <si>
    <t>24</t>
  </si>
  <si>
    <t>7803.84</t>
  </si>
  <si>
    <t>6989.45</t>
  </si>
  <si>
    <t>16.25</t>
  </si>
  <si>
    <t>742.81</t>
  </si>
  <si>
    <t>224.14</t>
  </si>
  <si>
    <t>107.7</t>
  </si>
  <si>
    <t>7.65</t>
  </si>
  <si>
    <t>34.57</t>
  </si>
  <si>
    <t>38.2</t>
  </si>
  <si>
    <t>198.87</t>
  </si>
  <si>
    <t>74.61</t>
  </si>
  <si>
    <t>1485.61</t>
  </si>
  <si>
    <t>1344.77</t>
  </si>
  <si>
    <t>215.39</t>
  </si>
  <si>
    <t>149.55</t>
  </si>
  <si>
    <t>20.41</t>
  </si>
  <si>
    <t>22.27</t>
  </si>
  <si>
    <t>397.73</t>
  </si>
  <si>
    <t>361.79</t>
  </si>
  <si>
    <t>32.47</t>
  </si>
  <si>
    <t>35.54</t>
  </si>
  <si>
    <t>2876.01</t>
  </si>
  <si>
    <t>3126.05</t>
  </si>
  <si>
    <t>119.5</t>
  </si>
  <si>
    <t>8.3</t>
  </si>
  <si>
    <t>18.05</t>
  </si>
  <si>
    <t>194.52</t>
  </si>
  <si>
    <t>325.82</t>
  </si>
  <si>
    <t>310.3</t>
  </si>
  <si>
    <t>449.65</t>
  </si>
  <si>
    <t>47.62</t>
  </si>
  <si>
    <t>54.22</t>
  </si>
  <si>
    <t>24.83</t>
  </si>
  <si>
    <t>35.11</t>
  </si>
  <si>
    <t>33.44</t>
  </si>
  <si>
    <t>51.46</t>
  </si>
  <si>
    <t>58.36</t>
  </si>
  <si>
    <t>754.35</t>
  </si>
  <si>
    <t>459.38</t>
  </si>
  <si>
    <t>2599.236</t>
  </si>
  <si>
    <t>1914.88</t>
  </si>
  <si>
    <t>1823.69</t>
  </si>
  <si>
    <t>17.184</t>
  </si>
  <si>
    <t>649.72</t>
  </si>
  <si>
    <t>105.36</t>
  </si>
  <si>
    <t>60.86</t>
  </si>
  <si>
    <t>89.79</t>
  </si>
  <si>
    <t>160.18</t>
  </si>
  <si>
    <t>147.26</t>
  </si>
  <si>
    <t>74.53</t>
  </si>
  <si>
    <t>85.23</t>
  </si>
  <si>
    <t>1955.16</t>
  </si>
  <si>
    <t>1689.13</t>
  </si>
  <si>
    <t>343.48</t>
  </si>
  <si>
    <t>293.8</t>
  </si>
  <si>
    <t>1956.61</t>
  </si>
  <si>
    <t>2114.52</t>
  </si>
  <si>
    <t>2013.47</t>
  </si>
  <si>
    <t>421.32</t>
  </si>
  <si>
    <t>418.14</t>
  </si>
  <si>
    <t>398.23</t>
  </si>
  <si>
    <t>47.89</t>
  </si>
  <si>
    <t>1188.2744</t>
  </si>
  <si>
    <t>1340.7</t>
  </si>
  <si>
    <t>1276.86</t>
  </si>
  <si>
    <t>87.18</t>
  </si>
  <si>
    <t>6368.315</t>
  </si>
  <si>
    <t>6572.67</t>
  </si>
  <si>
    <t>1772.374</t>
  </si>
  <si>
    <t>1860.99</t>
  </si>
  <si>
    <t>72.38</t>
  </si>
  <si>
    <t>1534.1</t>
  </si>
  <si>
    <t>1554.47</t>
  </si>
  <si>
    <t>1480.28</t>
  </si>
  <si>
    <t>69.21</t>
  </si>
  <si>
    <t>31.648</t>
  </si>
  <si>
    <t>31.17</t>
  </si>
  <si>
    <t>29.68</t>
  </si>
  <si>
    <t>7386.904</t>
  </si>
  <si>
    <t>8480.66</t>
  </si>
  <si>
    <t>8076.15</t>
  </si>
  <si>
    <t>523.652</t>
  </si>
  <si>
    <t>550.6</t>
  </si>
  <si>
    <t>524.38</t>
  </si>
  <si>
    <t>1014.696</t>
  </si>
  <si>
    <t>488.32</t>
  </si>
  <si>
    <t>465.07</t>
  </si>
  <si>
    <t>76.23</t>
  </si>
  <si>
    <t>1556.026</t>
  </si>
  <si>
    <t>1035.73</t>
  </si>
  <si>
    <t>357.9</t>
  </si>
  <si>
    <t>1595.69</t>
  </si>
  <si>
    <t>426</t>
  </si>
  <si>
    <t>226.27</t>
  </si>
  <si>
    <t>151.22</t>
  </si>
  <si>
    <t>103.99</t>
  </si>
  <si>
    <t>181.06</t>
  </si>
  <si>
    <t>308.44</t>
  </si>
  <si>
    <t>579.55</t>
  </si>
  <si>
    <t>540.67</t>
  </si>
  <si>
    <t>514.92</t>
  </si>
  <si>
    <t>130.7376</t>
  </si>
  <si>
    <t>361.58</t>
  </si>
  <si>
    <t>527.28</t>
  </si>
  <si>
    <t>641.05</t>
  </si>
  <si>
    <t>10082.59</t>
  </si>
  <si>
    <t>9367.66</t>
  </si>
  <si>
    <t>47756.39</t>
  </si>
  <si>
    <t>88431.92</t>
  </si>
  <si>
    <t>列名</t>
  </si>
  <si>
    <t>合并类型</t>
  </si>
  <si>
    <t>来源表</t>
  </si>
  <si>
    <t>总行数</t>
  </si>
  <si>
    <t>有数据行数</t>
  </si>
  <si>
    <t>数据覆盖率</t>
  </si>
  <si>
    <t>处理结果</t>
  </si>
  <si>
    <t>同名列（纵向拼接）</t>
  </si>
  <si>
    <t>表-08 分部分项工程和单价措施项目清单-综合楼、表-08 分部分项工程和单价措施项目清单-教学楼</t>
  </si>
  <si>
    <t>100.0%</t>
  </si>
  <si>
    <t>保留</t>
  </si>
  <si>
    <t>91.9%</t>
  </si>
  <si>
    <t>91.5%</t>
  </si>
  <si>
    <t>68.7%</t>
  </si>
  <si>
    <t>异名列（横向新增）</t>
  </si>
  <si>
    <t>0.6%</t>
  </si>
  <si>
    <t>0.0%</t>
  </si>
  <si>
    <t>物理删除（无数据）</t>
  </si>
  <si>
    <t>55.9%</t>
  </si>
  <si>
    <t>54.8%</t>
  </si>
  <si>
    <t>6.0%</t>
  </si>
  <si>
    <t>4.7%</t>
  </si>
  <si>
    <t>3.8%</t>
  </si>
  <si>
    <t>0.2%</t>
  </si>
  <si>
    <t>0.4%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</si>
</sst>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_ "/>
    <numFmt numFmtId="179" formatCode="#,##0.00_ ;[Red]\-#,##0.00\ "/>
  </numFmts>
  <fonts count="29">
    <font>
      <sz val="9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b/>
      <sz val="12"/>
      <name val="宋体"/>
      <charset val="134"/>
    </font>
    <font>
      <sz val="12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C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>
      <alignment vertical="center"/>
    </xf>
    <xf numFmtId="44" fontId="9" fillId="0" borderId="0">
      <alignment vertical="center"/>
    </xf>
    <xf numFmtId="9" fontId="9" fillId="0" borderId="0">
      <alignment vertical="center"/>
    </xf>
    <xf numFmtId="41" fontId="9" fillId="0" borderId="0">
      <alignment vertical="center"/>
    </xf>
    <xf numFmtId="42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9" fillId="8" borderId="4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5">
      <alignment vertical="center"/>
    </xf>
    <xf numFmtId="0" fontId="16" fillId="0" borderId="5">
      <alignment vertical="center"/>
    </xf>
    <xf numFmtId="0" fontId="17" fillId="0" borderId="6">
      <alignment vertical="center"/>
    </xf>
    <xf numFmtId="0" fontId="17" fillId="0" borderId="0">
      <alignment vertical="center"/>
    </xf>
    <xf numFmtId="0" fontId="18" fillId="9" borderId="7">
      <alignment vertical="center"/>
    </xf>
    <xf numFmtId="0" fontId="19" fillId="10" borderId="8">
      <alignment vertical="center"/>
    </xf>
    <xf numFmtId="0" fontId="20" fillId="10" borderId="7">
      <alignment vertical="center"/>
    </xf>
    <xf numFmtId="0" fontId="21" fillId="11" borderId="9">
      <alignment vertical="center"/>
    </xf>
    <xf numFmtId="0" fontId="22" fillId="0" borderId="10">
      <alignment vertical="center"/>
    </xf>
    <xf numFmtId="0" fontId="23" fillId="0" borderId="11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8" fillId="36" borderId="0">
      <alignment vertical="center"/>
    </xf>
    <xf numFmtId="0" fontId="28" fillId="37" borderId="0">
      <alignment vertical="center"/>
    </xf>
    <xf numFmtId="0" fontId="27" fillId="38" borderId="0">
      <alignment vertical="center"/>
    </xf>
    <xf numFmtId="0" fontId="0" fillId="0" borderId="0"/>
  </cellStyleXfs>
  <cellXfs count="67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0" fillId="0" borderId="0" xfId="49"/>
    <xf numFmtId="0" fontId="0" fillId="3" borderId="0" xfId="49" applyFill="1"/>
    <xf numFmtId="0" fontId="0" fillId="4" borderId="0" xfId="49" applyFill="1"/>
    <xf numFmtId="0" fontId="0" fillId="5" borderId="0" xfId="49" applyFill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49" applyAlignment="1">
      <alignment horizontal="center"/>
    </xf>
    <xf numFmtId="0" fontId="0" fillId="6" borderId="0" xfId="49" applyFill="1" applyAlignment="1">
      <alignment horizontal="center"/>
    </xf>
    <xf numFmtId="176" fontId="0" fillId="6" borderId="0" xfId="49" applyNumberFormat="1" applyFill="1" applyAlignment="1">
      <alignment horizontal="center"/>
    </xf>
    <xf numFmtId="176" fontId="0" fillId="0" borderId="0" xfId="49" applyNumberFormat="1" applyAlignment="1">
      <alignment horizontal="center"/>
    </xf>
    <xf numFmtId="176" fontId="0" fillId="7" borderId="0" xfId="49" applyNumberFormat="1" applyFill="1" applyAlignment="1">
      <alignment horizontal="center"/>
    </xf>
    <xf numFmtId="0" fontId="5" fillId="0" borderId="1" xfId="49" applyFont="1" applyBorder="1" applyAlignment="1">
      <alignment horizontal="center" vertical="center" wrapText="1"/>
    </xf>
    <xf numFmtId="0" fontId="0" fillId="0" borderId="2" xfId="0" applyBorder="1" applyAlignment="1"/>
    <xf numFmtId="0" fontId="6" fillId="0" borderId="1" xfId="49" applyFont="1" applyBorder="1" applyAlignment="1">
      <alignment horizontal="center" vertical="center" wrapText="1"/>
    </xf>
    <xf numFmtId="0" fontId="0" fillId="0" borderId="3" xfId="0" applyBorder="1" applyAlignment="1"/>
    <xf numFmtId="0" fontId="6" fillId="6" borderId="1" xfId="49" applyFont="1" applyFill="1" applyBorder="1" applyAlignment="1">
      <alignment horizontal="center" vertical="center" wrapText="1"/>
    </xf>
    <xf numFmtId="0" fontId="1" fillId="2" borderId="1" xfId="49" applyFont="1" applyFill="1" applyBorder="1" applyAlignment="1">
      <alignment horizontal="center" vertical="center" wrapText="1"/>
    </xf>
    <xf numFmtId="0" fontId="2" fillId="0" borderId="1" xfId="49" applyFont="1" applyBorder="1" applyAlignment="1">
      <alignment horizontal="left" vertical="center" wrapText="1"/>
    </xf>
    <xf numFmtId="0" fontId="2" fillId="0" borderId="1" xfId="49" applyFont="1" applyBorder="1" applyAlignment="1">
      <alignment horizontal="right" vertical="center"/>
    </xf>
    <xf numFmtId="0" fontId="2" fillId="6" borderId="1" xfId="49" applyFont="1" applyFill="1" applyBorder="1" applyAlignment="1">
      <alignment horizontal="right" vertical="center"/>
    </xf>
    <xf numFmtId="176" fontId="2" fillId="0" borderId="1" xfId="49" applyNumberFormat="1" applyFont="1" applyBorder="1" applyAlignment="1">
      <alignment horizontal="right" vertical="center"/>
    </xf>
    <xf numFmtId="176" fontId="2" fillId="6" borderId="1" xfId="49" applyNumberFormat="1" applyFont="1" applyFill="1" applyBorder="1" applyAlignment="1">
      <alignment horizontal="right" vertical="center"/>
    </xf>
    <xf numFmtId="177" fontId="2" fillId="0" borderId="1" xfId="49" applyNumberFormat="1" applyFont="1" applyBorder="1" applyAlignment="1">
      <alignment horizontal="right" vertical="center"/>
    </xf>
    <xf numFmtId="177" fontId="2" fillId="6" borderId="1" xfId="49" applyNumberFormat="1" applyFont="1" applyFill="1" applyBorder="1" applyAlignment="1">
      <alignment horizontal="right" vertical="center"/>
    </xf>
    <xf numFmtId="178" fontId="2" fillId="6" borderId="1" xfId="49" applyNumberFormat="1" applyFont="1" applyFill="1" applyBorder="1" applyAlignment="1">
      <alignment horizontal="right" vertical="center"/>
    </xf>
    <xf numFmtId="0" fontId="2" fillId="3" borderId="1" xfId="49" applyFont="1" applyFill="1" applyBorder="1" applyAlignment="1">
      <alignment horizontal="left" vertical="center" wrapText="1"/>
    </xf>
    <xf numFmtId="0" fontId="2" fillId="3" borderId="1" xfId="49" applyFont="1" applyFill="1" applyBorder="1" applyAlignment="1">
      <alignment horizontal="right" vertical="center"/>
    </xf>
    <xf numFmtId="176" fontId="2" fillId="3" borderId="1" xfId="49" applyNumberFormat="1" applyFont="1" applyFill="1" applyBorder="1" applyAlignment="1">
      <alignment horizontal="right" vertical="center"/>
    </xf>
    <xf numFmtId="10" fontId="2" fillId="0" borderId="1" xfId="49" applyNumberFormat="1" applyFont="1" applyBorder="1" applyAlignment="1">
      <alignment horizontal="right" vertical="center"/>
    </xf>
    <xf numFmtId="178" fontId="2" fillId="0" borderId="1" xfId="49" applyNumberFormat="1" applyFont="1" applyBorder="1" applyAlignment="1">
      <alignment horizontal="right" vertical="center"/>
    </xf>
    <xf numFmtId="10" fontId="2" fillId="3" borderId="1" xfId="49" applyNumberFormat="1" applyFont="1" applyFill="1" applyBorder="1" applyAlignment="1">
      <alignment horizontal="right" vertical="center"/>
    </xf>
    <xf numFmtId="176" fontId="1" fillId="2" borderId="1" xfId="49" applyNumberFormat="1" applyFont="1" applyFill="1" applyBorder="1" applyAlignment="1">
      <alignment horizontal="center" vertical="center" wrapText="1"/>
    </xf>
    <xf numFmtId="176" fontId="2" fillId="7" borderId="1" xfId="49" applyNumberFormat="1" applyFont="1" applyFill="1" applyBorder="1" applyAlignment="1">
      <alignment horizontal="right" vertical="center"/>
    </xf>
    <xf numFmtId="0" fontId="0" fillId="0" borderId="0" xfId="49" applyAlignment="1">
      <alignment horizontal="center" vertical="center"/>
    </xf>
    <xf numFmtId="0" fontId="6" fillId="0" borderId="0" xfId="49" applyFont="1" applyAlignment="1">
      <alignment horizontal="center" vertical="center" wrapText="1"/>
    </xf>
    <xf numFmtId="0" fontId="2" fillId="5" borderId="1" xfId="49" applyFont="1" applyFill="1" applyBorder="1" applyAlignment="1">
      <alignment horizontal="left" vertical="center" wrapText="1"/>
    </xf>
    <xf numFmtId="0" fontId="2" fillId="5" borderId="1" xfId="49" applyFont="1" applyFill="1" applyBorder="1" applyAlignment="1">
      <alignment horizontal="right" vertical="center"/>
    </xf>
    <xf numFmtId="176" fontId="2" fillId="5" borderId="1" xfId="49" applyNumberFormat="1" applyFont="1" applyFill="1" applyBorder="1" applyAlignment="1">
      <alignment horizontal="right" vertical="center"/>
    </xf>
    <xf numFmtId="10" fontId="2" fillId="5" borderId="1" xfId="49" applyNumberFormat="1" applyFont="1" applyFill="1" applyBorder="1" applyAlignment="1">
      <alignment horizontal="right" vertical="center"/>
    </xf>
    <xf numFmtId="0" fontId="0" fillId="0" borderId="0" xfId="49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right" vertical="center"/>
    </xf>
    <xf numFmtId="179" fontId="2" fillId="0" borderId="1" xfId="0" applyNumberFormat="1" applyFont="1" applyBorder="1" applyAlignment="1">
      <alignment horizontal="right" vertical="center"/>
    </xf>
    <xf numFmtId="176" fontId="2" fillId="6" borderId="1" xfId="0" applyNumberFormat="1" applyFont="1" applyFill="1" applyBorder="1" applyAlignment="1">
      <alignment horizontal="right" vertical="center"/>
    </xf>
    <xf numFmtId="176" fontId="2" fillId="7" borderId="1" xfId="0" applyNumberFormat="1" applyFont="1" applyFill="1" applyBorder="1" applyAlignment="1">
      <alignment horizontal="right" vertical="center"/>
    </xf>
    <xf numFmtId="179" fontId="2" fillId="6" borderId="1" xfId="0" applyNumberFormat="1" applyFont="1" applyFill="1" applyBorder="1" applyAlignment="1">
      <alignment horizontal="right" vertical="center"/>
    </xf>
    <xf numFmtId="10" fontId="2" fillId="0" borderId="1" xfId="0" applyNumberFormat="1" applyFont="1" applyBorder="1" applyAlignment="1">
      <alignment horizontal="right" vertical="center"/>
    </xf>
    <xf numFmtId="10" fontId="2" fillId="7" borderId="1" xfId="49" applyNumberFormat="1" applyFont="1" applyFill="1" applyBorder="1" applyAlignment="1">
      <alignment horizontal="right" vertical="center"/>
    </xf>
    <xf numFmtId="176" fontId="2" fillId="0" borderId="1" xfId="49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176" fontId="2" fillId="0" borderId="1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0" fontId="0" fillId="0" borderId="0" xfId="49" applyNumberFormat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176" fontId="6" fillId="0" borderId="1" xfId="49" applyNumberFormat="1" applyFont="1" applyBorder="1" applyAlignment="1">
      <alignment horizontal="center" vertical="center" wrapText="1"/>
    </xf>
    <xf numFmtId="10" fontId="6" fillId="0" borderId="1" xfId="49" applyNumberFormat="1" applyFont="1" applyBorder="1" applyAlignment="1">
      <alignment horizontal="center" vertical="center" wrapText="1"/>
    </xf>
    <xf numFmtId="0" fontId="0" fillId="0" borderId="0" xfId="49" applyAlignment="1">
      <alignment vertical="center"/>
    </xf>
    <xf numFmtId="10" fontId="2" fillId="0" borderId="1" xfId="3" applyNumberFormat="1" applyFont="1" applyBorder="1" applyAlignment="1">
      <alignment horizontal="right" vertical="center"/>
    </xf>
    <xf numFmtId="0" fontId="2" fillId="0" borderId="1" xfId="49" applyFont="1" applyBorder="1" applyAlignment="1" quotePrefix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27</xdr:col>
      <xdr:colOff>65405</xdr:colOff>
      <xdr:row>178</xdr:row>
      <xdr:rowOff>207010</xdr:rowOff>
    </xdr:from>
    <xdr:to>
      <xdr:col>28</xdr:col>
      <xdr:colOff>68580</xdr:colOff>
      <xdr:row>179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022560" y="45825410"/>
          <a:ext cx="812800" cy="4699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30</xdr:col>
      <xdr:colOff>329565</xdr:colOff>
      <xdr:row>178</xdr:row>
      <xdr:rowOff>245110</xdr:rowOff>
    </xdr:from>
    <xdr:to>
      <xdr:col>32</xdr:col>
      <xdr:colOff>114935</xdr:colOff>
      <xdr:row>179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439370" y="45863510"/>
          <a:ext cx="985520" cy="889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26</xdr:col>
      <xdr:colOff>855980</xdr:colOff>
      <xdr:row>162</xdr:row>
      <xdr:rowOff>360680</xdr:rowOff>
    </xdr:from>
    <xdr:to>
      <xdr:col>28</xdr:col>
      <xdr:colOff>356870</xdr:colOff>
      <xdr:row>164</xdr:row>
      <xdr:rowOff>238125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955885" y="41808400"/>
          <a:ext cx="1167765" cy="49212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28</xdr:col>
      <xdr:colOff>420370</xdr:colOff>
      <xdr:row>162</xdr:row>
      <xdr:rowOff>361315</xdr:rowOff>
    </xdr:from>
    <xdr:to>
      <xdr:col>29</xdr:col>
      <xdr:colOff>478790</xdr:colOff>
      <xdr:row>165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187150" y="41808400"/>
          <a:ext cx="658495" cy="5080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32</xdr:col>
      <xdr:colOff>247650</xdr:colOff>
      <xdr:row>178</xdr:row>
      <xdr:rowOff>247650</xdr:rowOff>
    </xdr:from>
    <xdr:to>
      <xdr:col>33</xdr:col>
      <xdr:colOff>553085</xdr:colOff>
      <xdr:row>179</xdr:row>
      <xdr:rowOff>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6557605" y="45866050"/>
          <a:ext cx="905510" cy="635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28</xdr:col>
      <xdr:colOff>209550</xdr:colOff>
      <xdr:row>178</xdr:row>
      <xdr:rowOff>189865</xdr:rowOff>
    </xdr:from>
    <xdr:to>
      <xdr:col>29</xdr:col>
      <xdr:colOff>589915</xdr:colOff>
      <xdr:row>179</xdr:row>
      <xdr:rowOff>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976330" y="45808265"/>
          <a:ext cx="980440" cy="6413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I266"/>
  <sheetViews>
    <sheetView showGridLines="0" view="pageBreakPreview" zoomScale="115" zoomScaleNormal="100" workbookViewId="0">
      <pane ySplit="5" topLeftCell="A62" activePane="bottomLeft" state="frozen"/>
      <selection/>
      <selection pane="bottomLeft" activeCell="F67" sqref="B66:F67"/>
    </sheetView>
  </sheetViews>
  <sheetFormatPr defaultColWidth="10.5" defaultRowHeight="11.25"/>
  <cols>
    <col min="1" max="1" width="4.33333333333333" style="7" customWidth="1"/>
    <col min="2" max="2" width="16.1666666666667" style="7" customWidth="1"/>
    <col min="3" max="3" width="16.8444444444444" style="7" customWidth="1"/>
    <col min="4" max="4" width="29.5555555555556" style="7" customWidth="1"/>
    <col min="5" max="5" width="6.22222222222222" style="7" customWidth="1"/>
    <col min="6" max="7" width="11.7555555555556" style="15" customWidth="1"/>
    <col min="8" max="9" width="11.7555555555556" style="18" customWidth="1"/>
    <col min="10" max="10" width="12.3222222222222" style="15" customWidth="1"/>
    <col min="11" max="12" width="18.2777777777778" style="18" customWidth="1"/>
    <col min="13" max="13" width="18.2777777777778" style="61" customWidth="1"/>
    <col min="14" max="15" width="11.2777777777778" style="15" customWidth="1"/>
    <col min="16" max="16" width="11.2777777777778" style="61" customWidth="1"/>
    <col min="17" max="17" width="15.7555555555556" style="18" customWidth="1"/>
    <col min="18" max="18" width="15.1666666666667" style="18" customWidth="1"/>
    <col min="19" max="19" width="11.2777777777778" style="18" customWidth="1"/>
    <col min="20" max="20" width="17.3333333333333" style="15" customWidth="1"/>
    <col min="21" max="21" width="17.6666666666667" style="15" customWidth="1"/>
    <col min="22" max="22" width="17.6333333333333" style="18" customWidth="1"/>
    <col min="23" max="23" width="17.1666666666667" style="15" customWidth="1"/>
    <col min="24" max="24" width="19.6111111111111" style="18" customWidth="1"/>
    <col min="25" max="25" width="18.6222222222222" style="18" customWidth="1"/>
    <col min="26" max="26" width="15.3333333333333" style="15" customWidth="1"/>
    <col min="27" max="27" width="15" style="42" customWidth="1"/>
    <col min="28" max="28" width="14.1666666666667" style="7" customWidth="1"/>
    <col min="29" max="29" width="10.5" style="7" customWidth="1"/>
    <col min="30" max="30" width="13" style="7" customWidth="1"/>
    <col min="31" max="16384" width="10.5" style="7" customWidth="1"/>
  </cols>
  <sheetData>
    <row r="1" ht="32" customHeight="1" spans="1:3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3"/>
      <c r="AA1" s="1"/>
      <c r="AB1" s="1"/>
      <c r="AC1" s="1"/>
      <c r="AD1" s="1"/>
      <c r="AE1" s="1"/>
      <c r="AF1" s="1"/>
      <c r="AG1" s="1"/>
      <c r="AH1" s="1"/>
      <c r="AI1" s="1"/>
    </row>
    <row r="2" ht="25" customHeight="1" spans="1:35">
      <c r="A2" s="22" t="s">
        <v>1</v>
      </c>
      <c r="B2" s="21"/>
      <c r="C2" s="21"/>
      <c r="D2" s="23"/>
      <c r="E2" s="22"/>
      <c r="F2" s="62"/>
      <c r="G2" s="22"/>
      <c r="H2" s="63"/>
      <c r="I2" s="63"/>
      <c r="J2" s="22"/>
      <c r="K2" s="63"/>
      <c r="L2" s="63"/>
      <c r="M2" s="64"/>
      <c r="N2" s="22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3"/>
      <c r="AA2" s="1"/>
      <c r="AB2" s="1"/>
      <c r="AC2" s="1"/>
      <c r="AD2" s="1"/>
      <c r="AE2" s="1"/>
      <c r="AF2" s="1"/>
      <c r="AG2" s="1"/>
      <c r="AH2" s="1"/>
      <c r="AI2" s="1"/>
    </row>
    <row r="3" ht="35" customHeight="1" spans="1:35">
      <c r="A3" s="25" t="s">
        <v>2</v>
      </c>
      <c r="B3" s="25" t="s">
        <v>3</v>
      </c>
      <c r="C3" s="25" t="s">
        <v>4</v>
      </c>
      <c r="D3" s="25" t="s">
        <v>5</v>
      </c>
      <c r="E3" s="25" t="s">
        <v>6</v>
      </c>
      <c r="F3" s="25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5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5" t="s">
        <v>21</v>
      </c>
      <c r="U3" s="2" t="s">
        <v>22</v>
      </c>
      <c r="V3" s="2" t="s">
        <v>23</v>
      </c>
      <c r="W3" s="40" t="s">
        <v>24</v>
      </c>
      <c r="X3" s="40" t="s">
        <v>25</v>
      </c>
      <c r="Y3" s="40" t="s">
        <v>26</v>
      </c>
      <c r="Z3" s="25" t="s">
        <v>27</v>
      </c>
      <c r="AA3" s="1"/>
      <c r="AB3" s="42"/>
      <c r="AC3" s="1"/>
      <c r="AD3" s="1"/>
      <c r="AE3" s="1"/>
      <c r="AF3" s="1"/>
      <c r="AG3" s="1"/>
      <c r="AH3" s="1"/>
      <c r="AI3" s="1"/>
    </row>
    <row r="4" ht="20" customHeight="1" spans="1:35">
      <c r="A4" s="26"/>
      <c r="B4" s="26"/>
      <c r="C4" s="26" t="s">
        <v>28</v>
      </c>
      <c r="D4" s="26"/>
      <c r="E4" s="26"/>
      <c r="F4" s="27"/>
      <c r="G4" s="27"/>
      <c r="H4" s="29"/>
      <c r="I4" s="29"/>
      <c r="J4" s="27"/>
      <c r="K4" s="29"/>
      <c r="L4" s="29"/>
      <c r="M4" s="37"/>
      <c r="N4" s="27"/>
      <c r="O4" s="27"/>
      <c r="P4" s="37"/>
      <c r="Q4" s="29"/>
      <c r="R4" s="29"/>
      <c r="S4" s="29"/>
      <c r="T4" s="29">
        <v>139151.88</v>
      </c>
      <c r="U4" s="29">
        <v>139151.88</v>
      </c>
      <c r="V4" s="29">
        <f>+SUM(V5:V10)</f>
        <v>139151.88</v>
      </c>
      <c r="W4" s="29">
        <f t="shared" ref="W4:W67" si="0">U4-T4</f>
        <v>0</v>
      </c>
      <c r="X4" s="29"/>
      <c r="Y4" s="29"/>
      <c r="Z4" s="26"/>
      <c r="AA4" s="42"/>
      <c r="AB4" s="1"/>
      <c r="AC4" s="1"/>
      <c r="AD4" s="1"/>
      <c r="AE4" s="1"/>
      <c r="AF4" s="1"/>
      <c r="AG4" s="1"/>
      <c r="AH4" s="1"/>
      <c r="AI4" s="1"/>
    </row>
    <row r="5" ht="20" customHeight="1" spans="1:35">
      <c r="A5" s="26">
        <v>1</v>
      </c>
      <c r="B5" s="26" t="s">
        <v>29</v>
      </c>
      <c r="C5" s="26" t="s">
        <v>30</v>
      </c>
      <c r="D5" s="26" t="s">
        <v>31</v>
      </c>
      <c r="E5" s="26" t="s">
        <v>32</v>
      </c>
      <c r="F5" s="29">
        <v>2090.01</v>
      </c>
      <c r="G5" s="29">
        <v>2090.01</v>
      </c>
      <c r="H5" s="29">
        <v>2090.01</v>
      </c>
      <c r="I5" s="29"/>
      <c r="J5" s="29">
        <f t="shared" ref="J5:J10" si="1">G5-F5</f>
        <v>0</v>
      </c>
      <c r="K5" s="29">
        <f t="shared" ref="K5:K10" si="2">H5-F5</f>
        <v>0</v>
      </c>
      <c r="L5" s="29">
        <f t="shared" ref="L5:L10" si="3">H5-G5</f>
        <v>0</v>
      </c>
      <c r="M5" s="37">
        <f t="shared" ref="M5:M10" si="4">J5/F5</f>
        <v>0</v>
      </c>
      <c r="N5" s="27">
        <v>2.32</v>
      </c>
      <c r="O5" s="27">
        <v>2.49</v>
      </c>
      <c r="P5" s="37">
        <f t="shared" ref="P5:P10" si="5">(N5-O5)/O5</f>
        <v>-0.0683</v>
      </c>
      <c r="Q5" s="29">
        <f t="shared" ref="Q5:Q10" si="6">O5*0.9056*0.85</f>
        <v>1.92</v>
      </c>
      <c r="R5" s="29">
        <f t="shared" ref="R5:R10" si="7">O5*1.15</f>
        <v>2.86</v>
      </c>
      <c r="S5" s="29">
        <f t="shared" ref="S5:S10" si="8">IF(N5&lt;O5*0.9056*0.85,O5*0.9056*0.85,IF(N5&gt;O5*1.15,O5*1.15,N5))</f>
        <v>2.32</v>
      </c>
      <c r="T5" s="29">
        <v>4848.83</v>
      </c>
      <c r="U5" s="29">
        <v>4848.83</v>
      </c>
      <c r="V5" s="29">
        <f t="shared" ref="V5:V10" si="9">T5+S5*K5</f>
        <v>4848.83</v>
      </c>
      <c r="W5" s="29">
        <f t="shared" si="0"/>
        <v>0</v>
      </c>
      <c r="X5" s="29">
        <f t="shared" ref="X5:X68" si="10">V5-T5</f>
        <v>0</v>
      </c>
      <c r="Y5" s="29">
        <f t="shared" ref="Y5:Y68" si="11">V5-U5</f>
        <v>0</v>
      </c>
      <c r="Z5" s="26" t="s">
        <v>33</v>
      </c>
      <c r="AA5" s="1"/>
      <c r="AB5" s="1"/>
      <c r="AC5" s="1"/>
      <c r="AD5" s="1"/>
      <c r="AE5" s="1"/>
      <c r="AF5" s="1"/>
      <c r="AG5" s="1"/>
      <c r="AH5" s="1"/>
      <c r="AI5" s="1"/>
    </row>
    <row r="6" s="7" customFormat="1" ht="20" customHeight="1" spans="1:35">
      <c r="A6" s="26">
        <v>2</v>
      </c>
      <c r="B6" s="26" t="s">
        <v>34</v>
      </c>
      <c r="C6" s="26" t="s">
        <v>35</v>
      </c>
      <c r="D6" s="26" t="s">
        <v>36</v>
      </c>
      <c r="E6" s="26" t="s">
        <v>37</v>
      </c>
      <c r="F6" s="29">
        <v>1585.62</v>
      </c>
      <c r="G6" s="29">
        <v>1585.62</v>
      </c>
      <c r="H6" s="29">
        <v>1585.62</v>
      </c>
      <c r="I6" s="29"/>
      <c r="J6" s="29">
        <f t="shared" si="1"/>
        <v>0</v>
      </c>
      <c r="K6" s="29">
        <f t="shared" si="2"/>
        <v>0</v>
      </c>
      <c r="L6" s="29">
        <f t="shared" si="3"/>
        <v>0</v>
      </c>
      <c r="M6" s="37">
        <f t="shared" si="4"/>
        <v>0</v>
      </c>
      <c r="N6" s="27">
        <v>5.77</v>
      </c>
      <c r="O6" s="27">
        <v>6.22</v>
      </c>
      <c r="P6" s="37">
        <f t="shared" si="5"/>
        <v>-0.0723</v>
      </c>
      <c r="Q6" s="29">
        <f t="shared" si="6"/>
        <v>4.79</v>
      </c>
      <c r="R6" s="29">
        <f t="shared" si="7"/>
        <v>7.15</v>
      </c>
      <c r="S6" s="29">
        <f t="shared" si="8"/>
        <v>5.77</v>
      </c>
      <c r="T6" s="29">
        <v>9149</v>
      </c>
      <c r="U6" s="29">
        <v>9149</v>
      </c>
      <c r="V6" s="29">
        <f t="shared" si="9"/>
        <v>9149</v>
      </c>
      <c r="W6" s="29">
        <f t="shared" si="0"/>
        <v>0</v>
      </c>
      <c r="X6" s="29">
        <f t="shared" si="10"/>
        <v>0</v>
      </c>
      <c r="Y6" s="29">
        <f t="shared" si="11"/>
        <v>0</v>
      </c>
      <c r="Z6" s="5" t="s">
        <v>33</v>
      </c>
      <c r="AA6" s="1"/>
      <c r="AB6" s="1"/>
      <c r="AC6" s="1"/>
      <c r="AD6" s="1"/>
      <c r="AE6" s="1"/>
      <c r="AF6" s="1"/>
      <c r="AG6" s="1"/>
      <c r="AH6" s="1"/>
      <c r="AI6" s="1"/>
    </row>
    <row r="7" ht="20" customHeight="1" spans="1:35">
      <c r="A7" s="26">
        <v>3</v>
      </c>
      <c r="B7" s="26" t="s">
        <v>38</v>
      </c>
      <c r="C7" s="26" t="s">
        <v>39</v>
      </c>
      <c r="D7" s="26" t="s">
        <v>40</v>
      </c>
      <c r="E7" s="26" t="s">
        <v>37</v>
      </c>
      <c r="F7" s="29">
        <v>350.37</v>
      </c>
      <c r="G7" s="29">
        <v>350.37</v>
      </c>
      <c r="H7" s="29">
        <v>350.37</v>
      </c>
      <c r="I7" s="29"/>
      <c r="J7" s="29">
        <f t="shared" si="1"/>
        <v>0</v>
      </c>
      <c r="K7" s="29">
        <f t="shared" si="2"/>
        <v>0</v>
      </c>
      <c r="L7" s="29">
        <f t="shared" si="3"/>
        <v>0</v>
      </c>
      <c r="M7" s="37">
        <f t="shared" si="4"/>
        <v>0</v>
      </c>
      <c r="N7" s="27">
        <v>9.86</v>
      </c>
      <c r="O7" s="27">
        <v>9.32</v>
      </c>
      <c r="P7" s="37">
        <f t="shared" si="5"/>
        <v>0.0579</v>
      </c>
      <c r="Q7" s="29">
        <f t="shared" si="6"/>
        <v>7.17</v>
      </c>
      <c r="R7" s="29">
        <f t="shared" si="7"/>
        <v>10.72</v>
      </c>
      <c r="S7" s="29">
        <f t="shared" si="8"/>
        <v>9.86</v>
      </c>
      <c r="T7" s="29">
        <v>3454.64</v>
      </c>
      <c r="U7" s="29">
        <v>3454.64</v>
      </c>
      <c r="V7" s="29">
        <f t="shared" si="9"/>
        <v>3454.64</v>
      </c>
      <c r="W7" s="29">
        <f t="shared" si="0"/>
        <v>0</v>
      </c>
      <c r="X7" s="29">
        <f t="shared" si="10"/>
        <v>0</v>
      </c>
      <c r="Y7" s="29">
        <f t="shared" si="11"/>
        <v>0</v>
      </c>
      <c r="Z7" s="5" t="s">
        <v>33</v>
      </c>
      <c r="AA7" s="1"/>
      <c r="AB7" s="1"/>
      <c r="AC7" s="1"/>
      <c r="AD7" s="1"/>
      <c r="AE7" s="1"/>
      <c r="AF7" s="1"/>
      <c r="AG7" s="1"/>
      <c r="AH7" s="1"/>
      <c r="AI7" s="1"/>
    </row>
    <row r="8" ht="20" customHeight="1" spans="1:35">
      <c r="A8" s="26">
        <v>4</v>
      </c>
      <c r="B8" s="26" t="s">
        <v>41</v>
      </c>
      <c r="C8" s="26" t="s">
        <v>42</v>
      </c>
      <c r="D8" s="26" t="s">
        <v>40</v>
      </c>
      <c r="E8" s="26" t="s">
        <v>37</v>
      </c>
      <c r="F8" s="29">
        <v>752.53</v>
      </c>
      <c r="G8" s="29">
        <v>752.53</v>
      </c>
      <c r="H8" s="29">
        <v>752.53</v>
      </c>
      <c r="I8" s="29"/>
      <c r="J8" s="29">
        <f t="shared" si="1"/>
        <v>0</v>
      </c>
      <c r="K8" s="29">
        <f t="shared" si="2"/>
        <v>0</v>
      </c>
      <c r="L8" s="29">
        <f t="shared" si="3"/>
        <v>0</v>
      </c>
      <c r="M8" s="37">
        <f t="shared" si="4"/>
        <v>0</v>
      </c>
      <c r="N8" s="27">
        <v>8.25</v>
      </c>
      <c r="O8" s="27">
        <v>9.45</v>
      </c>
      <c r="P8" s="37">
        <f t="shared" si="5"/>
        <v>-0.127</v>
      </c>
      <c r="Q8" s="29">
        <f t="shared" si="6"/>
        <v>7.27</v>
      </c>
      <c r="R8" s="29">
        <f t="shared" si="7"/>
        <v>10.87</v>
      </c>
      <c r="S8" s="29">
        <f t="shared" si="8"/>
        <v>8.25</v>
      </c>
      <c r="T8" s="29">
        <v>6208.41</v>
      </c>
      <c r="U8" s="29">
        <v>6208.41</v>
      </c>
      <c r="V8" s="29">
        <f t="shared" si="9"/>
        <v>6208.41</v>
      </c>
      <c r="W8" s="29">
        <f t="shared" si="0"/>
        <v>0</v>
      </c>
      <c r="X8" s="29">
        <f t="shared" si="10"/>
        <v>0</v>
      </c>
      <c r="Y8" s="29">
        <f t="shared" si="11"/>
        <v>0</v>
      </c>
      <c r="Z8" s="5" t="s">
        <v>33</v>
      </c>
      <c r="AA8" s="1"/>
      <c r="AB8" s="1"/>
      <c r="AC8" s="1"/>
      <c r="AD8" s="1"/>
      <c r="AE8" s="1"/>
      <c r="AF8" s="1"/>
      <c r="AG8" s="1"/>
      <c r="AH8" s="1"/>
      <c r="AI8" s="1"/>
    </row>
    <row r="9" ht="20" customHeight="1" spans="1:35">
      <c r="A9" s="26">
        <v>5</v>
      </c>
      <c r="B9" s="26" t="s">
        <v>43</v>
      </c>
      <c r="C9" s="26" t="s">
        <v>44</v>
      </c>
      <c r="D9" s="26" t="s">
        <v>45</v>
      </c>
      <c r="E9" s="26" t="s">
        <v>37</v>
      </c>
      <c r="F9" s="29">
        <v>764.17</v>
      </c>
      <c r="G9" s="29">
        <v>764.17</v>
      </c>
      <c r="H9" s="29">
        <v>764.17</v>
      </c>
      <c r="I9" s="29"/>
      <c r="J9" s="29">
        <f t="shared" si="1"/>
        <v>0</v>
      </c>
      <c r="K9" s="29">
        <f t="shared" si="2"/>
        <v>0</v>
      </c>
      <c r="L9" s="29">
        <f t="shared" si="3"/>
        <v>0</v>
      </c>
      <c r="M9" s="37">
        <f t="shared" si="4"/>
        <v>0</v>
      </c>
      <c r="N9" s="27">
        <v>17.92</v>
      </c>
      <c r="O9" s="27">
        <v>19.89</v>
      </c>
      <c r="P9" s="37">
        <f t="shared" si="5"/>
        <v>-0.099</v>
      </c>
      <c r="Q9" s="29">
        <f t="shared" si="6"/>
        <v>15.31</v>
      </c>
      <c r="R9" s="29">
        <f t="shared" si="7"/>
        <v>22.87</v>
      </c>
      <c r="S9" s="29">
        <f t="shared" si="8"/>
        <v>17.92</v>
      </c>
      <c r="T9" s="29">
        <v>13694</v>
      </c>
      <c r="U9" s="29">
        <v>13694</v>
      </c>
      <c r="V9" s="29">
        <f t="shared" si="9"/>
        <v>13694</v>
      </c>
      <c r="W9" s="29">
        <f t="shared" si="0"/>
        <v>0</v>
      </c>
      <c r="X9" s="29">
        <f t="shared" si="10"/>
        <v>0</v>
      </c>
      <c r="Y9" s="29">
        <f t="shared" si="11"/>
        <v>0</v>
      </c>
      <c r="Z9" s="5" t="s">
        <v>33</v>
      </c>
      <c r="AA9" s="1"/>
      <c r="AB9" s="1"/>
      <c r="AC9" s="1"/>
      <c r="AD9" s="1"/>
      <c r="AE9" s="1"/>
      <c r="AF9" s="1"/>
      <c r="AG9" s="1"/>
      <c r="AH9" s="1"/>
      <c r="AI9" s="1"/>
    </row>
    <row r="10" ht="20" customHeight="1" spans="1:35">
      <c r="A10" s="26">
        <v>6</v>
      </c>
      <c r="B10" s="26" t="s">
        <v>46</v>
      </c>
      <c r="C10" s="26" t="s">
        <v>47</v>
      </c>
      <c r="D10" s="26" t="s">
        <v>48</v>
      </c>
      <c r="E10" s="26" t="s">
        <v>37</v>
      </c>
      <c r="F10" s="29">
        <v>1809.72</v>
      </c>
      <c r="G10" s="29">
        <v>1809.72</v>
      </c>
      <c r="H10" s="29">
        <v>1809.72</v>
      </c>
      <c r="I10" s="29"/>
      <c r="J10" s="29">
        <f t="shared" si="1"/>
        <v>0</v>
      </c>
      <c r="K10" s="29">
        <f t="shared" si="2"/>
        <v>0</v>
      </c>
      <c r="L10" s="29">
        <f t="shared" si="3"/>
        <v>0</v>
      </c>
      <c r="M10" s="37">
        <f t="shared" si="4"/>
        <v>0</v>
      </c>
      <c r="N10" s="27">
        <v>56.25</v>
      </c>
      <c r="O10" s="27">
        <v>59.2</v>
      </c>
      <c r="P10" s="37">
        <f t="shared" si="5"/>
        <v>-0.0498</v>
      </c>
      <c r="Q10" s="29">
        <f t="shared" si="6"/>
        <v>45.57</v>
      </c>
      <c r="R10" s="29">
        <f t="shared" si="7"/>
        <v>68.08</v>
      </c>
      <c r="S10" s="29">
        <f t="shared" si="8"/>
        <v>56.25</v>
      </c>
      <c r="T10" s="29">
        <v>101797</v>
      </c>
      <c r="U10" s="29">
        <v>101797</v>
      </c>
      <c r="V10" s="29">
        <f t="shared" si="9"/>
        <v>101797</v>
      </c>
      <c r="W10" s="29">
        <f t="shared" si="0"/>
        <v>0</v>
      </c>
      <c r="X10" s="29">
        <f t="shared" si="10"/>
        <v>0</v>
      </c>
      <c r="Y10" s="29">
        <f t="shared" si="11"/>
        <v>0</v>
      </c>
      <c r="Z10" s="5" t="s">
        <v>33</v>
      </c>
      <c r="AA10" s="1"/>
      <c r="AB10" s="1"/>
      <c r="AC10" s="1"/>
      <c r="AD10" s="1"/>
      <c r="AE10" s="1"/>
      <c r="AF10" s="1"/>
      <c r="AG10" s="1"/>
      <c r="AH10" s="1"/>
      <c r="AI10" s="1"/>
    </row>
    <row r="11" ht="20" customHeight="1" spans="1:35">
      <c r="A11" s="26"/>
      <c r="B11" s="26"/>
      <c r="C11" s="26" t="s">
        <v>49</v>
      </c>
      <c r="D11" s="26"/>
      <c r="E11" s="26"/>
      <c r="F11" s="29"/>
      <c r="G11" s="29"/>
      <c r="H11" s="29"/>
      <c r="I11" s="29"/>
      <c r="J11" s="29"/>
      <c r="K11" s="29"/>
      <c r="L11" s="29"/>
      <c r="M11" s="37"/>
      <c r="N11" s="27"/>
      <c r="O11" s="27"/>
      <c r="P11" s="37"/>
      <c r="Q11" s="29"/>
      <c r="R11" s="29"/>
      <c r="S11" s="29"/>
      <c r="T11" s="29">
        <v>1069070.38</v>
      </c>
      <c r="U11" s="29">
        <v>1137925.24</v>
      </c>
      <c r="V11" s="29">
        <f>+SUM(V12:V17)</f>
        <v>1051760.14</v>
      </c>
      <c r="W11" s="29">
        <f t="shared" si="0"/>
        <v>68854.86</v>
      </c>
      <c r="X11" s="29">
        <f t="shared" si="10"/>
        <v>-17310.24</v>
      </c>
      <c r="Y11" s="29">
        <f t="shared" si="11"/>
        <v>-86165.1</v>
      </c>
      <c r="Z11" s="26"/>
      <c r="AA11" s="42"/>
      <c r="AB11" s="1"/>
      <c r="AC11" s="1"/>
      <c r="AD11" s="1"/>
      <c r="AE11" s="1"/>
      <c r="AF11" s="1"/>
      <c r="AG11" s="1"/>
      <c r="AH11" s="1"/>
      <c r="AI11" s="1"/>
    </row>
    <row r="12" ht="20" customHeight="1" spans="1:35">
      <c r="A12" s="26">
        <v>7</v>
      </c>
      <c r="B12" s="26" t="s">
        <v>50</v>
      </c>
      <c r="C12" s="26" t="s">
        <v>51</v>
      </c>
      <c r="D12" s="26" t="s">
        <v>52</v>
      </c>
      <c r="E12" s="26" t="s">
        <v>53</v>
      </c>
      <c r="F12" s="29">
        <v>3420</v>
      </c>
      <c r="G12" s="29">
        <v>3847.9</v>
      </c>
      <c r="H12" s="29">
        <v>3536.74</v>
      </c>
      <c r="I12" s="29"/>
      <c r="J12" s="29">
        <f t="shared" ref="J12:J17" si="12">G12-F12</f>
        <v>427.9</v>
      </c>
      <c r="K12" s="29">
        <f t="shared" ref="K12:K17" si="13">H12-F12</f>
        <v>116.74</v>
      </c>
      <c r="L12" s="29">
        <f t="shared" ref="L12:L17" si="14">H12-G12</f>
        <v>-311.16</v>
      </c>
      <c r="M12" s="37">
        <f t="shared" ref="M12:M17" si="15">J12/F12</f>
        <v>0.1251</v>
      </c>
      <c r="N12" s="27">
        <v>276.89</v>
      </c>
      <c r="O12" s="27">
        <v>320.16</v>
      </c>
      <c r="P12" s="37">
        <f t="shared" ref="P12:P17" si="16">(N12-O12)/O12</f>
        <v>-0.1352</v>
      </c>
      <c r="Q12" s="29">
        <f t="shared" ref="Q12:Q17" si="17">O12*0.9056*0.85</f>
        <v>246.45</v>
      </c>
      <c r="R12" s="29">
        <f t="shared" ref="R12:R17" si="18">O12*1.15</f>
        <v>368.18</v>
      </c>
      <c r="S12" s="29">
        <f t="shared" ref="S12:S17" si="19">IF(N12&lt;O12*0.9056*0.85,O12*0.9056*0.85,IF(N12&gt;O12*1.15,O12*1.15,N12))</f>
        <v>276.89</v>
      </c>
      <c r="T12" s="29">
        <v>946963.8</v>
      </c>
      <c r="U12" s="29">
        <v>1065445.03</v>
      </c>
      <c r="V12" s="29">
        <f t="shared" ref="V12:V17" si="20">T12+S12*K12</f>
        <v>979287.94</v>
      </c>
      <c r="W12" s="29">
        <f t="shared" si="0"/>
        <v>118481.23</v>
      </c>
      <c r="X12" s="29">
        <f t="shared" si="10"/>
        <v>32324.14</v>
      </c>
      <c r="Y12" s="29">
        <f t="shared" si="11"/>
        <v>-86157.09</v>
      </c>
      <c r="Z12" s="26"/>
      <c r="AA12" s="1"/>
      <c r="AB12" s="1"/>
      <c r="AC12" s="1"/>
      <c r="AD12" s="1"/>
      <c r="AE12" s="1"/>
      <c r="AF12" s="1"/>
      <c r="AG12" s="1"/>
      <c r="AH12" s="1"/>
      <c r="AI12" s="1"/>
    </row>
    <row r="13" s="7" customFormat="1" ht="20" customHeight="1" spans="1:35">
      <c r="A13" s="26">
        <v>8</v>
      </c>
      <c r="B13" s="26" t="s">
        <v>54</v>
      </c>
      <c r="C13" s="26" t="s">
        <v>55</v>
      </c>
      <c r="D13" s="26" t="s">
        <v>56</v>
      </c>
      <c r="E13" s="26" t="s">
        <v>53</v>
      </c>
      <c r="F13" s="29">
        <v>100</v>
      </c>
      <c r="G13" s="29">
        <v>0</v>
      </c>
      <c r="H13" s="29">
        <v>0</v>
      </c>
      <c r="I13" s="29"/>
      <c r="J13" s="29">
        <f t="shared" si="12"/>
        <v>-100</v>
      </c>
      <c r="K13" s="29">
        <f t="shared" si="13"/>
        <v>-100</v>
      </c>
      <c r="L13" s="29">
        <f t="shared" si="14"/>
        <v>0</v>
      </c>
      <c r="M13" s="37">
        <f t="shared" si="15"/>
        <v>-1</v>
      </c>
      <c r="N13" s="27">
        <v>315.52</v>
      </c>
      <c r="O13" s="27">
        <v>357.1</v>
      </c>
      <c r="P13" s="37">
        <f t="shared" si="16"/>
        <v>-0.1164</v>
      </c>
      <c r="Q13" s="29">
        <f t="shared" si="17"/>
        <v>274.88</v>
      </c>
      <c r="R13" s="29">
        <f t="shared" si="18"/>
        <v>410.67</v>
      </c>
      <c r="S13" s="29">
        <f t="shared" si="19"/>
        <v>315.52</v>
      </c>
      <c r="T13" s="29">
        <v>31552</v>
      </c>
      <c r="U13" s="29">
        <v>0</v>
      </c>
      <c r="V13" s="29">
        <f t="shared" si="20"/>
        <v>0</v>
      </c>
      <c r="W13" s="29">
        <f t="shared" si="0"/>
        <v>-31552</v>
      </c>
      <c r="X13" s="29">
        <f t="shared" si="10"/>
        <v>-31552</v>
      </c>
      <c r="Y13" s="29">
        <f t="shared" si="11"/>
        <v>0</v>
      </c>
      <c r="Z13" s="26"/>
      <c r="AA13" s="42"/>
      <c r="AB13" s="1"/>
      <c r="AC13" s="1"/>
      <c r="AD13" s="1"/>
      <c r="AE13" s="1"/>
      <c r="AF13" s="1"/>
      <c r="AG13" s="1"/>
      <c r="AH13" s="1"/>
      <c r="AI13" s="1"/>
    </row>
    <row r="14" ht="20" customHeight="1" spans="1:35">
      <c r="A14" s="26">
        <v>9</v>
      </c>
      <c r="B14" s="26" t="s">
        <v>57</v>
      </c>
      <c r="C14" s="26" t="s">
        <v>58</v>
      </c>
      <c r="D14" s="26" t="s">
        <v>59</v>
      </c>
      <c r="E14" s="26" t="s">
        <v>53</v>
      </c>
      <c r="F14" s="29">
        <v>264</v>
      </c>
      <c r="G14" s="29">
        <v>122.3</v>
      </c>
      <c r="H14" s="29">
        <v>122.3</v>
      </c>
      <c r="I14" s="29"/>
      <c r="J14" s="29">
        <f t="shared" si="12"/>
        <v>-141.7</v>
      </c>
      <c r="K14" s="29">
        <f t="shared" si="13"/>
        <v>-141.7</v>
      </c>
      <c r="L14" s="29">
        <f t="shared" si="14"/>
        <v>0</v>
      </c>
      <c r="M14" s="37">
        <f t="shared" si="15"/>
        <v>-0.5367</v>
      </c>
      <c r="N14" s="27">
        <v>56.37</v>
      </c>
      <c r="O14" s="27">
        <v>58.71</v>
      </c>
      <c r="P14" s="37">
        <f t="shared" si="16"/>
        <v>-0.0399</v>
      </c>
      <c r="Q14" s="29">
        <f t="shared" si="17"/>
        <v>45.19</v>
      </c>
      <c r="R14" s="29">
        <f t="shared" si="18"/>
        <v>67.52</v>
      </c>
      <c r="S14" s="29">
        <f t="shared" si="19"/>
        <v>56.37</v>
      </c>
      <c r="T14" s="29">
        <v>14881.68</v>
      </c>
      <c r="U14" s="29">
        <v>6894.05</v>
      </c>
      <c r="V14" s="29">
        <f t="shared" si="20"/>
        <v>6894.05</v>
      </c>
      <c r="W14" s="29">
        <f t="shared" si="0"/>
        <v>-7987.63</v>
      </c>
      <c r="X14" s="29">
        <f t="shared" si="10"/>
        <v>-7987.63</v>
      </c>
      <c r="Y14" s="29">
        <f t="shared" si="11"/>
        <v>0</v>
      </c>
      <c r="Z14" s="26"/>
      <c r="AA14" s="42"/>
      <c r="AB14" s="1"/>
      <c r="AC14" s="1"/>
      <c r="AD14" s="1"/>
      <c r="AE14" s="1"/>
      <c r="AF14" s="1"/>
      <c r="AG14" s="1"/>
      <c r="AH14" s="1"/>
      <c r="AI14" s="1"/>
    </row>
    <row r="15" s="7" customFormat="1" ht="20" customHeight="1" spans="1:35">
      <c r="A15" s="26">
        <v>10</v>
      </c>
      <c r="B15" s="26" t="s">
        <v>60</v>
      </c>
      <c r="C15" s="26" t="s">
        <v>61</v>
      </c>
      <c r="D15" s="26" t="s">
        <v>62</v>
      </c>
      <c r="E15" s="26" t="s">
        <v>63</v>
      </c>
      <c r="F15" s="29">
        <v>176</v>
      </c>
      <c r="G15" s="29">
        <v>176</v>
      </c>
      <c r="H15" s="31">
        <v>176</v>
      </c>
      <c r="I15" s="31"/>
      <c r="J15" s="29">
        <f t="shared" si="12"/>
        <v>0</v>
      </c>
      <c r="K15" s="29">
        <f t="shared" si="13"/>
        <v>0</v>
      </c>
      <c r="L15" s="29">
        <f t="shared" si="14"/>
        <v>0</v>
      </c>
      <c r="M15" s="37">
        <f t="shared" si="15"/>
        <v>0</v>
      </c>
      <c r="N15" s="27">
        <v>78.16</v>
      </c>
      <c r="O15" s="27">
        <v>95.36</v>
      </c>
      <c r="P15" s="37">
        <f t="shared" si="16"/>
        <v>-0.1804</v>
      </c>
      <c r="Q15" s="29">
        <f t="shared" si="17"/>
        <v>73.4</v>
      </c>
      <c r="R15" s="29">
        <f t="shared" si="18"/>
        <v>109.66</v>
      </c>
      <c r="S15" s="29">
        <f t="shared" si="19"/>
        <v>78.16</v>
      </c>
      <c r="T15" s="29">
        <v>13756.16</v>
      </c>
      <c r="U15" s="29">
        <v>13756.16</v>
      </c>
      <c r="V15" s="29">
        <f t="shared" si="20"/>
        <v>13756.16</v>
      </c>
      <c r="W15" s="29">
        <f t="shared" si="0"/>
        <v>0</v>
      </c>
      <c r="X15" s="29">
        <f t="shared" si="10"/>
        <v>0</v>
      </c>
      <c r="Y15" s="29">
        <f t="shared" si="11"/>
        <v>0</v>
      </c>
      <c r="Z15" s="26"/>
      <c r="AA15" s="1"/>
      <c r="AB15" s="1"/>
      <c r="AC15" s="1"/>
      <c r="AD15" s="1"/>
      <c r="AE15" s="1"/>
      <c r="AF15" s="1"/>
      <c r="AG15" s="1"/>
      <c r="AH15" s="1"/>
      <c r="AI15" s="1"/>
    </row>
    <row r="16" s="7" customFormat="1" ht="20" customHeight="1" spans="1:35">
      <c r="A16" s="26">
        <v>11</v>
      </c>
      <c r="B16" s="26" t="s">
        <v>64</v>
      </c>
      <c r="C16" s="26" t="s">
        <v>65</v>
      </c>
      <c r="D16" s="26" t="s">
        <v>66</v>
      </c>
      <c r="E16" s="26" t="s">
        <v>67</v>
      </c>
      <c r="F16" s="29">
        <v>176</v>
      </c>
      <c r="G16" s="29">
        <v>176</v>
      </c>
      <c r="H16" s="31">
        <v>176</v>
      </c>
      <c r="I16" s="31"/>
      <c r="J16" s="29">
        <f t="shared" si="12"/>
        <v>0</v>
      </c>
      <c r="K16" s="29">
        <f t="shared" si="13"/>
        <v>0</v>
      </c>
      <c r="L16" s="29">
        <f t="shared" si="14"/>
        <v>0</v>
      </c>
      <c r="M16" s="37">
        <f t="shared" si="15"/>
        <v>0</v>
      </c>
      <c r="N16" s="27">
        <v>268.05</v>
      </c>
      <c r="O16" s="27">
        <v>259.06</v>
      </c>
      <c r="P16" s="37">
        <f t="shared" si="16"/>
        <v>0.0347</v>
      </c>
      <c r="Q16" s="29">
        <f t="shared" si="17"/>
        <v>199.41</v>
      </c>
      <c r="R16" s="29">
        <f t="shared" si="18"/>
        <v>297.92</v>
      </c>
      <c r="S16" s="29">
        <f t="shared" si="19"/>
        <v>268.05</v>
      </c>
      <c r="T16" s="29">
        <v>47176.8</v>
      </c>
      <c r="U16" s="29">
        <v>47176.8</v>
      </c>
      <c r="V16" s="29">
        <f t="shared" si="20"/>
        <v>47176.8</v>
      </c>
      <c r="W16" s="29">
        <f t="shared" si="0"/>
        <v>0</v>
      </c>
      <c r="X16" s="29">
        <f t="shared" si="10"/>
        <v>0</v>
      </c>
      <c r="Y16" s="29">
        <f t="shared" si="11"/>
        <v>0</v>
      </c>
      <c r="Z16" s="26"/>
      <c r="AA16" s="1"/>
      <c r="AB16" s="1"/>
      <c r="AC16" s="1"/>
      <c r="AD16" s="1"/>
      <c r="AE16" s="1"/>
      <c r="AF16" s="1"/>
      <c r="AG16" s="1"/>
      <c r="AH16" s="1"/>
      <c r="AI16" s="1"/>
    </row>
    <row r="17" ht="20" customHeight="1" spans="1:35">
      <c r="A17" s="26">
        <v>12</v>
      </c>
      <c r="B17" s="26" t="s">
        <v>68</v>
      </c>
      <c r="C17" s="26" t="s">
        <v>69</v>
      </c>
      <c r="D17" s="26" t="s">
        <v>70</v>
      </c>
      <c r="E17" s="26" t="s">
        <v>71</v>
      </c>
      <c r="F17" s="29">
        <v>2.76</v>
      </c>
      <c r="G17" s="29">
        <v>0.87</v>
      </c>
      <c r="H17" s="38">
        <v>0.87</v>
      </c>
      <c r="I17" s="38"/>
      <c r="J17" s="29">
        <f t="shared" si="12"/>
        <v>-1.89</v>
      </c>
      <c r="K17" s="29">
        <f t="shared" si="13"/>
        <v>-1.89</v>
      </c>
      <c r="L17" s="29">
        <f t="shared" si="14"/>
        <v>0</v>
      </c>
      <c r="M17" s="37">
        <f t="shared" si="15"/>
        <v>-0.6848</v>
      </c>
      <c r="N17" s="27">
        <v>5341.14</v>
      </c>
      <c r="O17" s="27">
        <v>6492.43</v>
      </c>
      <c r="P17" s="37">
        <f t="shared" si="16"/>
        <v>-0.1773</v>
      </c>
      <c r="Q17" s="29">
        <f t="shared" si="17"/>
        <v>4997.61</v>
      </c>
      <c r="R17" s="29">
        <f t="shared" si="18"/>
        <v>7466.29</v>
      </c>
      <c r="S17" s="29">
        <f t="shared" si="19"/>
        <v>5341.14</v>
      </c>
      <c r="T17" s="29">
        <v>14739.94</v>
      </c>
      <c r="U17" s="29">
        <v>4653.2</v>
      </c>
      <c r="V17" s="29">
        <f t="shared" si="20"/>
        <v>4645.19</v>
      </c>
      <c r="W17" s="29">
        <f t="shared" si="0"/>
        <v>-10086.74</v>
      </c>
      <c r="X17" s="29">
        <f t="shared" si="10"/>
        <v>-10094.75</v>
      </c>
      <c r="Y17" s="29">
        <f t="shared" si="11"/>
        <v>-8.01</v>
      </c>
      <c r="Z17" s="26"/>
      <c r="AA17" s="1"/>
      <c r="AB17" s="1"/>
      <c r="AC17" s="1"/>
      <c r="AD17" s="1"/>
      <c r="AE17" s="1"/>
      <c r="AF17" s="1"/>
      <c r="AG17" s="1"/>
      <c r="AH17" s="1"/>
      <c r="AI17" s="1"/>
    </row>
    <row r="18" ht="20" customHeight="1" spans="1:35">
      <c r="A18" s="26"/>
      <c r="B18" s="26"/>
      <c r="C18" s="26" t="s">
        <v>72</v>
      </c>
      <c r="D18" s="26"/>
      <c r="E18" s="26"/>
      <c r="F18" s="29"/>
      <c r="G18" s="29"/>
      <c r="H18" s="29"/>
      <c r="I18" s="29"/>
      <c r="J18" s="29"/>
      <c r="K18" s="29"/>
      <c r="L18" s="29"/>
      <c r="M18" s="37"/>
      <c r="N18" s="27"/>
      <c r="O18" s="27"/>
      <c r="P18" s="37"/>
      <c r="Q18" s="29"/>
      <c r="R18" s="29"/>
      <c r="S18" s="29"/>
      <c r="T18" s="29">
        <v>563645.69</v>
      </c>
      <c r="U18" s="29">
        <v>835049.33</v>
      </c>
      <c r="V18" s="29">
        <f>+SUM(V19:V27)</f>
        <v>742387.28</v>
      </c>
      <c r="W18" s="29">
        <f t="shared" si="0"/>
        <v>271403.64</v>
      </c>
      <c r="X18" s="29">
        <f t="shared" si="10"/>
        <v>178741.59</v>
      </c>
      <c r="Y18" s="29">
        <f t="shared" si="11"/>
        <v>-92662.05</v>
      </c>
      <c r="Z18" s="26"/>
      <c r="AA18" s="42"/>
      <c r="AB18" s="1"/>
      <c r="AC18" s="1"/>
      <c r="AD18" s="1"/>
      <c r="AE18" s="1"/>
      <c r="AF18" s="1"/>
      <c r="AG18" s="1"/>
      <c r="AH18" s="1"/>
      <c r="AI18" s="1"/>
    </row>
    <row r="19" ht="20" customHeight="1" spans="1:35">
      <c r="A19" s="26">
        <v>13</v>
      </c>
      <c r="B19" s="26" t="s">
        <v>73</v>
      </c>
      <c r="C19" s="26" t="s">
        <v>44</v>
      </c>
      <c r="D19" s="26" t="s">
        <v>74</v>
      </c>
      <c r="E19" s="26" t="s">
        <v>37</v>
      </c>
      <c r="F19" s="29">
        <v>27.86</v>
      </c>
      <c r="G19" s="29">
        <v>266.77</v>
      </c>
      <c r="H19" s="29">
        <v>266.77</v>
      </c>
      <c r="I19" s="29"/>
      <c r="J19" s="29">
        <f t="shared" ref="J19:J27" si="21">G19-F19</f>
        <v>238.91</v>
      </c>
      <c r="K19" s="29">
        <f t="shared" ref="K19:K27" si="22">H19-F19</f>
        <v>238.91</v>
      </c>
      <c r="L19" s="29">
        <f t="shared" ref="L19:L27" si="23">H19-G19</f>
        <v>0</v>
      </c>
      <c r="M19" s="37">
        <f t="shared" ref="M19:M27" si="24">J19/F19</f>
        <v>8.5754</v>
      </c>
      <c r="N19" s="27">
        <v>793.81</v>
      </c>
      <c r="O19" s="27">
        <v>770.77</v>
      </c>
      <c r="P19" s="37">
        <f t="shared" ref="P19:P27" si="25">(N19-O19)/O19</f>
        <v>0.0299</v>
      </c>
      <c r="Q19" s="29">
        <f t="shared" ref="Q19:Q27" si="26">O19*0.9056*0.85</f>
        <v>593.31</v>
      </c>
      <c r="R19" s="29">
        <f t="shared" ref="R19:R27" si="27">O19*1.15</f>
        <v>886.39</v>
      </c>
      <c r="S19" s="29">
        <f t="shared" ref="S19:S27" si="28">IF(N19&lt;O19*0.9056*0.85,O19*0.9056*0.85,IF(N19&gt;O19*1.15,O19*1.15,N19))</f>
        <v>793.81</v>
      </c>
      <c r="T19" s="29">
        <v>22116.18</v>
      </c>
      <c r="U19" s="29">
        <v>211762.63</v>
      </c>
      <c r="V19" s="29">
        <v>211762.63</v>
      </c>
      <c r="W19" s="29">
        <f t="shared" si="0"/>
        <v>189646.45</v>
      </c>
      <c r="X19" s="29">
        <f t="shared" si="10"/>
        <v>189646.45</v>
      </c>
      <c r="Y19" s="29">
        <f t="shared" si="11"/>
        <v>0</v>
      </c>
      <c r="Z19" s="26"/>
      <c r="AA19" s="1"/>
      <c r="AB19" s="1"/>
      <c r="AC19" s="1"/>
      <c r="AD19" s="1"/>
      <c r="AE19" s="1"/>
      <c r="AF19" s="1"/>
      <c r="AG19" s="1"/>
      <c r="AH19" s="1"/>
      <c r="AI19" s="1"/>
    </row>
    <row r="20" s="7" customFormat="1" ht="20" customHeight="1" spans="1:35">
      <c r="A20" s="26">
        <v>14</v>
      </c>
      <c r="B20" s="26" t="s">
        <v>75</v>
      </c>
      <c r="C20" s="26" t="s">
        <v>76</v>
      </c>
      <c r="D20" s="26" t="s">
        <v>77</v>
      </c>
      <c r="E20" s="26" t="s">
        <v>37</v>
      </c>
      <c r="F20" s="29">
        <v>384.69</v>
      </c>
      <c r="G20" s="29">
        <v>399.19</v>
      </c>
      <c r="H20" s="29">
        <f>268.41</f>
        <v>268.41</v>
      </c>
      <c r="I20" s="29"/>
      <c r="J20" s="29">
        <f t="shared" si="21"/>
        <v>14.5</v>
      </c>
      <c r="K20" s="29">
        <f t="shared" si="22"/>
        <v>-116.28</v>
      </c>
      <c r="L20" s="29">
        <f t="shared" si="23"/>
        <v>-130.78</v>
      </c>
      <c r="M20" s="37">
        <f t="shared" si="24"/>
        <v>0.0377</v>
      </c>
      <c r="N20" s="27">
        <v>589.41</v>
      </c>
      <c r="O20" s="27">
        <v>676.12</v>
      </c>
      <c r="P20" s="37">
        <f t="shared" si="25"/>
        <v>-0.1282</v>
      </c>
      <c r="Q20" s="29">
        <f t="shared" si="26"/>
        <v>520.45</v>
      </c>
      <c r="R20" s="29">
        <f t="shared" si="27"/>
        <v>777.54</v>
      </c>
      <c r="S20" s="29">
        <f t="shared" si="28"/>
        <v>589.41</v>
      </c>
      <c r="T20" s="29">
        <v>226742.37</v>
      </c>
      <c r="U20" s="29">
        <v>235288.82</v>
      </c>
      <c r="V20" s="29">
        <f t="shared" ref="V20:V26" si="29">T20+S20*K20</f>
        <v>158205.78</v>
      </c>
      <c r="W20" s="29">
        <f t="shared" si="0"/>
        <v>8546.45</v>
      </c>
      <c r="X20" s="29">
        <f t="shared" si="10"/>
        <v>-68536.59</v>
      </c>
      <c r="Y20" s="29">
        <f t="shared" si="11"/>
        <v>-77083.04</v>
      </c>
      <c r="Z20" s="26"/>
      <c r="AA20" s="1"/>
      <c r="AB20" s="1"/>
      <c r="AC20" s="1"/>
      <c r="AD20" s="1"/>
      <c r="AE20" s="1"/>
      <c r="AF20" s="1"/>
      <c r="AG20" s="1"/>
      <c r="AH20" s="1"/>
      <c r="AI20" s="1"/>
    </row>
    <row r="21" ht="20" customHeight="1" spans="1:35">
      <c r="A21" s="26">
        <v>15</v>
      </c>
      <c r="B21" s="26" t="s">
        <v>78</v>
      </c>
      <c r="C21" s="26" t="s">
        <v>76</v>
      </c>
      <c r="D21" s="26" t="s">
        <v>79</v>
      </c>
      <c r="E21" s="26" t="s">
        <v>37</v>
      </c>
      <c r="F21" s="29">
        <v>331.51</v>
      </c>
      <c r="G21" s="29">
        <v>440.98</v>
      </c>
      <c r="H21" s="29">
        <v>424.16</v>
      </c>
      <c r="I21" s="29"/>
      <c r="J21" s="29">
        <f t="shared" si="21"/>
        <v>109.47</v>
      </c>
      <c r="K21" s="29">
        <f t="shared" si="22"/>
        <v>92.65</v>
      </c>
      <c r="L21" s="29">
        <f t="shared" si="23"/>
        <v>-16.82</v>
      </c>
      <c r="M21" s="37">
        <f t="shared" si="24"/>
        <v>0.3302</v>
      </c>
      <c r="N21" s="27">
        <v>576.98</v>
      </c>
      <c r="O21" s="27">
        <v>661.47</v>
      </c>
      <c r="P21" s="37">
        <f t="shared" si="25"/>
        <v>-0.1277</v>
      </c>
      <c r="Q21" s="29">
        <f t="shared" si="26"/>
        <v>509.17</v>
      </c>
      <c r="R21" s="29">
        <f t="shared" si="27"/>
        <v>760.69</v>
      </c>
      <c r="S21" s="29">
        <f t="shared" si="28"/>
        <v>576.98</v>
      </c>
      <c r="T21" s="29">
        <v>191272.56</v>
      </c>
      <c r="U21" s="29">
        <v>254438.2</v>
      </c>
      <c r="V21" s="29">
        <f t="shared" si="29"/>
        <v>244729.76</v>
      </c>
      <c r="W21" s="29">
        <f t="shared" si="0"/>
        <v>63165.64</v>
      </c>
      <c r="X21" s="29">
        <f t="shared" si="10"/>
        <v>53457.2</v>
      </c>
      <c r="Y21" s="29">
        <f t="shared" si="11"/>
        <v>-9708.44</v>
      </c>
      <c r="Z21" s="26"/>
      <c r="AA21" s="1"/>
      <c r="AB21" s="1"/>
      <c r="AC21" s="1"/>
      <c r="AD21" s="1"/>
      <c r="AE21" s="1"/>
      <c r="AF21" s="1"/>
      <c r="AG21" s="1"/>
      <c r="AH21" s="1"/>
      <c r="AI21" s="1"/>
    </row>
    <row r="22" ht="20" customHeight="1" spans="1:35">
      <c r="A22" s="26">
        <v>16</v>
      </c>
      <c r="B22" s="26" t="s">
        <v>80</v>
      </c>
      <c r="C22" s="26" t="s">
        <v>76</v>
      </c>
      <c r="D22" s="26" t="s">
        <v>81</v>
      </c>
      <c r="E22" s="26" t="s">
        <v>37</v>
      </c>
      <c r="F22" s="29">
        <v>1.09</v>
      </c>
      <c r="G22" s="29">
        <v>2.59</v>
      </c>
      <c r="H22" s="29">
        <v>0</v>
      </c>
      <c r="I22" s="29"/>
      <c r="J22" s="29">
        <f t="shared" si="21"/>
        <v>1.5</v>
      </c>
      <c r="K22" s="29">
        <f t="shared" si="22"/>
        <v>-1.09</v>
      </c>
      <c r="L22" s="29">
        <f t="shared" si="23"/>
        <v>-2.59</v>
      </c>
      <c r="M22" s="37">
        <f t="shared" si="24"/>
        <v>1.3761</v>
      </c>
      <c r="N22" s="27">
        <v>599.51</v>
      </c>
      <c r="O22" s="27">
        <v>686.9</v>
      </c>
      <c r="P22" s="37">
        <f t="shared" si="25"/>
        <v>-0.1272</v>
      </c>
      <c r="Q22" s="29">
        <f t="shared" si="26"/>
        <v>528.75</v>
      </c>
      <c r="R22" s="29">
        <f t="shared" si="27"/>
        <v>789.94</v>
      </c>
      <c r="S22" s="29">
        <f t="shared" si="28"/>
        <v>599.51</v>
      </c>
      <c r="T22" s="29">
        <v>655.5</v>
      </c>
      <c r="U22" s="29">
        <v>1554.77</v>
      </c>
      <c r="V22" s="29">
        <f t="shared" si="29"/>
        <v>2.03</v>
      </c>
      <c r="W22" s="29">
        <f t="shared" si="0"/>
        <v>899.27</v>
      </c>
      <c r="X22" s="29">
        <f t="shared" si="10"/>
        <v>-653.47</v>
      </c>
      <c r="Y22" s="29">
        <f t="shared" si="11"/>
        <v>-1552.74</v>
      </c>
      <c r="Z22" s="26"/>
      <c r="AA22" s="42"/>
      <c r="AB22" s="1"/>
      <c r="AC22" s="1"/>
      <c r="AD22" s="1"/>
      <c r="AE22" s="1"/>
      <c r="AF22" s="1"/>
      <c r="AG22" s="1"/>
      <c r="AH22" s="1"/>
      <c r="AI22" s="1"/>
    </row>
    <row r="23" ht="20" customHeight="1" spans="1:35">
      <c r="A23" s="26">
        <v>17</v>
      </c>
      <c r="B23" s="26" t="s">
        <v>82</v>
      </c>
      <c r="C23" s="26" t="s">
        <v>76</v>
      </c>
      <c r="D23" s="26" t="s">
        <v>83</v>
      </c>
      <c r="E23" s="26" t="s">
        <v>37</v>
      </c>
      <c r="F23" s="29">
        <v>147.47</v>
      </c>
      <c r="G23" s="29">
        <v>148.91</v>
      </c>
      <c r="H23" s="29">
        <f>72.8+74.08</f>
        <v>146.88</v>
      </c>
      <c r="I23" s="29"/>
      <c r="J23" s="29">
        <f t="shared" si="21"/>
        <v>1.44</v>
      </c>
      <c r="K23" s="29">
        <f t="shared" si="22"/>
        <v>-0.59</v>
      </c>
      <c r="L23" s="29">
        <f t="shared" si="23"/>
        <v>-2.03</v>
      </c>
      <c r="M23" s="37">
        <f t="shared" si="24"/>
        <v>0.0098</v>
      </c>
      <c r="N23" s="27">
        <v>599.53</v>
      </c>
      <c r="O23" s="27">
        <v>686.9</v>
      </c>
      <c r="P23" s="37">
        <f t="shared" si="25"/>
        <v>-0.1272</v>
      </c>
      <c r="Q23" s="29">
        <f t="shared" si="26"/>
        <v>528.75</v>
      </c>
      <c r="R23" s="29">
        <f t="shared" si="27"/>
        <v>789.94</v>
      </c>
      <c r="S23" s="29">
        <f t="shared" si="28"/>
        <v>599.53</v>
      </c>
      <c r="T23" s="29">
        <v>88409.93</v>
      </c>
      <c r="U23" s="29">
        <v>89273.91</v>
      </c>
      <c r="V23" s="29">
        <f t="shared" si="29"/>
        <v>88056.21</v>
      </c>
      <c r="W23" s="29">
        <f t="shared" si="0"/>
        <v>863.98</v>
      </c>
      <c r="X23" s="29">
        <f t="shared" si="10"/>
        <v>-353.72</v>
      </c>
      <c r="Y23" s="29">
        <f t="shared" si="11"/>
        <v>-1217.7</v>
      </c>
      <c r="Z23" s="26"/>
      <c r="AA23" s="1"/>
      <c r="AB23" s="1"/>
      <c r="AC23" s="1"/>
      <c r="AD23" s="1"/>
      <c r="AE23" s="1"/>
      <c r="AF23" s="1"/>
      <c r="AG23" s="1"/>
      <c r="AH23" s="1"/>
      <c r="AI23" s="1"/>
    </row>
    <row r="24" s="7" customFormat="1" ht="20" customHeight="1" spans="1:35">
      <c r="A24" s="26">
        <v>18</v>
      </c>
      <c r="B24" s="26" t="s">
        <v>84</v>
      </c>
      <c r="C24" s="26" t="s">
        <v>76</v>
      </c>
      <c r="D24" s="26" t="s">
        <v>85</v>
      </c>
      <c r="E24" s="26" t="s">
        <v>37</v>
      </c>
      <c r="F24" s="29">
        <v>33.46</v>
      </c>
      <c r="G24" s="29">
        <v>35.46</v>
      </c>
      <c r="H24" s="29">
        <f>4.1+25.86+0.57+0.11</f>
        <v>30.64</v>
      </c>
      <c r="I24" s="29"/>
      <c r="J24" s="29">
        <f t="shared" si="21"/>
        <v>2</v>
      </c>
      <c r="K24" s="29">
        <f t="shared" si="22"/>
        <v>-2.82</v>
      </c>
      <c r="L24" s="29">
        <f t="shared" si="23"/>
        <v>-4.82</v>
      </c>
      <c r="M24" s="37">
        <f t="shared" si="24"/>
        <v>0.0598</v>
      </c>
      <c r="N24" s="27">
        <v>589.41</v>
      </c>
      <c r="O24" s="27">
        <v>661.47</v>
      </c>
      <c r="P24" s="37">
        <f t="shared" si="25"/>
        <v>-0.1089</v>
      </c>
      <c r="Q24" s="29">
        <f t="shared" si="26"/>
        <v>509.17</v>
      </c>
      <c r="R24" s="29">
        <f t="shared" si="27"/>
        <v>760.69</v>
      </c>
      <c r="S24" s="29">
        <f t="shared" si="28"/>
        <v>589.41</v>
      </c>
      <c r="T24" s="29">
        <v>19722.31</v>
      </c>
      <c r="U24" s="29">
        <v>20901.13</v>
      </c>
      <c r="V24" s="29">
        <f t="shared" si="29"/>
        <v>18060.17</v>
      </c>
      <c r="W24" s="29">
        <f t="shared" si="0"/>
        <v>1178.82</v>
      </c>
      <c r="X24" s="29">
        <f t="shared" si="10"/>
        <v>-1662.14</v>
      </c>
      <c r="Y24" s="29">
        <f t="shared" si="11"/>
        <v>-2840.96</v>
      </c>
      <c r="Z24" s="26"/>
      <c r="AA24" s="1"/>
      <c r="AB24" s="1"/>
      <c r="AC24" s="1"/>
      <c r="AD24" s="1"/>
      <c r="AE24" s="1"/>
      <c r="AF24" s="1"/>
      <c r="AG24" s="1"/>
      <c r="AH24" s="1"/>
      <c r="AI24" s="1"/>
    </row>
    <row r="25" ht="20" customHeight="1" spans="1:35">
      <c r="A25" s="26">
        <v>19</v>
      </c>
      <c r="B25" s="26" t="s">
        <v>86</v>
      </c>
      <c r="C25" s="26" t="s">
        <v>76</v>
      </c>
      <c r="D25" s="26" t="s">
        <v>87</v>
      </c>
      <c r="E25" s="26" t="s">
        <v>37</v>
      </c>
      <c r="F25" s="29">
        <v>17.53</v>
      </c>
      <c r="G25" s="29">
        <v>18.74</v>
      </c>
      <c r="H25" s="29">
        <f>11.3+7.01</f>
        <v>18.31</v>
      </c>
      <c r="I25" s="29"/>
      <c r="J25" s="29">
        <f t="shared" si="21"/>
        <v>1.21</v>
      </c>
      <c r="K25" s="29">
        <f t="shared" si="22"/>
        <v>0.78</v>
      </c>
      <c r="L25" s="29">
        <f t="shared" si="23"/>
        <v>-0.43</v>
      </c>
      <c r="M25" s="37">
        <f t="shared" si="24"/>
        <v>0.069</v>
      </c>
      <c r="N25" s="27">
        <v>591.21</v>
      </c>
      <c r="O25" s="27">
        <v>677</v>
      </c>
      <c r="P25" s="37">
        <f t="shared" si="25"/>
        <v>-0.1267</v>
      </c>
      <c r="Q25" s="29">
        <f t="shared" si="26"/>
        <v>521.13</v>
      </c>
      <c r="R25" s="29">
        <f t="shared" si="27"/>
        <v>778.55</v>
      </c>
      <c r="S25" s="29">
        <f t="shared" si="28"/>
        <v>591.21</v>
      </c>
      <c r="T25" s="29">
        <v>10362.08</v>
      </c>
      <c r="U25" s="29">
        <v>11081.76</v>
      </c>
      <c r="V25" s="29">
        <f t="shared" si="29"/>
        <v>10823.22</v>
      </c>
      <c r="W25" s="29">
        <f t="shared" si="0"/>
        <v>719.68</v>
      </c>
      <c r="X25" s="29">
        <f t="shared" si="10"/>
        <v>461.14</v>
      </c>
      <c r="Y25" s="29">
        <f t="shared" si="11"/>
        <v>-258.54</v>
      </c>
      <c r="Z25" s="26"/>
      <c r="AA25" s="1"/>
      <c r="AB25" s="1"/>
      <c r="AC25" s="1"/>
      <c r="AD25" s="1"/>
      <c r="AE25" s="1"/>
      <c r="AF25" s="1"/>
      <c r="AG25" s="1"/>
      <c r="AH25" s="1"/>
      <c r="AI25" s="1"/>
    </row>
    <row r="26" ht="20" customHeight="1" spans="1:35">
      <c r="A26" s="26">
        <v>20</v>
      </c>
      <c r="B26" s="26" t="s">
        <v>88</v>
      </c>
      <c r="C26" s="26" t="s">
        <v>89</v>
      </c>
      <c r="D26" s="26" t="s">
        <v>90</v>
      </c>
      <c r="E26" s="26" t="s">
        <v>32</v>
      </c>
      <c r="F26" s="29">
        <v>6.24</v>
      </c>
      <c r="G26" s="29">
        <v>10.57</v>
      </c>
      <c r="H26" s="29">
        <v>10.57</v>
      </c>
      <c r="I26" s="29"/>
      <c r="J26" s="29">
        <f t="shared" si="21"/>
        <v>4.33</v>
      </c>
      <c r="K26" s="29">
        <f t="shared" si="22"/>
        <v>4.33</v>
      </c>
      <c r="L26" s="29">
        <f t="shared" si="23"/>
        <v>0</v>
      </c>
      <c r="M26" s="37">
        <f t="shared" si="24"/>
        <v>0.6939</v>
      </c>
      <c r="N26" s="27">
        <v>159.23</v>
      </c>
      <c r="O26" s="27">
        <v>189.88</v>
      </c>
      <c r="P26" s="37">
        <f t="shared" si="25"/>
        <v>-0.1614</v>
      </c>
      <c r="Q26" s="29">
        <f t="shared" si="26"/>
        <v>146.16</v>
      </c>
      <c r="R26" s="29">
        <f t="shared" si="27"/>
        <v>218.36</v>
      </c>
      <c r="S26" s="29">
        <f t="shared" si="28"/>
        <v>159.23</v>
      </c>
      <c r="T26" s="29">
        <v>993.6</v>
      </c>
      <c r="U26" s="29">
        <v>1683.7</v>
      </c>
      <c r="V26" s="29">
        <f t="shared" si="29"/>
        <v>1683.07</v>
      </c>
      <c r="W26" s="29">
        <f t="shared" si="0"/>
        <v>690.1</v>
      </c>
      <c r="X26" s="29">
        <f t="shared" si="10"/>
        <v>689.47</v>
      </c>
      <c r="Y26" s="29">
        <f t="shared" si="11"/>
        <v>-0.63</v>
      </c>
      <c r="Z26" s="26"/>
      <c r="AA26" s="1"/>
      <c r="AB26" s="1"/>
      <c r="AC26" s="1"/>
      <c r="AD26" s="1"/>
      <c r="AE26" s="1"/>
      <c r="AF26" s="1"/>
      <c r="AG26" s="1"/>
      <c r="AH26" s="1"/>
      <c r="AI26" s="1"/>
    </row>
    <row r="27" ht="20" customHeight="1" spans="1:35">
      <c r="A27" s="26">
        <v>21</v>
      </c>
      <c r="B27" s="26" t="s">
        <v>91</v>
      </c>
      <c r="C27" s="26" t="s">
        <v>89</v>
      </c>
      <c r="D27" s="26" t="s">
        <v>92</v>
      </c>
      <c r="E27" s="26" t="s">
        <v>37</v>
      </c>
      <c r="F27" s="29">
        <v>4.66</v>
      </c>
      <c r="G27" s="29">
        <v>12.54</v>
      </c>
      <c r="H27" s="29">
        <f>7.75+4.79</f>
        <v>12.54</v>
      </c>
      <c r="I27" s="29"/>
      <c r="J27" s="29">
        <f t="shared" si="21"/>
        <v>7.88</v>
      </c>
      <c r="K27" s="29">
        <f t="shared" si="22"/>
        <v>7.88</v>
      </c>
      <c r="L27" s="29">
        <f t="shared" si="23"/>
        <v>0</v>
      </c>
      <c r="M27" s="37">
        <f t="shared" si="24"/>
        <v>1.691</v>
      </c>
      <c r="N27" s="27">
        <v>722.99</v>
      </c>
      <c r="O27" s="27">
        <v>864.65</v>
      </c>
      <c r="P27" s="37">
        <f t="shared" si="25"/>
        <v>-0.1638</v>
      </c>
      <c r="Q27" s="29">
        <f t="shared" si="26"/>
        <v>665.57</v>
      </c>
      <c r="R27" s="29">
        <f t="shared" si="27"/>
        <v>994.35</v>
      </c>
      <c r="S27" s="29">
        <f t="shared" si="28"/>
        <v>722.99</v>
      </c>
      <c r="T27" s="29">
        <v>3371.16</v>
      </c>
      <c r="U27" s="29">
        <v>9064.41</v>
      </c>
      <c r="V27" s="29">
        <v>9064.41</v>
      </c>
      <c r="W27" s="29">
        <f t="shared" si="0"/>
        <v>5693.25</v>
      </c>
      <c r="X27" s="29">
        <f t="shared" si="10"/>
        <v>5693.25</v>
      </c>
      <c r="Y27" s="29">
        <f t="shared" si="11"/>
        <v>0</v>
      </c>
      <c r="Z27" s="26"/>
      <c r="AA27" s="1"/>
      <c r="AB27" s="1"/>
      <c r="AC27" s="1"/>
      <c r="AD27" s="1"/>
      <c r="AE27" s="1"/>
      <c r="AF27" s="1"/>
      <c r="AG27" s="1"/>
      <c r="AH27" s="1"/>
      <c r="AI27" s="1"/>
    </row>
    <row r="28" ht="20" customHeight="1" spans="1:35">
      <c r="A28" s="26"/>
      <c r="B28" s="26"/>
      <c r="C28" s="26" t="s">
        <v>93</v>
      </c>
      <c r="D28" s="26"/>
      <c r="E28" s="26"/>
      <c r="F28" s="29"/>
      <c r="G28" s="29"/>
      <c r="H28" s="29"/>
      <c r="I28" s="29"/>
      <c r="J28" s="29"/>
      <c r="K28" s="29"/>
      <c r="L28" s="29"/>
      <c r="M28" s="37"/>
      <c r="N28" s="27"/>
      <c r="O28" s="27"/>
      <c r="P28" s="37"/>
      <c r="Q28" s="29"/>
      <c r="R28" s="29"/>
      <c r="S28" s="29"/>
      <c r="T28" s="29">
        <v>4004682.77</v>
      </c>
      <c r="U28" s="29">
        <v>3988491.76</v>
      </c>
      <c r="V28" s="29">
        <f>+SUM(V29:V54)</f>
        <v>3904349.88</v>
      </c>
      <c r="W28" s="29">
        <f t="shared" si="0"/>
        <v>-16191.01</v>
      </c>
      <c r="X28" s="29">
        <f t="shared" si="10"/>
        <v>-100332.89</v>
      </c>
      <c r="Y28" s="29">
        <f t="shared" si="11"/>
        <v>-84141.88</v>
      </c>
      <c r="Z28" s="26"/>
      <c r="AA28" s="42"/>
      <c r="AB28" s="1"/>
      <c r="AC28" s="1"/>
      <c r="AD28" s="1"/>
      <c r="AE28" s="1"/>
      <c r="AF28" s="1"/>
      <c r="AG28" s="1"/>
      <c r="AH28" s="1"/>
      <c r="AI28" s="1"/>
    </row>
    <row r="29" ht="20" customHeight="1" spans="1:35">
      <c r="A29" s="26">
        <v>22</v>
      </c>
      <c r="B29" s="26" t="s">
        <v>94</v>
      </c>
      <c r="C29" s="26" t="s">
        <v>95</v>
      </c>
      <c r="D29" s="26" t="s">
        <v>96</v>
      </c>
      <c r="E29" s="26" t="s">
        <v>37</v>
      </c>
      <c r="F29" s="29">
        <v>295.51</v>
      </c>
      <c r="G29" s="29">
        <v>261.34</v>
      </c>
      <c r="H29" s="29">
        <f>237.87+10.87</f>
        <v>248.74</v>
      </c>
      <c r="I29" s="29"/>
      <c r="J29" s="29">
        <f t="shared" ref="J29:J54" si="30">G29-F29</f>
        <v>-34.17</v>
      </c>
      <c r="K29" s="29">
        <f t="shared" ref="K29:K54" si="31">H29-F29</f>
        <v>-46.77</v>
      </c>
      <c r="L29" s="29">
        <f t="shared" ref="L29:L54" si="32">H29-G29</f>
        <v>-12.6</v>
      </c>
      <c r="M29" s="37">
        <f t="shared" ref="M29:M54" si="33">J29/F29</f>
        <v>-0.1156</v>
      </c>
      <c r="N29" s="27">
        <v>626.18</v>
      </c>
      <c r="O29" s="27">
        <v>830</v>
      </c>
      <c r="P29" s="37">
        <f t="shared" ref="P29:P54" si="34">(N29-O29)/O29</f>
        <v>-0.2456</v>
      </c>
      <c r="Q29" s="29">
        <f t="shared" ref="Q29:Q54" si="35">O29*0.9056*0.85</f>
        <v>638.9</v>
      </c>
      <c r="R29" s="29">
        <f t="shared" ref="R29:R54" si="36">O29*1.15</f>
        <v>954.5</v>
      </c>
      <c r="S29" s="29">
        <f t="shared" ref="S29:S54" si="37">IF(N29&lt;O29*0.9056*0.85,O29*0.9056*0.85,IF(N29&gt;O29*1.15,O29*1.15,N29))</f>
        <v>638.9</v>
      </c>
      <c r="T29" s="29">
        <v>185040.01</v>
      </c>
      <c r="U29" s="29">
        <v>163210.83</v>
      </c>
      <c r="V29" s="29">
        <f t="shared" ref="V29:V48" si="38">T29+S29*K29</f>
        <v>155158.66</v>
      </c>
      <c r="W29" s="29">
        <f t="shared" si="0"/>
        <v>-21829.18</v>
      </c>
      <c r="X29" s="29">
        <f t="shared" si="10"/>
        <v>-29881.35</v>
      </c>
      <c r="Y29" s="29">
        <f t="shared" si="11"/>
        <v>-8052.17</v>
      </c>
      <c r="Z29" s="26"/>
      <c r="AA29" s="42" t="s">
        <v>97</v>
      </c>
      <c r="AB29" s="1"/>
      <c r="AC29" s="1"/>
      <c r="AD29" s="1"/>
      <c r="AE29" s="1"/>
      <c r="AF29" s="1"/>
      <c r="AG29" s="1"/>
      <c r="AH29" s="1"/>
      <c r="AI29" s="1"/>
    </row>
    <row r="30" s="7" customFormat="1" ht="20" customHeight="1" spans="1:35">
      <c r="A30" s="26">
        <v>23</v>
      </c>
      <c r="B30" s="26" t="s">
        <v>98</v>
      </c>
      <c r="C30" s="26" t="s">
        <v>99</v>
      </c>
      <c r="D30" s="26" t="s">
        <v>100</v>
      </c>
      <c r="E30" s="26" t="s">
        <v>37</v>
      </c>
      <c r="F30" s="29">
        <v>181.51</v>
      </c>
      <c r="G30" s="29">
        <v>233.54</v>
      </c>
      <c r="H30" s="29">
        <f>53.3+176.3</f>
        <v>229.6</v>
      </c>
      <c r="I30" s="29"/>
      <c r="J30" s="29">
        <f t="shared" si="30"/>
        <v>52.03</v>
      </c>
      <c r="K30" s="29">
        <f t="shared" si="31"/>
        <v>48.09</v>
      </c>
      <c r="L30" s="29">
        <f t="shared" si="32"/>
        <v>-3.94</v>
      </c>
      <c r="M30" s="37">
        <f t="shared" si="33"/>
        <v>0.2867</v>
      </c>
      <c r="N30" s="27">
        <v>687.16</v>
      </c>
      <c r="O30" s="27">
        <v>871.16</v>
      </c>
      <c r="P30" s="37">
        <f t="shared" si="34"/>
        <v>-0.2112</v>
      </c>
      <c r="Q30" s="29">
        <f t="shared" si="35"/>
        <v>670.58</v>
      </c>
      <c r="R30" s="29">
        <f t="shared" si="36"/>
        <v>1001.83</v>
      </c>
      <c r="S30" s="29">
        <f t="shared" si="37"/>
        <v>687.16</v>
      </c>
      <c r="T30" s="29">
        <v>124725.04</v>
      </c>
      <c r="U30" s="29">
        <v>160477.65</v>
      </c>
      <c r="V30" s="29">
        <f t="shared" si="38"/>
        <v>157770.56</v>
      </c>
      <c r="W30" s="29">
        <f t="shared" si="0"/>
        <v>35752.61</v>
      </c>
      <c r="X30" s="29">
        <f t="shared" si="10"/>
        <v>33045.52</v>
      </c>
      <c r="Y30" s="29">
        <f t="shared" si="11"/>
        <v>-2707.09</v>
      </c>
      <c r="Z30" s="26"/>
      <c r="AA30" s="1"/>
      <c r="AB30" s="1"/>
      <c r="AC30" s="1"/>
      <c r="AD30" s="1"/>
      <c r="AE30" s="1"/>
      <c r="AF30" s="1"/>
      <c r="AG30" s="1"/>
      <c r="AH30" s="1"/>
      <c r="AI30" s="1"/>
    </row>
    <row r="31" ht="20" customHeight="1" spans="1:35">
      <c r="A31" s="26">
        <v>24</v>
      </c>
      <c r="B31" s="26" t="s">
        <v>101</v>
      </c>
      <c r="C31" s="26" t="s">
        <v>102</v>
      </c>
      <c r="D31" s="26" t="s">
        <v>103</v>
      </c>
      <c r="E31" s="26" t="s">
        <v>37</v>
      </c>
      <c r="F31" s="29">
        <v>113.08</v>
      </c>
      <c r="G31" s="29">
        <v>114.47</v>
      </c>
      <c r="H31" s="29">
        <v>110.3</v>
      </c>
      <c r="I31" s="29"/>
      <c r="J31" s="29">
        <f t="shared" si="30"/>
        <v>1.39</v>
      </c>
      <c r="K31" s="29">
        <f t="shared" si="31"/>
        <v>-2.78</v>
      </c>
      <c r="L31" s="29">
        <f t="shared" si="32"/>
        <v>-4.17</v>
      </c>
      <c r="M31" s="37">
        <f t="shared" si="33"/>
        <v>0.0123</v>
      </c>
      <c r="N31" s="27">
        <v>679.67</v>
      </c>
      <c r="O31" s="27">
        <v>863.84</v>
      </c>
      <c r="P31" s="37">
        <f t="shared" si="34"/>
        <v>-0.2132</v>
      </c>
      <c r="Q31" s="29">
        <f t="shared" si="35"/>
        <v>664.95</v>
      </c>
      <c r="R31" s="29">
        <f t="shared" si="36"/>
        <v>993.42</v>
      </c>
      <c r="S31" s="29">
        <f t="shared" si="37"/>
        <v>679.67</v>
      </c>
      <c r="T31" s="29">
        <v>76855.86</v>
      </c>
      <c r="U31" s="29">
        <v>77801.22</v>
      </c>
      <c r="V31" s="29">
        <f t="shared" si="38"/>
        <v>74966.38</v>
      </c>
      <c r="W31" s="29">
        <f t="shared" si="0"/>
        <v>945.36</v>
      </c>
      <c r="X31" s="29">
        <f t="shared" si="10"/>
        <v>-1889.48</v>
      </c>
      <c r="Y31" s="29">
        <f t="shared" si="11"/>
        <v>-2834.84</v>
      </c>
      <c r="Z31" s="26"/>
      <c r="AA31" s="1"/>
      <c r="AB31" s="1"/>
      <c r="AC31" s="1"/>
      <c r="AD31" s="1"/>
      <c r="AE31" s="1"/>
      <c r="AF31" s="1"/>
      <c r="AG31" s="1"/>
      <c r="AH31" s="1"/>
      <c r="AI31" s="1"/>
    </row>
    <row r="32" ht="20" customHeight="1" spans="1:35">
      <c r="A32" s="26">
        <v>25</v>
      </c>
      <c r="B32" s="26" t="s">
        <v>104</v>
      </c>
      <c r="C32" s="26" t="s">
        <v>105</v>
      </c>
      <c r="D32" s="26" t="s">
        <v>106</v>
      </c>
      <c r="E32" s="26" t="s">
        <v>37</v>
      </c>
      <c r="F32" s="29">
        <v>411.63</v>
      </c>
      <c r="G32" s="29">
        <v>360.95</v>
      </c>
      <c r="H32" s="29">
        <f>340.67+3.09</f>
        <v>343.76</v>
      </c>
      <c r="I32" s="29"/>
      <c r="J32" s="29">
        <f t="shared" si="30"/>
        <v>-50.68</v>
      </c>
      <c r="K32" s="29">
        <f t="shared" si="31"/>
        <v>-67.87</v>
      </c>
      <c r="L32" s="29">
        <f t="shared" si="32"/>
        <v>-17.19</v>
      </c>
      <c r="M32" s="37">
        <f t="shared" si="33"/>
        <v>-0.1231</v>
      </c>
      <c r="N32" s="27">
        <v>686.38</v>
      </c>
      <c r="O32" s="27">
        <v>871.16</v>
      </c>
      <c r="P32" s="37">
        <f t="shared" si="34"/>
        <v>-0.2121</v>
      </c>
      <c r="Q32" s="29">
        <f t="shared" si="35"/>
        <v>670.58</v>
      </c>
      <c r="R32" s="29">
        <f t="shared" si="36"/>
        <v>1001.83</v>
      </c>
      <c r="S32" s="29">
        <f t="shared" si="37"/>
        <v>686.38</v>
      </c>
      <c r="T32" s="29">
        <v>282533.23</v>
      </c>
      <c r="U32" s="29">
        <v>247750.59</v>
      </c>
      <c r="V32" s="29">
        <f t="shared" si="38"/>
        <v>235948.62</v>
      </c>
      <c r="W32" s="29">
        <f t="shared" si="0"/>
        <v>-34782.64</v>
      </c>
      <c r="X32" s="29">
        <f t="shared" si="10"/>
        <v>-46584.61</v>
      </c>
      <c r="Y32" s="29">
        <f t="shared" si="11"/>
        <v>-11801.97</v>
      </c>
      <c r="Z32" s="26"/>
      <c r="AA32" s="42" t="s">
        <v>107</v>
      </c>
      <c r="AB32" s="1"/>
      <c r="AC32" s="1"/>
      <c r="AD32" s="1"/>
      <c r="AE32" s="1"/>
      <c r="AF32" s="1"/>
      <c r="AG32" s="1"/>
      <c r="AH32" s="1"/>
      <c r="AI32" s="1"/>
    </row>
    <row r="33" ht="20" customHeight="1" spans="1:35">
      <c r="A33" s="26">
        <v>26</v>
      </c>
      <c r="B33" s="26" t="s">
        <v>108</v>
      </c>
      <c r="C33" s="26" t="s">
        <v>109</v>
      </c>
      <c r="D33" s="26" t="s">
        <v>110</v>
      </c>
      <c r="E33" s="26" t="s">
        <v>37</v>
      </c>
      <c r="F33" s="29">
        <v>374.97</v>
      </c>
      <c r="G33" s="29">
        <v>389.37</v>
      </c>
      <c r="H33" s="29">
        <f>340.09+30.12+0.61+14.7</f>
        <v>385.52</v>
      </c>
      <c r="I33" s="29"/>
      <c r="J33" s="29">
        <f t="shared" si="30"/>
        <v>14.4</v>
      </c>
      <c r="K33" s="29">
        <f t="shared" si="31"/>
        <v>10.55</v>
      </c>
      <c r="L33" s="29">
        <f t="shared" si="32"/>
        <v>-3.85</v>
      </c>
      <c r="M33" s="37">
        <f t="shared" si="33"/>
        <v>0.0384</v>
      </c>
      <c r="N33" s="27">
        <v>767.69</v>
      </c>
      <c r="O33" s="27">
        <v>959.74</v>
      </c>
      <c r="P33" s="37">
        <f t="shared" si="34"/>
        <v>-0.2001</v>
      </c>
      <c r="Q33" s="29">
        <f t="shared" si="35"/>
        <v>738.77</v>
      </c>
      <c r="R33" s="29">
        <f t="shared" si="36"/>
        <v>1103.7</v>
      </c>
      <c r="S33" s="29">
        <f t="shared" si="37"/>
        <v>767.69</v>
      </c>
      <c r="T33" s="29">
        <v>287859.49</v>
      </c>
      <c r="U33" s="29">
        <v>298913.06</v>
      </c>
      <c r="V33" s="29">
        <f t="shared" si="38"/>
        <v>295958.62</v>
      </c>
      <c r="W33" s="29">
        <f t="shared" si="0"/>
        <v>11053.57</v>
      </c>
      <c r="X33" s="29">
        <f t="shared" si="10"/>
        <v>8099.13</v>
      </c>
      <c r="Y33" s="29">
        <f t="shared" si="11"/>
        <v>-2954.44</v>
      </c>
      <c r="Z33" s="26"/>
      <c r="AA33" s="1"/>
      <c r="AB33" s="1"/>
      <c r="AC33" s="1"/>
      <c r="AD33" s="1"/>
      <c r="AE33" s="1"/>
      <c r="AF33" s="1"/>
      <c r="AG33" s="1"/>
      <c r="AH33" s="1"/>
      <c r="AI33" s="1"/>
    </row>
    <row r="34" ht="20" customHeight="1" spans="1:35">
      <c r="A34" s="26">
        <v>27</v>
      </c>
      <c r="B34" s="26" t="s">
        <v>111</v>
      </c>
      <c r="C34" s="26" t="s">
        <v>112</v>
      </c>
      <c r="D34" s="26" t="s">
        <v>113</v>
      </c>
      <c r="E34" s="26" t="s">
        <v>37</v>
      </c>
      <c r="F34" s="29">
        <v>59.54</v>
      </c>
      <c r="G34" s="29">
        <v>65.14</v>
      </c>
      <c r="H34" s="29">
        <v>65.14</v>
      </c>
      <c r="I34" s="29"/>
      <c r="J34" s="29">
        <f t="shared" si="30"/>
        <v>5.6</v>
      </c>
      <c r="K34" s="29">
        <f t="shared" si="31"/>
        <v>5.6</v>
      </c>
      <c r="L34" s="29">
        <f t="shared" si="32"/>
        <v>0</v>
      </c>
      <c r="M34" s="37">
        <f t="shared" si="33"/>
        <v>0.0941</v>
      </c>
      <c r="N34" s="27">
        <v>820.94</v>
      </c>
      <c r="O34" s="27">
        <v>1006.12</v>
      </c>
      <c r="P34" s="37">
        <f t="shared" si="34"/>
        <v>-0.1841</v>
      </c>
      <c r="Q34" s="29">
        <f t="shared" si="35"/>
        <v>774.47</v>
      </c>
      <c r="R34" s="29">
        <f t="shared" si="36"/>
        <v>1157.04</v>
      </c>
      <c r="S34" s="29">
        <f t="shared" si="37"/>
        <v>820.94</v>
      </c>
      <c r="T34" s="29">
        <v>48878.52</v>
      </c>
      <c r="U34" s="29">
        <v>53476.03</v>
      </c>
      <c r="V34" s="29">
        <f t="shared" si="38"/>
        <v>53475.78</v>
      </c>
      <c r="W34" s="29">
        <f t="shared" si="0"/>
        <v>4597.51</v>
      </c>
      <c r="X34" s="29">
        <f t="shared" si="10"/>
        <v>4597.26</v>
      </c>
      <c r="Y34" s="29">
        <f t="shared" si="11"/>
        <v>-0.25</v>
      </c>
      <c r="Z34" s="26"/>
      <c r="AA34" s="1"/>
      <c r="AB34" s="1"/>
      <c r="AC34" s="1"/>
      <c r="AD34" s="1"/>
      <c r="AE34" s="1"/>
      <c r="AF34" s="1"/>
      <c r="AG34" s="1"/>
      <c r="AH34" s="1"/>
      <c r="AI34" s="1"/>
    </row>
    <row r="35" ht="20" customHeight="1" spans="1:35">
      <c r="A35" s="26">
        <v>28</v>
      </c>
      <c r="B35" s="26" t="s">
        <v>114</v>
      </c>
      <c r="C35" s="26" t="s">
        <v>115</v>
      </c>
      <c r="D35" s="26" t="s">
        <v>116</v>
      </c>
      <c r="E35" s="26" t="s">
        <v>37</v>
      </c>
      <c r="F35" s="29">
        <v>1100.15</v>
      </c>
      <c r="G35" s="29">
        <v>1139.02</v>
      </c>
      <c r="H35" s="29">
        <f>549.51+211.22+325.1</f>
        <v>1085.83</v>
      </c>
      <c r="I35" s="29"/>
      <c r="J35" s="29">
        <f t="shared" si="30"/>
        <v>38.87</v>
      </c>
      <c r="K35" s="29">
        <f t="shared" si="31"/>
        <v>-14.32</v>
      </c>
      <c r="L35" s="29">
        <f t="shared" si="32"/>
        <v>-53.19</v>
      </c>
      <c r="M35" s="37">
        <f t="shared" si="33"/>
        <v>0.0353</v>
      </c>
      <c r="N35" s="27">
        <v>674.8</v>
      </c>
      <c r="O35" s="27">
        <v>855.35</v>
      </c>
      <c r="P35" s="37">
        <f t="shared" si="34"/>
        <v>-0.2111</v>
      </c>
      <c r="Q35" s="29">
        <f t="shared" si="35"/>
        <v>658.41</v>
      </c>
      <c r="R35" s="29">
        <f t="shared" si="36"/>
        <v>983.65</v>
      </c>
      <c r="S35" s="29">
        <f t="shared" si="37"/>
        <v>674.8</v>
      </c>
      <c r="T35" s="29">
        <v>742380.21</v>
      </c>
      <c r="U35" s="29">
        <v>768609.1</v>
      </c>
      <c r="V35" s="29">
        <f t="shared" si="38"/>
        <v>732717.07</v>
      </c>
      <c r="W35" s="29">
        <f t="shared" si="0"/>
        <v>26228.89</v>
      </c>
      <c r="X35" s="29">
        <f t="shared" si="10"/>
        <v>-9663.14</v>
      </c>
      <c r="Y35" s="29">
        <f t="shared" si="11"/>
        <v>-35892.03</v>
      </c>
      <c r="Z35" s="26"/>
      <c r="AA35" s="1"/>
      <c r="AB35" s="1"/>
      <c r="AC35" s="1"/>
      <c r="AD35" s="1"/>
      <c r="AE35" s="1"/>
      <c r="AF35" s="1"/>
      <c r="AG35" s="1"/>
      <c r="AH35" s="1"/>
      <c r="AI35" s="1"/>
    </row>
    <row r="36" ht="20" customHeight="1" spans="1:35">
      <c r="A36" s="26">
        <v>29</v>
      </c>
      <c r="B36" s="26" t="s">
        <v>117</v>
      </c>
      <c r="C36" s="26" t="s">
        <v>118</v>
      </c>
      <c r="D36" s="26" t="s">
        <v>116</v>
      </c>
      <c r="E36" s="26" t="s">
        <v>37</v>
      </c>
      <c r="F36" s="29">
        <v>36.14</v>
      </c>
      <c r="G36" s="29">
        <v>27.25</v>
      </c>
      <c r="H36" s="29">
        <f>2.75+23.2</f>
        <v>25.95</v>
      </c>
      <c r="I36" s="29"/>
      <c r="J36" s="29">
        <f t="shared" si="30"/>
        <v>-8.89</v>
      </c>
      <c r="K36" s="29">
        <f t="shared" si="31"/>
        <v>-10.19</v>
      </c>
      <c r="L36" s="29">
        <f t="shared" si="32"/>
        <v>-1.3</v>
      </c>
      <c r="M36" s="37">
        <f t="shared" si="33"/>
        <v>-0.246</v>
      </c>
      <c r="N36" s="27">
        <v>674.8</v>
      </c>
      <c r="O36" s="27">
        <v>869.35</v>
      </c>
      <c r="P36" s="37">
        <f t="shared" si="34"/>
        <v>-0.2238</v>
      </c>
      <c r="Q36" s="29">
        <f t="shared" si="35"/>
        <v>669.19</v>
      </c>
      <c r="R36" s="29">
        <f t="shared" si="36"/>
        <v>999.75</v>
      </c>
      <c r="S36" s="29">
        <f t="shared" si="37"/>
        <v>674.8</v>
      </c>
      <c r="T36" s="29">
        <v>24386.26</v>
      </c>
      <c r="U36" s="29">
        <v>18387.39</v>
      </c>
      <c r="V36" s="29">
        <f t="shared" si="38"/>
        <v>17510.05</v>
      </c>
      <c r="W36" s="29">
        <f t="shared" si="0"/>
        <v>-5998.87</v>
      </c>
      <c r="X36" s="29">
        <f t="shared" si="10"/>
        <v>-6876.21</v>
      </c>
      <c r="Y36" s="29">
        <f t="shared" si="11"/>
        <v>-877.34</v>
      </c>
      <c r="Z36" s="26"/>
      <c r="AA36" s="1"/>
      <c r="AB36" s="1"/>
      <c r="AC36" s="1"/>
      <c r="AD36" s="1"/>
      <c r="AE36" s="1"/>
      <c r="AF36" s="1"/>
      <c r="AG36" s="1"/>
      <c r="AH36" s="1"/>
      <c r="AI36" s="1"/>
    </row>
    <row r="37" ht="20" customHeight="1" spans="1:35">
      <c r="A37" s="26">
        <v>30</v>
      </c>
      <c r="B37" s="26" t="s">
        <v>119</v>
      </c>
      <c r="C37" s="26" t="s">
        <v>120</v>
      </c>
      <c r="D37" s="26" t="s">
        <v>121</v>
      </c>
      <c r="E37" s="26" t="s">
        <v>37</v>
      </c>
      <c r="F37" s="29">
        <v>49.41</v>
      </c>
      <c r="G37" s="29">
        <v>22.39</v>
      </c>
      <c r="H37" s="29">
        <f>21.29</f>
        <v>21.29</v>
      </c>
      <c r="I37" s="29"/>
      <c r="J37" s="29">
        <f t="shared" si="30"/>
        <v>-27.02</v>
      </c>
      <c r="K37" s="29">
        <f t="shared" si="31"/>
        <v>-28.12</v>
      </c>
      <c r="L37" s="29">
        <f t="shared" si="32"/>
        <v>-1.1</v>
      </c>
      <c r="M37" s="37">
        <f t="shared" si="33"/>
        <v>-0.5469</v>
      </c>
      <c r="N37" s="27">
        <v>699.01</v>
      </c>
      <c r="O37" s="27">
        <v>882.44</v>
      </c>
      <c r="P37" s="37">
        <f t="shared" si="34"/>
        <v>-0.2079</v>
      </c>
      <c r="Q37" s="29">
        <f t="shared" si="35"/>
        <v>679.27</v>
      </c>
      <c r="R37" s="29">
        <f t="shared" si="36"/>
        <v>1014.81</v>
      </c>
      <c r="S37" s="29">
        <f t="shared" si="37"/>
        <v>699.01</v>
      </c>
      <c r="T37" s="29">
        <v>34535.99</v>
      </c>
      <c r="U37" s="29">
        <v>15647.96</v>
      </c>
      <c r="V37" s="29">
        <f t="shared" si="38"/>
        <v>14879.83</v>
      </c>
      <c r="W37" s="29">
        <f t="shared" si="0"/>
        <v>-18888.03</v>
      </c>
      <c r="X37" s="29">
        <f t="shared" si="10"/>
        <v>-19656.16</v>
      </c>
      <c r="Y37" s="29">
        <f t="shared" si="11"/>
        <v>-768.13</v>
      </c>
      <c r="Z37" s="26"/>
      <c r="AA37" s="1"/>
      <c r="AB37" s="1"/>
      <c r="AC37" s="1"/>
      <c r="AD37" s="1"/>
      <c r="AE37" s="1"/>
      <c r="AF37" s="1"/>
      <c r="AG37" s="1"/>
      <c r="AH37" s="1"/>
      <c r="AI37" s="1"/>
    </row>
    <row r="38" ht="20" customHeight="1" spans="1:35">
      <c r="A38" s="26">
        <v>31</v>
      </c>
      <c r="B38" s="26" t="s">
        <v>122</v>
      </c>
      <c r="C38" s="26" t="s">
        <v>123</v>
      </c>
      <c r="D38" s="26" t="s">
        <v>124</v>
      </c>
      <c r="E38" s="26" t="s">
        <v>37</v>
      </c>
      <c r="F38" s="29">
        <v>145.46</v>
      </c>
      <c r="G38" s="29">
        <v>111.17</v>
      </c>
      <c r="H38" s="29">
        <v>107.54</v>
      </c>
      <c r="I38" s="29"/>
      <c r="J38" s="29">
        <f t="shared" si="30"/>
        <v>-34.29</v>
      </c>
      <c r="K38" s="29">
        <f t="shared" si="31"/>
        <v>-37.92</v>
      </c>
      <c r="L38" s="29">
        <f t="shared" si="32"/>
        <v>-3.63</v>
      </c>
      <c r="M38" s="37">
        <f t="shared" si="33"/>
        <v>-0.2357</v>
      </c>
      <c r="N38" s="27">
        <v>726.66</v>
      </c>
      <c r="O38" s="27">
        <v>913.95</v>
      </c>
      <c r="P38" s="37">
        <f t="shared" si="34"/>
        <v>-0.2049</v>
      </c>
      <c r="Q38" s="29">
        <f t="shared" si="35"/>
        <v>703.52</v>
      </c>
      <c r="R38" s="29">
        <f t="shared" si="36"/>
        <v>1051.04</v>
      </c>
      <c r="S38" s="29">
        <f t="shared" si="37"/>
        <v>726.66</v>
      </c>
      <c r="T38" s="29">
        <v>105702.36</v>
      </c>
      <c r="U38" s="29">
        <v>80781.2</v>
      </c>
      <c r="V38" s="29">
        <f t="shared" si="38"/>
        <v>78147.41</v>
      </c>
      <c r="W38" s="29">
        <f t="shared" si="0"/>
        <v>-24921.16</v>
      </c>
      <c r="X38" s="29">
        <f t="shared" si="10"/>
        <v>-27554.95</v>
      </c>
      <c r="Y38" s="29">
        <f t="shared" si="11"/>
        <v>-2633.79</v>
      </c>
      <c r="Z38" s="26"/>
      <c r="AA38" s="1"/>
      <c r="AB38" s="1"/>
      <c r="AC38" s="1"/>
      <c r="AD38" s="1"/>
      <c r="AE38" s="1"/>
      <c r="AF38" s="1"/>
      <c r="AG38" s="1"/>
      <c r="AH38" s="1"/>
      <c r="AI38" s="1"/>
    </row>
    <row r="39" ht="20" customHeight="1" spans="1:35">
      <c r="A39" s="26">
        <v>32</v>
      </c>
      <c r="B39" s="26" t="s">
        <v>125</v>
      </c>
      <c r="C39" s="26" t="s">
        <v>126</v>
      </c>
      <c r="D39" s="26" t="s">
        <v>127</v>
      </c>
      <c r="E39" s="26" t="s">
        <v>37</v>
      </c>
      <c r="F39" s="29">
        <v>3.49</v>
      </c>
      <c r="G39" s="29">
        <v>12.68</v>
      </c>
      <c r="H39" s="29">
        <f>4.33+6.24+1.51</f>
        <v>12.08</v>
      </c>
      <c r="I39" s="29"/>
      <c r="J39" s="29">
        <f t="shared" si="30"/>
        <v>9.19</v>
      </c>
      <c r="K39" s="29">
        <f t="shared" si="31"/>
        <v>8.59</v>
      </c>
      <c r="L39" s="29">
        <f t="shared" si="32"/>
        <v>-0.6</v>
      </c>
      <c r="M39" s="37">
        <f t="shared" si="33"/>
        <v>2.6332</v>
      </c>
      <c r="N39" s="27">
        <v>838.64</v>
      </c>
      <c r="O39" s="27">
        <v>1035.77</v>
      </c>
      <c r="P39" s="37">
        <f t="shared" si="34"/>
        <v>-0.1903</v>
      </c>
      <c r="Q39" s="29">
        <f t="shared" si="35"/>
        <v>797.29</v>
      </c>
      <c r="R39" s="29">
        <f t="shared" si="36"/>
        <v>1191.14</v>
      </c>
      <c r="S39" s="29">
        <f t="shared" si="37"/>
        <v>838.64</v>
      </c>
      <c r="T39" s="29">
        <v>2923</v>
      </c>
      <c r="U39" s="29">
        <v>10630.79</v>
      </c>
      <c r="V39" s="29">
        <f t="shared" si="38"/>
        <v>10126.92</v>
      </c>
      <c r="W39" s="29">
        <f t="shared" si="0"/>
        <v>7707.79</v>
      </c>
      <c r="X39" s="29">
        <f t="shared" si="10"/>
        <v>7203.92</v>
      </c>
      <c r="Y39" s="29">
        <f t="shared" si="11"/>
        <v>-503.87</v>
      </c>
      <c r="Z39" s="26"/>
      <c r="AA39" s="42" t="s">
        <v>128</v>
      </c>
      <c r="AB39" s="1"/>
      <c r="AC39" s="1"/>
      <c r="AD39" s="1"/>
      <c r="AE39" s="1"/>
      <c r="AF39" s="1"/>
      <c r="AG39" s="1"/>
      <c r="AH39" s="1"/>
      <c r="AI39" s="1"/>
    </row>
    <row r="40" ht="20" customHeight="1" spans="1:35">
      <c r="A40" s="26">
        <v>33</v>
      </c>
      <c r="B40" s="26" t="s">
        <v>129</v>
      </c>
      <c r="C40" s="26" t="s">
        <v>130</v>
      </c>
      <c r="D40" s="26" t="s">
        <v>131</v>
      </c>
      <c r="E40" s="26" t="s">
        <v>37</v>
      </c>
      <c r="F40" s="29">
        <v>116.23</v>
      </c>
      <c r="G40" s="29">
        <v>71.21</v>
      </c>
      <c r="H40" s="29">
        <v>69.74</v>
      </c>
      <c r="I40" s="29"/>
      <c r="J40" s="29">
        <f t="shared" si="30"/>
        <v>-45.02</v>
      </c>
      <c r="K40" s="29">
        <f t="shared" si="31"/>
        <v>-46.49</v>
      </c>
      <c r="L40" s="29">
        <f t="shared" si="32"/>
        <v>-1.47</v>
      </c>
      <c r="M40" s="37">
        <f t="shared" si="33"/>
        <v>-0.3873</v>
      </c>
      <c r="N40" s="27">
        <v>994.44</v>
      </c>
      <c r="O40" s="27">
        <v>1058.32</v>
      </c>
      <c r="P40" s="37">
        <f t="shared" si="34"/>
        <v>-0.0604</v>
      </c>
      <c r="Q40" s="29">
        <f t="shared" si="35"/>
        <v>814.65</v>
      </c>
      <c r="R40" s="29">
        <f t="shared" si="36"/>
        <v>1217.07</v>
      </c>
      <c r="S40" s="29">
        <f t="shared" si="37"/>
        <v>994.44</v>
      </c>
      <c r="T40" s="29">
        <v>115587.84</v>
      </c>
      <c r="U40" s="29">
        <v>70817.89</v>
      </c>
      <c r="V40" s="29">
        <f t="shared" si="38"/>
        <v>69356.32</v>
      </c>
      <c r="W40" s="29">
        <f t="shared" si="0"/>
        <v>-44769.95</v>
      </c>
      <c r="X40" s="29">
        <f t="shared" si="10"/>
        <v>-46231.52</v>
      </c>
      <c r="Y40" s="29">
        <f t="shared" si="11"/>
        <v>-1461.57</v>
      </c>
      <c r="Z40" s="26"/>
      <c r="AA40" s="1"/>
      <c r="AB40" s="1"/>
      <c r="AC40" s="1"/>
      <c r="AD40" s="1"/>
      <c r="AE40" s="1"/>
      <c r="AF40" s="1"/>
      <c r="AG40" s="1"/>
      <c r="AH40" s="1"/>
      <c r="AI40" s="1"/>
    </row>
    <row r="41" ht="20" customHeight="1" spans="1:35">
      <c r="A41" s="26">
        <v>34</v>
      </c>
      <c r="B41" s="26" t="s">
        <v>132</v>
      </c>
      <c r="C41" s="26" t="s">
        <v>133</v>
      </c>
      <c r="D41" s="26" t="s">
        <v>134</v>
      </c>
      <c r="E41" s="26" t="s">
        <v>37</v>
      </c>
      <c r="F41" s="29">
        <v>4.76</v>
      </c>
      <c r="G41" s="29">
        <v>15.08</v>
      </c>
      <c r="H41" s="29">
        <f>8.31+4.06+2.68</f>
        <v>15.05</v>
      </c>
      <c r="I41" s="29"/>
      <c r="J41" s="29">
        <f t="shared" si="30"/>
        <v>10.32</v>
      </c>
      <c r="K41" s="29">
        <f t="shared" si="31"/>
        <v>10.29</v>
      </c>
      <c r="L41" s="29">
        <f t="shared" si="32"/>
        <v>-0.03</v>
      </c>
      <c r="M41" s="37">
        <f t="shared" si="33"/>
        <v>2.1681</v>
      </c>
      <c r="N41" s="27">
        <v>766.65</v>
      </c>
      <c r="O41" s="27">
        <v>957.91</v>
      </c>
      <c r="P41" s="37">
        <f t="shared" si="34"/>
        <v>-0.1997</v>
      </c>
      <c r="Q41" s="29">
        <f t="shared" si="35"/>
        <v>737.36</v>
      </c>
      <c r="R41" s="29">
        <f t="shared" si="36"/>
        <v>1101.6</v>
      </c>
      <c r="S41" s="29">
        <f t="shared" si="37"/>
        <v>766.65</v>
      </c>
      <c r="T41" s="29">
        <v>3650.17</v>
      </c>
      <c r="U41" s="29">
        <v>11559.47</v>
      </c>
      <c r="V41" s="29">
        <f t="shared" si="38"/>
        <v>11539</v>
      </c>
      <c r="W41" s="29">
        <f t="shared" si="0"/>
        <v>7909.3</v>
      </c>
      <c r="X41" s="29">
        <f t="shared" si="10"/>
        <v>7888.83</v>
      </c>
      <c r="Y41" s="29">
        <f t="shared" si="11"/>
        <v>-20.47</v>
      </c>
      <c r="Z41" s="26"/>
      <c r="AA41" s="1"/>
      <c r="AB41" s="1"/>
      <c r="AC41" s="1"/>
      <c r="AD41" s="1"/>
      <c r="AE41" s="1"/>
      <c r="AF41" s="1"/>
      <c r="AG41" s="1"/>
      <c r="AH41" s="1"/>
      <c r="AI41" s="1"/>
    </row>
    <row r="42" ht="20" customHeight="1" spans="1:35">
      <c r="A42" s="26">
        <v>35</v>
      </c>
      <c r="B42" s="26" t="s">
        <v>135</v>
      </c>
      <c r="C42" s="26" t="s">
        <v>133</v>
      </c>
      <c r="D42" s="26" t="s">
        <v>136</v>
      </c>
      <c r="E42" s="26" t="s">
        <v>37</v>
      </c>
      <c r="F42" s="29">
        <v>7.63</v>
      </c>
      <c r="G42" s="29">
        <v>24.62</v>
      </c>
      <c r="H42" s="29">
        <f>24.62</f>
        <v>24.62</v>
      </c>
      <c r="I42" s="29"/>
      <c r="J42" s="29">
        <f t="shared" si="30"/>
        <v>16.99</v>
      </c>
      <c r="K42" s="29">
        <f t="shared" si="31"/>
        <v>16.99</v>
      </c>
      <c r="L42" s="29">
        <f t="shared" si="32"/>
        <v>0</v>
      </c>
      <c r="M42" s="37">
        <f t="shared" si="33"/>
        <v>2.2267</v>
      </c>
      <c r="N42" s="27">
        <v>730.1</v>
      </c>
      <c r="O42" s="27">
        <v>934.35</v>
      </c>
      <c r="P42" s="37">
        <f t="shared" si="34"/>
        <v>-0.2186</v>
      </c>
      <c r="Q42" s="29">
        <f t="shared" si="35"/>
        <v>719.23</v>
      </c>
      <c r="R42" s="29">
        <f t="shared" si="36"/>
        <v>1074.5</v>
      </c>
      <c r="S42" s="29">
        <f t="shared" si="37"/>
        <v>730.1</v>
      </c>
      <c r="T42" s="29">
        <v>5568.11</v>
      </c>
      <c r="U42" s="29">
        <v>17975.06</v>
      </c>
      <c r="V42" s="29">
        <f t="shared" si="38"/>
        <v>17972.51</v>
      </c>
      <c r="W42" s="29">
        <f t="shared" si="0"/>
        <v>12406.95</v>
      </c>
      <c r="X42" s="29">
        <f t="shared" si="10"/>
        <v>12404.4</v>
      </c>
      <c r="Y42" s="29">
        <f t="shared" si="11"/>
        <v>-2.55</v>
      </c>
      <c r="Z42" s="26"/>
      <c r="AA42" s="42"/>
      <c r="AB42" s="7"/>
      <c r="AC42" s="1"/>
      <c r="AD42" s="7">
        <f>+AB44+AB36</f>
        <v>0</v>
      </c>
      <c r="AE42" s="1"/>
      <c r="AF42" s="1"/>
      <c r="AG42" s="1"/>
      <c r="AH42" s="1"/>
      <c r="AI42" s="1"/>
    </row>
    <row r="43" ht="20" customHeight="1" spans="1:35">
      <c r="A43" s="26">
        <v>36</v>
      </c>
      <c r="B43" s="26" t="s">
        <v>137</v>
      </c>
      <c r="C43" s="26" t="s">
        <v>138</v>
      </c>
      <c r="D43" s="26" t="s">
        <v>139</v>
      </c>
      <c r="E43" s="26" t="s">
        <v>37</v>
      </c>
      <c r="F43" s="29">
        <v>4.46</v>
      </c>
      <c r="G43" s="29">
        <v>4.46</v>
      </c>
      <c r="H43" s="29">
        <f>1.66</f>
        <v>1.66</v>
      </c>
      <c r="I43" s="29"/>
      <c r="J43" s="29">
        <f t="shared" si="30"/>
        <v>0</v>
      </c>
      <c r="K43" s="29">
        <f t="shared" si="31"/>
        <v>-2.8</v>
      </c>
      <c r="L43" s="29">
        <f t="shared" si="32"/>
        <v>-2.8</v>
      </c>
      <c r="M43" s="37">
        <f t="shared" si="33"/>
        <v>0</v>
      </c>
      <c r="N43" s="27">
        <v>730.1</v>
      </c>
      <c r="O43" s="27">
        <v>906.2</v>
      </c>
      <c r="P43" s="37">
        <f t="shared" si="34"/>
        <v>-0.1943</v>
      </c>
      <c r="Q43" s="29">
        <f t="shared" si="35"/>
        <v>697.56</v>
      </c>
      <c r="R43" s="29">
        <f t="shared" si="36"/>
        <v>1042.13</v>
      </c>
      <c r="S43" s="29">
        <f t="shared" si="37"/>
        <v>730.1</v>
      </c>
      <c r="T43" s="29">
        <v>3257.2</v>
      </c>
      <c r="U43" s="29">
        <v>3257.2</v>
      </c>
      <c r="V43" s="29">
        <f t="shared" si="38"/>
        <v>1212.92</v>
      </c>
      <c r="W43" s="29">
        <f t="shared" si="0"/>
        <v>0</v>
      </c>
      <c r="X43" s="29">
        <f t="shared" si="10"/>
        <v>-2044.28</v>
      </c>
      <c r="Y43" s="29">
        <f t="shared" si="11"/>
        <v>-2044.28</v>
      </c>
      <c r="Z43" s="26"/>
      <c r="AA43" s="42"/>
      <c r="AB43" s="1"/>
      <c r="AC43" s="1"/>
      <c r="AD43" s="1"/>
      <c r="AE43" s="1"/>
      <c r="AF43" s="1"/>
      <c r="AG43" s="1"/>
      <c r="AH43" s="1"/>
      <c r="AI43" s="1"/>
    </row>
    <row r="44" s="7" customFormat="1" ht="20" customHeight="1" spans="1:35">
      <c r="A44" s="26">
        <v>37</v>
      </c>
      <c r="B44" s="26" t="s">
        <v>140</v>
      </c>
      <c r="C44" s="26" t="s">
        <v>141</v>
      </c>
      <c r="D44" s="26" t="s">
        <v>142</v>
      </c>
      <c r="E44" s="26" t="s">
        <v>37</v>
      </c>
      <c r="F44" s="29">
        <v>4.3</v>
      </c>
      <c r="G44" s="29">
        <v>0.2</v>
      </c>
      <c r="H44" s="29">
        <v>0.19</v>
      </c>
      <c r="I44" s="29"/>
      <c r="J44" s="29">
        <f t="shared" si="30"/>
        <v>-4.1</v>
      </c>
      <c r="K44" s="29">
        <f t="shared" si="31"/>
        <v>-4.11</v>
      </c>
      <c r="L44" s="29">
        <f t="shared" si="32"/>
        <v>-0.01</v>
      </c>
      <c r="M44" s="37">
        <f t="shared" si="33"/>
        <v>-0.9535</v>
      </c>
      <c r="N44" s="27">
        <v>826.88</v>
      </c>
      <c r="O44" s="27">
        <v>1019.22</v>
      </c>
      <c r="P44" s="37">
        <f t="shared" si="34"/>
        <v>-0.1887</v>
      </c>
      <c r="Q44" s="29">
        <f t="shared" si="35"/>
        <v>784.55</v>
      </c>
      <c r="R44" s="29">
        <f t="shared" si="36"/>
        <v>1172.1</v>
      </c>
      <c r="S44" s="29">
        <f t="shared" si="37"/>
        <v>826.88</v>
      </c>
      <c r="T44" s="29">
        <v>3557.57</v>
      </c>
      <c r="U44" s="29">
        <v>166.7</v>
      </c>
      <c r="V44" s="29">
        <f t="shared" si="38"/>
        <v>159.09</v>
      </c>
      <c r="W44" s="29">
        <f t="shared" si="0"/>
        <v>-3390.87</v>
      </c>
      <c r="X44" s="29">
        <f t="shared" si="10"/>
        <v>-3398.48</v>
      </c>
      <c r="Y44" s="29">
        <f t="shared" si="11"/>
        <v>-7.61</v>
      </c>
      <c r="Z44" s="26"/>
      <c r="AA44" s="1"/>
      <c r="AB44" s="1"/>
      <c r="AC44" s="1"/>
      <c r="AD44" s="1"/>
      <c r="AE44" s="1"/>
      <c r="AF44" s="1"/>
      <c r="AG44" s="1"/>
      <c r="AH44" s="1"/>
      <c r="AI44" s="1"/>
    </row>
    <row r="45" s="7" customFormat="1" ht="20" customHeight="1" spans="1:35">
      <c r="A45" s="26">
        <v>38</v>
      </c>
      <c r="B45" s="26" t="s">
        <v>143</v>
      </c>
      <c r="C45" s="26" t="s">
        <v>144</v>
      </c>
      <c r="D45" s="26" t="s">
        <v>145</v>
      </c>
      <c r="E45" s="26" t="s">
        <v>32</v>
      </c>
      <c r="F45" s="29">
        <v>142.78</v>
      </c>
      <c r="G45" s="29">
        <v>142.78</v>
      </c>
      <c r="H45" s="29">
        <v>0</v>
      </c>
      <c r="I45" s="29"/>
      <c r="J45" s="29">
        <f t="shared" si="30"/>
        <v>0</v>
      </c>
      <c r="K45" s="29">
        <f t="shared" si="31"/>
        <v>-142.78</v>
      </c>
      <c r="L45" s="29">
        <f t="shared" si="32"/>
        <v>-142.78</v>
      </c>
      <c r="M45" s="37">
        <f t="shared" si="33"/>
        <v>0</v>
      </c>
      <c r="N45" s="27">
        <v>80.24</v>
      </c>
      <c r="O45" s="27">
        <v>95.34</v>
      </c>
      <c r="P45" s="37">
        <f t="shared" si="34"/>
        <v>-0.1584</v>
      </c>
      <c r="Q45" s="29">
        <f t="shared" si="35"/>
        <v>73.39</v>
      </c>
      <c r="R45" s="29">
        <f t="shared" si="36"/>
        <v>109.64</v>
      </c>
      <c r="S45" s="29">
        <f t="shared" si="37"/>
        <v>80.24</v>
      </c>
      <c r="T45" s="29">
        <v>11456.35</v>
      </c>
      <c r="U45" s="29">
        <v>11456.35</v>
      </c>
      <c r="V45" s="29">
        <f t="shared" si="38"/>
        <v>-0.32</v>
      </c>
      <c r="W45" s="29">
        <f t="shared" si="0"/>
        <v>0</v>
      </c>
      <c r="X45" s="29">
        <f t="shared" si="10"/>
        <v>-11456.67</v>
      </c>
      <c r="Y45" s="29">
        <f t="shared" si="11"/>
        <v>-11456.67</v>
      </c>
      <c r="Z45" s="26"/>
      <c r="AA45" s="48" t="s">
        <v>146</v>
      </c>
      <c r="AB45" s="1"/>
      <c r="AC45" s="1"/>
      <c r="AD45" s="1"/>
      <c r="AE45" s="1"/>
      <c r="AF45" s="1"/>
      <c r="AG45" s="1"/>
      <c r="AH45" s="1"/>
      <c r="AI45" s="1"/>
    </row>
    <row r="46" ht="20" customHeight="1" spans="1:35">
      <c r="A46" s="26">
        <v>39</v>
      </c>
      <c r="B46" s="26" t="s">
        <v>147</v>
      </c>
      <c r="C46" s="26" t="s">
        <v>69</v>
      </c>
      <c r="D46" s="26" t="s">
        <v>148</v>
      </c>
      <c r="E46" s="26" t="s">
        <v>71</v>
      </c>
      <c r="F46" s="29">
        <v>88.84</v>
      </c>
      <c r="G46" s="29">
        <v>100.86</v>
      </c>
      <c r="H46" s="38">
        <v>100.86</v>
      </c>
      <c r="I46" s="38"/>
      <c r="J46" s="29">
        <f t="shared" si="30"/>
        <v>12.02</v>
      </c>
      <c r="K46" s="29">
        <f t="shared" si="31"/>
        <v>12.02</v>
      </c>
      <c r="L46" s="29">
        <f t="shared" si="32"/>
        <v>0</v>
      </c>
      <c r="M46" s="37">
        <f t="shared" si="33"/>
        <v>0.1353</v>
      </c>
      <c r="N46" s="27">
        <v>5708.81</v>
      </c>
      <c r="O46" s="27">
        <v>6995.45</v>
      </c>
      <c r="P46" s="37">
        <f t="shared" si="34"/>
        <v>-0.1839</v>
      </c>
      <c r="Q46" s="29">
        <f t="shared" si="35"/>
        <v>5384.82</v>
      </c>
      <c r="R46" s="29">
        <f t="shared" si="36"/>
        <v>8044.77</v>
      </c>
      <c r="S46" s="29">
        <f t="shared" si="37"/>
        <v>5708.81</v>
      </c>
      <c r="T46" s="29">
        <v>507176.39</v>
      </c>
      <c r="U46" s="29">
        <v>575817.64</v>
      </c>
      <c r="V46" s="29">
        <f t="shared" si="38"/>
        <v>575796.29</v>
      </c>
      <c r="W46" s="29">
        <f t="shared" si="0"/>
        <v>68641.25</v>
      </c>
      <c r="X46" s="29">
        <f t="shared" si="10"/>
        <v>68619.9</v>
      </c>
      <c r="Y46" s="29">
        <f t="shared" si="11"/>
        <v>-21.35</v>
      </c>
      <c r="Z46" s="26"/>
      <c r="AA46" s="1"/>
      <c r="AB46" s="1"/>
      <c r="AC46" s="1"/>
      <c r="AD46" s="1"/>
      <c r="AE46" s="1"/>
      <c r="AF46" s="1"/>
      <c r="AG46" s="1"/>
      <c r="AH46" s="1"/>
      <c r="AI46" s="1"/>
    </row>
    <row r="47" ht="20" customHeight="1" spans="1:35">
      <c r="A47" s="26">
        <v>40</v>
      </c>
      <c r="B47" s="26" t="s">
        <v>149</v>
      </c>
      <c r="C47" s="26" t="s">
        <v>69</v>
      </c>
      <c r="D47" s="26" t="s">
        <v>150</v>
      </c>
      <c r="E47" s="26" t="s">
        <v>71</v>
      </c>
      <c r="F47" s="29">
        <v>10.71</v>
      </c>
      <c r="G47" s="29">
        <v>7.35</v>
      </c>
      <c r="H47" s="38">
        <v>7.35</v>
      </c>
      <c r="I47" s="38"/>
      <c r="J47" s="29">
        <f t="shared" si="30"/>
        <v>-3.36</v>
      </c>
      <c r="K47" s="29">
        <f t="shared" si="31"/>
        <v>-3.36</v>
      </c>
      <c r="L47" s="29">
        <f t="shared" si="32"/>
        <v>0</v>
      </c>
      <c r="M47" s="37">
        <f t="shared" si="33"/>
        <v>-0.3137</v>
      </c>
      <c r="N47" s="27">
        <v>5708.81</v>
      </c>
      <c r="O47" s="27">
        <v>7085.72</v>
      </c>
      <c r="P47" s="37">
        <f t="shared" si="34"/>
        <v>-0.1943</v>
      </c>
      <c r="Q47" s="29">
        <f t="shared" si="35"/>
        <v>5454.3</v>
      </c>
      <c r="R47" s="29">
        <f t="shared" si="36"/>
        <v>8148.58</v>
      </c>
      <c r="S47" s="29">
        <f t="shared" si="37"/>
        <v>5708.81</v>
      </c>
      <c r="T47" s="29">
        <v>61118.52</v>
      </c>
      <c r="U47" s="29">
        <v>41966.95</v>
      </c>
      <c r="V47" s="29">
        <f t="shared" si="38"/>
        <v>41936.92</v>
      </c>
      <c r="W47" s="29">
        <f t="shared" si="0"/>
        <v>-19151.57</v>
      </c>
      <c r="X47" s="29">
        <f t="shared" si="10"/>
        <v>-19181.6</v>
      </c>
      <c r="Y47" s="29">
        <f t="shared" si="11"/>
        <v>-30.03</v>
      </c>
      <c r="Z47" s="26"/>
      <c r="AA47" s="1"/>
      <c r="AB47" s="1"/>
      <c r="AC47" s="1"/>
      <c r="AD47" s="1"/>
      <c r="AE47" s="1"/>
      <c r="AF47" s="1"/>
      <c r="AG47" s="1"/>
      <c r="AH47" s="1"/>
      <c r="AI47" s="1"/>
    </row>
    <row r="48" ht="20" customHeight="1" spans="1:35">
      <c r="A48" s="26">
        <v>41</v>
      </c>
      <c r="B48" s="26" t="s">
        <v>151</v>
      </c>
      <c r="C48" s="26" t="s">
        <v>69</v>
      </c>
      <c r="D48" s="26" t="s">
        <v>152</v>
      </c>
      <c r="E48" s="26" t="s">
        <v>71</v>
      </c>
      <c r="F48" s="29">
        <v>44.38</v>
      </c>
      <c r="G48" s="29">
        <v>41.66</v>
      </c>
      <c r="H48" s="38">
        <v>41.66</v>
      </c>
      <c r="I48" s="38"/>
      <c r="J48" s="29">
        <f t="shared" si="30"/>
        <v>-2.72</v>
      </c>
      <c r="K48" s="29">
        <f t="shared" si="31"/>
        <v>-2.72</v>
      </c>
      <c r="L48" s="29">
        <f t="shared" si="32"/>
        <v>0</v>
      </c>
      <c r="M48" s="37">
        <f t="shared" si="33"/>
        <v>-0.0613</v>
      </c>
      <c r="N48" s="27">
        <v>5570.86</v>
      </c>
      <c r="O48" s="27">
        <v>6793.55</v>
      </c>
      <c r="P48" s="37">
        <f t="shared" si="34"/>
        <v>-0.18</v>
      </c>
      <c r="Q48" s="29">
        <f t="shared" si="35"/>
        <v>5229.4</v>
      </c>
      <c r="R48" s="29">
        <f t="shared" si="36"/>
        <v>7812.58</v>
      </c>
      <c r="S48" s="29">
        <f t="shared" si="37"/>
        <v>5570.86</v>
      </c>
      <c r="T48" s="29">
        <v>247212.48</v>
      </c>
      <c r="U48" s="29">
        <v>232074.03</v>
      </c>
      <c r="V48" s="29">
        <f t="shared" si="38"/>
        <v>232059.74</v>
      </c>
      <c r="W48" s="29">
        <f t="shared" si="0"/>
        <v>-15138.45</v>
      </c>
      <c r="X48" s="29">
        <f t="shared" si="10"/>
        <v>-15152.74</v>
      </c>
      <c r="Y48" s="29">
        <f t="shared" si="11"/>
        <v>-14.29</v>
      </c>
      <c r="Z48" s="26"/>
      <c r="AA48" s="1"/>
      <c r="AB48" s="1"/>
      <c r="AC48" s="1"/>
      <c r="AD48" s="1"/>
      <c r="AE48" s="1"/>
      <c r="AF48" s="1"/>
      <c r="AG48" s="1"/>
      <c r="AH48" s="1"/>
      <c r="AI48" s="1"/>
    </row>
    <row r="49" ht="20" customHeight="1" spans="1:35">
      <c r="A49" s="26">
        <v>42</v>
      </c>
      <c r="B49" s="26" t="s">
        <v>153</v>
      </c>
      <c r="C49" s="26" t="s">
        <v>69</v>
      </c>
      <c r="D49" s="26" t="s">
        <v>154</v>
      </c>
      <c r="E49" s="26" t="s">
        <v>71</v>
      </c>
      <c r="F49" s="29">
        <v>102.11</v>
      </c>
      <c r="G49" s="29">
        <v>110.02</v>
      </c>
      <c r="H49" s="38">
        <v>110.02</v>
      </c>
      <c r="I49" s="38"/>
      <c r="J49" s="29">
        <f t="shared" si="30"/>
        <v>7.91</v>
      </c>
      <c r="K49" s="29">
        <f t="shared" si="31"/>
        <v>7.91</v>
      </c>
      <c r="L49" s="29">
        <f t="shared" si="32"/>
        <v>0</v>
      </c>
      <c r="M49" s="37">
        <f t="shared" si="33"/>
        <v>0.0775</v>
      </c>
      <c r="N49" s="27">
        <v>5570.86</v>
      </c>
      <c r="O49" s="27">
        <v>6884.26</v>
      </c>
      <c r="P49" s="37">
        <f t="shared" si="34"/>
        <v>-0.1908</v>
      </c>
      <c r="Q49" s="29">
        <f t="shared" si="35"/>
        <v>5299.23</v>
      </c>
      <c r="R49" s="29">
        <f t="shared" si="36"/>
        <v>7916.9</v>
      </c>
      <c r="S49" s="29">
        <f t="shared" si="37"/>
        <v>5570.86</v>
      </c>
      <c r="T49" s="29">
        <v>568818.23</v>
      </c>
      <c r="U49" s="29">
        <v>612880.85</v>
      </c>
      <c r="V49" s="29">
        <v>612880.85</v>
      </c>
      <c r="W49" s="29">
        <f t="shared" si="0"/>
        <v>44062.62</v>
      </c>
      <c r="X49" s="29">
        <f t="shared" si="10"/>
        <v>44062.62</v>
      </c>
      <c r="Y49" s="29">
        <f t="shared" si="11"/>
        <v>0</v>
      </c>
      <c r="Z49" s="26"/>
      <c r="AA49" s="1"/>
      <c r="AB49" s="1"/>
      <c r="AC49" s="1"/>
      <c r="AD49" s="1"/>
      <c r="AE49" s="1"/>
      <c r="AF49" s="1"/>
      <c r="AG49" s="1"/>
      <c r="AH49" s="1"/>
      <c r="AI49" s="1"/>
    </row>
    <row r="50" ht="20" customHeight="1" spans="1:35">
      <c r="A50" s="26">
        <v>43</v>
      </c>
      <c r="B50" s="26" t="s">
        <v>155</v>
      </c>
      <c r="C50" s="26" t="s">
        <v>69</v>
      </c>
      <c r="D50" s="26" t="s">
        <v>156</v>
      </c>
      <c r="E50" s="26" t="s">
        <v>71</v>
      </c>
      <c r="F50" s="29">
        <v>13.81</v>
      </c>
      <c r="G50" s="29">
        <v>11.02</v>
      </c>
      <c r="H50" s="38">
        <v>11.015</v>
      </c>
      <c r="I50" s="38"/>
      <c r="J50" s="29">
        <f t="shared" si="30"/>
        <v>-2.79</v>
      </c>
      <c r="K50" s="29">
        <f t="shared" si="31"/>
        <v>-2.8</v>
      </c>
      <c r="L50" s="29">
        <f t="shared" si="32"/>
        <v>0</v>
      </c>
      <c r="M50" s="37">
        <f t="shared" si="33"/>
        <v>-0.202</v>
      </c>
      <c r="N50" s="27">
        <v>5507.01</v>
      </c>
      <c r="O50" s="27">
        <v>6766.86</v>
      </c>
      <c r="P50" s="37">
        <f t="shared" si="34"/>
        <v>-0.1862</v>
      </c>
      <c r="Q50" s="29">
        <f t="shared" si="35"/>
        <v>5208.86</v>
      </c>
      <c r="R50" s="29">
        <f t="shared" si="36"/>
        <v>7781.89</v>
      </c>
      <c r="S50" s="29">
        <f t="shared" si="37"/>
        <v>5507.01</v>
      </c>
      <c r="T50" s="29">
        <v>76051.81</v>
      </c>
      <c r="U50" s="29">
        <v>60671.42</v>
      </c>
      <c r="V50" s="29">
        <f>T50+S50*K50</f>
        <v>60632.18</v>
      </c>
      <c r="W50" s="29">
        <f t="shared" si="0"/>
        <v>-15380.39</v>
      </c>
      <c r="X50" s="29">
        <f t="shared" si="10"/>
        <v>-15419.63</v>
      </c>
      <c r="Y50" s="29">
        <f t="shared" si="11"/>
        <v>-39.24</v>
      </c>
      <c r="Z50" s="26"/>
      <c r="AA50" s="1"/>
      <c r="AB50" s="1"/>
      <c r="AC50" s="1"/>
      <c r="AD50" s="1"/>
      <c r="AE50" s="1"/>
      <c r="AF50" s="1"/>
      <c r="AG50" s="1"/>
      <c r="AH50" s="1"/>
      <c r="AI50" s="1"/>
    </row>
    <row r="51" ht="20" customHeight="1" spans="1:35">
      <c r="A51" s="26">
        <v>44</v>
      </c>
      <c r="B51" s="26" t="s">
        <v>157</v>
      </c>
      <c r="C51" s="26" t="s">
        <v>69</v>
      </c>
      <c r="D51" s="26" t="s">
        <v>158</v>
      </c>
      <c r="E51" s="26" t="s">
        <v>71</v>
      </c>
      <c r="F51" s="29">
        <v>64.07</v>
      </c>
      <c r="G51" s="29">
        <v>66.42</v>
      </c>
      <c r="H51" s="38">
        <v>66.42</v>
      </c>
      <c r="I51" s="38"/>
      <c r="J51" s="29">
        <f t="shared" si="30"/>
        <v>2.35</v>
      </c>
      <c r="K51" s="29">
        <f t="shared" si="31"/>
        <v>2.35</v>
      </c>
      <c r="L51" s="29">
        <f t="shared" si="32"/>
        <v>0</v>
      </c>
      <c r="M51" s="37">
        <f t="shared" si="33"/>
        <v>0.0367</v>
      </c>
      <c r="N51" s="27">
        <v>6837.26</v>
      </c>
      <c r="O51" s="27">
        <v>8255.91</v>
      </c>
      <c r="P51" s="37">
        <f t="shared" si="34"/>
        <v>-0.1718</v>
      </c>
      <c r="Q51" s="29">
        <f t="shared" si="35"/>
        <v>6355.07</v>
      </c>
      <c r="R51" s="29">
        <f t="shared" si="36"/>
        <v>9494.3</v>
      </c>
      <c r="S51" s="29">
        <f t="shared" si="37"/>
        <v>6837.26</v>
      </c>
      <c r="T51" s="29">
        <v>438076.92</v>
      </c>
      <c r="U51" s="29">
        <v>454162.38</v>
      </c>
      <c r="V51" s="29">
        <f>T51+S51*K51</f>
        <v>454144.48</v>
      </c>
      <c r="W51" s="29">
        <f t="shared" si="0"/>
        <v>16085.46</v>
      </c>
      <c r="X51" s="29">
        <f t="shared" si="10"/>
        <v>16067.56</v>
      </c>
      <c r="Y51" s="29">
        <f t="shared" si="11"/>
        <v>-17.9</v>
      </c>
      <c r="Z51" s="26"/>
      <c r="AA51" s="1"/>
      <c r="AB51" s="1"/>
      <c r="AC51" s="1"/>
      <c r="AD51" s="1"/>
      <c r="AE51" s="1"/>
      <c r="AF51" s="1"/>
      <c r="AG51" s="1"/>
      <c r="AH51" s="1"/>
      <c r="AI51" s="1"/>
    </row>
    <row r="52" ht="20" customHeight="1" spans="1:35">
      <c r="A52" s="26">
        <v>45</v>
      </c>
      <c r="B52" s="26" t="s">
        <v>159</v>
      </c>
      <c r="C52" s="26" t="s">
        <v>160</v>
      </c>
      <c r="D52" s="26" t="s">
        <v>161</v>
      </c>
      <c r="E52" s="26" t="s">
        <v>67</v>
      </c>
      <c r="F52" s="29">
        <v>1022</v>
      </c>
      <c r="G52" s="29">
        <v>0</v>
      </c>
      <c r="H52" s="31">
        <v>0</v>
      </c>
      <c r="I52" s="31"/>
      <c r="J52" s="29">
        <f t="shared" si="30"/>
        <v>-1022</v>
      </c>
      <c r="K52" s="29">
        <f t="shared" si="31"/>
        <v>-1022</v>
      </c>
      <c r="L52" s="29">
        <f t="shared" si="32"/>
        <v>0</v>
      </c>
      <c r="M52" s="37">
        <f t="shared" si="33"/>
        <v>-1</v>
      </c>
      <c r="N52" s="27">
        <v>7.47</v>
      </c>
      <c r="O52" s="27">
        <v>8.25</v>
      </c>
      <c r="P52" s="37">
        <f t="shared" si="34"/>
        <v>-0.0945</v>
      </c>
      <c r="Q52" s="29">
        <f t="shared" si="35"/>
        <v>6.35</v>
      </c>
      <c r="R52" s="29">
        <f t="shared" si="36"/>
        <v>9.49</v>
      </c>
      <c r="S52" s="29">
        <f t="shared" si="37"/>
        <v>7.47</v>
      </c>
      <c r="T52" s="29">
        <v>7634.34</v>
      </c>
      <c r="U52" s="29">
        <v>0</v>
      </c>
      <c r="V52" s="29">
        <f>T52+S52*K52</f>
        <v>0</v>
      </c>
      <c r="W52" s="29">
        <f t="shared" si="0"/>
        <v>-7634.34</v>
      </c>
      <c r="X52" s="29">
        <f t="shared" si="10"/>
        <v>-7634.34</v>
      </c>
      <c r="Y52" s="29">
        <f t="shared" si="11"/>
        <v>0</v>
      </c>
      <c r="Z52" s="26"/>
      <c r="AA52" s="1"/>
      <c r="AB52" s="1"/>
      <c r="AC52" s="1"/>
      <c r="AD52" s="1"/>
      <c r="AE52" s="1"/>
      <c r="AF52" s="1"/>
      <c r="AG52" s="1"/>
      <c r="AH52" s="1"/>
      <c r="AI52" s="1"/>
    </row>
    <row r="53" ht="20" customHeight="1" spans="1:35">
      <c r="A53" s="26">
        <v>46</v>
      </c>
      <c r="B53" s="26" t="s">
        <v>162</v>
      </c>
      <c r="C53" s="26" t="s">
        <v>160</v>
      </c>
      <c r="D53" s="26" t="s">
        <v>163</v>
      </c>
      <c r="E53" s="26" t="s">
        <v>67</v>
      </c>
      <c r="F53" s="29">
        <v>1509</v>
      </c>
      <c r="G53" s="29">
        <v>0</v>
      </c>
      <c r="H53" s="31">
        <v>0</v>
      </c>
      <c r="I53" s="31"/>
      <c r="J53" s="29">
        <f t="shared" si="30"/>
        <v>-1509</v>
      </c>
      <c r="K53" s="29">
        <f t="shared" si="31"/>
        <v>-1509</v>
      </c>
      <c r="L53" s="29">
        <f t="shared" si="32"/>
        <v>0</v>
      </c>
      <c r="M53" s="37">
        <f t="shared" si="33"/>
        <v>-1</v>
      </c>
      <c r="N53" s="27">
        <v>9.46</v>
      </c>
      <c r="O53" s="27">
        <v>10.44</v>
      </c>
      <c r="P53" s="37">
        <f t="shared" si="34"/>
        <v>-0.0939</v>
      </c>
      <c r="Q53" s="29">
        <f t="shared" si="35"/>
        <v>8.04</v>
      </c>
      <c r="R53" s="29">
        <f t="shared" si="36"/>
        <v>12.01</v>
      </c>
      <c r="S53" s="29">
        <f t="shared" si="37"/>
        <v>9.46</v>
      </c>
      <c r="T53" s="29">
        <v>14275.14</v>
      </c>
      <c r="U53" s="29">
        <v>0</v>
      </c>
      <c r="V53" s="29">
        <f>T53+S53*K53</f>
        <v>0</v>
      </c>
      <c r="W53" s="29">
        <f t="shared" si="0"/>
        <v>-14275.14</v>
      </c>
      <c r="X53" s="29">
        <f t="shared" si="10"/>
        <v>-14275.14</v>
      </c>
      <c r="Y53" s="29">
        <f t="shared" si="11"/>
        <v>0</v>
      </c>
      <c r="Z53" s="26"/>
      <c r="AA53" s="1"/>
      <c r="AB53" s="1"/>
      <c r="AC53" s="1"/>
      <c r="AD53" s="1"/>
      <c r="AE53" s="1"/>
      <c r="AF53" s="1"/>
      <c r="AG53" s="1"/>
      <c r="AH53" s="1"/>
      <c r="AI53" s="1"/>
    </row>
    <row r="54" ht="20" customHeight="1" spans="1:35">
      <c r="A54" s="26">
        <v>47</v>
      </c>
      <c r="B54" s="26" t="s">
        <v>164</v>
      </c>
      <c r="C54" s="26" t="s">
        <v>165</v>
      </c>
      <c r="D54" s="26" t="s">
        <v>166</v>
      </c>
      <c r="E54" s="26" t="s">
        <v>67</v>
      </c>
      <c r="F54" s="29">
        <v>1525</v>
      </c>
      <c r="G54" s="29">
        <v>0</v>
      </c>
      <c r="H54" s="31">
        <v>0</v>
      </c>
      <c r="I54" s="31"/>
      <c r="J54" s="29">
        <f t="shared" si="30"/>
        <v>-1525</v>
      </c>
      <c r="K54" s="29">
        <f t="shared" si="31"/>
        <v>-1525</v>
      </c>
      <c r="L54" s="29">
        <f t="shared" si="32"/>
        <v>0</v>
      </c>
      <c r="M54" s="37">
        <f t="shared" si="33"/>
        <v>-1</v>
      </c>
      <c r="N54" s="27">
        <v>16.67</v>
      </c>
      <c r="O54" s="27">
        <v>21.53</v>
      </c>
      <c r="P54" s="37">
        <f t="shared" si="34"/>
        <v>-0.2257</v>
      </c>
      <c r="Q54" s="29">
        <f t="shared" si="35"/>
        <v>16.57</v>
      </c>
      <c r="R54" s="29">
        <f t="shared" si="36"/>
        <v>24.76</v>
      </c>
      <c r="S54" s="29">
        <f t="shared" si="37"/>
        <v>16.67</v>
      </c>
      <c r="T54" s="29">
        <v>25421.75</v>
      </c>
      <c r="U54" s="29">
        <v>0</v>
      </c>
      <c r="V54" s="29">
        <f>T54+S54*K54</f>
        <v>0</v>
      </c>
      <c r="W54" s="29">
        <f t="shared" si="0"/>
        <v>-25421.75</v>
      </c>
      <c r="X54" s="29">
        <f t="shared" si="10"/>
        <v>-25421.75</v>
      </c>
      <c r="Y54" s="29">
        <f t="shared" si="11"/>
        <v>0</v>
      </c>
      <c r="Z54" s="26"/>
      <c r="AA54" s="1"/>
      <c r="AB54" s="1"/>
      <c r="AC54" s="1"/>
      <c r="AD54" s="1"/>
      <c r="AE54" s="1"/>
      <c r="AF54" s="1"/>
      <c r="AG54" s="1"/>
      <c r="AH54" s="1"/>
      <c r="AI54" s="1"/>
    </row>
    <row r="55" ht="20" customHeight="1" spans="1:35">
      <c r="A55" s="26"/>
      <c r="B55" s="26"/>
      <c r="C55" s="26" t="s">
        <v>167</v>
      </c>
      <c r="D55" s="26"/>
      <c r="E55" s="26"/>
      <c r="F55" s="29"/>
      <c r="G55" s="29"/>
      <c r="H55" s="29"/>
      <c r="I55" s="29"/>
      <c r="J55" s="29"/>
      <c r="K55" s="29"/>
      <c r="L55" s="29"/>
      <c r="M55" s="37"/>
      <c r="N55" s="27"/>
      <c r="O55" s="27"/>
      <c r="P55" s="37"/>
      <c r="Q55" s="29"/>
      <c r="R55" s="29"/>
      <c r="S55" s="29"/>
      <c r="T55" s="29">
        <v>1979944.66</v>
      </c>
      <c r="U55" s="29">
        <v>1901843.25</v>
      </c>
      <c r="V55" s="29">
        <f>+SUM(V56:V71)</f>
        <v>1898069.57</v>
      </c>
      <c r="W55" s="29">
        <f t="shared" si="0"/>
        <v>-78101.41</v>
      </c>
      <c r="X55" s="29">
        <f t="shared" si="10"/>
        <v>-81875.09</v>
      </c>
      <c r="Y55" s="29">
        <f t="shared" si="11"/>
        <v>-3773.68</v>
      </c>
      <c r="Z55" s="26"/>
      <c r="AA55" s="42"/>
      <c r="AB55" s="1"/>
      <c r="AC55" s="1"/>
      <c r="AD55" s="1"/>
      <c r="AE55" s="1"/>
      <c r="AF55" s="1"/>
      <c r="AG55" s="1"/>
      <c r="AH55" s="1"/>
      <c r="AI55" s="1"/>
    </row>
    <row r="56" ht="20" customHeight="1" spans="1:35">
      <c r="A56" s="26">
        <v>48</v>
      </c>
      <c r="B56" s="26" t="s">
        <v>168</v>
      </c>
      <c r="C56" s="26" t="s">
        <v>169</v>
      </c>
      <c r="D56" s="26" t="s">
        <v>170</v>
      </c>
      <c r="E56" s="26" t="s">
        <v>32</v>
      </c>
      <c r="F56" s="29">
        <v>5631.67</v>
      </c>
      <c r="G56" s="29">
        <v>4161.91</v>
      </c>
      <c r="H56" s="29">
        <v>4161.91</v>
      </c>
      <c r="I56" s="29"/>
      <c r="J56" s="29">
        <f t="shared" ref="J56:J71" si="39">G56-F56</f>
        <v>-1469.76</v>
      </c>
      <c r="K56" s="29">
        <f t="shared" ref="K56:K71" si="40">H56-F56</f>
        <v>-1469.76</v>
      </c>
      <c r="L56" s="29">
        <f t="shared" ref="L56:L71" si="41">H56-G56</f>
        <v>0</v>
      </c>
      <c r="M56" s="37">
        <f t="shared" ref="M56:M71" si="42">J56/F56</f>
        <v>-0.261</v>
      </c>
      <c r="N56" s="27">
        <v>6.91</v>
      </c>
      <c r="O56" s="27">
        <v>16.21</v>
      </c>
      <c r="P56" s="37">
        <f t="shared" ref="P56:P71" si="43">(N56-O56)/O56</f>
        <v>-0.5737</v>
      </c>
      <c r="Q56" s="29">
        <f t="shared" ref="Q56:Q71" si="44">O56*0.9056*0.85</f>
        <v>12.48</v>
      </c>
      <c r="R56" s="29">
        <f t="shared" ref="R56:R71" si="45">O56*1.15</f>
        <v>18.64</v>
      </c>
      <c r="S56" s="29">
        <f t="shared" ref="S56:S71" si="46">IF(N56&lt;O56*0.9056*0.85,O56*0.9056*0.85,IF(N56&gt;O56*1.15,O56*1.15,N56))</f>
        <v>12.48</v>
      </c>
      <c r="T56" s="29">
        <v>38914.84</v>
      </c>
      <c r="U56" s="29">
        <v>20575.48</v>
      </c>
      <c r="V56" s="29">
        <f t="shared" ref="V56:V71" si="47">T56+S56*K56</f>
        <v>20572.24</v>
      </c>
      <c r="W56" s="29">
        <f t="shared" si="0"/>
        <v>-18339.36</v>
      </c>
      <c r="X56" s="29">
        <f t="shared" si="10"/>
        <v>-18342.6</v>
      </c>
      <c r="Y56" s="29">
        <f t="shared" si="11"/>
        <v>-3.24</v>
      </c>
      <c r="Z56" s="26"/>
      <c r="AA56" s="1"/>
      <c r="AB56" s="1"/>
      <c r="AC56" s="1"/>
      <c r="AD56" s="1"/>
      <c r="AE56" s="1"/>
      <c r="AF56" s="1"/>
      <c r="AG56" s="1"/>
      <c r="AH56" s="1"/>
      <c r="AI56" s="1"/>
    </row>
    <row r="57" s="7" customFormat="1" ht="20" customHeight="1" spans="1:35">
      <c r="A57" s="26">
        <v>49</v>
      </c>
      <c r="B57" s="26" t="s">
        <v>171</v>
      </c>
      <c r="C57" s="26" t="s">
        <v>169</v>
      </c>
      <c r="D57" s="26" t="s">
        <v>172</v>
      </c>
      <c r="E57" s="26" t="s">
        <v>32</v>
      </c>
      <c r="F57" s="29">
        <v>781.41</v>
      </c>
      <c r="G57" s="29">
        <v>788.4</v>
      </c>
      <c r="H57" s="29">
        <v>784.84</v>
      </c>
      <c r="I57" s="29"/>
      <c r="J57" s="29">
        <f t="shared" si="39"/>
        <v>6.99</v>
      </c>
      <c r="K57" s="29">
        <f t="shared" si="40"/>
        <v>3.43</v>
      </c>
      <c r="L57" s="29">
        <f t="shared" si="41"/>
        <v>-3.56</v>
      </c>
      <c r="M57" s="37">
        <f t="shared" si="42"/>
        <v>0.0089</v>
      </c>
      <c r="N57" s="27">
        <v>4.58</v>
      </c>
      <c r="O57" s="27">
        <v>11.97</v>
      </c>
      <c r="P57" s="37">
        <f t="shared" si="43"/>
        <v>-0.6174</v>
      </c>
      <c r="Q57" s="29">
        <f t="shared" si="44"/>
        <v>9.21</v>
      </c>
      <c r="R57" s="29">
        <f t="shared" si="45"/>
        <v>13.77</v>
      </c>
      <c r="S57" s="29">
        <f t="shared" si="46"/>
        <v>9.21</v>
      </c>
      <c r="T57" s="29">
        <v>3578.85</v>
      </c>
      <c r="U57" s="29">
        <v>3643.3</v>
      </c>
      <c r="V57" s="29">
        <f t="shared" si="47"/>
        <v>3610.44</v>
      </c>
      <c r="W57" s="29">
        <f t="shared" si="0"/>
        <v>64.45</v>
      </c>
      <c r="X57" s="29">
        <f t="shared" si="10"/>
        <v>31.59</v>
      </c>
      <c r="Y57" s="29">
        <f t="shared" si="11"/>
        <v>-32.86</v>
      </c>
      <c r="Z57" s="26"/>
      <c r="AA57" s="1"/>
      <c r="AB57" s="1"/>
      <c r="AC57" s="1"/>
      <c r="AD57" s="1"/>
      <c r="AE57" s="1"/>
      <c r="AF57" s="1"/>
      <c r="AG57" s="1"/>
      <c r="AH57" s="1"/>
      <c r="AI57" s="1"/>
    </row>
    <row r="58" ht="20" customHeight="1" spans="1:35">
      <c r="A58" s="26">
        <v>50</v>
      </c>
      <c r="B58" s="26" t="s">
        <v>173</v>
      </c>
      <c r="C58" s="26" t="s">
        <v>174</v>
      </c>
      <c r="D58" s="26" t="s">
        <v>175</v>
      </c>
      <c r="E58" s="26" t="s">
        <v>71</v>
      </c>
      <c r="F58" s="29">
        <v>0.69</v>
      </c>
      <c r="G58" s="29">
        <v>1.85</v>
      </c>
      <c r="H58" s="38">
        <f>4*(20.03-9)*36.55/1000</f>
        <v>1.613</v>
      </c>
      <c r="I58" s="38"/>
      <c r="J58" s="29">
        <f t="shared" si="39"/>
        <v>1.16</v>
      </c>
      <c r="K58" s="29">
        <f t="shared" si="40"/>
        <v>0.92</v>
      </c>
      <c r="L58" s="29">
        <f t="shared" si="41"/>
        <v>-0.24</v>
      </c>
      <c r="M58" s="37">
        <f t="shared" si="42"/>
        <v>1.6812</v>
      </c>
      <c r="N58" s="27">
        <v>8068.1</v>
      </c>
      <c r="O58" s="27">
        <v>9670.09</v>
      </c>
      <c r="P58" s="37">
        <f t="shared" si="43"/>
        <v>-0.1657</v>
      </c>
      <c r="Q58" s="29">
        <f t="shared" si="44"/>
        <v>7443.65</v>
      </c>
      <c r="R58" s="29">
        <f t="shared" si="45"/>
        <v>11120.6</v>
      </c>
      <c r="S58" s="29">
        <f t="shared" si="46"/>
        <v>8068.1</v>
      </c>
      <c r="T58" s="29">
        <v>5534.72</v>
      </c>
      <c r="U58" s="29">
        <v>14887.26</v>
      </c>
      <c r="V58" s="29">
        <f t="shared" si="47"/>
        <v>12957.37</v>
      </c>
      <c r="W58" s="29">
        <f t="shared" si="0"/>
        <v>9352.54</v>
      </c>
      <c r="X58" s="29">
        <f t="shared" si="10"/>
        <v>7422.65</v>
      </c>
      <c r="Y58" s="29">
        <f t="shared" si="11"/>
        <v>-1929.89</v>
      </c>
      <c r="Z58" s="26"/>
      <c r="AA58" s="1"/>
      <c r="AB58" s="1"/>
      <c r="AC58" s="1"/>
      <c r="AD58" s="1"/>
      <c r="AE58" s="1"/>
      <c r="AF58" s="1"/>
      <c r="AG58" s="1"/>
      <c r="AH58" s="1"/>
      <c r="AI58" s="1"/>
    </row>
    <row r="59" ht="20" customHeight="1" spans="1:35">
      <c r="A59" s="26">
        <v>51</v>
      </c>
      <c r="B59" s="26" t="s">
        <v>176</v>
      </c>
      <c r="C59" s="26" t="s">
        <v>177</v>
      </c>
      <c r="D59" s="26" t="s">
        <v>178</v>
      </c>
      <c r="E59" s="26" t="s">
        <v>71</v>
      </c>
      <c r="F59" s="29">
        <v>12.35</v>
      </c>
      <c r="G59" s="29">
        <v>19.01</v>
      </c>
      <c r="H59" s="38">
        <v>19.004</v>
      </c>
      <c r="I59" s="38"/>
      <c r="J59" s="29">
        <f t="shared" si="39"/>
        <v>6.66</v>
      </c>
      <c r="K59" s="29">
        <f t="shared" si="40"/>
        <v>6.65</v>
      </c>
      <c r="L59" s="29">
        <f t="shared" si="41"/>
        <v>-0.01</v>
      </c>
      <c r="M59" s="37">
        <f t="shared" si="42"/>
        <v>0.5393</v>
      </c>
      <c r="N59" s="27">
        <v>8895</v>
      </c>
      <c r="O59" s="27">
        <v>9802.52</v>
      </c>
      <c r="P59" s="37">
        <f t="shared" si="43"/>
        <v>-0.0926</v>
      </c>
      <c r="Q59" s="29">
        <f t="shared" si="44"/>
        <v>7545.59</v>
      </c>
      <c r="R59" s="29">
        <f t="shared" si="45"/>
        <v>11272.9</v>
      </c>
      <c r="S59" s="29">
        <f t="shared" si="46"/>
        <v>8895</v>
      </c>
      <c r="T59" s="29">
        <v>109890.61</v>
      </c>
      <c r="U59" s="29">
        <v>169073.49</v>
      </c>
      <c r="V59" s="29">
        <f t="shared" si="47"/>
        <v>169042.36</v>
      </c>
      <c r="W59" s="29">
        <f t="shared" si="0"/>
        <v>59182.88</v>
      </c>
      <c r="X59" s="29">
        <f t="shared" si="10"/>
        <v>59151.75</v>
      </c>
      <c r="Y59" s="29">
        <f t="shared" si="11"/>
        <v>-31.13</v>
      </c>
      <c r="Z59" s="26"/>
      <c r="AA59" s="1"/>
      <c r="AB59" s="1"/>
      <c r="AC59" s="1"/>
      <c r="AD59" s="1"/>
      <c r="AE59" s="1"/>
      <c r="AF59" s="1"/>
      <c r="AG59" s="1"/>
      <c r="AH59" s="1"/>
      <c r="AI59" s="1"/>
    </row>
    <row r="60" ht="20" customHeight="1" spans="1:35">
      <c r="A60" s="26">
        <v>52</v>
      </c>
      <c r="B60" s="26" t="s">
        <v>179</v>
      </c>
      <c r="C60" s="26" t="s">
        <v>177</v>
      </c>
      <c r="D60" s="26" t="s">
        <v>180</v>
      </c>
      <c r="E60" s="26" t="s">
        <v>71</v>
      </c>
      <c r="F60" s="29">
        <v>38.23</v>
      </c>
      <c r="G60" s="29">
        <v>11.43</v>
      </c>
      <c r="H60" s="38">
        <v>11.424</v>
      </c>
      <c r="I60" s="38"/>
      <c r="J60" s="29">
        <f t="shared" si="39"/>
        <v>-26.8</v>
      </c>
      <c r="K60" s="29">
        <f t="shared" si="40"/>
        <v>-26.81</v>
      </c>
      <c r="L60" s="29">
        <f t="shared" si="41"/>
        <v>-0.01</v>
      </c>
      <c r="M60" s="37">
        <f t="shared" si="42"/>
        <v>-0.701</v>
      </c>
      <c r="N60" s="27">
        <v>6839.9</v>
      </c>
      <c r="O60" s="27">
        <v>9706.68</v>
      </c>
      <c r="P60" s="37">
        <f t="shared" si="43"/>
        <v>-0.2953</v>
      </c>
      <c r="Q60" s="29">
        <f t="shared" si="44"/>
        <v>7471.81</v>
      </c>
      <c r="R60" s="29">
        <f t="shared" si="45"/>
        <v>11162.68</v>
      </c>
      <c r="S60" s="29">
        <f t="shared" si="46"/>
        <v>7471.81</v>
      </c>
      <c r="T60" s="29">
        <v>261520.16</v>
      </c>
      <c r="U60" s="29">
        <v>61226.23</v>
      </c>
      <c r="V60" s="29">
        <f t="shared" si="47"/>
        <v>61200.93</v>
      </c>
      <c r="W60" s="29">
        <f t="shared" si="0"/>
        <v>-200293.93</v>
      </c>
      <c r="X60" s="29">
        <f t="shared" si="10"/>
        <v>-200319.23</v>
      </c>
      <c r="Y60" s="29">
        <f t="shared" si="11"/>
        <v>-25.3</v>
      </c>
      <c r="Z60" s="26"/>
      <c r="AA60" s="1"/>
      <c r="AB60" s="1"/>
      <c r="AC60" s="1"/>
      <c r="AD60" s="1"/>
      <c r="AE60" s="1"/>
      <c r="AF60" s="1"/>
      <c r="AG60" s="1"/>
      <c r="AH60" s="1"/>
      <c r="AI60" s="1"/>
    </row>
    <row r="61" ht="20" customHeight="1" spans="1:35">
      <c r="A61" s="26">
        <v>53</v>
      </c>
      <c r="B61" s="26" t="s">
        <v>181</v>
      </c>
      <c r="C61" s="26" t="s">
        <v>182</v>
      </c>
      <c r="D61" s="26" t="s">
        <v>183</v>
      </c>
      <c r="E61" s="26" t="s">
        <v>71</v>
      </c>
      <c r="F61" s="29">
        <v>49.33</v>
      </c>
      <c r="G61" s="29">
        <v>45.65</v>
      </c>
      <c r="H61" s="38">
        <v>45.645</v>
      </c>
      <c r="I61" s="38"/>
      <c r="J61" s="29">
        <f t="shared" si="39"/>
        <v>-3.68</v>
      </c>
      <c r="K61" s="29">
        <f t="shared" si="40"/>
        <v>-3.69</v>
      </c>
      <c r="L61" s="29">
        <f t="shared" si="41"/>
        <v>0</v>
      </c>
      <c r="M61" s="37">
        <f t="shared" si="42"/>
        <v>-0.0746</v>
      </c>
      <c r="N61" s="27">
        <v>10367.99</v>
      </c>
      <c r="O61" s="27">
        <v>11465.39</v>
      </c>
      <c r="P61" s="37">
        <f t="shared" si="43"/>
        <v>-0.0957</v>
      </c>
      <c r="Q61" s="29">
        <f t="shared" si="44"/>
        <v>8825.6</v>
      </c>
      <c r="R61" s="29">
        <f t="shared" si="45"/>
        <v>13185.2</v>
      </c>
      <c r="S61" s="29">
        <f t="shared" si="46"/>
        <v>10367.99</v>
      </c>
      <c r="T61" s="29">
        <v>511438.43</v>
      </c>
      <c r="U61" s="29">
        <v>473276.97</v>
      </c>
      <c r="V61" s="29">
        <f t="shared" si="47"/>
        <v>473180.55</v>
      </c>
      <c r="W61" s="29">
        <f t="shared" si="0"/>
        <v>-38161.46</v>
      </c>
      <c r="X61" s="29">
        <f t="shared" si="10"/>
        <v>-38257.88</v>
      </c>
      <c r="Y61" s="29">
        <f t="shared" si="11"/>
        <v>-96.42</v>
      </c>
      <c r="Z61" s="26"/>
      <c r="AA61" s="1"/>
      <c r="AB61" s="1"/>
      <c r="AC61" s="1"/>
      <c r="AD61" s="1"/>
      <c r="AE61" s="1"/>
      <c r="AF61" s="1"/>
      <c r="AG61" s="1"/>
      <c r="AH61" s="1"/>
      <c r="AI61" s="1"/>
    </row>
    <row r="62" ht="20" customHeight="1" spans="1:35">
      <c r="A62" s="26">
        <v>54</v>
      </c>
      <c r="B62" s="26" t="s">
        <v>184</v>
      </c>
      <c r="C62" s="26" t="s">
        <v>185</v>
      </c>
      <c r="D62" s="26" t="s">
        <v>186</v>
      </c>
      <c r="E62" s="26" t="s">
        <v>71</v>
      </c>
      <c r="F62" s="29">
        <v>23.92</v>
      </c>
      <c r="G62" s="29">
        <v>41.4</v>
      </c>
      <c r="H62" s="38">
        <v>41.4</v>
      </c>
      <c r="I62" s="38"/>
      <c r="J62" s="29">
        <f t="shared" si="39"/>
        <v>17.48</v>
      </c>
      <c r="K62" s="29">
        <f t="shared" si="40"/>
        <v>17.48</v>
      </c>
      <c r="L62" s="29">
        <f t="shared" si="41"/>
        <v>0</v>
      </c>
      <c r="M62" s="37">
        <f t="shared" si="42"/>
        <v>0.7308</v>
      </c>
      <c r="N62" s="27">
        <v>7068.28</v>
      </c>
      <c r="O62" s="27">
        <v>9954.19</v>
      </c>
      <c r="P62" s="37">
        <f t="shared" si="43"/>
        <v>-0.2899</v>
      </c>
      <c r="Q62" s="29">
        <f t="shared" si="44"/>
        <v>7662.34</v>
      </c>
      <c r="R62" s="29">
        <f t="shared" si="45"/>
        <v>11447.32</v>
      </c>
      <c r="S62" s="29">
        <f t="shared" si="46"/>
        <v>7662.34</v>
      </c>
      <c r="T62" s="29">
        <v>169081.74</v>
      </c>
      <c r="U62" s="29">
        <v>303046.21</v>
      </c>
      <c r="V62" s="29">
        <f t="shared" si="47"/>
        <v>303019.44</v>
      </c>
      <c r="W62" s="29">
        <f t="shared" si="0"/>
        <v>133964.47</v>
      </c>
      <c r="X62" s="29">
        <f t="shared" si="10"/>
        <v>133937.7</v>
      </c>
      <c r="Y62" s="29">
        <f t="shared" si="11"/>
        <v>-26.77</v>
      </c>
      <c r="Z62" s="26"/>
      <c r="AA62" s="1"/>
      <c r="AB62" s="1"/>
      <c r="AC62" s="1"/>
      <c r="AD62" s="1"/>
      <c r="AE62" s="1"/>
      <c r="AF62" s="1"/>
      <c r="AG62" s="1"/>
      <c r="AH62" s="1"/>
      <c r="AI62" s="1"/>
    </row>
    <row r="63" ht="20" customHeight="1" spans="1:35">
      <c r="A63" s="26">
        <v>55</v>
      </c>
      <c r="B63" s="26" t="s">
        <v>187</v>
      </c>
      <c r="C63" s="26" t="s">
        <v>185</v>
      </c>
      <c r="D63" s="26" t="s">
        <v>188</v>
      </c>
      <c r="E63" s="26" t="s">
        <v>71</v>
      </c>
      <c r="F63" s="29">
        <v>9.51</v>
      </c>
      <c r="G63" s="29">
        <v>10.26</v>
      </c>
      <c r="H63" s="38">
        <v>10.26</v>
      </c>
      <c r="I63" s="38"/>
      <c r="J63" s="29">
        <f t="shared" si="39"/>
        <v>0.75</v>
      </c>
      <c r="K63" s="29">
        <f t="shared" si="40"/>
        <v>0.75</v>
      </c>
      <c r="L63" s="29">
        <f t="shared" si="41"/>
        <v>0</v>
      </c>
      <c r="M63" s="37">
        <f t="shared" si="42"/>
        <v>0.0789</v>
      </c>
      <c r="N63" s="27">
        <v>9123.38</v>
      </c>
      <c r="O63" s="27">
        <v>10054.19</v>
      </c>
      <c r="P63" s="37">
        <f t="shared" si="43"/>
        <v>-0.0926</v>
      </c>
      <c r="Q63" s="29">
        <f t="shared" si="44"/>
        <v>7739.31</v>
      </c>
      <c r="R63" s="29">
        <f t="shared" si="45"/>
        <v>11562.32</v>
      </c>
      <c r="S63" s="29">
        <f t="shared" si="46"/>
        <v>9123.38</v>
      </c>
      <c r="T63" s="29">
        <v>86719.55</v>
      </c>
      <c r="U63" s="29">
        <v>93584.9</v>
      </c>
      <c r="V63" s="29">
        <f t="shared" si="47"/>
        <v>93562.09</v>
      </c>
      <c r="W63" s="29">
        <f t="shared" si="0"/>
        <v>6865.35</v>
      </c>
      <c r="X63" s="29">
        <f t="shared" si="10"/>
        <v>6842.54</v>
      </c>
      <c r="Y63" s="29">
        <f t="shared" si="11"/>
        <v>-22.81</v>
      </c>
      <c r="Z63" s="26"/>
      <c r="AA63" s="1"/>
      <c r="AB63" s="1"/>
      <c r="AC63" s="1"/>
      <c r="AD63" s="1"/>
      <c r="AE63" s="1"/>
      <c r="AF63" s="1"/>
      <c r="AG63" s="1"/>
      <c r="AH63" s="1"/>
      <c r="AI63" s="1"/>
    </row>
    <row r="64" ht="20" customHeight="1" spans="1:35">
      <c r="A64" s="26">
        <v>56</v>
      </c>
      <c r="B64" s="26" t="s">
        <v>189</v>
      </c>
      <c r="C64" s="26" t="s">
        <v>190</v>
      </c>
      <c r="D64" s="26" t="s">
        <v>191</v>
      </c>
      <c r="E64" s="26" t="s">
        <v>71</v>
      </c>
      <c r="F64" s="29">
        <v>5.92</v>
      </c>
      <c r="G64" s="29">
        <v>9.02</v>
      </c>
      <c r="H64" s="38">
        <v>9.02</v>
      </c>
      <c r="I64" s="38"/>
      <c r="J64" s="29">
        <f t="shared" si="39"/>
        <v>3.1</v>
      </c>
      <c r="K64" s="29">
        <f t="shared" si="40"/>
        <v>3.1</v>
      </c>
      <c r="L64" s="29">
        <f t="shared" si="41"/>
        <v>0</v>
      </c>
      <c r="M64" s="37">
        <f t="shared" si="42"/>
        <v>0.5236</v>
      </c>
      <c r="N64" s="27">
        <v>7232.27</v>
      </c>
      <c r="O64" s="27">
        <v>10133.72</v>
      </c>
      <c r="P64" s="37">
        <f t="shared" si="43"/>
        <v>-0.2863</v>
      </c>
      <c r="Q64" s="29">
        <f t="shared" si="44"/>
        <v>7800.53</v>
      </c>
      <c r="R64" s="29">
        <f t="shared" si="45"/>
        <v>11653.78</v>
      </c>
      <c r="S64" s="29">
        <f t="shared" si="46"/>
        <v>7800.53</v>
      </c>
      <c r="T64" s="29">
        <v>42788.28</v>
      </c>
      <c r="U64" s="29">
        <v>67004.25</v>
      </c>
      <c r="V64" s="29">
        <f t="shared" si="47"/>
        <v>66969.92</v>
      </c>
      <c r="W64" s="29">
        <f t="shared" si="0"/>
        <v>24215.97</v>
      </c>
      <c r="X64" s="29">
        <f t="shared" si="10"/>
        <v>24181.64</v>
      </c>
      <c r="Y64" s="29">
        <f t="shared" si="11"/>
        <v>-34.33</v>
      </c>
      <c r="Z64" s="26"/>
      <c r="AA64" s="1"/>
      <c r="AB64" s="1"/>
      <c r="AC64" s="1"/>
      <c r="AD64" s="1"/>
      <c r="AE64" s="1"/>
      <c r="AF64" s="1"/>
      <c r="AG64" s="1"/>
      <c r="AH64" s="1"/>
      <c r="AI64" s="1"/>
    </row>
    <row r="65" ht="20" customHeight="1" spans="1:35">
      <c r="A65" s="26">
        <v>57</v>
      </c>
      <c r="B65" s="26" t="s">
        <v>192</v>
      </c>
      <c r="C65" s="26" t="s">
        <v>193</v>
      </c>
      <c r="D65" s="26" t="s">
        <v>194</v>
      </c>
      <c r="E65" s="26" t="s">
        <v>71</v>
      </c>
      <c r="F65" s="29">
        <v>2.11</v>
      </c>
      <c r="G65" s="29">
        <v>2.12</v>
      </c>
      <c r="H65" s="38">
        <v>2.12</v>
      </c>
      <c r="I65" s="38"/>
      <c r="J65" s="29">
        <f t="shared" si="39"/>
        <v>0.01</v>
      </c>
      <c r="K65" s="29">
        <f t="shared" si="40"/>
        <v>0.01</v>
      </c>
      <c r="L65" s="29">
        <f t="shared" si="41"/>
        <v>0</v>
      </c>
      <c r="M65" s="37">
        <f t="shared" si="42"/>
        <v>0.0047</v>
      </c>
      <c r="N65" s="27">
        <v>9040.46</v>
      </c>
      <c r="O65" s="27">
        <v>10467.11</v>
      </c>
      <c r="P65" s="37">
        <f t="shared" si="43"/>
        <v>-0.1363</v>
      </c>
      <c r="Q65" s="29">
        <f t="shared" si="44"/>
        <v>8057.16</v>
      </c>
      <c r="R65" s="29">
        <f t="shared" si="45"/>
        <v>12037.18</v>
      </c>
      <c r="S65" s="29">
        <f t="shared" si="46"/>
        <v>9040.46</v>
      </c>
      <c r="T65" s="29">
        <v>19099.78</v>
      </c>
      <c r="U65" s="29">
        <v>19208.27</v>
      </c>
      <c r="V65" s="29">
        <f t="shared" si="47"/>
        <v>19190.18</v>
      </c>
      <c r="W65" s="29">
        <f t="shared" si="0"/>
        <v>108.49</v>
      </c>
      <c r="X65" s="29">
        <f t="shared" si="10"/>
        <v>90.4</v>
      </c>
      <c r="Y65" s="29">
        <f t="shared" si="11"/>
        <v>-18.09</v>
      </c>
      <c r="Z65" s="26"/>
      <c r="AA65" s="1"/>
      <c r="AB65" s="1"/>
      <c r="AC65" s="1"/>
      <c r="AD65" s="1"/>
      <c r="AE65" s="1"/>
      <c r="AF65" s="1"/>
      <c r="AG65" s="1"/>
      <c r="AH65" s="1"/>
      <c r="AI65" s="1"/>
    </row>
    <row r="66" ht="20" customHeight="1" spans="1:35">
      <c r="A66" s="26">
        <v>58</v>
      </c>
      <c r="B66" s="26" t="s">
        <v>195</v>
      </c>
      <c r="C66" s="26" t="s">
        <v>196</v>
      </c>
      <c r="D66" s="26" t="s">
        <v>197</v>
      </c>
      <c r="E66" s="26" t="s">
        <v>32</v>
      </c>
      <c r="F66" s="29">
        <v>1681.88</v>
      </c>
      <c r="G66" s="29">
        <v>1695</v>
      </c>
      <c r="H66" s="29">
        <f>317.9+1367.78</f>
        <v>1685.68</v>
      </c>
      <c r="I66" s="29"/>
      <c r="J66" s="29">
        <f t="shared" si="39"/>
        <v>13.12</v>
      </c>
      <c r="K66" s="29">
        <f t="shared" si="40"/>
        <v>3.8</v>
      </c>
      <c r="L66" s="29">
        <f t="shared" si="41"/>
        <v>-9.32</v>
      </c>
      <c r="M66" s="37">
        <f t="shared" si="42"/>
        <v>0.0078</v>
      </c>
      <c r="N66" s="27">
        <v>133.37</v>
      </c>
      <c r="O66" s="27">
        <v>156.01</v>
      </c>
      <c r="P66" s="37">
        <f t="shared" si="43"/>
        <v>-0.1451</v>
      </c>
      <c r="Q66" s="29">
        <f t="shared" si="44"/>
        <v>120.09</v>
      </c>
      <c r="R66" s="29">
        <f t="shared" si="45"/>
        <v>179.41</v>
      </c>
      <c r="S66" s="29">
        <f t="shared" si="46"/>
        <v>133.37</v>
      </c>
      <c r="T66" s="29">
        <v>224312.34</v>
      </c>
      <c r="U66" s="29">
        <v>226062.15</v>
      </c>
      <c r="V66" s="29">
        <f t="shared" si="47"/>
        <v>224819.15</v>
      </c>
      <c r="W66" s="29">
        <f t="shared" si="0"/>
        <v>1749.81</v>
      </c>
      <c r="X66" s="29">
        <f t="shared" si="10"/>
        <v>506.81</v>
      </c>
      <c r="Y66" s="29">
        <f t="shared" si="11"/>
        <v>-1243</v>
      </c>
      <c r="Z66" s="26"/>
      <c r="AA66" s="42" t="s">
        <v>198</v>
      </c>
      <c r="AB66" s="1"/>
      <c r="AC66" s="1"/>
      <c r="AD66" s="1"/>
      <c r="AE66" s="1"/>
      <c r="AF66" s="1"/>
      <c r="AG66" s="1"/>
      <c r="AH66" s="1"/>
      <c r="AI66" s="1"/>
    </row>
    <row r="67" ht="20" customHeight="1" spans="1:35">
      <c r="A67" s="26">
        <v>59</v>
      </c>
      <c r="B67" s="26" t="s">
        <v>199</v>
      </c>
      <c r="C67" s="26" t="s">
        <v>200</v>
      </c>
      <c r="D67" s="26" t="s">
        <v>201</v>
      </c>
      <c r="E67" s="26" t="s">
        <v>202</v>
      </c>
      <c r="F67" s="29">
        <v>5586</v>
      </c>
      <c r="G67" s="29">
        <v>6828</v>
      </c>
      <c r="H67" s="31">
        <v>6828</v>
      </c>
      <c r="I67" s="31"/>
      <c r="J67" s="29">
        <f t="shared" si="39"/>
        <v>1242</v>
      </c>
      <c r="K67" s="29">
        <f t="shared" si="40"/>
        <v>1242</v>
      </c>
      <c r="L67" s="29">
        <f t="shared" si="41"/>
        <v>0</v>
      </c>
      <c r="M67" s="37">
        <f t="shared" si="42"/>
        <v>0.2223</v>
      </c>
      <c r="N67" s="27">
        <v>3.34</v>
      </c>
      <c r="O67" s="27">
        <v>5.64</v>
      </c>
      <c r="P67" s="37">
        <f t="shared" si="43"/>
        <v>-0.4078</v>
      </c>
      <c r="Q67" s="29">
        <f t="shared" si="44"/>
        <v>4.34</v>
      </c>
      <c r="R67" s="29">
        <f t="shared" si="45"/>
        <v>6.49</v>
      </c>
      <c r="S67" s="29">
        <f t="shared" si="46"/>
        <v>4.34</v>
      </c>
      <c r="T67" s="29">
        <v>18657.24</v>
      </c>
      <c r="U67" s="29">
        <v>24049.32</v>
      </c>
      <c r="V67" s="29">
        <f t="shared" si="47"/>
        <v>24047.52</v>
      </c>
      <c r="W67" s="29">
        <f t="shared" si="0"/>
        <v>5392.08</v>
      </c>
      <c r="X67" s="29">
        <f t="shared" si="10"/>
        <v>5390.28</v>
      </c>
      <c r="Y67" s="29">
        <f t="shared" si="11"/>
        <v>-1.8</v>
      </c>
      <c r="Z67" s="26"/>
      <c r="AA67" s="1"/>
      <c r="AB67" s="1"/>
      <c r="AC67" s="1"/>
      <c r="AD67" s="1"/>
      <c r="AE67" s="1"/>
      <c r="AF67" s="1"/>
      <c r="AG67" s="1"/>
      <c r="AH67" s="1"/>
      <c r="AI67" s="1"/>
    </row>
    <row r="68" ht="20" customHeight="1" spans="1:35">
      <c r="A68" s="26">
        <v>60</v>
      </c>
      <c r="B68" s="26" t="s">
        <v>203</v>
      </c>
      <c r="C68" s="26" t="s">
        <v>204</v>
      </c>
      <c r="D68" s="26" t="s">
        <v>205</v>
      </c>
      <c r="E68" s="26" t="s">
        <v>32</v>
      </c>
      <c r="F68" s="29">
        <v>1681.88</v>
      </c>
      <c r="G68" s="29">
        <v>1695</v>
      </c>
      <c r="H68" s="29">
        <f>H66</f>
        <v>1685.68</v>
      </c>
      <c r="I68" s="29"/>
      <c r="J68" s="29">
        <f t="shared" si="39"/>
        <v>13.12</v>
      </c>
      <c r="K68" s="29">
        <f t="shared" si="40"/>
        <v>3.8</v>
      </c>
      <c r="L68" s="29">
        <f t="shared" si="41"/>
        <v>-9.32</v>
      </c>
      <c r="M68" s="37">
        <f t="shared" si="42"/>
        <v>0.0078</v>
      </c>
      <c r="N68" s="27">
        <v>32.5</v>
      </c>
      <c r="O68" s="27">
        <v>42.71</v>
      </c>
      <c r="P68" s="37">
        <f t="shared" si="43"/>
        <v>-0.2391</v>
      </c>
      <c r="Q68" s="29">
        <f t="shared" si="44"/>
        <v>32.88</v>
      </c>
      <c r="R68" s="29">
        <f t="shared" si="45"/>
        <v>49.12</v>
      </c>
      <c r="S68" s="29">
        <f t="shared" si="46"/>
        <v>32.88</v>
      </c>
      <c r="T68" s="29">
        <v>54661.1</v>
      </c>
      <c r="U68" s="29">
        <v>55092.44</v>
      </c>
      <c r="V68" s="29">
        <f t="shared" si="47"/>
        <v>54786.04</v>
      </c>
      <c r="W68" s="29">
        <f t="shared" ref="W68:W131" si="48">U68-T68</f>
        <v>431.34</v>
      </c>
      <c r="X68" s="29">
        <f t="shared" si="10"/>
        <v>124.94</v>
      </c>
      <c r="Y68" s="29">
        <f t="shared" si="11"/>
        <v>-306.4</v>
      </c>
      <c r="Z68" s="26"/>
      <c r="AA68" s="42" t="s">
        <v>204</v>
      </c>
      <c r="AB68" s="65">
        <v>1695</v>
      </c>
      <c r="AC68" s="1"/>
      <c r="AD68" s="1"/>
      <c r="AE68" s="1"/>
      <c r="AF68" s="1"/>
      <c r="AG68" s="1"/>
      <c r="AH68" s="1"/>
      <c r="AI68" s="1"/>
    </row>
    <row r="69" ht="20" customHeight="1" spans="1:35">
      <c r="A69" s="26">
        <v>61</v>
      </c>
      <c r="B69" s="26" t="s">
        <v>206</v>
      </c>
      <c r="C69" s="26" t="s">
        <v>204</v>
      </c>
      <c r="D69" s="26" t="s">
        <v>207</v>
      </c>
      <c r="E69" s="26" t="s">
        <v>32</v>
      </c>
      <c r="F69" s="29">
        <v>14.99</v>
      </c>
      <c r="G69" s="29">
        <v>25.23</v>
      </c>
      <c r="H69" s="29">
        <v>25.23</v>
      </c>
      <c r="I69" s="29"/>
      <c r="J69" s="29">
        <f t="shared" si="39"/>
        <v>10.24</v>
      </c>
      <c r="K69" s="29">
        <f t="shared" si="40"/>
        <v>10.24</v>
      </c>
      <c r="L69" s="29">
        <f t="shared" si="41"/>
        <v>0</v>
      </c>
      <c r="M69" s="37">
        <f t="shared" si="42"/>
        <v>0.6831</v>
      </c>
      <c r="N69" s="27">
        <v>311.94</v>
      </c>
      <c r="O69" s="27">
        <v>214.23</v>
      </c>
      <c r="P69" s="37">
        <f t="shared" si="43"/>
        <v>0.4561</v>
      </c>
      <c r="Q69" s="29">
        <f t="shared" si="44"/>
        <v>164.91</v>
      </c>
      <c r="R69" s="29">
        <f t="shared" si="45"/>
        <v>246.36</v>
      </c>
      <c r="S69" s="29">
        <f t="shared" si="46"/>
        <v>246.36</v>
      </c>
      <c r="T69" s="29">
        <v>4675.98</v>
      </c>
      <c r="U69" s="29">
        <v>7198.75</v>
      </c>
      <c r="V69" s="29">
        <f t="shared" si="47"/>
        <v>7198.71</v>
      </c>
      <c r="W69" s="29">
        <f t="shared" si="48"/>
        <v>2522.77</v>
      </c>
      <c r="X69" s="29">
        <f t="shared" ref="X69:X132" si="49">V69-T69</f>
        <v>2522.73</v>
      </c>
      <c r="Y69" s="29">
        <f t="shared" ref="Y69:Y132" si="50">V69-U69</f>
        <v>-0.04</v>
      </c>
      <c r="Z69" s="26"/>
      <c r="AA69" s="1"/>
      <c r="AB69" s="1"/>
      <c r="AC69" s="1"/>
      <c r="AD69" s="1"/>
      <c r="AE69" s="1"/>
      <c r="AF69" s="1"/>
      <c r="AG69" s="1"/>
      <c r="AH69" s="1"/>
      <c r="AI69" s="1"/>
    </row>
    <row r="70" ht="20" customHeight="1" spans="1:35">
      <c r="A70" s="26">
        <v>62</v>
      </c>
      <c r="B70" s="26" t="s">
        <v>208</v>
      </c>
      <c r="C70" s="26" t="s">
        <v>204</v>
      </c>
      <c r="D70" s="26" t="s">
        <v>209</v>
      </c>
      <c r="E70" s="26" t="s">
        <v>32</v>
      </c>
      <c r="F70" s="29">
        <v>3436.94</v>
      </c>
      <c r="G70" s="29">
        <v>2873.67</v>
      </c>
      <c r="H70" s="29">
        <v>2873.67</v>
      </c>
      <c r="I70" s="29"/>
      <c r="J70" s="29">
        <f t="shared" si="39"/>
        <v>-563.27</v>
      </c>
      <c r="K70" s="29">
        <f t="shared" si="40"/>
        <v>-563.27</v>
      </c>
      <c r="L70" s="29">
        <f t="shared" si="41"/>
        <v>0</v>
      </c>
      <c r="M70" s="37">
        <f t="shared" si="42"/>
        <v>-0.1639</v>
      </c>
      <c r="N70" s="27">
        <v>116.14</v>
      </c>
      <c r="O70" s="27">
        <v>114.29</v>
      </c>
      <c r="P70" s="37">
        <f t="shared" si="43"/>
        <v>0.0162</v>
      </c>
      <c r="Q70" s="29">
        <f t="shared" si="44"/>
        <v>87.98</v>
      </c>
      <c r="R70" s="29">
        <f t="shared" si="45"/>
        <v>131.43</v>
      </c>
      <c r="S70" s="29">
        <f t="shared" si="46"/>
        <v>116.14</v>
      </c>
      <c r="T70" s="29">
        <v>399166.21</v>
      </c>
      <c r="U70" s="29">
        <v>333748.03</v>
      </c>
      <c r="V70" s="29">
        <f t="shared" si="47"/>
        <v>333748.03</v>
      </c>
      <c r="W70" s="29">
        <f t="shared" si="48"/>
        <v>-65418.18</v>
      </c>
      <c r="X70" s="29">
        <f t="shared" si="49"/>
        <v>-65418.18</v>
      </c>
      <c r="Y70" s="29">
        <f t="shared" si="50"/>
        <v>0</v>
      </c>
      <c r="Z70" s="26"/>
      <c r="AA70" s="1"/>
      <c r="AB70" s="1"/>
      <c r="AC70" s="1"/>
      <c r="AD70" s="1"/>
      <c r="AE70" s="1"/>
      <c r="AF70" s="1"/>
      <c r="AG70" s="1"/>
      <c r="AH70" s="1"/>
      <c r="AI70" s="1"/>
    </row>
    <row r="71" ht="20" customHeight="1" spans="1:35">
      <c r="A71" s="26">
        <v>63</v>
      </c>
      <c r="B71" s="26" t="s">
        <v>210</v>
      </c>
      <c r="C71" s="26" t="s">
        <v>211</v>
      </c>
      <c r="D71" s="26" t="s">
        <v>212</v>
      </c>
      <c r="E71" s="26" t="s">
        <v>32</v>
      </c>
      <c r="F71" s="29">
        <v>36.82</v>
      </c>
      <c r="G71" s="29">
        <v>37.24</v>
      </c>
      <c r="H71" s="29">
        <v>37.24</v>
      </c>
      <c r="I71" s="29"/>
      <c r="J71" s="29">
        <f t="shared" si="39"/>
        <v>0.42</v>
      </c>
      <c r="K71" s="29">
        <f t="shared" si="40"/>
        <v>0.42</v>
      </c>
      <c r="L71" s="29">
        <f t="shared" si="41"/>
        <v>0</v>
      </c>
      <c r="M71" s="37">
        <f t="shared" si="42"/>
        <v>0.0114</v>
      </c>
      <c r="N71" s="27">
        <v>812.19</v>
      </c>
      <c r="O71" s="27">
        <v>537.81</v>
      </c>
      <c r="P71" s="37">
        <f t="shared" si="43"/>
        <v>0.5102</v>
      </c>
      <c r="Q71" s="29">
        <f t="shared" si="44"/>
        <v>413.98</v>
      </c>
      <c r="R71" s="29">
        <f t="shared" si="45"/>
        <v>618.48</v>
      </c>
      <c r="S71" s="29">
        <f t="shared" si="46"/>
        <v>618.48</v>
      </c>
      <c r="T71" s="29">
        <v>29904.84</v>
      </c>
      <c r="U71" s="29">
        <v>30166.21</v>
      </c>
      <c r="V71" s="29">
        <f t="shared" si="47"/>
        <v>30164.6</v>
      </c>
      <c r="W71" s="29">
        <f t="shared" si="48"/>
        <v>261.37</v>
      </c>
      <c r="X71" s="29">
        <f t="shared" si="49"/>
        <v>259.76</v>
      </c>
      <c r="Y71" s="29">
        <f t="shared" si="50"/>
        <v>-1.61</v>
      </c>
      <c r="Z71" s="26"/>
      <c r="AA71" s="1"/>
      <c r="AB71" s="1"/>
      <c r="AC71" s="1"/>
      <c r="AD71" s="1"/>
      <c r="AE71" s="1"/>
      <c r="AF71" s="1"/>
      <c r="AG71" s="1"/>
      <c r="AH71" s="1"/>
      <c r="AI71" s="1"/>
    </row>
    <row r="72" ht="20" customHeight="1" spans="1:35">
      <c r="A72" s="26"/>
      <c r="B72" s="26"/>
      <c r="C72" s="26" t="s">
        <v>213</v>
      </c>
      <c r="D72" s="26"/>
      <c r="E72" s="26"/>
      <c r="F72" s="29"/>
      <c r="G72" s="29"/>
      <c r="H72" s="29"/>
      <c r="I72" s="29"/>
      <c r="J72" s="29"/>
      <c r="K72" s="29"/>
      <c r="L72" s="29"/>
      <c r="M72" s="37"/>
      <c r="N72" s="27"/>
      <c r="O72" s="27"/>
      <c r="P72" s="37"/>
      <c r="Q72" s="29"/>
      <c r="R72" s="29"/>
      <c r="S72" s="29"/>
      <c r="T72" s="29">
        <v>954137.67</v>
      </c>
      <c r="U72" s="29">
        <v>998562.19</v>
      </c>
      <c r="V72" s="29">
        <f>+SUM(V73:V93)</f>
        <v>961125.28</v>
      </c>
      <c r="W72" s="29">
        <f t="shared" si="48"/>
        <v>44424.52</v>
      </c>
      <c r="X72" s="29">
        <f t="shared" si="49"/>
        <v>6987.61</v>
      </c>
      <c r="Y72" s="29">
        <f t="shared" si="50"/>
        <v>-37436.91</v>
      </c>
      <c r="Z72" s="26"/>
      <c r="AA72" s="42"/>
      <c r="AB72" s="1"/>
      <c r="AC72" s="1"/>
      <c r="AD72" s="1"/>
      <c r="AE72" s="1"/>
      <c r="AF72" s="1"/>
      <c r="AG72" s="1"/>
      <c r="AH72" s="1"/>
      <c r="AI72" s="1"/>
    </row>
    <row r="73" ht="20" customHeight="1" spans="1:35">
      <c r="A73" s="26">
        <v>64</v>
      </c>
      <c r="B73" s="26" t="s">
        <v>214</v>
      </c>
      <c r="C73" s="26" t="s">
        <v>215</v>
      </c>
      <c r="D73" s="26" t="s">
        <v>216</v>
      </c>
      <c r="E73" s="26" t="s">
        <v>32</v>
      </c>
      <c r="F73" s="29">
        <v>2.3</v>
      </c>
      <c r="G73" s="29">
        <v>3.85</v>
      </c>
      <c r="H73" s="29">
        <v>3.85</v>
      </c>
      <c r="I73" s="29"/>
      <c r="J73" s="29">
        <f t="shared" ref="J73:J93" si="51">G73-F73</f>
        <v>1.55</v>
      </c>
      <c r="K73" s="29">
        <f t="shared" ref="K73:K93" si="52">H73-F73</f>
        <v>1.55</v>
      </c>
      <c r="L73" s="29">
        <f t="shared" ref="L73:L93" si="53">H73-G73</f>
        <v>0</v>
      </c>
      <c r="M73" s="37">
        <f t="shared" ref="M73:M93" si="54">J73/F73</f>
        <v>0.6739</v>
      </c>
      <c r="N73" s="27">
        <v>569.81</v>
      </c>
      <c r="O73" s="27">
        <v>650.54</v>
      </c>
      <c r="P73" s="37">
        <f t="shared" ref="P73:P93" si="55">(N73-O73)/O73</f>
        <v>-0.1241</v>
      </c>
      <c r="Q73" s="29">
        <f t="shared" ref="Q73:Q93" si="56">O73*0.9056*0.85</f>
        <v>500.76</v>
      </c>
      <c r="R73" s="29">
        <f t="shared" ref="R73:R93" si="57">O73*1.15</f>
        <v>748.12</v>
      </c>
      <c r="S73" s="29">
        <f t="shared" ref="S73:S93" si="58">IF(N73&lt;O73*0.9056*0.85,O73*0.9056*0.85,IF(N73&gt;O73*1.15,O73*1.15,N73))</f>
        <v>569.81</v>
      </c>
      <c r="T73" s="29">
        <v>1310.56</v>
      </c>
      <c r="U73" s="29">
        <v>2193.77</v>
      </c>
      <c r="V73" s="29">
        <f t="shared" ref="V73:V86" si="59">T73+S73*K73</f>
        <v>2193.77</v>
      </c>
      <c r="W73" s="29">
        <f t="shared" si="48"/>
        <v>883.21</v>
      </c>
      <c r="X73" s="29">
        <f t="shared" si="49"/>
        <v>883.21</v>
      </c>
      <c r="Y73" s="29">
        <f t="shared" si="50"/>
        <v>0</v>
      </c>
      <c r="Z73" s="26"/>
      <c r="AA73" s="1"/>
      <c r="AB73" s="1"/>
      <c r="AC73" s="1"/>
      <c r="AD73" s="1"/>
      <c r="AE73" s="1"/>
      <c r="AF73" s="1"/>
      <c r="AG73" s="1"/>
      <c r="AH73" s="1"/>
      <c r="AI73" s="1"/>
    </row>
    <row r="74" s="7" customFormat="1" ht="20" customHeight="1" spans="1:35">
      <c r="A74" s="26">
        <v>65</v>
      </c>
      <c r="B74" s="26" t="s">
        <v>217</v>
      </c>
      <c r="C74" s="26" t="s">
        <v>215</v>
      </c>
      <c r="D74" s="26" t="s">
        <v>218</v>
      </c>
      <c r="E74" s="26" t="s">
        <v>32</v>
      </c>
      <c r="F74" s="29">
        <v>7.25</v>
      </c>
      <c r="G74" s="29">
        <v>11.15</v>
      </c>
      <c r="H74" s="29">
        <v>11.15</v>
      </c>
      <c r="I74" s="29"/>
      <c r="J74" s="29">
        <f t="shared" si="51"/>
        <v>3.9</v>
      </c>
      <c r="K74" s="29">
        <f t="shared" si="52"/>
        <v>3.9</v>
      </c>
      <c r="L74" s="29">
        <f t="shared" si="53"/>
        <v>0</v>
      </c>
      <c r="M74" s="37">
        <f t="shared" si="54"/>
        <v>0.5379</v>
      </c>
      <c r="N74" s="27">
        <v>547.91</v>
      </c>
      <c r="O74" s="27">
        <v>602.37</v>
      </c>
      <c r="P74" s="37">
        <f t="shared" si="55"/>
        <v>-0.0904</v>
      </c>
      <c r="Q74" s="29">
        <f t="shared" si="56"/>
        <v>463.68</v>
      </c>
      <c r="R74" s="29">
        <f t="shared" si="57"/>
        <v>692.73</v>
      </c>
      <c r="S74" s="29">
        <f t="shared" si="58"/>
        <v>547.91</v>
      </c>
      <c r="T74" s="29">
        <v>3969.61</v>
      </c>
      <c r="U74" s="29">
        <v>6106.46</v>
      </c>
      <c r="V74" s="29">
        <f t="shared" si="59"/>
        <v>6106.46</v>
      </c>
      <c r="W74" s="29">
        <f t="shared" si="48"/>
        <v>2136.85</v>
      </c>
      <c r="X74" s="29">
        <f t="shared" si="49"/>
        <v>2136.85</v>
      </c>
      <c r="Y74" s="29">
        <f t="shared" si="50"/>
        <v>0</v>
      </c>
      <c r="Z74" s="26"/>
      <c r="AA74" s="1"/>
      <c r="AB74" s="1"/>
      <c r="AC74" s="1"/>
      <c r="AD74" s="1"/>
      <c r="AE74" s="1"/>
      <c r="AF74" s="1"/>
      <c r="AG74" s="1"/>
      <c r="AH74" s="1"/>
      <c r="AI74" s="1"/>
    </row>
    <row r="75" ht="20" customHeight="1" spans="1:35">
      <c r="A75" s="26">
        <v>66</v>
      </c>
      <c r="B75" s="26" t="s">
        <v>219</v>
      </c>
      <c r="C75" s="26" t="s">
        <v>215</v>
      </c>
      <c r="D75" s="26" t="s">
        <v>220</v>
      </c>
      <c r="E75" s="26" t="s">
        <v>32</v>
      </c>
      <c r="F75" s="29">
        <v>9.6</v>
      </c>
      <c r="G75" s="29">
        <v>17.6</v>
      </c>
      <c r="H75" s="29">
        <f>14.4+3.2</f>
        <v>17.6</v>
      </c>
      <c r="I75" s="29"/>
      <c r="J75" s="29">
        <f t="shared" si="51"/>
        <v>8</v>
      </c>
      <c r="K75" s="29">
        <f t="shared" si="52"/>
        <v>8</v>
      </c>
      <c r="L75" s="29">
        <f t="shared" si="53"/>
        <v>0</v>
      </c>
      <c r="M75" s="37">
        <f t="shared" si="54"/>
        <v>0.8333</v>
      </c>
      <c r="N75" s="27">
        <v>585.85</v>
      </c>
      <c r="O75" s="27">
        <v>565.65</v>
      </c>
      <c r="P75" s="37">
        <f t="shared" si="55"/>
        <v>0.0357</v>
      </c>
      <c r="Q75" s="29">
        <f t="shared" si="56"/>
        <v>435.41</v>
      </c>
      <c r="R75" s="29">
        <f t="shared" si="57"/>
        <v>650.5</v>
      </c>
      <c r="S75" s="29">
        <f t="shared" si="58"/>
        <v>585.85</v>
      </c>
      <c r="T75" s="29">
        <v>5624.16</v>
      </c>
      <c r="U75" s="29">
        <v>10310.96</v>
      </c>
      <c r="V75" s="29">
        <f t="shared" si="59"/>
        <v>10310.96</v>
      </c>
      <c r="W75" s="29">
        <f t="shared" si="48"/>
        <v>4686.8</v>
      </c>
      <c r="X75" s="29">
        <f t="shared" si="49"/>
        <v>4686.8</v>
      </c>
      <c r="Y75" s="29">
        <f t="shared" si="50"/>
        <v>0</v>
      </c>
      <c r="Z75" s="26"/>
      <c r="AA75" s="1"/>
      <c r="AB75" s="1"/>
      <c r="AC75" s="1"/>
      <c r="AD75" s="1"/>
      <c r="AE75" s="1"/>
      <c r="AF75" s="1"/>
      <c r="AG75" s="1"/>
      <c r="AH75" s="1"/>
      <c r="AI75" s="1"/>
    </row>
    <row r="76" ht="20" customHeight="1" spans="1:35">
      <c r="A76" s="26">
        <v>67</v>
      </c>
      <c r="B76" s="26" t="s">
        <v>221</v>
      </c>
      <c r="C76" s="26" t="s">
        <v>215</v>
      </c>
      <c r="D76" s="26" t="s">
        <v>222</v>
      </c>
      <c r="E76" s="26" t="s">
        <v>32</v>
      </c>
      <c r="F76" s="29">
        <v>16.4</v>
      </c>
      <c r="G76" s="29">
        <v>16.4</v>
      </c>
      <c r="H76" s="29">
        <v>16.4</v>
      </c>
      <c r="I76" s="29"/>
      <c r="J76" s="29">
        <f t="shared" si="51"/>
        <v>0</v>
      </c>
      <c r="K76" s="29">
        <f t="shared" si="52"/>
        <v>0</v>
      </c>
      <c r="L76" s="29">
        <f t="shared" si="53"/>
        <v>0</v>
      </c>
      <c r="M76" s="37">
        <f t="shared" si="54"/>
        <v>0</v>
      </c>
      <c r="N76" s="27">
        <v>585.83</v>
      </c>
      <c r="O76" s="27">
        <v>686.35</v>
      </c>
      <c r="P76" s="37">
        <f t="shared" si="55"/>
        <v>-0.1465</v>
      </c>
      <c r="Q76" s="29">
        <f t="shared" si="56"/>
        <v>528.32</v>
      </c>
      <c r="R76" s="29">
        <f t="shared" si="57"/>
        <v>789.3</v>
      </c>
      <c r="S76" s="29">
        <f t="shared" si="58"/>
        <v>585.83</v>
      </c>
      <c r="T76" s="29">
        <v>9607.61</v>
      </c>
      <c r="U76" s="29">
        <v>9607.61</v>
      </c>
      <c r="V76" s="29">
        <f t="shared" si="59"/>
        <v>9607.61</v>
      </c>
      <c r="W76" s="29">
        <f t="shared" si="48"/>
        <v>0</v>
      </c>
      <c r="X76" s="29">
        <f t="shared" si="49"/>
        <v>0</v>
      </c>
      <c r="Y76" s="29">
        <f t="shared" si="50"/>
        <v>0</v>
      </c>
      <c r="Z76" s="26"/>
      <c r="AA76" s="1"/>
      <c r="AB76" s="1"/>
      <c r="AC76" s="1"/>
      <c r="AD76" s="1"/>
      <c r="AE76" s="1"/>
      <c r="AF76" s="1"/>
      <c r="AG76" s="1"/>
      <c r="AH76" s="1"/>
      <c r="AI76" s="1"/>
    </row>
    <row r="77" ht="20" customHeight="1" spans="1:35">
      <c r="A77" s="26">
        <v>68</v>
      </c>
      <c r="B77" s="26" t="s">
        <v>223</v>
      </c>
      <c r="C77" s="26" t="s">
        <v>215</v>
      </c>
      <c r="D77" s="26" t="s">
        <v>224</v>
      </c>
      <c r="E77" s="26" t="s">
        <v>32</v>
      </c>
      <c r="F77" s="29">
        <v>38.87</v>
      </c>
      <c r="G77" s="29">
        <v>52.67</v>
      </c>
      <c r="H77" s="29">
        <f>3.68+40.71+8.28</f>
        <v>52.67</v>
      </c>
      <c r="I77" s="29"/>
      <c r="J77" s="29">
        <f t="shared" si="51"/>
        <v>13.8</v>
      </c>
      <c r="K77" s="29">
        <f t="shared" si="52"/>
        <v>13.8</v>
      </c>
      <c r="L77" s="29">
        <f t="shared" si="53"/>
        <v>0</v>
      </c>
      <c r="M77" s="37">
        <f t="shared" si="54"/>
        <v>0.355</v>
      </c>
      <c r="N77" s="27">
        <v>514.69</v>
      </c>
      <c r="O77" s="27">
        <v>636.8</v>
      </c>
      <c r="P77" s="37">
        <f t="shared" si="55"/>
        <v>-0.1918</v>
      </c>
      <c r="Q77" s="29">
        <f t="shared" si="56"/>
        <v>490.18</v>
      </c>
      <c r="R77" s="29">
        <f t="shared" si="57"/>
        <v>732.32</v>
      </c>
      <c r="S77" s="29">
        <f t="shared" si="58"/>
        <v>514.69</v>
      </c>
      <c r="T77" s="29">
        <v>20006</v>
      </c>
      <c r="U77" s="29">
        <v>27108.72</v>
      </c>
      <c r="V77" s="29">
        <f t="shared" si="59"/>
        <v>27108.72</v>
      </c>
      <c r="W77" s="29">
        <f t="shared" si="48"/>
        <v>7102.72</v>
      </c>
      <c r="X77" s="29">
        <f t="shared" si="49"/>
        <v>7102.72</v>
      </c>
      <c r="Y77" s="29">
        <f t="shared" si="50"/>
        <v>0</v>
      </c>
      <c r="Z77" s="26"/>
      <c r="AA77" s="1"/>
      <c r="AB77" s="1"/>
      <c r="AC77" s="1"/>
      <c r="AD77" s="1"/>
      <c r="AE77" s="1"/>
      <c r="AF77" s="1"/>
      <c r="AG77" s="1"/>
      <c r="AH77" s="1"/>
      <c r="AI77" s="1"/>
    </row>
    <row r="78" ht="20" customHeight="1" spans="1:35">
      <c r="A78" s="26">
        <v>69</v>
      </c>
      <c r="B78" s="26" t="s">
        <v>225</v>
      </c>
      <c r="C78" s="26" t="s">
        <v>215</v>
      </c>
      <c r="D78" s="26" t="s">
        <v>226</v>
      </c>
      <c r="E78" s="26" t="s">
        <v>32</v>
      </c>
      <c r="F78" s="29">
        <v>8.28</v>
      </c>
      <c r="G78" s="29">
        <v>8.28</v>
      </c>
      <c r="H78" s="29">
        <v>8.28</v>
      </c>
      <c r="I78" s="29"/>
      <c r="J78" s="29">
        <f t="shared" si="51"/>
        <v>0</v>
      </c>
      <c r="K78" s="29">
        <f t="shared" si="52"/>
        <v>0</v>
      </c>
      <c r="L78" s="29">
        <f t="shared" si="53"/>
        <v>0</v>
      </c>
      <c r="M78" s="37">
        <f t="shared" si="54"/>
        <v>0</v>
      </c>
      <c r="N78" s="27">
        <v>554.23</v>
      </c>
      <c r="O78" s="27">
        <v>636.94</v>
      </c>
      <c r="P78" s="37">
        <f t="shared" si="55"/>
        <v>-0.1299</v>
      </c>
      <c r="Q78" s="29">
        <f t="shared" si="56"/>
        <v>490.29</v>
      </c>
      <c r="R78" s="29">
        <f t="shared" si="57"/>
        <v>732.48</v>
      </c>
      <c r="S78" s="29">
        <f t="shared" si="58"/>
        <v>554.23</v>
      </c>
      <c r="T78" s="29">
        <v>4589.02</v>
      </c>
      <c r="U78" s="29">
        <v>4589.02</v>
      </c>
      <c r="V78" s="29">
        <f t="shared" si="59"/>
        <v>4589.02</v>
      </c>
      <c r="W78" s="29">
        <f t="shared" si="48"/>
        <v>0</v>
      </c>
      <c r="X78" s="29">
        <f t="shared" si="49"/>
        <v>0</v>
      </c>
      <c r="Y78" s="29">
        <f t="shared" si="50"/>
        <v>0</v>
      </c>
      <c r="Z78" s="26"/>
      <c r="AA78" s="1"/>
      <c r="AB78" s="1"/>
      <c r="AC78" s="1"/>
      <c r="AD78" s="1"/>
      <c r="AE78" s="1"/>
      <c r="AF78" s="1"/>
      <c r="AG78" s="1"/>
      <c r="AH78" s="1"/>
      <c r="AI78" s="1"/>
    </row>
    <row r="79" ht="20" customHeight="1" spans="1:35">
      <c r="A79" s="26">
        <v>70</v>
      </c>
      <c r="B79" s="26" t="s">
        <v>227</v>
      </c>
      <c r="C79" s="26" t="s">
        <v>228</v>
      </c>
      <c r="D79" s="26" t="s">
        <v>229</v>
      </c>
      <c r="E79" s="26" t="s">
        <v>32</v>
      </c>
      <c r="F79" s="29">
        <v>33.81</v>
      </c>
      <c r="G79" s="29">
        <v>33.81</v>
      </c>
      <c r="H79" s="29">
        <f>28.98+4.83</f>
        <v>33.81</v>
      </c>
      <c r="I79" s="29"/>
      <c r="J79" s="29">
        <f t="shared" si="51"/>
        <v>0</v>
      </c>
      <c r="K79" s="29">
        <f t="shared" si="52"/>
        <v>0</v>
      </c>
      <c r="L79" s="29">
        <f t="shared" si="53"/>
        <v>0</v>
      </c>
      <c r="M79" s="37">
        <f t="shared" si="54"/>
        <v>0</v>
      </c>
      <c r="N79" s="27">
        <v>767.13</v>
      </c>
      <c r="O79" s="27">
        <v>592.75</v>
      </c>
      <c r="P79" s="37">
        <f t="shared" si="55"/>
        <v>0.2942</v>
      </c>
      <c r="Q79" s="29">
        <f t="shared" si="56"/>
        <v>456.28</v>
      </c>
      <c r="R79" s="29">
        <f t="shared" si="57"/>
        <v>681.66</v>
      </c>
      <c r="S79" s="29">
        <f t="shared" si="58"/>
        <v>681.66</v>
      </c>
      <c r="T79" s="29">
        <v>25936.67</v>
      </c>
      <c r="U79" s="29">
        <v>25936.67</v>
      </c>
      <c r="V79" s="29">
        <f t="shared" si="59"/>
        <v>25936.67</v>
      </c>
      <c r="W79" s="29">
        <f t="shared" si="48"/>
        <v>0</v>
      </c>
      <c r="X79" s="29">
        <f t="shared" si="49"/>
        <v>0</v>
      </c>
      <c r="Y79" s="29">
        <f t="shared" si="50"/>
        <v>0</v>
      </c>
      <c r="Z79" s="26"/>
      <c r="AA79" s="1"/>
      <c r="AB79" s="1"/>
      <c r="AC79" s="1"/>
      <c r="AD79" s="1"/>
      <c r="AE79" s="1"/>
      <c r="AF79" s="1"/>
      <c r="AG79" s="1"/>
      <c r="AH79" s="1"/>
      <c r="AI79" s="1"/>
    </row>
    <row r="80" ht="20" customHeight="1" spans="1:35">
      <c r="A80" s="26">
        <v>71</v>
      </c>
      <c r="B80" s="26" t="s">
        <v>230</v>
      </c>
      <c r="C80" s="26" t="s">
        <v>228</v>
      </c>
      <c r="D80" s="26" t="s">
        <v>231</v>
      </c>
      <c r="E80" s="26" t="s">
        <v>32</v>
      </c>
      <c r="F80" s="29">
        <v>77.74</v>
      </c>
      <c r="G80" s="29">
        <v>77.74</v>
      </c>
      <c r="H80" s="29">
        <f>10.35+57.04</f>
        <v>67.39</v>
      </c>
      <c r="I80" s="29"/>
      <c r="J80" s="29">
        <f t="shared" si="51"/>
        <v>0</v>
      </c>
      <c r="K80" s="29">
        <f t="shared" si="52"/>
        <v>-10.35</v>
      </c>
      <c r="L80" s="29">
        <f t="shared" si="53"/>
        <v>-10.35</v>
      </c>
      <c r="M80" s="37">
        <f t="shared" si="54"/>
        <v>0</v>
      </c>
      <c r="N80" s="27">
        <v>818.97</v>
      </c>
      <c r="O80" s="27">
        <v>638.31</v>
      </c>
      <c r="P80" s="37">
        <f t="shared" si="55"/>
        <v>0.283</v>
      </c>
      <c r="Q80" s="29">
        <f t="shared" si="56"/>
        <v>491.35</v>
      </c>
      <c r="R80" s="29">
        <f t="shared" si="57"/>
        <v>734.06</v>
      </c>
      <c r="S80" s="29">
        <f t="shared" si="58"/>
        <v>734.06</v>
      </c>
      <c r="T80" s="29">
        <v>63666.73</v>
      </c>
      <c r="U80" s="29">
        <v>63666.73</v>
      </c>
      <c r="V80" s="29">
        <f t="shared" si="59"/>
        <v>56069.21</v>
      </c>
      <c r="W80" s="29">
        <f t="shared" si="48"/>
        <v>0</v>
      </c>
      <c r="X80" s="29">
        <f t="shared" si="49"/>
        <v>-7597.52</v>
      </c>
      <c r="Y80" s="29">
        <f t="shared" si="50"/>
        <v>-7597.52</v>
      </c>
      <c r="Z80" s="26"/>
      <c r="AA80" s="1"/>
      <c r="AB80" s="1"/>
      <c r="AC80" s="1"/>
      <c r="AD80" s="1"/>
      <c r="AE80" s="1"/>
      <c r="AF80" s="1"/>
      <c r="AG80" s="1"/>
      <c r="AH80" s="1"/>
      <c r="AI80" s="1"/>
    </row>
    <row r="81" ht="20" customHeight="1" spans="1:35">
      <c r="A81" s="26">
        <v>72</v>
      </c>
      <c r="B81" s="26" t="s">
        <v>232</v>
      </c>
      <c r="C81" s="26" t="s">
        <v>228</v>
      </c>
      <c r="D81" s="26" t="s">
        <v>233</v>
      </c>
      <c r="E81" s="26" t="s">
        <v>32</v>
      </c>
      <c r="F81" s="29">
        <v>8.28</v>
      </c>
      <c r="G81" s="29">
        <v>13.32</v>
      </c>
      <c r="H81" s="29">
        <v>8.28</v>
      </c>
      <c r="I81" s="29"/>
      <c r="J81" s="29">
        <f t="shared" si="51"/>
        <v>5.04</v>
      </c>
      <c r="K81" s="29">
        <f t="shared" si="52"/>
        <v>0</v>
      </c>
      <c r="L81" s="29">
        <f t="shared" si="53"/>
        <v>-5.04</v>
      </c>
      <c r="M81" s="37">
        <f t="shared" si="54"/>
        <v>0.6087</v>
      </c>
      <c r="N81" s="27">
        <v>880.74</v>
      </c>
      <c r="O81" s="27">
        <v>636.94</v>
      </c>
      <c r="P81" s="37">
        <f t="shared" si="55"/>
        <v>0.3828</v>
      </c>
      <c r="Q81" s="29">
        <f t="shared" si="56"/>
        <v>490.29</v>
      </c>
      <c r="R81" s="29">
        <f t="shared" si="57"/>
        <v>732.48</v>
      </c>
      <c r="S81" s="29">
        <f t="shared" si="58"/>
        <v>732.48</v>
      </c>
      <c r="T81" s="29">
        <v>7292.53</v>
      </c>
      <c r="U81" s="29">
        <v>10984.23</v>
      </c>
      <c r="V81" s="29">
        <f t="shared" si="59"/>
        <v>7292.53</v>
      </c>
      <c r="W81" s="29">
        <f t="shared" si="48"/>
        <v>3691.7</v>
      </c>
      <c r="X81" s="29">
        <f t="shared" si="49"/>
        <v>0</v>
      </c>
      <c r="Y81" s="29">
        <f t="shared" si="50"/>
        <v>-3691.7</v>
      </c>
      <c r="Z81" s="26"/>
      <c r="AA81" s="1"/>
      <c r="AB81" s="1"/>
      <c r="AC81" s="1"/>
      <c r="AD81" s="1"/>
      <c r="AE81" s="1"/>
      <c r="AF81" s="1"/>
      <c r="AG81" s="1"/>
      <c r="AH81" s="1"/>
      <c r="AI81" s="1"/>
    </row>
    <row r="82" ht="20" customHeight="1" spans="1:35">
      <c r="A82" s="26">
        <v>73</v>
      </c>
      <c r="B82" s="26" t="s">
        <v>234</v>
      </c>
      <c r="C82" s="26" t="s">
        <v>228</v>
      </c>
      <c r="D82" s="26" t="s">
        <v>235</v>
      </c>
      <c r="E82" s="26" t="s">
        <v>32</v>
      </c>
      <c r="F82" s="29">
        <v>95.98</v>
      </c>
      <c r="G82" s="29">
        <v>95.98</v>
      </c>
      <c r="H82" s="29">
        <f>67.76+27.9</f>
        <v>95.66</v>
      </c>
      <c r="I82" s="29"/>
      <c r="J82" s="29">
        <f t="shared" si="51"/>
        <v>0</v>
      </c>
      <c r="K82" s="29">
        <f t="shared" si="52"/>
        <v>-0.32</v>
      </c>
      <c r="L82" s="29">
        <f t="shared" si="53"/>
        <v>-0.32</v>
      </c>
      <c r="M82" s="37">
        <f t="shared" si="54"/>
        <v>0</v>
      </c>
      <c r="N82" s="27">
        <v>735.1</v>
      </c>
      <c r="O82" s="27">
        <v>686.26</v>
      </c>
      <c r="P82" s="37">
        <f t="shared" si="55"/>
        <v>0.0712</v>
      </c>
      <c r="Q82" s="29">
        <f t="shared" si="56"/>
        <v>528.26</v>
      </c>
      <c r="R82" s="29">
        <f t="shared" si="57"/>
        <v>789.2</v>
      </c>
      <c r="S82" s="29">
        <f t="shared" si="58"/>
        <v>735.1</v>
      </c>
      <c r="T82" s="29">
        <v>70554.9</v>
      </c>
      <c r="U82" s="29">
        <v>70554.9</v>
      </c>
      <c r="V82" s="29">
        <f t="shared" si="59"/>
        <v>70319.67</v>
      </c>
      <c r="W82" s="29">
        <f t="shared" si="48"/>
        <v>0</v>
      </c>
      <c r="X82" s="29">
        <f t="shared" si="49"/>
        <v>-235.23</v>
      </c>
      <c r="Y82" s="29">
        <f t="shared" si="50"/>
        <v>-235.23</v>
      </c>
      <c r="Z82" s="26"/>
      <c r="AA82" s="1"/>
      <c r="AB82" s="1"/>
      <c r="AC82" s="1"/>
      <c r="AD82" s="1"/>
      <c r="AE82" s="1"/>
      <c r="AF82" s="1"/>
      <c r="AG82" s="1"/>
      <c r="AH82" s="1"/>
      <c r="AI82" s="1"/>
    </row>
    <row r="83" ht="20" customHeight="1" spans="1:35">
      <c r="A83" s="26">
        <v>74</v>
      </c>
      <c r="B83" s="26" t="s">
        <v>236</v>
      </c>
      <c r="C83" s="26" t="s">
        <v>237</v>
      </c>
      <c r="D83" s="26" t="s">
        <v>238</v>
      </c>
      <c r="E83" s="26" t="s">
        <v>32</v>
      </c>
      <c r="F83" s="29">
        <v>42.28</v>
      </c>
      <c r="G83" s="29">
        <v>43.08</v>
      </c>
      <c r="H83" s="29">
        <v>43.08</v>
      </c>
      <c r="I83" s="29"/>
      <c r="J83" s="29">
        <f t="shared" si="51"/>
        <v>0.8</v>
      </c>
      <c r="K83" s="29">
        <f t="shared" si="52"/>
        <v>0.8</v>
      </c>
      <c r="L83" s="29">
        <f t="shared" si="53"/>
        <v>0</v>
      </c>
      <c r="M83" s="37">
        <f t="shared" si="54"/>
        <v>0.0189</v>
      </c>
      <c r="N83" s="27">
        <v>543</v>
      </c>
      <c r="O83" s="27">
        <v>450</v>
      </c>
      <c r="P83" s="37">
        <f t="shared" si="55"/>
        <v>0.2067</v>
      </c>
      <c r="Q83" s="29">
        <f t="shared" si="56"/>
        <v>346.39</v>
      </c>
      <c r="R83" s="29">
        <f t="shared" si="57"/>
        <v>517.5</v>
      </c>
      <c r="S83" s="29">
        <f t="shared" si="58"/>
        <v>517.5</v>
      </c>
      <c r="T83" s="29">
        <v>22958.04</v>
      </c>
      <c r="U83" s="29">
        <v>23372.04</v>
      </c>
      <c r="V83" s="29">
        <f t="shared" si="59"/>
        <v>23372.04</v>
      </c>
      <c r="W83" s="29">
        <f t="shared" si="48"/>
        <v>414</v>
      </c>
      <c r="X83" s="29">
        <f t="shared" si="49"/>
        <v>414</v>
      </c>
      <c r="Y83" s="29">
        <f t="shared" si="50"/>
        <v>0</v>
      </c>
      <c r="Z83" s="26"/>
      <c r="AA83" s="42" t="s">
        <v>239</v>
      </c>
      <c r="AB83" s="1"/>
      <c r="AC83" s="1"/>
      <c r="AD83" s="1"/>
      <c r="AE83" s="1"/>
      <c r="AF83" s="1"/>
      <c r="AG83" s="1"/>
      <c r="AH83" s="1"/>
      <c r="AI83" s="1"/>
    </row>
    <row r="84" ht="20" customHeight="1" spans="1:35">
      <c r="A84" s="26">
        <v>75</v>
      </c>
      <c r="B84" s="26" t="s">
        <v>240</v>
      </c>
      <c r="C84" s="26" t="s">
        <v>241</v>
      </c>
      <c r="D84" s="26" t="s">
        <v>242</v>
      </c>
      <c r="E84" s="26" t="s">
        <v>32</v>
      </c>
      <c r="F84" s="29">
        <v>673.01</v>
      </c>
      <c r="G84" s="29">
        <v>673.25</v>
      </c>
      <c r="H84" s="29">
        <v>673.25</v>
      </c>
      <c r="I84" s="29"/>
      <c r="J84" s="29">
        <f t="shared" si="51"/>
        <v>0.24</v>
      </c>
      <c r="K84" s="29">
        <f t="shared" si="52"/>
        <v>0.24</v>
      </c>
      <c r="L84" s="29">
        <f t="shared" si="53"/>
        <v>0</v>
      </c>
      <c r="M84" s="37">
        <f t="shared" si="54"/>
        <v>0.0004</v>
      </c>
      <c r="N84" s="27">
        <v>803.79</v>
      </c>
      <c r="O84" s="27">
        <v>591.27</v>
      </c>
      <c r="P84" s="37">
        <f t="shared" si="55"/>
        <v>0.3594</v>
      </c>
      <c r="Q84" s="29">
        <f t="shared" si="56"/>
        <v>455.14</v>
      </c>
      <c r="R84" s="29">
        <f t="shared" si="57"/>
        <v>679.96</v>
      </c>
      <c r="S84" s="29">
        <f t="shared" si="58"/>
        <v>679.96</v>
      </c>
      <c r="T84" s="29">
        <v>540958.71</v>
      </c>
      <c r="U84" s="29">
        <v>541121.9</v>
      </c>
      <c r="V84" s="29">
        <f t="shared" si="59"/>
        <v>541121.9</v>
      </c>
      <c r="W84" s="29">
        <f t="shared" si="48"/>
        <v>163.19</v>
      </c>
      <c r="X84" s="29">
        <f t="shared" si="49"/>
        <v>163.19</v>
      </c>
      <c r="Y84" s="29">
        <f t="shared" si="50"/>
        <v>0</v>
      </c>
      <c r="Z84" s="26"/>
      <c r="AA84" s="1"/>
      <c r="AB84" s="1"/>
      <c r="AC84" s="1"/>
      <c r="AD84" s="1"/>
      <c r="AE84" s="1"/>
      <c r="AF84" s="1"/>
      <c r="AG84" s="1"/>
      <c r="AH84" s="1"/>
      <c r="AI84" s="1"/>
    </row>
    <row r="85" ht="20" customHeight="1" spans="1:35">
      <c r="A85" s="26">
        <v>76</v>
      </c>
      <c r="B85" s="26" t="s">
        <v>243</v>
      </c>
      <c r="C85" s="26" t="s">
        <v>241</v>
      </c>
      <c r="D85" s="26" t="s">
        <v>244</v>
      </c>
      <c r="E85" s="26" t="s">
        <v>32</v>
      </c>
      <c r="F85" s="29">
        <v>0.96</v>
      </c>
      <c r="G85" s="29">
        <v>0.96</v>
      </c>
      <c r="H85" s="29">
        <f>0.8*1.2</f>
        <v>0.96</v>
      </c>
      <c r="I85" s="29"/>
      <c r="J85" s="29">
        <f t="shared" si="51"/>
        <v>0</v>
      </c>
      <c r="K85" s="29">
        <f t="shared" si="52"/>
        <v>0</v>
      </c>
      <c r="L85" s="29">
        <f t="shared" si="53"/>
        <v>0</v>
      </c>
      <c r="M85" s="37">
        <f t="shared" si="54"/>
        <v>0</v>
      </c>
      <c r="N85" s="27">
        <v>582</v>
      </c>
      <c r="O85" s="27">
        <v>428.75</v>
      </c>
      <c r="P85" s="37">
        <f t="shared" si="55"/>
        <v>0.3574</v>
      </c>
      <c r="Q85" s="29">
        <f t="shared" si="56"/>
        <v>330.03</v>
      </c>
      <c r="R85" s="29">
        <f t="shared" si="57"/>
        <v>493.06</v>
      </c>
      <c r="S85" s="29">
        <f t="shared" si="58"/>
        <v>493.06</v>
      </c>
      <c r="T85" s="29">
        <v>558.72</v>
      </c>
      <c r="U85" s="29">
        <v>558.72</v>
      </c>
      <c r="V85" s="29">
        <f t="shared" si="59"/>
        <v>558.72</v>
      </c>
      <c r="W85" s="29">
        <f t="shared" si="48"/>
        <v>0</v>
      </c>
      <c r="X85" s="29">
        <f t="shared" si="49"/>
        <v>0</v>
      </c>
      <c r="Y85" s="29">
        <f t="shared" si="50"/>
        <v>0</v>
      </c>
      <c r="Z85" s="26"/>
      <c r="AA85" s="1"/>
      <c r="AB85" s="1"/>
      <c r="AC85" s="1"/>
      <c r="AD85" s="1"/>
      <c r="AE85" s="1"/>
      <c r="AF85" s="1"/>
      <c r="AG85" s="1"/>
      <c r="AH85" s="1"/>
      <c r="AI85" s="1"/>
    </row>
    <row r="86" ht="20" customHeight="1" spans="1:35">
      <c r="A86" s="26">
        <v>77</v>
      </c>
      <c r="B86" s="26" t="s">
        <v>245</v>
      </c>
      <c r="C86" s="26" t="s">
        <v>241</v>
      </c>
      <c r="D86" s="26" t="s">
        <v>246</v>
      </c>
      <c r="E86" s="26" t="s">
        <v>32</v>
      </c>
      <c r="F86" s="29">
        <v>101.88</v>
      </c>
      <c r="G86" s="29">
        <v>101.88</v>
      </c>
      <c r="H86" s="29">
        <f>91.82</f>
        <v>91.82</v>
      </c>
      <c r="I86" s="29"/>
      <c r="J86" s="29">
        <f t="shared" si="51"/>
        <v>0</v>
      </c>
      <c r="K86" s="29">
        <f t="shared" si="52"/>
        <v>-10.06</v>
      </c>
      <c r="L86" s="29">
        <f t="shared" si="53"/>
        <v>-10.06</v>
      </c>
      <c r="M86" s="37">
        <f t="shared" si="54"/>
        <v>0</v>
      </c>
      <c r="N86" s="27">
        <v>565.96</v>
      </c>
      <c r="O86" s="27">
        <v>604.01</v>
      </c>
      <c r="P86" s="37">
        <f t="shared" si="55"/>
        <v>-0.063</v>
      </c>
      <c r="Q86" s="29">
        <f t="shared" si="56"/>
        <v>464.94</v>
      </c>
      <c r="R86" s="29">
        <f t="shared" si="57"/>
        <v>694.61</v>
      </c>
      <c r="S86" s="29">
        <f t="shared" si="58"/>
        <v>565.96</v>
      </c>
      <c r="T86" s="29">
        <v>57660</v>
      </c>
      <c r="U86" s="29">
        <v>57660</v>
      </c>
      <c r="V86" s="29">
        <f t="shared" si="59"/>
        <v>51966.44</v>
      </c>
      <c r="W86" s="29">
        <f t="shared" si="48"/>
        <v>0</v>
      </c>
      <c r="X86" s="29">
        <f t="shared" si="49"/>
        <v>-5693.56</v>
      </c>
      <c r="Y86" s="29">
        <f t="shared" si="50"/>
        <v>-5693.56</v>
      </c>
      <c r="Z86" s="26"/>
      <c r="AA86" s="1"/>
      <c r="AB86" s="1"/>
      <c r="AC86" s="1"/>
      <c r="AD86" s="1"/>
      <c r="AE86" s="1"/>
      <c r="AF86" s="1"/>
      <c r="AG86" s="1"/>
      <c r="AH86" s="1"/>
      <c r="AI86" s="1"/>
    </row>
    <row r="87" ht="20" customHeight="1" spans="1:35">
      <c r="A87" s="26">
        <v>78</v>
      </c>
      <c r="B87" s="26" t="s">
        <v>247</v>
      </c>
      <c r="C87" s="26" t="s">
        <v>241</v>
      </c>
      <c r="D87" s="26" t="s">
        <v>248</v>
      </c>
      <c r="E87" s="26" t="s">
        <v>32</v>
      </c>
      <c r="F87" s="29">
        <v>5.07</v>
      </c>
      <c r="G87" s="29">
        <v>5.85</v>
      </c>
      <c r="H87" s="29">
        <f>5.85</f>
        <v>5.85</v>
      </c>
      <c r="I87" s="29"/>
      <c r="J87" s="29">
        <f t="shared" si="51"/>
        <v>0.78</v>
      </c>
      <c r="K87" s="29">
        <f t="shared" si="52"/>
        <v>0.78</v>
      </c>
      <c r="L87" s="29">
        <f t="shared" si="53"/>
        <v>0</v>
      </c>
      <c r="M87" s="37">
        <f t="shared" si="54"/>
        <v>0.1538</v>
      </c>
      <c r="N87" s="27">
        <v>657.93</v>
      </c>
      <c r="O87" s="27">
        <v>574.3</v>
      </c>
      <c r="P87" s="37">
        <f t="shared" si="55"/>
        <v>0.1456</v>
      </c>
      <c r="Q87" s="29">
        <f t="shared" si="56"/>
        <v>442.07</v>
      </c>
      <c r="R87" s="29">
        <f t="shared" si="57"/>
        <v>660.45</v>
      </c>
      <c r="S87" s="29">
        <f t="shared" si="58"/>
        <v>657.93</v>
      </c>
      <c r="T87" s="29">
        <v>3335.71</v>
      </c>
      <c r="U87" s="29">
        <v>3848.89</v>
      </c>
      <c r="V87" s="29">
        <v>3848.89</v>
      </c>
      <c r="W87" s="29">
        <f t="shared" si="48"/>
        <v>513.18</v>
      </c>
      <c r="X87" s="29">
        <f t="shared" si="49"/>
        <v>513.18</v>
      </c>
      <c r="Y87" s="29">
        <f t="shared" si="50"/>
        <v>0</v>
      </c>
      <c r="Z87" s="26"/>
      <c r="AA87" s="1"/>
      <c r="AB87" s="1"/>
      <c r="AC87" s="1"/>
      <c r="AD87" s="1"/>
      <c r="AE87" s="1"/>
      <c r="AF87" s="1"/>
      <c r="AG87" s="1"/>
      <c r="AH87" s="1"/>
      <c r="AI87" s="1"/>
    </row>
    <row r="88" ht="20" customHeight="1" spans="1:35">
      <c r="A88" s="26">
        <v>79</v>
      </c>
      <c r="B88" s="26" t="s">
        <v>249</v>
      </c>
      <c r="C88" s="26" t="s">
        <v>241</v>
      </c>
      <c r="D88" s="26" t="s">
        <v>250</v>
      </c>
      <c r="E88" s="26" t="s">
        <v>32</v>
      </c>
      <c r="F88" s="29">
        <v>48.24</v>
      </c>
      <c r="G88" s="29">
        <v>79.29</v>
      </c>
      <c r="H88" s="29">
        <f>16.29+38.88</f>
        <v>55.17</v>
      </c>
      <c r="I88" s="29"/>
      <c r="J88" s="29">
        <f t="shared" si="51"/>
        <v>31.05</v>
      </c>
      <c r="K88" s="29">
        <f t="shared" si="52"/>
        <v>6.93</v>
      </c>
      <c r="L88" s="29">
        <f t="shared" si="53"/>
        <v>-24.12</v>
      </c>
      <c r="M88" s="37">
        <f t="shared" si="54"/>
        <v>0.6437</v>
      </c>
      <c r="N88" s="27">
        <v>568.25</v>
      </c>
      <c r="O88" s="27">
        <v>523.72</v>
      </c>
      <c r="P88" s="37">
        <f t="shared" si="55"/>
        <v>0.085</v>
      </c>
      <c r="Q88" s="29">
        <f t="shared" si="56"/>
        <v>403.14</v>
      </c>
      <c r="R88" s="29">
        <f t="shared" si="57"/>
        <v>602.28</v>
      </c>
      <c r="S88" s="29">
        <f t="shared" si="58"/>
        <v>568.25</v>
      </c>
      <c r="T88" s="29">
        <v>27412.38</v>
      </c>
      <c r="U88" s="29">
        <v>45053.7</v>
      </c>
      <c r="V88" s="29">
        <f t="shared" ref="V88:V93" si="60">T88+S88*K88</f>
        <v>31350.35</v>
      </c>
      <c r="W88" s="29">
        <f t="shared" si="48"/>
        <v>17641.32</v>
      </c>
      <c r="X88" s="29">
        <f t="shared" si="49"/>
        <v>3937.97</v>
      </c>
      <c r="Y88" s="29">
        <f t="shared" si="50"/>
        <v>-13703.35</v>
      </c>
      <c r="Z88" s="26"/>
      <c r="AA88" s="1"/>
      <c r="AB88" s="1"/>
      <c r="AC88" s="1"/>
      <c r="AD88" s="1"/>
      <c r="AE88" s="1"/>
      <c r="AF88" s="1"/>
      <c r="AG88" s="1"/>
      <c r="AH88" s="1"/>
      <c r="AI88" s="1"/>
    </row>
    <row r="89" ht="20" customHeight="1" spans="1:35">
      <c r="A89" s="26">
        <v>80</v>
      </c>
      <c r="B89" s="26" t="s">
        <v>251</v>
      </c>
      <c r="C89" s="26" t="s">
        <v>252</v>
      </c>
      <c r="D89" s="26" t="s">
        <v>253</v>
      </c>
      <c r="E89" s="26" t="s">
        <v>32</v>
      </c>
      <c r="F89" s="29">
        <v>13.44</v>
      </c>
      <c r="G89" s="29">
        <v>36.73</v>
      </c>
      <c r="H89" s="29">
        <f>15.63</f>
        <v>15.63</v>
      </c>
      <c r="I89" s="29"/>
      <c r="J89" s="29">
        <f t="shared" si="51"/>
        <v>23.29</v>
      </c>
      <c r="K89" s="29">
        <f t="shared" si="52"/>
        <v>2.19</v>
      </c>
      <c r="L89" s="29">
        <f t="shared" si="53"/>
        <v>-21.1</v>
      </c>
      <c r="M89" s="37">
        <f t="shared" si="54"/>
        <v>1.7329</v>
      </c>
      <c r="N89" s="27">
        <v>301.24</v>
      </c>
      <c r="O89" s="27">
        <v>401</v>
      </c>
      <c r="P89" s="37">
        <f t="shared" si="55"/>
        <v>-0.2488</v>
      </c>
      <c r="Q89" s="29">
        <f t="shared" si="56"/>
        <v>308.67</v>
      </c>
      <c r="R89" s="29">
        <f t="shared" si="57"/>
        <v>461.15</v>
      </c>
      <c r="S89" s="29">
        <f t="shared" si="58"/>
        <v>308.67</v>
      </c>
      <c r="T89" s="29">
        <v>4047.16</v>
      </c>
      <c r="U89" s="29">
        <v>11238.7</v>
      </c>
      <c r="V89" s="29">
        <f t="shared" si="60"/>
        <v>4723.15</v>
      </c>
      <c r="W89" s="29">
        <f t="shared" si="48"/>
        <v>7191.54</v>
      </c>
      <c r="X89" s="29">
        <f t="shared" si="49"/>
        <v>675.99</v>
      </c>
      <c r="Y89" s="29">
        <f t="shared" si="50"/>
        <v>-6515.55</v>
      </c>
      <c r="Z89" s="26"/>
      <c r="AA89" s="1"/>
      <c r="AB89" s="1"/>
      <c r="AC89" s="1"/>
      <c r="AD89" s="1"/>
      <c r="AE89" s="1"/>
      <c r="AF89" s="1"/>
      <c r="AG89" s="1"/>
      <c r="AH89" s="1"/>
      <c r="AI89" s="1"/>
    </row>
    <row r="90" ht="20" customHeight="1" spans="1:35">
      <c r="A90" s="26">
        <v>81</v>
      </c>
      <c r="B90" s="26" t="s">
        <v>254</v>
      </c>
      <c r="C90" s="26" t="s">
        <v>252</v>
      </c>
      <c r="D90" s="26" t="s">
        <v>255</v>
      </c>
      <c r="E90" s="26" t="s">
        <v>32</v>
      </c>
      <c r="F90" s="29">
        <v>21</v>
      </c>
      <c r="G90" s="29">
        <v>21</v>
      </c>
      <c r="H90" s="29">
        <v>21</v>
      </c>
      <c r="I90" s="29"/>
      <c r="J90" s="29">
        <f t="shared" si="51"/>
        <v>0</v>
      </c>
      <c r="K90" s="29">
        <f t="shared" si="52"/>
        <v>0</v>
      </c>
      <c r="L90" s="29">
        <f t="shared" si="53"/>
        <v>0</v>
      </c>
      <c r="M90" s="37">
        <f t="shared" si="54"/>
        <v>0</v>
      </c>
      <c r="N90" s="27">
        <v>301.24</v>
      </c>
      <c r="O90" s="27">
        <v>428.94</v>
      </c>
      <c r="P90" s="37">
        <f t="shared" si="55"/>
        <v>-0.2977</v>
      </c>
      <c r="Q90" s="29">
        <f t="shared" si="56"/>
        <v>330.18</v>
      </c>
      <c r="R90" s="29">
        <f t="shared" si="57"/>
        <v>493.28</v>
      </c>
      <c r="S90" s="29">
        <f t="shared" si="58"/>
        <v>330.18</v>
      </c>
      <c r="T90" s="29">
        <v>6326.04</v>
      </c>
      <c r="U90" s="29">
        <v>6326.04</v>
      </c>
      <c r="V90" s="29">
        <f t="shared" si="60"/>
        <v>6326.04</v>
      </c>
      <c r="W90" s="29">
        <f t="shared" si="48"/>
        <v>0</v>
      </c>
      <c r="X90" s="29">
        <f t="shared" si="49"/>
        <v>0</v>
      </c>
      <c r="Y90" s="29">
        <f t="shared" si="50"/>
        <v>0</v>
      </c>
      <c r="Z90" s="26"/>
      <c r="AA90" s="1"/>
      <c r="AB90" s="1"/>
      <c r="AC90" s="1"/>
      <c r="AD90" s="1"/>
      <c r="AE90" s="1"/>
      <c r="AF90" s="1"/>
      <c r="AG90" s="1"/>
      <c r="AH90" s="1"/>
      <c r="AI90" s="1"/>
    </row>
    <row r="91" ht="20" customHeight="1" spans="1:35">
      <c r="A91" s="26">
        <v>82</v>
      </c>
      <c r="B91" s="26" t="s">
        <v>256</v>
      </c>
      <c r="C91" s="26" t="s">
        <v>257</v>
      </c>
      <c r="D91" s="26" t="s">
        <v>258</v>
      </c>
      <c r="E91" s="26" t="s">
        <v>32</v>
      </c>
      <c r="F91" s="29">
        <v>324.72</v>
      </c>
      <c r="G91" s="29">
        <v>324.72</v>
      </c>
      <c r="H91" s="29">
        <v>324.72</v>
      </c>
      <c r="I91" s="29"/>
      <c r="J91" s="29">
        <f t="shared" si="51"/>
        <v>0</v>
      </c>
      <c r="K91" s="29">
        <f t="shared" si="52"/>
        <v>0</v>
      </c>
      <c r="L91" s="29">
        <f t="shared" si="53"/>
        <v>0</v>
      </c>
      <c r="M91" s="37">
        <f t="shared" si="54"/>
        <v>0</v>
      </c>
      <c r="N91" s="27">
        <v>200</v>
      </c>
      <c r="O91" s="27">
        <v>227.64</v>
      </c>
      <c r="P91" s="37">
        <f t="shared" si="55"/>
        <v>-0.1214</v>
      </c>
      <c r="Q91" s="29">
        <f t="shared" si="56"/>
        <v>175.23</v>
      </c>
      <c r="R91" s="29">
        <f t="shared" si="57"/>
        <v>261.79</v>
      </c>
      <c r="S91" s="29">
        <f t="shared" si="58"/>
        <v>200</v>
      </c>
      <c r="T91" s="29">
        <v>64944</v>
      </c>
      <c r="U91" s="29">
        <v>64944</v>
      </c>
      <c r="V91" s="29">
        <f t="shared" si="60"/>
        <v>64944</v>
      </c>
      <c r="W91" s="29">
        <f t="shared" si="48"/>
        <v>0</v>
      </c>
      <c r="X91" s="29">
        <f t="shared" si="49"/>
        <v>0</v>
      </c>
      <c r="Y91" s="29">
        <f t="shared" si="50"/>
        <v>0</v>
      </c>
      <c r="Z91" s="26"/>
      <c r="AA91" s="1"/>
      <c r="AB91" s="1"/>
      <c r="AC91" s="1"/>
      <c r="AD91" s="1"/>
      <c r="AE91" s="1"/>
      <c r="AF91" s="1"/>
      <c r="AG91" s="1"/>
      <c r="AH91" s="1"/>
      <c r="AI91" s="1"/>
    </row>
    <row r="92" ht="20" customHeight="1" spans="1:35">
      <c r="A92" s="26">
        <v>83</v>
      </c>
      <c r="B92" s="26" t="s">
        <v>259</v>
      </c>
      <c r="C92" s="26" t="s">
        <v>260</v>
      </c>
      <c r="D92" s="26" t="s">
        <v>261</v>
      </c>
      <c r="E92" s="26" t="s">
        <v>32</v>
      </c>
      <c r="F92" s="29">
        <v>12.97</v>
      </c>
      <c r="G92" s="29">
        <v>12.97</v>
      </c>
      <c r="H92" s="29">
        <v>12.97</v>
      </c>
      <c r="I92" s="29"/>
      <c r="J92" s="29">
        <f t="shared" si="51"/>
        <v>0</v>
      </c>
      <c r="K92" s="29">
        <f t="shared" si="52"/>
        <v>0</v>
      </c>
      <c r="L92" s="29">
        <f t="shared" si="53"/>
        <v>0</v>
      </c>
      <c r="M92" s="37">
        <f t="shared" si="54"/>
        <v>0</v>
      </c>
      <c r="N92" s="27">
        <v>583.16</v>
      </c>
      <c r="O92" s="27">
        <v>890.22</v>
      </c>
      <c r="P92" s="37">
        <f t="shared" si="55"/>
        <v>-0.3449</v>
      </c>
      <c r="Q92" s="29">
        <f t="shared" si="56"/>
        <v>685.26</v>
      </c>
      <c r="R92" s="29">
        <f t="shared" si="57"/>
        <v>1023.75</v>
      </c>
      <c r="S92" s="29">
        <f t="shared" si="58"/>
        <v>685.26</v>
      </c>
      <c r="T92" s="29">
        <v>7563.59</v>
      </c>
      <c r="U92" s="29">
        <v>7563.59</v>
      </c>
      <c r="V92" s="29">
        <f t="shared" si="60"/>
        <v>7563.59</v>
      </c>
      <c r="W92" s="29">
        <f t="shared" si="48"/>
        <v>0</v>
      </c>
      <c r="X92" s="29">
        <f t="shared" si="49"/>
        <v>0</v>
      </c>
      <c r="Y92" s="29">
        <f t="shared" si="50"/>
        <v>0</v>
      </c>
      <c r="Z92" s="26"/>
      <c r="AA92" s="1"/>
      <c r="AB92" s="1"/>
      <c r="AC92" s="1"/>
      <c r="AD92" s="1"/>
      <c r="AE92" s="1"/>
      <c r="AF92" s="1"/>
      <c r="AG92" s="1"/>
      <c r="AH92" s="1"/>
      <c r="AI92" s="1"/>
    </row>
    <row r="93" ht="20" customHeight="1" spans="1:35">
      <c r="A93" s="26">
        <v>84</v>
      </c>
      <c r="B93" s="26" t="s">
        <v>262</v>
      </c>
      <c r="C93" s="26" t="s">
        <v>263</v>
      </c>
      <c r="D93" s="26" t="s">
        <v>264</v>
      </c>
      <c r="E93" s="26" t="s">
        <v>32</v>
      </c>
      <c r="F93" s="29">
        <v>4.49</v>
      </c>
      <c r="G93" s="29">
        <v>4.49</v>
      </c>
      <c r="H93" s="29">
        <v>4.49</v>
      </c>
      <c r="I93" s="29"/>
      <c r="J93" s="29">
        <f t="shared" si="51"/>
        <v>0</v>
      </c>
      <c r="K93" s="29">
        <f t="shared" si="52"/>
        <v>0</v>
      </c>
      <c r="L93" s="29">
        <f t="shared" si="53"/>
        <v>0</v>
      </c>
      <c r="M93" s="37">
        <f t="shared" si="54"/>
        <v>0</v>
      </c>
      <c r="N93" s="27">
        <v>1295.22</v>
      </c>
      <c r="O93" s="27">
        <v>410.19</v>
      </c>
      <c r="P93" s="37">
        <f t="shared" si="55"/>
        <v>2.1576</v>
      </c>
      <c r="Q93" s="29">
        <f t="shared" si="56"/>
        <v>315.75</v>
      </c>
      <c r="R93" s="29">
        <f t="shared" si="57"/>
        <v>471.72</v>
      </c>
      <c r="S93" s="29">
        <f t="shared" si="58"/>
        <v>471.72</v>
      </c>
      <c r="T93" s="29">
        <v>5815.54</v>
      </c>
      <c r="U93" s="29">
        <v>5815.54</v>
      </c>
      <c r="V93" s="29">
        <f t="shared" si="60"/>
        <v>5815.54</v>
      </c>
      <c r="W93" s="29">
        <f t="shared" si="48"/>
        <v>0</v>
      </c>
      <c r="X93" s="29">
        <f t="shared" si="49"/>
        <v>0</v>
      </c>
      <c r="Y93" s="29">
        <f t="shared" si="50"/>
        <v>0</v>
      </c>
      <c r="Z93" s="26"/>
      <c r="AA93" s="42" t="s">
        <v>265</v>
      </c>
      <c r="AB93" s="1"/>
      <c r="AC93" s="1"/>
      <c r="AD93" s="1"/>
      <c r="AE93" s="1"/>
      <c r="AF93" s="1"/>
      <c r="AG93" s="1"/>
      <c r="AH93" s="1"/>
      <c r="AI93" s="1"/>
    </row>
    <row r="94" ht="20" customHeight="1" spans="1:35">
      <c r="A94" s="26"/>
      <c r="B94" s="26"/>
      <c r="C94" s="26" t="s">
        <v>266</v>
      </c>
      <c r="D94" s="26"/>
      <c r="E94" s="26"/>
      <c r="F94" s="29"/>
      <c r="G94" s="29"/>
      <c r="H94" s="29"/>
      <c r="I94" s="29"/>
      <c r="J94" s="29"/>
      <c r="K94" s="29"/>
      <c r="L94" s="29"/>
      <c r="M94" s="37"/>
      <c r="N94" s="27"/>
      <c r="O94" s="27"/>
      <c r="P94" s="37"/>
      <c r="Q94" s="29"/>
      <c r="R94" s="29"/>
      <c r="S94" s="29"/>
      <c r="T94" s="29">
        <v>789275.49</v>
      </c>
      <c r="U94" s="29">
        <v>880995.26</v>
      </c>
      <c r="V94" s="29">
        <f>+SUM(V95:V107)</f>
        <v>860855.98</v>
      </c>
      <c r="W94" s="29">
        <f t="shared" si="48"/>
        <v>91719.77</v>
      </c>
      <c r="X94" s="29">
        <f t="shared" si="49"/>
        <v>71580.49</v>
      </c>
      <c r="Y94" s="29">
        <f t="shared" si="50"/>
        <v>-20139.28</v>
      </c>
      <c r="Z94" s="26"/>
      <c r="AA94" s="42"/>
      <c r="AB94" s="1"/>
      <c r="AC94" s="1"/>
      <c r="AD94" s="1"/>
      <c r="AE94" s="1"/>
      <c r="AF94" s="1"/>
      <c r="AG94" s="1"/>
      <c r="AH94" s="1"/>
      <c r="AI94" s="1"/>
    </row>
    <row r="95" ht="20" customHeight="1" spans="1:35">
      <c r="A95" s="26">
        <v>85</v>
      </c>
      <c r="B95" s="26" t="s">
        <v>267</v>
      </c>
      <c r="C95" s="26" t="s">
        <v>268</v>
      </c>
      <c r="D95" s="26" t="s">
        <v>269</v>
      </c>
      <c r="E95" s="26" t="s">
        <v>32</v>
      </c>
      <c r="F95" s="29">
        <v>1624.08</v>
      </c>
      <c r="G95" s="29">
        <v>1764.22</v>
      </c>
      <c r="H95" s="29">
        <v>1764.22</v>
      </c>
      <c r="I95" s="29"/>
      <c r="J95" s="29">
        <f t="shared" ref="J95:J107" si="61">G95-F95</f>
        <v>140.14</v>
      </c>
      <c r="K95" s="29">
        <f t="shared" ref="K95:K107" si="62">H95-F95</f>
        <v>140.14</v>
      </c>
      <c r="L95" s="29">
        <f t="shared" ref="L95:L107" si="63">H95-G95</f>
        <v>0</v>
      </c>
      <c r="M95" s="37">
        <f t="shared" ref="M95:M107" si="64">J95/F95</f>
        <v>0.0863</v>
      </c>
      <c r="N95" s="27">
        <v>52.26</v>
      </c>
      <c r="O95" s="27">
        <v>81.35</v>
      </c>
      <c r="P95" s="37">
        <f t="shared" ref="P95:P107" si="65">(N95-O95)/O95</f>
        <v>-0.3576</v>
      </c>
      <c r="Q95" s="29">
        <f t="shared" ref="Q95:Q107" si="66">O95*0.9056*0.85</f>
        <v>62.62</v>
      </c>
      <c r="R95" s="29">
        <f t="shared" ref="R95:R107" si="67">O95*1.15</f>
        <v>93.55</v>
      </c>
      <c r="S95" s="29">
        <f t="shared" ref="S95:S107" si="68">IF(N95&lt;O95*0.9056*0.85,O95*0.9056*0.85,IF(N95&gt;O95*1.15,O95*1.15,N95))</f>
        <v>62.62</v>
      </c>
      <c r="T95" s="29">
        <v>84874.62</v>
      </c>
      <c r="U95" s="29">
        <v>93650.01</v>
      </c>
      <c r="V95" s="29">
        <v>93650.01</v>
      </c>
      <c r="W95" s="29">
        <f t="shared" si="48"/>
        <v>8775.39</v>
      </c>
      <c r="X95" s="29">
        <f t="shared" si="49"/>
        <v>8775.39</v>
      </c>
      <c r="Y95" s="29">
        <f t="shared" si="50"/>
        <v>0</v>
      </c>
      <c r="Z95" s="26"/>
      <c r="AA95" s="1"/>
      <c r="AB95" s="1"/>
      <c r="AC95" s="1"/>
      <c r="AD95" s="1"/>
      <c r="AE95" s="1"/>
      <c r="AF95" s="1"/>
      <c r="AG95" s="1"/>
      <c r="AH95" s="1"/>
      <c r="AI95" s="1"/>
    </row>
    <row r="96" s="7" customFormat="1" ht="20" customHeight="1" spans="1:35">
      <c r="A96" s="26">
        <v>86</v>
      </c>
      <c r="B96" s="26" t="s">
        <v>270</v>
      </c>
      <c r="C96" s="26" t="s">
        <v>271</v>
      </c>
      <c r="D96" s="26" t="s">
        <v>272</v>
      </c>
      <c r="E96" s="26" t="s">
        <v>32</v>
      </c>
      <c r="F96" s="29">
        <v>108.07</v>
      </c>
      <c r="G96" s="29">
        <v>108.07</v>
      </c>
      <c r="H96" s="29">
        <f>10.44</f>
        <v>10.44</v>
      </c>
      <c r="I96" s="29"/>
      <c r="J96" s="29">
        <f t="shared" si="61"/>
        <v>0</v>
      </c>
      <c r="K96" s="29">
        <f t="shared" si="62"/>
        <v>-97.63</v>
      </c>
      <c r="L96" s="29">
        <f t="shared" si="63"/>
        <v>-97.63</v>
      </c>
      <c r="M96" s="37">
        <f t="shared" si="64"/>
        <v>0</v>
      </c>
      <c r="N96" s="27">
        <v>63.95</v>
      </c>
      <c r="O96" s="27">
        <v>70.44</v>
      </c>
      <c r="P96" s="37">
        <f t="shared" si="65"/>
        <v>-0.0921</v>
      </c>
      <c r="Q96" s="29">
        <f t="shared" si="66"/>
        <v>54.22</v>
      </c>
      <c r="R96" s="29">
        <f t="shared" si="67"/>
        <v>81.01</v>
      </c>
      <c r="S96" s="29">
        <f t="shared" si="68"/>
        <v>63.95</v>
      </c>
      <c r="T96" s="29">
        <v>6911.22</v>
      </c>
      <c r="U96" s="29">
        <v>6911.22</v>
      </c>
      <c r="V96" s="29">
        <f>T96+S96*K96</f>
        <v>667.78</v>
      </c>
      <c r="W96" s="29">
        <f t="shared" si="48"/>
        <v>0</v>
      </c>
      <c r="X96" s="29">
        <f t="shared" si="49"/>
        <v>-6243.44</v>
      </c>
      <c r="Y96" s="29">
        <f t="shared" si="50"/>
        <v>-6243.44</v>
      </c>
      <c r="Z96" s="26"/>
      <c r="AA96" s="1"/>
      <c r="AB96" s="1"/>
      <c r="AC96" s="1"/>
      <c r="AD96" s="1"/>
      <c r="AE96" s="1"/>
      <c r="AF96" s="1"/>
      <c r="AG96" s="1"/>
      <c r="AH96" s="1"/>
      <c r="AI96" s="1"/>
    </row>
    <row r="97" ht="20" customHeight="1" spans="1:35">
      <c r="A97" s="26">
        <v>87</v>
      </c>
      <c r="B97" s="26" t="s">
        <v>273</v>
      </c>
      <c r="C97" s="26" t="s">
        <v>274</v>
      </c>
      <c r="D97" s="26" t="s">
        <v>275</v>
      </c>
      <c r="E97" s="26" t="s">
        <v>32</v>
      </c>
      <c r="F97" s="29">
        <v>78.15</v>
      </c>
      <c r="G97" s="29">
        <v>0</v>
      </c>
      <c r="H97" s="29">
        <v>78.42</v>
      </c>
      <c r="I97" s="29"/>
      <c r="J97" s="29">
        <f t="shared" si="61"/>
        <v>-78.15</v>
      </c>
      <c r="K97" s="29">
        <f t="shared" si="62"/>
        <v>0.27</v>
      </c>
      <c r="L97" s="29">
        <f t="shared" si="63"/>
        <v>78.42</v>
      </c>
      <c r="M97" s="37">
        <f t="shared" si="64"/>
        <v>-1</v>
      </c>
      <c r="N97" s="27">
        <v>42.91</v>
      </c>
      <c r="O97" s="27">
        <v>46.07</v>
      </c>
      <c r="P97" s="37">
        <f t="shared" si="65"/>
        <v>-0.0686</v>
      </c>
      <c r="Q97" s="29">
        <f t="shared" si="66"/>
        <v>35.46</v>
      </c>
      <c r="R97" s="29">
        <f t="shared" si="67"/>
        <v>52.98</v>
      </c>
      <c r="S97" s="29">
        <f t="shared" si="68"/>
        <v>42.91</v>
      </c>
      <c r="T97" s="29">
        <v>3353.3</v>
      </c>
      <c r="U97" s="29">
        <v>0</v>
      </c>
      <c r="V97" s="29">
        <f>T97+S97*K97</f>
        <v>3364.89</v>
      </c>
      <c r="W97" s="29">
        <f t="shared" si="48"/>
        <v>-3353.3</v>
      </c>
      <c r="X97" s="29">
        <f t="shared" si="49"/>
        <v>11.59</v>
      </c>
      <c r="Y97" s="29">
        <f t="shared" si="50"/>
        <v>3364.89</v>
      </c>
      <c r="Z97" s="26"/>
      <c r="AA97" s="1"/>
      <c r="AB97" s="1"/>
      <c r="AC97" s="1"/>
      <c r="AD97" s="1"/>
      <c r="AE97" s="1"/>
      <c r="AF97" s="1"/>
      <c r="AG97" s="1"/>
      <c r="AH97" s="1"/>
      <c r="AI97" s="1"/>
    </row>
    <row r="98" ht="20" customHeight="1" spans="1:35">
      <c r="A98" s="26">
        <v>88</v>
      </c>
      <c r="B98" s="26" t="s">
        <v>276</v>
      </c>
      <c r="C98" s="26" t="s">
        <v>268</v>
      </c>
      <c r="D98" s="26" t="s">
        <v>277</v>
      </c>
      <c r="E98" s="26" t="s">
        <v>32</v>
      </c>
      <c r="F98" s="29">
        <v>1624.08</v>
      </c>
      <c r="G98" s="29">
        <v>0</v>
      </c>
      <c r="H98" s="29">
        <v>0</v>
      </c>
      <c r="I98" s="29"/>
      <c r="J98" s="29">
        <f t="shared" si="61"/>
        <v>-1624.08</v>
      </c>
      <c r="K98" s="29">
        <f t="shared" si="62"/>
        <v>-1624.08</v>
      </c>
      <c r="L98" s="29">
        <f t="shared" si="63"/>
        <v>0</v>
      </c>
      <c r="M98" s="37">
        <f t="shared" si="64"/>
        <v>-1</v>
      </c>
      <c r="N98" s="27">
        <v>52.26</v>
      </c>
      <c r="O98" s="27">
        <v>80.23</v>
      </c>
      <c r="P98" s="37">
        <f t="shared" si="65"/>
        <v>-0.3486</v>
      </c>
      <c r="Q98" s="29">
        <f t="shared" si="66"/>
        <v>61.76</v>
      </c>
      <c r="R98" s="29">
        <f t="shared" si="67"/>
        <v>92.26</v>
      </c>
      <c r="S98" s="29">
        <f t="shared" si="68"/>
        <v>61.76</v>
      </c>
      <c r="T98" s="29">
        <v>84874.62</v>
      </c>
      <c r="U98" s="29">
        <v>-15425.3</v>
      </c>
      <c r="V98" s="29">
        <f>T98+S98*K98</f>
        <v>-15428.56</v>
      </c>
      <c r="W98" s="29">
        <f t="shared" si="48"/>
        <v>-100299.92</v>
      </c>
      <c r="X98" s="29">
        <f t="shared" si="49"/>
        <v>-100303.18</v>
      </c>
      <c r="Y98" s="29">
        <f t="shared" si="50"/>
        <v>-3.26</v>
      </c>
      <c r="Z98" s="26"/>
      <c r="AA98" s="1"/>
      <c r="AB98" s="1"/>
      <c r="AC98" s="1"/>
      <c r="AD98" s="1"/>
      <c r="AE98" s="1"/>
      <c r="AF98" s="1"/>
      <c r="AG98" s="1"/>
      <c r="AH98" s="1"/>
      <c r="AI98" s="1"/>
    </row>
    <row r="99" ht="20" customHeight="1" spans="1:35">
      <c r="A99" s="26">
        <v>89</v>
      </c>
      <c r="B99" s="26" t="s">
        <v>278</v>
      </c>
      <c r="C99" s="26" t="s">
        <v>279</v>
      </c>
      <c r="D99" s="26" t="s">
        <v>280</v>
      </c>
      <c r="E99" s="26" t="s">
        <v>32</v>
      </c>
      <c r="F99" s="29">
        <v>1372.8</v>
      </c>
      <c r="G99" s="29">
        <v>2337.08</v>
      </c>
      <c r="H99" s="29">
        <f>2118.46+161.94+56.68</f>
        <v>2337.08</v>
      </c>
      <c r="I99" s="29"/>
      <c r="J99" s="29">
        <f t="shared" si="61"/>
        <v>964.28</v>
      </c>
      <c r="K99" s="29">
        <f t="shared" si="62"/>
        <v>964.28</v>
      </c>
      <c r="L99" s="29">
        <f t="shared" si="63"/>
        <v>0</v>
      </c>
      <c r="M99" s="37">
        <f t="shared" si="64"/>
        <v>0.7024</v>
      </c>
      <c r="N99" s="27">
        <v>117.09</v>
      </c>
      <c r="O99" s="27">
        <v>116.28</v>
      </c>
      <c r="P99" s="37">
        <f t="shared" si="65"/>
        <v>0.007</v>
      </c>
      <c r="Q99" s="29">
        <f t="shared" si="66"/>
        <v>89.51</v>
      </c>
      <c r="R99" s="29">
        <f t="shared" si="67"/>
        <v>133.72</v>
      </c>
      <c r="S99" s="29">
        <f t="shared" si="68"/>
        <v>117.09</v>
      </c>
      <c r="T99" s="29">
        <v>160741.15</v>
      </c>
      <c r="U99" s="29">
        <v>273648.33</v>
      </c>
      <c r="V99" s="29">
        <v>273648.33</v>
      </c>
      <c r="W99" s="29">
        <f t="shared" si="48"/>
        <v>112907.18</v>
      </c>
      <c r="X99" s="29">
        <f t="shared" si="49"/>
        <v>112907.18</v>
      </c>
      <c r="Y99" s="29">
        <f t="shared" si="50"/>
        <v>0</v>
      </c>
      <c r="Z99" s="26"/>
      <c r="AA99" s="1"/>
      <c r="AB99" s="1"/>
      <c r="AC99" s="1"/>
      <c r="AD99" s="1"/>
      <c r="AE99" s="1"/>
      <c r="AF99" s="1"/>
      <c r="AG99" s="1"/>
      <c r="AH99" s="1"/>
      <c r="AI99" s="1"/>
    </row>
    <row r="100" ht="20" customHeight="1" spans="1:35">
      <c r="A100" s="26">
        <v>90</v>
      </c>
      <c r="B100" s="26" t="s">
        <v>281</v>
      </c>
      <c r="C100" s="26" t="s">
        <v>282</v>
      </c>
      <c r="D100" s="26" t="s">
        <v>283</v>
      </c>
      <c r="E100" s="26" t="s">
        <v>32</v>
      </c>
      <c r="F100" s="29">
        <v>1943.37</v>
      </c>
      <c r="G100" s="29">
        <v>2337.08</v>
      </c>
      <c r="H100" s="29">
        <v>2337.08</v>
      </c>
      <c r="I100" s="29"/>
      <c r="J100" s="29">
        <f t="shared" si="61"/>
        <v>393.71</v>
      </c>
      <c r="K100" s="29">
        <f t="shared" si="62"/>
        <v>393.71</v>
      </c>
      <c r="L100" s="29">
        <f t="shared" si="63"/>
        <v>0</v>
      </c>
      <c r="M100" s="37">
        <f t="shared" si="64"/>
        <v>0.2026</v>
      </c>
      <c r="N100" s="27">
        <v>59.04</v>
      </c>
      <c r="O100" s="27">
        <v>56.42</v>
      </c>
      <c r="P100" s="37">
        <f t="shared" si="65"/>
        <v>0.0464</v>
      </c>
      <c r="Q100" s="29">
        <f t="shared" si="66"/>
        <v>43.43</v>
      </c>
      <c r="R100" s="29">
        <f t="shared" si="67"/>
        <v>64.88</v>
      </c>
      <c r="S100" s="29">
        <f t="shared" si="68"/>
        <v>59.04</v>
      </c>
      <c r="T100" s="29">
        <v>114736.56</v>
      </c>
      <c r="U100" s="29">
        <v>137981.02</v>
      </c>
      <c r="V100" s="29">
        <v>137981.02</v>
      </c>
      <c r="W100" s="29">
        <f t="shared" si="48"/>
        <v>23244.46</v>
      </c>
      <c r="X100" s="29">
        <f t="shared" si="49"/>
        <v>23244.46</v>
      </c>
      <c r="Y100" s="29">
        <f t="shared" si="50"/>
        <v>0</v>
      </c>
      <c r="Z100" s="26"/>
      <c r="AA100" s="1"/>
      <c r="AB100" s="1"/>
      <c r="AC100" s="1"/>
      <c r="AD100" s="1"/>
      <c r="AE100" s="1"/>
      <c r="AF100" s="1"/>
      <c r="AG100" s="1"/>
      <c r="AH100" s="1"/>
      <c r="AI100" s="1"/>
    </row>
    <row r="101" ht="20" customHeight="1" spans="1:35">
      <c r="A101" s="26">
        <v>91</v>
      </c>
      <c r="B101" s="26" t="s">
        <v>284</v>
      </c>
      <c r="C101" s="26" t="s">
        <v>285</v>
      </c>
      <c r="D101" s="26" t="s">
        <v>286</v>
      </c>
      <c r="E101" s="26" t="s">
        <v>32</v>
      </c>
      <c r="F101" s="29">
        <v>2533.72</v>
      </c>
      <c r="G101" s="29">
        <v>2890.84</v>
      </c>
      <c r="H101" s="29">
        <f>2275.39+196.6+61.15+30.24+237.67+89.79</f>
        <v>2890.84</v>
      </c>
      <c r="I101" s="29"/>
      <c r="J101" s="29">
        <f t="shared" si="61"/>
        <v>357.12</v>
      </c>
      <c r="K101" s="29">
        <f t="shared" si="62"/>
        <v>357.12</v>
      </c>
      <c r="L101" s="29">
        <f t="shared" si="63"/>
        <v>0</v>
      </c>
      <c r="M101" s="37">
        <f t="shared" si="64"/>
        <v>0.1409</v>
      </c>
      <c r="N101" s="27">
        <v>38.75</v>
      </c>
      <c r="O101" s="27">
        <v>31.86</v>
      </c>
      <c r="P101" s="37">
        <f t="shared" si="65"/>
        <v>0.2163</v>
      </c>
      <c r="Q101" s="29">
        <f t="shared" si="66"/>
        <v>24.52</v>
      </c>
      <c r="R101" s="29">
        <f t="shared" si="67"/>
        <v>36.64</v>
      </c>
      <c r="S101" s="29">
        <f t="shared" si="68"/>
        <v>36.64</v>
      </c>
      <c r="T101" s="29">
        <v>98181.75</v>
      </c>
      <c r="U101" s="29">
        <v>111266.07</v>
      </c>
      <c r="V101" s="29">
        <f t="shared" ref="V101:V107" si="69">T101+S101*K101</f>
        <v>111266.63</v>
      </c>
      <c r="W101" s="29">
        <f t="shared" si="48"/>
        <v>13084.32</v>
      </c>
      <c r="X101" s="29">
        <f t="shared" si="49"/>
        <v>13084.88</v>
      </c>
      <c r="Y101" s="29">
        <f t="shared" si="50"/>
        <v>0.56</v>
      </c>
      <c r="Z101" s="26"/>
      <c r="AA101" s="1"/>
      <c r="AB101" s="1"/>
      <c r="AC101" s="1"/>
      <c r="AD101" s="1"/>
      <c r="AE101" s="1"/>
      <c r="AF101" s="1"/>
      <c r="AG101" s="1"/>
      <c r="AH101" s="1"/>
      <c r="AI101" s="1"/>
    </row>
    <row r="102" ht="20" customHeight="1" spans="1:35">
      <c r="A102" s="26">
        <v>92</v>
      </c>
      <c r="B102" s="26" t="s">
        <v>287</v>
      </c>
      <c r="C102" s="26" t="s">
        <v>282</v>
      </c>
      <c r="D102" s="26" t="s">
        <v>288</v>
      </c>
      <c r="E102" s="26" t="s">
        <v>32</v>
      </c>
      <c r="F102" s="29">
        <v>1943.37</v>
      </c>
      <c r="G102" s="29">
        <v>2459.24</v>
      </c>
      <c r="H102" s="29">
        <f>2150.83+161.94+56.68+89.79</f>
        <v>2459.24</v>
      </c>
      <c r="I102" s="29"/>
      <c r="J102" s="29">
        <f t="shared" si="61"/>
        <v>515.87</v>
      </c>
      <c r="K102" s="29">
        <f t="shared" si="62"/>
        <v>515.87</v>
      </c>
      <c r="L102" s="29">
        <f t="shared" si="63"/>
        <v>0</v>
      </c>
      <c r="M102" s="37">
        <f t="shared" si="64"/>
        <v>0.2655</v>
      </c>
      <c r="N102" s="27">
        <v>37.14</v>
      </c>
      <c r="O102" s="27">
        <v>55.93</v>
      </c>
      <c r="P102" s="37">
        <f t="shared" si="65"/>
        <v>-0.336</v>
      </c>
      <c r="Q102" s="29">
        <f t="shared" si="66"/>
        <v>43.05</v>
      </c>
      <c r="R102" s="29">
        <f t="shared" si="67"/>
        <v>64.32</v>
      </c>
      <c r="S102" s="29">
        <f t="shared" si="68"/>
        <v>43.05</v>
      </c>
      <c r="T102" s="29">
        <v>72176.76</v>
      </c>
      <c r="U102" s="29">
        <v>94386.21</v>
      </c>
      <c r="V102" s="29">
        <f t="shared" si="69"/>
        <v>94384.96</v>
      </c>
      <c r="W102" s="29">
        <f t="shared" si="48"/>
        <v>22209.45</v>
      </c>
      <c r="X102" s="29">
        <f t="shared" si="49"/>
        <v>22208.2</v>
      </c>
      <c r="Y102" s="29">
        <f t="shared" si="50"/>
        <v>-1.25</v>
      </c>
      <c r="Z102" s="26"/>
      <c r="AA102" s="1"/>
      <c r="AB102" s="1"/>
      <c r="AC102" s="1"/>
      <c r="AD102" s="1"/>
      <c r="AE102" s="1"/>
      <c r="AF102" s="1"/>
      <c r="AG102" s="1"/>
      <c r="AH102" s="1"/>
      <c r="AI102" s="1"/>
    </row>
    <row r="103" ht="20" customHeight="1" spans="1:35">
      <c r="A103" s="26">
        <v>93</v>
      </c>
      <c r="B103" s="26" t="s">
        <v>289</v>
      </c>
      <c r="C103" s="26" t="s">
        <v>290</v>
      </c>
      <c r="D103" s="26" t="s">
        <v>291</v>
      </c>
      <c r="E103" s="26" t="s">
        <v>32</v>
      </c>
      <c r="F103" s="29">
        <v>2449.13</v>
      </c>
      <c r="G103" s="29">
        <v>2890.84</v>
      </c>
      <c r="H103" s="29">
        <f>H101</f>
        <v>2890.84</v>
      </c>
      <c r="I103" s="29"/>
      <c r="J103" s="29">
        <f t="shared" si="61"/>
        <v>441.71</v>
      </c>
      <c r="K103" s="29">
        <f t="shared" si="62"/>
        <v>441.71</v>
      </c>
      <c r="L103" s="29">
        <f t="shared" si="63"/>
        <v>0</v>
      </c>
      <c r="M103" s="37">
        <f t="shared" si="64"/>
        <v>0.1804</v>
      </c>
      <c r="N103" s="27">
        <v>33.79</v>
      </c>
      <c r="O103" s="27">
        <v>31.82</v>
      </c>
      <c r="P103" s="37">
        <f t="shared" si="65"/>
        <v>0.0619</v>
      </c>
      <c r="Q103" s="29">
        <f t="shared" si="66"/>
        <v>24.49</v>
      </c>
      <c r="R103" s="29">
        <f t="shared" si="67"/>
        <v>36.59</v>
      </c>
      <c r="S103" s="29">
        <f t="shared" si="68"/>
        <v>33.79</v>
      </c>
      <c r="T103" s="29">
        <v>82756.1</v>
      </c>
      <c r="U103" s="29">
        <v>97681.39</v>
      </c>
      <c r="V103" s="29">
        <f t="shared" si="69"/>
        <v>97681.48</v>
      </c>
      <c r="W103" s="29">
        <f t="shared" si="48"/>
        <v>14925.29</v>
      </c>
      <c r="X103" s="29">
        <f t="shared" si="49"/>
        <v>14925.38</v>
      </c>
      <c r="Y103" s="29">
        <f t="shared" si="50"/>
        <v>0.09</v>
      </c>
      <c r="Z103" s="26"/>
      <c r="AA103" s="42" t="s">
        <v>292</v>
      </c>
      <c r="AB103" s="1"/>
      <c r="AC103" s="1"/>
      <c r="AD103" s="1"/>
      <c r="AE103" s="1"/>
      <c r="AF103" s="1"/>
      <c r="AG103" s="1"/>
      <c r="AH103" s="1"/>
      <c r="AI103" s="1"/>
    </row>
    <row r="104" ht="20" customHeight="1" spans="1:35">
      <c r="A104" s="26">
        <v>94</v>
      </c>
      <c r="B104" s="26" t="s">
        <v>293</v>
      </c>
      <c r="C104" s="26" t="s">
        <v>294</v>
      </c>
      <c r="D104" s="26" t="s">
        <v>295</v>
      </c>
      <c r="E104" s="26" t="s">
        <v>32</v>
      </c>
      <c r="F104" s="29">
        <v>303.77</v>
      </c>
      <c r="G104" s="29">
        <v>303.77</v>
      </c>
      <c r="H104" s="29">
        <f>23.7</f>
        <v>23.7</v>
      </c>
      <c r="I104" s="29"/>
      <c r="J104" s="29">
        <f t="shared" si="61"/>
        <v>0</v>
      </c>
      <c r="K104" s="29">
        <f t="shared" si="62"/>
        <v>-280.07</v>
      </c>
      <c r="L104" s="29">
        <f t="shared" si="63"/>
        <v>-280.07</v>
      </c>
      <c r="M104" s="37">
        <f t="shared" si="64"/>
        <v>0</v>
      </c>
      <c r="N104" s="27">
        <v>28.13</v>
      </c>
      <c r="O104" s="27">
        <v>21.75</v>
      </c>
      <c r="P104" s="37">
        <f t="shared" si="65"/>
        <v>0.2933</v>
      </c>
      <c r="Q104" s="29">
        <f t="shared" si="66"/>
        <v>16.74</v>
      </c>
      <c r="R104" s="29">
        <f t="shared" si="67"/>
        <v>25.01</v>
      </c>
      <c r="S104" s="29">
        <f t="shared" si="68"/>
        <v>25.01</v>
      </c>
      <c r="T104" s="29">
        <v>8545.05</v>
      </c>
      <c r="U104" s="29">
        <v>8545.05</v>
      </c>
      <c r="V104" s="29">
        <f t="shared" si="69"/>
        <v>1540.5</v>
      </c>
      <c r="W104" s="29">
        <f t="shared" si="48"/>
        <v>0</v>
      </c>
      <c r="X104" s="29">
        <f t="shared" si="49"/>
        <v>-7004.55</v>
      </c>
      <c r="Y104" s="29">
        <f t="shared" si="50"/>
        <v>-7004.55</v>
      </c>
      <c r="Z104" s="26"/>
      <c r="AA104" s="1"/>
      <c r="AB104" s="1"/>
      <c r="AC104" s="1"/>
      <c r="AD104" s="1"/>
      <c r="AE104" s="1"/>
      <c r="AF104" s="1"/>
      <c r="AG104" s="1"/>
      <c r="AH104" s="1"/>
      <c r="AI104" s="1"/>
    </row>
    <row r="105" ht="20" customHeight="1" spans="1:35">
      <c r="A105" s="26">
        <v>95</v>
      </c>
      <c r="B105" s="26" t="s">
        <v>296</v>
      </c>
      <c r="C105" s="26" t="s">
        <v>294</v>
      </c>
      <c r="D105" s="26" t="s">
        <v>297</v>
      </c>
      <c r="E105" s="26" t="s">
        <v>32</v>
      </c>
      <c r="F105" s="29">
        <v>303.77</v>
      </c>
      <c r="G105" s="29">
        <v>303.77</v>
      </c>
      <c r="H105" s="29">
        <v>23.7</v>
      </c>
      <c r="I105" s="29"/>
      <c r="J105" s="29">
        <f t="shared" si="61"/>
        <v>0</v>
      </c>
      <c r="K105" s="29">
        <f t="shared" si="62"/>
        <v>-280.07</v>
      </c>
      <c r="L105" s="29">
        <f t="shared" si="63"/>
        <v>-280.07</v>
      </c>
      <c r="M105" s="37">
        <f t="shared" si="64"/>
        <v>0</v>
      </c>
      <c r="N105" s="27">
        <v>28.16</v>
      </c>
      <c r="O105" s="27">
        <v>21.75</v>
      </c>
      <c r="P105" s="37">
        <f t="shared" si="65"/>
        <v>0.2947</v>
      </c>
      <c r="Q105" s="29">
        <f t="shared" si="66"/>
        <v>16.74</v>
      </c>
      <c r="R105" s="29">
        <f t="shared" si="67"/>
        <v>25.01</v>
      </c>
      <c r="S105" s="29">
        <f t="shared" si="68"/>
        <v>25.01</v>
      </c>
      <c r="T105" s="29">
        <v>8554.16</v>
      </c>
      <c r="U105" s="29">
        <v>8554.16</v>
      </c>
      <c r="V105" s="29">
        <f t="shared" si="69"/>
        <v>1549.61</v>
      </c>
      <c r="W105" s="29">
        <f t="shared" si="48"/>
        <v>0</v>
      </c>
      <c r="X105" s="29">
        <f t="shared" si="49"/>
        <v>-7004.55</v>
      </c>
      <c r="Y105" s="29">
        <f t="shared" si="50"/>
        <v>-7004.55</v>
      </c>
      <c r="Z105" s="26"/>
      <c r="AA105" s="1"/>
      <c r="AB105" s="1"/>
      <c r="AC105" s="1"/>
      <c r="AD105" s="1"/>
      <c r="AE105" s="1"/>
      <c r="AF105" s="1"/>
      <c r="AG105" s="1"/>
      <c r="AH105" s="1"/>
      <c r="AI105" s="1"/>
    </row>
    <row r="106" ht="20" customHeight="1" spans="1:35">
      <c r="A106" s="26">
        <v>96</v>
      </c>
      <c r="B106" s="26" t="s">
        <v>298</v>
      </c>
      <c r="C106" s="26" t="s">
        <v>299</v>
      </c>
      <c r="D106" s="26" t="s">
        <v>300</v>
      </c>
      <c r="E106" s="26" t="s">
        <v>32</v>
      </c>
      <c r="F106" s="29">
        <v>242.44</v>
      </c>
      <c r="G106" s="29">
        <v>253.07</v>
      </c>
      <c r="H106" s="29">
        <f>229.37</f>
        <v>229.37</v>
      </c>
      <c r="I106" s="29"/>
      <c r="J106" s="29">
        <f t="shared" si="61"/>
        <v>10.63</v>
      </c>
      <c r="K106" s="29">
        <f t="shared" si="62"/>
        <v>-13.07</v>
      </c>
      <c r="L106" s="29">
        <f t="shared" si="63"/>
        <v>-23.7</v>
      </c>
      <c r="M106" s="37">
        <f t="shared" si="64"/>
        <v>0.0438</v>
      </c>
      <c r="N106" s="27">
        <v>21.35</v>
      </c>
      <c r="O106" s="27">
        <v>22.51</v>
      </c>
      <c r="P106" s="37">
        <f t="shared" si="65"/>
        <v>-0.0515</v>
      </c>
      <c r="Q106" s="29">
        <f t="shared" si="66"/>
        <v>17.33</v>
      </c>
      <c r="R106" s="29">
        <f t="shared" si="67"/>
        <v>25.89</v>
      </c>
      <c r="S106" s="29">
        <f t="shared" si="68"/>
        <v>21.35</v>
      </c>
      <c r="T106" s="29">
        <v>5176.09</v>
      </c>
      <c r="U106" s="29">
        <v>5402.99</v>
      </c>
      <c r="V106" s="29">
        <f t="shared" si="69"/>
        <v>4897.05</v>
      </c>
      <c r="W106" s="29">
        <f t="shared" si="48"/>
        <v>226.9</v>
      </c>
      <c r="X106" s="29">
        <f t="shared" si="49"/>
        <v>-279.04</v>
      </c>
      <c r="Y106" s="29">
        <f t="shared" si="50"/>
        <v>-505.94</v>
      </c>
      <c r="Z106" s="26"/>
      <c r="AA106" s="1"/>
      <c r="AB106" s="1"/>
      <c r="AC106" s="1"/>
      <c r="AD106" s="1"/>
      <c r="AE106" s="1"/>
      <c r="AF106" s="1"/>
      <c r="AG106" s="1"/>
      <c r="AH106" s="1"/>
      <c r="AI106" s="1"/>
    </row>
    <row r="107" ht="20" customHeight="1" spans="1:35">
      <c r="A107" s="26">
        <v>97</v>
      </c>
      <c r="B107" s="26" t="s">
        <v>301</v>
      </c>
      <c r="C107" s="26" t="s">
        <v>302</v>
      </c>
      <c r="D107" s="26" t="s">
        <v>303</v>
      </c>
      <c r="E107" s="26" t="s">
        <v>32</v>
      </c>
      <c r="F107" s="29">
        <v>242.44</v>
      </c>
      <c r="G107" s="29">
        <v>242.44</v>
      </c>
      <c r="H107" s="29">
        <f>229.37</f>
        <v>229.37</v>
      </c>
      <c r="I107" s="29"/>
      <c r="J107" s="29">
        <f t="shared" si="61"/>
        <v>0</v>
      </c>
      <c r="K107" s="29">
        <f t="shared" si="62"/>
        <v>-13.07</v>
      </c>
      <c r="L107" s="29">
        <f t="shared" si="63"/>
        <v>-13.07</v>
      </c>
      <c r="M107" s="37">
        <f t="shared" si="64"/>
        <v>0</v>
      </c>
      <c r="N107" s="27">
        <v>240.86</v>
      </c>
      <c r="O107" s="27">
        <v>182.42</v>
      </c>
      <c r="P107" s="37">
        <f t="shared" si="65"/>
        <v>0.3204</v>
      </c>
      <c r="Q107" s="29">
        <f t="shared" si="66"/>
        <v>140.42</v>
      </c>
      <c r="R107" s="29">
        <f t="shared" si="67"/>
        <v>209.78</v>
      </c>
      <c r="S107" s="29">
        <f t="shared" si="68"/>
        <v>209.78</v>
      </c>
      <c r="T107" s="29">
        <v>58394.1</v>
      </c>
      <c r="U107" s="29">
        <v>58394.1</v>
      </c>
      <c r="V107" s="29">
        <f t="shared" si="69"/>
        <v>55652.28</v>
      </c>
      <c r="W107" s="29">
        <f t="shared" si="48"/>
        <v>0</v>
      </c>
      <c r="X107" s="29">
        <f t="shared" si="49"/>
        <v>-2741.82</v>
      </c>
      <c r="Y107" s="29">
        <f t="shared" si="50"/>
        <v>-2741.82</v>
      </c>
      <c r="Z107" s="5"/>
      <c r="AA107" s="1"/>
      <c r="AB107" s="1"/>
      <c r="AC107" s="1"/>
      <c r="AD107" s="1"/>
      <c r="AE107" s="1"/>
      <c r="AF107" s="1"/>
      <c r="AG107" s="1"/>
      <c r="AH107" s="1"/>
      <c r="AI107" s="1"/>
    </row>
    <row r="108" ht="20" customHeight="1" spans="1:35">
      <c r="A108" s="26"/>
      <c r="B108" s="26"/>
      <c r="C108" s="26" t="s">
        <v>304</v>
      </c>
      <c r="D108" s="26"/>
      <c r="E108" s="26"/>
      <c r="F108" s="29"/>
      <c r="G108" s="29"/>
      <c r="H108" s="29"/>
      <c r="I108" s="29"/>
      <c r="J108" s="29"/>
      <c r="K108" s="29"/>
      <c r="L108" s="29"/>
      <c r="M108" s="37"/>
      <c r="N108" s="27"/>
      <c r="O108" s="27"/>
      <c r="P108" s="37"/>
      <c r="Q108" s="29"/>
      <c r="R108" s="29"/>
      <c r="S108" s="29"/>
      <c r="T108" s="29">
        <v>236978.02</v>
      </c>
      <c r="U108" s="29">
        <v>189955.02</v>
      </c>
      <c r="V108" s="29">
        <f>+SUM(V109:V112)</f>
        <v>159912.96</v>
      </c>
      <c r="W108" s="29">
        <f t="shared" si="48"/>
        <v>-47023</v>
      </c>
      <c r="X108" s="29">
        <f t="shared" si="49"/>
        <v>-77065.06</v>
      </c>
      <c r="Y108" s="29">
        <f t="shared" si="50"/>
        <v>-30042.06</v>
      </c>
      <c r="Z108" s="26"/>
      <c r="AA108" s="42"/>
      <c r="AB108" s="1"/>
      <c r="AC108" s="1"/>
      <c r="AD108" s="1"/>
      <c r="AE108" s="1"/>
      <c r="AF108" s="1"/>
      <c r="AG108" s="1"/>
      <c r="AH108" s="1"/>
      <c r="AI108" s="1"/>
    </row>
    <row r="109" ht="20" customHeight="1" spans="1:35">
      <c r="A109" s="26">
        <v>98</v>
      </c>
      <c r="B109" s="26" t="s">
        <v>305</v>
      </c>
      <c r="C109" s="26" t="s">
        <v>306</v>
      </c>
      <c r="D109" s="26" t="s">
        <v>307</v>
      </c>
      <c r="E109" s="26" t="s">
        <v>32</v>
      </c>
      <c r="F109" s="29">
        <v>1536.73</v>
      </c>
      <c r="G109" s="29">
        <v>1143.98</v>
      </c>
      <c r="H109" s="29">
        <v>798.76</v>
      </c>
      <c r="I109" s="29"/>
      <c r="J109" s="29">
        <f>G109-F109</f>
        <v>-392.75</v>
      </c>
      <c r="K109" s="29">
        <f>H109-F109</f>
        <v>-737.97</v>
      </c>
      <c r="L109" s="29">
        <f>H109-G109</f>
        <v>-345.22</v>
      </c>
      <c r="M109" s="37">
        <f>J109/F109</f>
        <v>-0.2556</v>
      </c>
      <c r="N109" s="27">
        <v>95.23</v>
      </c>
      <c r="O109" s="27">
        <v>75.67</v>
      </c>
      <c r="P109" s="37">
        <f>(N109-O109)/O109</f>
        <v>0.2585</v>
      </c>
      <c r="Q109" s="29">
        <f>O109*0.9056*0.85</f>
        <v>58.25</v>
      </c>
      <c r="R109" s="29">
        <f>O109*1.15</f>
        <v>87.02</v>
      </c>
      <c r="S109" s="29">
        <f>IF(N109&lt;O109*0.9056*0.85,O109*0.9056*0.85,IF(N109&gt;O109*1.15,O109*1.15,N109))</f>
        <v>87.02</v>
      </c>
      <c r="T109" s="29">
        <v>146342.32</v>
      </c>
      <c r="U109" s="29">
        <v>112165.59</v>
      </c>
      <c r="V109" s="29">
        <f>T109+S109*K109</f>
        <v>82124.17</v>
      </c>
      <c r="W109" s="29">
        <f t="shared" si="48"/>
        <v>-34176.73</v>
      </c>
      <c r="X109" s="29">
        <f t="shared" si="49"/>
        <v>-64218.15</v>
      </c>
      <c r="Y109" s="29">
        <f t="shared" si="50"/>
        <v>-30041.42</v>
      </c>
      <c r="Z109" s="26"/>
      <c r="AA109" s="42" t="s">
        <v>308</v>
      </c>
      <c r="AB109" s="1"/>
      <c r="AC109" s="1"/>
      <c r="AD109" s="1"/>
      <c r="AE109" s="1"/>
      <c r="AF109" s="1"/>
      <c r="AG109" s="1"/>
      <c r="AH109" s="1"/>
      <c r="AI109" s="1"/>
    </row>
    <row r="110" s="7" customFormat="1" ht="20" customHeight="1" spans="1:35">
      <c r="A110" s="26">
        <v>99</v>
      </c>
      <c r="B110" s="26" t="s">
        <v>309</v>
      </c>
      <c r="C110" s="26" t="s">
        <v>310</v>
      </c>
      <c r="D110" s="26" t="s">
        <v>311</v>
      </c>
      <c r="E110" s="26" t="s">
        <v>32</v>
      </c>
      <c r="F110" s="29">
        <v>2348.5</v>
      </c>
      <c r="G110" s="29">
        <v>1907.81</v>
      </c>
      <c r="H110" s="29">
        <v>1907.81</v>
      </c>
      <c r="I110" s="29"/>
      <c r="J110" s="29">
        <f>G110-F110</f>
        <v>-440.69</v>
      </c>
      <c r="K110" s="29">
        <f>H110-F110</f>
        <v>-440.69</v>
      </c>
      <c r="L110" s="29">
        <f>H110-G110</f>
        <v>0</v>
      </c>
      <c r="M110" s="37">
        <f>J110/F110</f>
        <v>-0.1876</v>
      </c>
      <c r="N110" s="27">
        <v>31.26</v>
      </c>
      <c r="O110" s="27">
        <v>31.36</v>
      </c>
      <c r="P110" s="37">
        <f>(N110-O110)/O110</f>
        <v>-0.0032</v>
      </c>
      <c r="Q110" s="29">
        <f>O110*0.9056*0.85</f>
        <v>24.14</v>
      </c>
      <c r="R110" s="29">
        <f>O110*1.15</f>
        <v>36.06</v>
      </c>
      <c r="S110" s="29">
        <f>IF(N110&lt;O110*0.9056*0.85,O110*0.9056*0.85,IF(N110&gt;O110*1.15,O110*1.15,N110))</f>
        <v>31.26</v>
      </c>
      <c r="T110" s="29">
        <v>73414.19</v>
      </c>
      <c r="U110" s="29">
        <v>59638.07</v>
      </c>
      <c r="V110" s="29">
        <f>T110+S110*K110</f>
        <v>59638.22</v>
      </c>
      <c r="W110" s="29">
        <f t="shared" si="48"/>
        <v>-13776.12</v>
      </c>
      <c r="X110" s="29">
        <f t="shared" si="49"/>
        <v>-13775.97</v>
      </c>
      <c r="Y110" s="29">
        <f t="shared" si="50"/>
        <v>0.15</v>
      </c>
      <c r="Z110" s="26"/>
      <c r="AA110" s="1"/>
      <c r="AB110" s="1"/>
      <c r="AC110" s="1"/>
      <c r="AD110" s="1"/>
      <c r="AE110" s="1"/>
      <c r="AF110" s="1"/>
      <c r="AG110" s="1"/>
      <c r="AH110" s="1"/>
      <c r="AI110" s="1"/>
    </row>
    <row r="111" ht="20" customHeight="1" spans="1:35">
      <c r="A111" s="26">
        <v>100</v>
      </c>
      <c r="B111" s="26" t="s">
        <v>312</v>
      </c>
      <c r="C111" s="26" t="s">
        <v>313</v>
      </c>
      <c r="D111" s="26" t="s">
        <v>314</v>
      </c>
      <c r="E111" s="26" t="s">
        <v>32</v>
      </c>
      <c r="F111" s="29">
        <v>2449.13</v>
      </c>
      <c r="G111" s="29">
        <v>2706.13</v>
      </c>
      <c r="H111" s="29">
        <f>2134.54+229.37+172.06+56.68+23.7+89.78</f>
        <v>2706.13</v>
      </c>
      <c r="I111" s="29"/>
      <c r="J111" s="29">
        <f>G111-F111</f>
        <v>257</v>
      </c>
      <c r="K111" s="29">
        <f>H111-F111</f>
        <v>257</v>
      </c>
      <c r="L111" s="29">
        <f>H111-G111</f>
        <v>0</v>
      </c>
      <c r="M111" s="37">
        <f>J111/F111</f>
        <v>0.1049</v>
      </c>
      <c r="N111" s="27">
        <v>4.06</v>
      </c>
      <c r="O111" s="27">
        <v>7.24</v>
      </c>
      <c r="P111" s="37">
        <f>(N111-O111)/O111</f>
        <v>-0.4392</v>
      </c>
      <c r="Q111" s="29">
        <f>O111*0.9056*0.85</f>
        <v>5.57</v>
      </c>
      <c r="R111" s="29">
        <f>O111*1.15</f>
        <v>8.33</v>
      </c>
      <c r="S111" s="29">
        <f>IF(N111&lt;O111*0.9056*0.85,O111*0.9056*0.85,IF(N111&gt;O111*1.15,O111*1.15,N111))</f>
        <v>5.57</v>
      </c>
      <c r="T111" s="29">
        <v>9943.47</v>
      </c>
      <c r="U111" s="29">
        <v>11375.75</v>
      </c>
      <c r="V111" s="29">
        <f>T111+S111*K111</f>
        <v>11374.96</v>
      </c>
      <c r="W111" s="29">
        <f t="shared" si="48"/>
        <v>1432.28</v>
      </c>
      <c r="X111" s="29">
        <f t="shared" si="49"/>
        <v>1431.49</v>
      </c>
      <c r="Y111" s="29">
        <f t="shared" si="50"/>
        <v>-0.79</v>
      </c>
      <c r="Z111" s="26"/>
      <c r="AA111" s="1"/>
      <c r="AB111" s="1"/>
      <c r="AC111" s="1"/>
      <c r="AD111" s="1"/>
      <c r="AE111" s="1"/>
      <c r="AF111" s="1"/>
      <c r="AG111" s="1"/>
      <c r="AH111" s="1"/>
      <c r="AI111" s="1"/>
    </row>
    <row r="112" ht="20" customHeight="1" spans="1:35">
      <c r="A112" s="26">
        <v>101</v>
      </c>
      <c r="B112" s="26" t="s">
        <v>315</v>
      </c>
      <c r="C112" s="26" t="s">
        <v>316</v>
      </c>
      <c r="D112" s="26" t="s">
        <v>317</v>
      </c>
      <c r="E112" s="26" t="s">
        <v>32</v>
      </c>
      <c r="F112" s="29">
        <v>242.44</v>
      </c>
      <c r="G112" s="29">
        <v>229.37</v>
      </c>
      <c r="H112" s="29">
        <v>229.37</v>
      </c>
      <c r="I112" s="29"/>
      <c r="J112" s="29">
        <f>G112-F112</f>
        <v>-13.07</v>
      </c>
      <c r="K112" s="29">
        <f>H112-F112</f>
        <v>-13.07</v>
      </c>
      <c r="L112" s="29">
        <f>H112-G112</f>
        <v>0</v>
      </c>
      <c r="M112" s="37">
        <f>J112/F112</f>
        <v>-0.0539</v>
      </c>
      <c r="N112" s="27">
        <v>30.02</v>
      </c>
      <c r="O112" s="27">
        <v>49.93</v>
      </c>
      <c r="P112" s="37">
        <f>(N112-O112)/O112</f>
        <v>-0.3988</v>
      </c>
      <c r="Q112" s="29">
        <f>O112*0.9056*0.85</f>
        <v>38.43</v>
      </c>
      <c r="R112" s="29">
        <f>O112*1.15</f>
        <v>57.42</v>
      </c>
      <c r="S112" s="29">
        <f>IF(N112&lt;O112*0.9056*0.85,O112*0.9056*0.85,IF(N112&gt;O112*1.15,O112*1.15,N112))</f>
        <v>38.43</v>
      </c>
      <c r="T112" s="29">
        <v>7278.05</v>
      </c>
      <c r="U112" s="29">
        <v>6775.61</v>
      </c>
      <c r="V112" s="29">
        <v>6775.61</v>
      </c>
      <c r="W112" s="29">
        <f t="shared" si="48"/>
        <v>-502.44</v>
      </c>
      <c r="X112" s="29">
        <f t="shared" si="49"/>
        <v>-502.44</v>
      </c>
      <c r="Y112" s="29">
        <f t="shared" si="50"/>
        <v>0</v>
      </c>
      <c r="Z112" s="26"/>
      <c r="AA112" s="1"/>
      <c r="AB112" s="1"/>
      <c r="AC112" s="1"/>
      <c r="AD112" s="1"/>
      <c r="AE112" s="1"/>
      <c r="AF112" s="1"/>
      <c r="AG112" s="1"/>
      <c r="AH112" s="1"/>
      <c r="AI112" s="1"/>
    </row>
    <row r="113" ht="20" customHeight="1" spans="1:35">
      <c r="A113" s="26"/>
      <c r="B113" s="26"/>
      <c r="C113" s="26" t="s">
        <v>318</v>
      </c>
      <c r="D113" s="26"/>
      <c r="E113" s="26"/>
      <c r="F113" s="29"/>
      <c r="G113" s="29"/>
      <c r="H113" s="29"/>
      <c r="I113" s="29"/>
      <c r="J113" s="29"/>
      <c r="K113" s="29"/>
      <c r="L113" s="29"/>
      <c r="M113" s="37"/>
      <c r="N113" s="27"/>
      <c r="O113" s="27"/>
      <c r="P113" s="37"/>
      <c r="Q113" s="29"/>
      <c r="R113" s="29"/>
      <c r="S113" s="29"/>
      <c r="T113" s="29">
        <v>852794.73</v>
      </c>
      <c r="U113" s="29">
        <v>850302.36</v>
      </c>
      <c r="V113" s="29">
        <f>+SUM(V114:V130)</f>
        <v>844422.21</v>
      </c>
      <c r="W113" s="29">
        <f t="shared" si="48"/>
        <v>-2492.37</v>
      </c>
      <c r="X113" s="29">
        <f t="shared" si="49"/>
        <v>-8372.52</v>
      </c>
      <c r="Y113" s="29">
        <f t="shared" si="50"/>
        <v>-5880.15</v>
      </c>
      <c r="Z113" s="26"/>
      <c r="AA113" s="42"/>
      <c r="AB113" s="1"/>
      <c r="AC113" s="1"/>
      <c r="AD113" s="1"/>
      <c r="AE113" s="1"/>
      <c r="AF113" s="1"/>
      <c r="AG113" s="1"/>
      <c r="AH113" s="1"/>
      <c r="AI113" s="1"/>
    </row>
    <row r="114" ht="20" customHeight="1" spans="1:35">
      <c r="A114" s="26">
        <v>102</v>
      </c>
      <c r="B114" s="26" t="s">
        <v>319</v>
      </c>
      <c r="C114" s="26" t="s">
        <v>320</v>
      </c>
      <c r="D114" s="26" t="s">
        <v>321</v>
      </c>
      <c r="E114" s="26" t="s">
        <v>32</v>
      </c>
      <c r="F114" s="29">
        <v>15.72</v>
      </c>
      <c r="G114" s="29">
        <v>69.78</v>
      </c>
      <c r="H114" s="29">
        <v>69.78</v>
      </c>
      <c r="I114" s="29"/>
      <c r="J114" s="29">
        <f t="shared" ref="J114:J130" si="70">G114-F114</f>
        <v>54.06</v>
      </c>
      <c r="K114" s="29">
        <f t="shared" ref="K114:K130" si="71">H114-F114</f>
        <v>54.06</v>
      </c>
      <c r="L114" s="29">
        <f t="shared" ref="L114:L130" si="72">H114-G114</f>
        <v>0</v>
      </c>
      <c r="M114" s="37">
        <f t="shared" ref="M114:M130" si="73">J114/F114</f>
        <v>3.4389</v>
      </c>
      <c r="N114" s="27">
        <v>64.92</v>
      </c>
      <c r="O114" s="27">
        <v>48.18</v>
      </c>
      <c r="P114" s="37">
        <f t="shared" ref="P114:P130" si="74">(N114-O114)/O114</f>
        <v>0.3474</v>
      </c>
      <c r="Q114" s="29">
        <f t="shared" ref="Q114:Q130" si="75">O114*0.9056*0.85</f>
        <v>37.09</v>
      </c>
      <c r="R114" s="29">
        <f t="shared" ref="R114:R130" si="76">O114*1.15</f>
        <v>55.41</v>
      </c>
      <c r="S114" s="29">
        <f t="shared" ref="S114:S130" si="77">IF(N114&lt;O114*0.9056*0.85,O114*0.9056*0.85,IF(N114&gt;O114*1.15,O114*1.15,N114))</f>
        <v>55.41</v>
      </c>
      <c r="T114" s="29">
        <v>1020.46</v>
      </c>
      <c r="U114" s="29">
        <v>4016.02</v>
      </c>
      <c r="V114" s="29">
        <f>T114+S114*K114</f>
        <v>4015.92</v>
      </c>
      <c r="W114" s="29">
        <f t="shared" si="48"/>
        <v>2995.56</v>
      </c>
      <c r="X114" s="29">
        <f t="shared" si="49"/>
        <v>2995.46</v>
      </c>
      <c r="Y114" s="29">
        <f t="shared" si="50"/>
        <v>-0.1</v>
      </c>
      <c r="Z114" s="26"/>
      <c r="AA114" s="1"/>
      <c r="AB114" s="1"/>
      <c r="AC114" s="1"/>
      <c r="AD114" s="1"/>
      <c r="AE114" s="1"/>
      <c r="AF114" s="1"/>
      <c r="AG114" s="1"/>
      <c r="AH114" s="1"/>
      <c r="AI114" s="1"/>
    </row>
    <row r="115" s="7" customFormat="1" ht="20" customHeight="1" spans="1:35">
      <c r="A115" s="26">
        <v>103</v>
      </c>
      <c r="B115" s="26" t="s">
        <v>322</v>
      </c>
      <c r="C115" s="26" t="s">
        <v>323</v>
      </c>
      <c r="D115" s="26" t="s">
        <v>324</v>
      </c>
      <c r="E115" s="26" t="s">
        <v>32</v>
      </c>
      <c r="F115" s="29">
        <v>13.26</v>
      </c>
      <c r="G115" s="29">
        <v>17.16</v>
      </c>
      <c r="H115" s="29">
        <v>17.16</v>
      </c>
      <c r="I115" s="29"/>
      <c r="J115" s="29">
        <f t="shared" si="70"/>
        <v>3.9</v>
      </c>
      <c r="K115" s="29">
        <f t="shared" si="71"/>
        <v>3.9</v>
      </c>
      <c r="L115" s="29">
        <f t="shared" si="72"/>
        <v>0</v>
      </c>
      <c r="M115" s="37">
        <f t="shared" si="73"/>
        <v>0.2941</v>
      </c>
      <c r="N115" s="27">
        <v>29.28</v>
      </c>
      <c r="O115" s="27">
        <v>24.37</v>
      </c>
      <c r="P115" s="37">
        <f t="shared" si="74"/>
        <v>0.2015</v>
      </c>
      <c r="Q115" s="29">
        <f t="shared" si="75"/>
        <v>18.76</v>
      </c>
      <c r="R115" s="29">
        <f t="shared" si="76"/>
        <v>28.03</v>
      </c>
      <c r="S115" s="29">
        <f t="shared" si="77"/>
        <v>28.03</v>
      </c>
      <c r="T115" s="29">
        <v>388.25</v>
      </c>
      <c r="U115" s="29">
        <v>497.55</v>
      </c>
      <c r="V115" s="29">
        <v>497.55</v>
      </c>
      <c r="W115" s="29">
        <f t="shared" si="48"/>
        <v>109.3</v>
      </c>
      <c r="X115" s="29">
        <f t="shared" si="49"/>
        <v>109.3</v>
      </c>
      <c r="Y115" s="29">
        <f t="shared" si="50"/>
        <v>0</v>
      </c>
      <c r="Z115" s="26"/>
      <c r="AA115" s="1"/>
      <c r="AB115" s="1"/>
      <c r="AC115" s="1"/>
      <c r="AD115" s="1"/>
      <c r="AE115" s="1"/>
      <c r="AF115" s="1"/>
      <c r="AG115" s="1"/>
      <c r="AH115" s="1"/>
      <c r="AI115" s="1"/>
    </row>
    <row r="116" ht="20" customHeight="1" spans="1:35">
      <c r="A116" s="26">
        <v>104</v>
      </c>
      <c r="B116" s="26" t="s">
        <v>325</v>
      </c>
      <c r="C116" s="26" t="s">
        <v>326</v>
      </c>
      <c r="D116" s="26" t="s">
        <v>327</v>
      </c>
      <c r="E116" s="26" t="s">
        <v>32</v>
      </c>
      <c r="F116" s="29">
        <v>609.25</v>
      </c>
      <c r="G116" s="29">
        <v>727.13</v>
      </c>
      <c r="H116" s="29">
        <v>727.13</v>
      </c>
      <c r="I116" s="29"/>
      <c r="J116" s="29">
        <f t="shared" si="70"/>
        <v>117.88</v>
      </c>
      <c r="K116" s="29">
        <f t="shared" si="71"/>
        <v>117.88</v>
      </c>
      <c r="L116" s="29">
        <f t="shared" si="72"/>
        <v>0</v>
      </c>
      <c r="M116" s="37">
        <f t="shared" si="73"/>
        <v>0.1935</v>
      </c>
      <c r="N116" s="27">
        <v>112.13</v>
      </c>
      <c r="O116" s="27">
        <v>74.24</v>
      </c>
      <c r="P116" s="37">
        <f t="shared" si="74"/>
        <v>0.5104</v>
      </c>
      <c r="Q116" s="29">
        <f t="shared" si="75"/>
        <v>57.15</v>
      </c>
      <c r="R116" s="29">
        <f t="shared" si="76"/>
        <v>85.38</v>
      </c>
      <c r="S116" s="29">
        <f t="shared" si="77"/>
        <v>85.38</v>
      </c>
      <c r="T116" s="29">
        <v>68315.75</v>
      </c>
      <c r="U116" s="29">
        <v>78379.57</v>
      </c>
      <c r="V116" s="29">
        <v>78379.57</v>
      </c>
      <c r="W116" s="29">
        <f t="shared" si="48"/>
        <v>10063.82</v>
      </c>
      <c r="X116" s="29">
        <f t="shared" si="49"/>
        <v>10063.82</v>
      </c>
      <c r="Y116" s="29">
        <f t="shared" si="50"/>
        <v>0</v>
      </c>
      <c r="Z116" s="26"/>
      <c r="AA116" s="1"/>
      <c r="AB116" s="1"/>
      <c r="AC116" s="1"/>
      <c r="AD116" s="1"/>
      <c r="AE116" s="1"/>
      <c r="AF116" s="1"/>
      <c r="AG116" s="1"/>
      <c r="AH116" s="1"/>
      <c r="AI116" s="1"/>
    </row>
    <row r="117" ht="20" customHeight="1" spans="1:35">
      <c r="A117" s="26">
        <v>105</v>
      </c>
      <c r="B117" s="26" t="s">
        <v>328</v>
      </c>
      <c r="C117" s="26" t="s">
        <v>329</v>
      </c>
      <c r="D117" s="26" t="s">
        <v>330</v>
      </c>
      <c r="E117" s="26" t="s">
        <v>32</v>
      </c>
      <c r="F117" s="29">
        <v>312.05</v>
      </c>
      <c r="G117" s="29">
        <v>313.35</v>
      </c>
      <c r="H117" s="29">
        <v>313.35</v>
      </c>
      <c r="I117" s="29"/>
      <c r="J117" s="29">
        <f t="shared" si="70"/>
        <v>1.3</v>
      </c>
      <c r="K117" s="29">
        <f t="shared" si="71"/>
        <v>1.3</v>
      </c>
      <c r="L117" s="29">
        <f t="shared" si="72"/>
        <v>0</v>
      </c>
      <c r="M117" s="37">
        <f t="shared" si="73"/>
        <v>0.0042</v>
      </c>
      <c r="N117" s="27">
        <v>142.46</v>
      </c>
      <c r="O117" s="27">
        <v>223.87</v>
      </c>
      <c r="P117" s="37">
        <f t="shared" si="74"/>
        <v>-0.3636</v>
      </c>
      <c r="Q117" s="29">
        <f t="shared" si="75"/>
        <v>172.33</v>
      </c>
      <c r="R117" s="29">
        <f t="shared" si="76"/>
        <v>257.45</v>
      </c>
      <c r="S117" s="29">
        <f t="shared" si="77"/>
        <v>172.33</v>
      </c>
      <c r="T117" s="29">
        <v>44454.93</v>
      </c>
      <c r="U117" s="29">
        <v>44679.33</v>
      </c>
      <c r="V117" s="29">
        <f>T117+S117*K117</f>
        <v>44678.96</v>
      </c>
      <c r="W117" s="29">
        <f t="shared" si="48"/>
        <v>224.4</v>
      </c>
      <c r="X117" s="29">
        <f t="shared" si="49"/>
        <v>224.03</v>
      </c>
      <c r="Y117" s="29">
        <f t="shared" si="50"/>
        <v>-0.37</v>
      </c>
      <c r="Z117" s="26"/>
      <c r="AA117" s="1"/>
      <c r="AB117" s="1"/>
      <c r="AC117" s="1"/>
      <c r="AD117" s="1"/>
      <c r="AE117" s="1"/>
      <c r="AF117" s="1"/>
      <c r="AG117" s="1"/>
      <c r="AH117" s="1"/>
      <c r="AI117" s="1"/>
    </row>
    <row r="118" ht="20" customHeight="1" spans="1:35">
      <c r="A118" s="26">
        <v>106</v>
      </c>
      <c r="B118" s="26" t="s">
        <v>331</v>
      </c>
      <c r="C118" s="26" t="s">
        <v>332</v>
      </c>
      <c r="D118" s="26" t="s">
        <v>333</v>
      </c>
      <c r="E118" s="26" t="s">
        <v>37</v>
      </c>
      <c r="F118" s="29">
        <v>29.84</v>
      </c>
      <c r="G118" s="29">
        <v>31.74</v>
      </c>
      <c r="H118" s="29">
        <v>31.71</v>
      </c>
      <c r="I118" s="29"/>
      <c r="J118" s="29">
        <f t="shared" si="70"/>
        <v>1.9</v>
      </c>
      <c r="K118" s="29">
        <f t="shared" si="71"/>
        <v>1.87</v>
      </c>
      <c r="L118" s="29">
        <f t="shared" si="72"/>
        <v>-0.03</v>
      </c>
      <c r="M118" s="37">
        <f t="shared" si="73"/>
        <v>0.0637</v>
      </c>
      <c r="N118" s="27">
        <v>652.85</v>
      </c>
      <c r="O118" s="27">
        <v>856.45</v>
      </c>
      <c r="P118" s="37">
        <f t="shared" si="74"/>
        <v>-0.2377</v>
      </c>
      <c r="Q118" s="29">
        <f t="shared" si="75"/>
        <v>659.26</v>
      </c>
      <c r="R118" s="29">
        <f t="shared" si="76"/>
        <v>984.92</v>
      </c>
      <c r="S118" s="29">
        <f t="shared" si="77"/>
        <v>659.26</v>
      </c>
      <c r="T118" s="29">
        <v>19482.35</v>
      </c>
      <c r="U118" s="29">
        <v>20731.91</v>
      </c>
      <c r="V118" s="29">
        <f>T118+S118*K118</f>
        <v>20715.17</v>
      </c>
      <c r="W118" s="29">
        <f t="shared" si="48"/>
        <v>1249.56</v>
      </c>
      <c r="X118" s="29">
        <f t="shared" si="49"/>
        <v>1232.82</v>
      </c>
      <c r="Y118" s="29">
        <f t="shared" si="50"/>
        <v>-16.74</v>
      </c>
      <c r="Z118" s="26"/>
      <c r="AA118" s="1"/>
      <c r="AB118" s="1"/>
      <c r="AC118" s="1"/>
      <c r="AD118" s="1"/>
      <c r="AE118" s="1"/>
      <c r="AF118" s="1"/>
      <c r="AG118" s="1"/>
      <c r="AH118" s="1"/>
      <c r="AI118" s="1"/>
    </row>
    <row r="119" ht="20" customHeight="1" spans="1:35">
      <c r="A119" s="26">
        <v>107</v>
      </c>
      <c r="B119" s="26" t="s">
        <v>334</v>
      </c>
      <c r="C119" s="26" t="s">
        <v>335</v>
      </c>
      <c r="D119" s="26" t="s">
        <v>336</v>
      </c>
      <c r="E119" s="26" t="s">
        <v>32</v>
      </c>
      <c r="F119" s="29">
        <v>91.8</v>
      </c>
      <c r="G119" s="29">
        <v>114.81</v>
      </c>
      <c r="H119" s="29">
        <v>107.87</v>
      </c>
      <c r="I119" s="29"/>
      <c r="J119" s="29">
        <f t="shared" si="70"/>
        <v>23.01</v>
      </c>
      <c r="K119" s="29">
        <f t="shared" si="71"/>
        <v>16.07</v>
      </c>
      <c r="L119" s="29">
        <f t="shared" si="72"/>
        <v>-6.94</v>
      </c>
      <c r="M119" s="37">
        <f t="shared" si="73"/>
        <v>0.2507</v>
      </c>
      <c r="N119" s="27">
        <v>296.71</v>
      </c>
      <c r="O119" s="27">
        <v>528</v>
      </c>
      <c r="P119" s="37">
        <f t="shared" si="74"/>
        <v>-0.438</v>
      </c>
      <c r="Q119" s="29">
        <f t="shared" si="75"/>
        <v>406.43</v>
      </c>
      <c r="R119" s="29">
        <f t="shared" si="76"/>
        <v>607.2</v>
      </c>
      <c r="S119" s="29">
        <f t="shared" si="77"/>
        <v>406.43</v>
      </c>
      <c r="T119" s="29">
        <v>27237.98</v>
      </c>
      <c r="U119" s="29">
        <v>36588.46</v>
      </c>
      <c r="V119" s="29">
        <f>T119+S119*K119</f>
        <v>33769.31</v>
      </c>
      <c r="W119" s="29">
        <f t="shared" si="48"/>
        <v>9350.48</v>
      </c>
      <c r="X119" s="29">
        <f t="shared" si="49"/>
        <v>6531.33</v>
      </c>
      <c r="Y119" s="29">
        <f t="shared" si="50"/>
        <v>-2819.15</v>
      </c>
      <c r="Z119" s="26"/>
      <c r="AA119" s="42" t="s">
        <v>337</v>
      </c>
      <c r="AB119" s="1"/>
      <c r="AC119" s="1"/>
      <c r="AD119" s="1"/>
      <c r="AE119" s="1"/>
      <c r="AF119" s="1"/>
      <c r="AG119" s="1"/>
      <c r="AH119" s="1"/>
      <c r="AI119" s="1"/>
    </row>
    <row r="120" ht="20" customHeight="1" spans="1:35">
      <c r="A120" s="26">
        <v>108</v>
      </c>
      <c r="B120" s="26" t="s">
        <v>338</v>
      </c>
      <c r="C120" s="26" t="s">
        <v>339</v>
      </c>
      <c r="D120" s="26" t="s">
        <v>340</v>
      </c>
      <c r="E120" s="26" t="s">
        <v>32</v>
      </c>
      <c r="F120" s="29">
        <v>1026.02</v>
      </c>
      <c r="G120" s="29">
        <v>1025.87</v>
      </c>
      <c r="H120" s="29">
        <v>1025.87</v>
      </c>
      <c r="I120" s="29"/>
      <c r="J120" s="29">
        <f t="shared" si="70"/>
        <v>-0.15</v>
      </c>
      <c r="K120" s="29">
        <f t="shared" si="71"/>
        <v>-0.15</v>
      </c>
      <c r="L120" s="29">
        <f t="shared" si="72"/>
        <v>0</v>
      </c>
      <c r="M120" s="37">
        <f t="shared" si="73"/>
        <v>-0.0001</v>
      </c>
      <c r="N120" s="27">
        <v>296.71</v>
      </c>
      <c r="O120" s="27">
        <v>530.46</v>
      </c>
      <c r="P120" s="37">
        <f t="shared" si="74"/>
        <v>-0.4407</v>
      </c>
      <c r="Q120" s="29">
        <f t="shared" si="75"/>
        <v>408.33</v>
      </c>
      <c r="R120" s="29">
        <f t="shared" si="76"/>
        <v>610.03</v>
      </c>
      <c r="S120" s="29">
        <f t="shared" si="77"/>
        <v>408.33</v>
      </c>
      <c r="T120" s="29">
        <v>304430.39</v>
      </c>
      <c r="U120" s="29">
        <v>304368.12</v>
      </c>
      <c r="V120" s="29">
        <v>304368.12</v>
      </c>
      <c r="W120" s="29">
        <f t="shared" si="48"/>
        <v>-62.27</v>
      </c>
      <c r="X120" s="29">
        <f t="shared" si="49"/>
        <v>-62.27</v>
      </c>
      <c r="Y120" s="29">
        <f t="shared" si="50"/>
        <v>0</v>
      </c>
      <c r="Z120" s="26"/>
      <c r="AA120" s="1"/>
      <c r="AB120" s="1"/>
      <c r="AC120" s="1"/>
      <c r="AD120" s="1"/>
      <c r="AE120" s="1"/>
      <c r="AF120" s="1"/>
      <c r="AG120" s="1"/>
      <c r="AH120" s="1"/>
      <c r="AI120" s="1"/>
    </row>
    <row r="121" ht="20" customHeight="1" spans="1:35">
      <c r="A121" s="26">
        <v>109</v>
      </c>
      <c r="B121" s="26" t="s">
        <v>341</v>
      </c>
      <c r="C121" s="26" t="s">
        <v>342</v>
      </c>
      <c r="D121" s="26" t="s">
        <v>343</v>
      </c>
      <c r="E121" s="26" t="s">
        <v>32</v>
      </c>
      <c r="F121" s="29">
        <v>1293.78</v>
      </c>
      <c r="G121" s="29">
        <v>1285.93</v>
      </c>
      <c r="H121" s="29">
        <v>1283.96</v>
      </c>
      <c r="I121" s="29"/>
      <c r="J121" s="29">
        <f t="shared" si="70"/>
        <v>-7.85</v>
      </c>
      <c r="K121" s="29">
        <f t="shared" si="71"/>
        <v>-9.82</v>
      </c>
      <c r="L121" s="29">
        <f t="shared" si="72"/>
        <v>-1.97</v>
      </c>
      <c r="M121" s="37">
        <f t="shared" si="73"/>
        <v>-0.0061</v>
      </c>
      <c r="N121" s="27">
        <v>167.91</v>
      </c>
      <c r="O121" s="27">
        <v>181.82</v>
      </c>
      <c r="P121" s="37">
        <f t="shared" si="74"/>
        <v>-0.0765</v>
      </c>
      <c r="Q121" s="29">
        <f t="shared" si="75"/>
        <v>139.96</v>
      </c>
      <c r="R121" s="29">
        <f t="shared" si="76"/>
        <v>209.09</v>
      </c>
      <c r="S121" s="29">
        <f t="shared" si="77"/>
        <v>167.91</v>
      </c>
      <c r="T121" s="29">
        <v>217238.1</v>
      </c>
      <c r="U121" s="29">
        <v>215920.94</v>
      </c>
      <c r="V121" s="29">
        <f>T121+S121*K121</f>
        <v>215589.22</v>
      </c>
      <c r="W121" s="29">
        <f t="shared" si="48"/>
        <v>-1317.16</v>
      </c>
      <c r="X121" s="29">
        <f t="shared" si="49"/>
        <v>-1648.88</v>
      </c>
      <c r="Y121" s="29">
        <f t="shared" si="50"/>
        <v>-331.72</v>
      </c>
      <c r="Z121" s="26"/>
      <c r="AA121" s="1"/>
      <c r="AB121" s="1"/>
      <c r="AC121" s="1"/>
      <c r="AD121" s="1"/>
      <c r="AE121" s="1"/>
      <c r="AF121" s="1"/>
      <c r="AG121" s="1"/>
      <c r="AH121" s="1"/>
      <c r="AI121" s="1"/>
    </row>
    <row r="122" ht="20" customHeight="1" spans="1:35">
      <c r="A122" s="26">
        <v>110</v>
      </c>
      <c r="B122" s="26" t="s">
        <v>344</v>
      </c>
      <c r="C122" s="26" t="s">
        <v>345</v>
      </c>
      <c r="D122" s="26" t="s">
        <v>346</v>
      </c>
      <c r="E122" s="26" t="s">
        <v>32</v>
      </c>
      <c r="F122" s="29">
        <v>2.32</v>
      </c>
      <c r="G122" s="29">
        <v>2.32</v>
      </c>
      <c r="H122" s="29">
        <v>0.42</v>
      </c>
      <c r="I122" s="29"/>
      <c r="J122" s="29">
        <f t="shared" si="70"/>
        <v>0</v>
      </c>
      <c r="K122" s="29">
        <f t="shared" si="71"/>
        <v>-1.9</v>
      </c>
      <c r="L122" s="29">
        <f t="shared" si="72"/>
        <v>-1.9</v>
      </c>
      <c r="M122" s="37">
        <f t="shared" si="73"/>
        <v>0</v>
      </c>
      <c r="N122" s="27">
        <v>220.22</v>
      </c>
      <c r="O122" s="27">
        <v>249.18</v>
      </c>
      <c r="P122" s="37">
        <f t="shared" si="74"/>
        <v>-0.1162</v>
      </c>
      <c r="Q122" s="29">
        <f t="shared" si="75"/>
        <v>191.81</v>
      </c>
      <c r="R122" s="29">
        <f t="shared" si="76"/>
        <v>286.56</v>
      </c>
      <c r="S122" s="29">
        <f t="shared" si="77"/>
        <v>220.22</v>
      </c>
      <c r="T122" s="29">
        <v>510.91</v>
      </c>
      <c r="U122" s="29">
        <v>510.91</v>
      </c>
      <c r="V122" s="29">
        <f>T122+S122*K122</f>
        <v>92.49</v>
      </c>
      <c r="W122" s="29">
        <f t="shared" si="48"/>
        <v>0</v>
      </c>
      <c r="X122" s="29">
        <f t="shared" si="49"/>
        <v>-418.42</v>
      </c>
      <c r="Y122" s="29">
        <f t="shared" si="50"/>
        <v>-418.42</v>
      </c>
      <c r="Z122" s="26"/>
      <c r="AA122" s="1"/>
      <c r="AB122" s="1"/>
      <c r="AC122" s="1"/>
      <c r="AD122" s="1"/>
      <c r="AE122" s="1"/>
      <c r="AF122" s="1"/>
      <c r="AG122" s="1"/>
      <c r="AH122" s="1"/>
      <c r="AI122" s="1"/>
    </row>
    <row r="123" ht="20" customHeight="1" spans="1:35">
      <c r="A123" s="26">
        <v>111</v>
      </c>
      <c r="B123" s="26" t="s">
        <v>347</v>
      </c>
      <c r="C123" s="26" t="s">
        <v>345</v>
      </c>
      <c r="D123" s="26" t="s">
        <v>348</v>
      </c>
      <c r="E123" s="26" t="s">
        <v>32</v>
      </c>
      <c r="F123" s="29">
        <v>23.76</v>
      </c>
      <c r="G123" s="29">
        <v>23.47</v>
      </c>
      <c r="H123" s="29">
        <v>23.47</v>
      </c>
      <c r="I123" s="29"/>
      <c r="J123" s="29">
        <f t="shared" si="70"/>
        <v>-0.29</v>
      </c>
      <c r="K123" s="29">
        <f t="shared" si="71"/>
        <v>-0.29</v>
      </c>
      <c r="L123" s="29">
        <f t="shared" si="72"/>
        <v>0</v>
      </c>
      <c r="M123" s="37">
        <f t="shared" si="73"/>
        <v>-0.0122</v>
      </c>
      <c r="N123" s="27">
        <v>139.46</v>
      </c>
      <c r="O123" s="27">
        <v>162.88</v>
      </c>
      <c r="P123" s="37">
        <f t="shared" si="74"/>
        <v>-0.1438</v>
      </c>
      <c r="Q123" s="29">
        <f t="shared" si="75"/>
        <v>125.38</v>
      </c>
      <c r="R123" s="29">
        <f t="shared" si="76"/>
        <v>187.31</v>
      </c>
      <c r="S123" s="29">
        <f t="shared" si="77"/>
        <v>139.46</v>
      </c>
      <c r="T123" s="29">
        <v>3313.47</v>
      </c>
      <c r="U123" s="29">
        <v>3272.54</v>
      </c>
      <c r="V123" s="29">
        <v>3272.54</v>
      </c>
      <c r="W123" s="29">
        <f t="shared" si="48"/>
        <v>-40.93</v>
      </c>
      <c r="X123" s="29">
        <f t="shared" si="49"/>
        <v>-40.93</v>
      </c>
      <c r="Y123" s="29">
        <f t="shared" si="50"/>
        <v>0</v>
      </c>
      <c r="Z123" s="26"/>
      <c r="AA123" s="1"/>
      <c r="AB123" s="1"/>
      <c r="AC123" s="1"/>
      <c r="AD123" s="1"/>
      <c r="AE123" s="1"/>
      <c r="AF123" s="1"/>
      <c r="AG123" s="1"/>
      <c r="AH123" s="1"/>
      <c r="AI123" s="1"/>
    </row>
    <row r="124" ht="20" customHeight="1" spans="1:35">
      <c r="A124" s="26">
        <v>112</v>
      </c>
      <c r="B124" s="26" t="s">
        <v>349</v>
      </c>
      <c r="C124" s="26" t="s">
        <v>350</v>
      </c>
      <c r="D124" s="26" t="s">
        <v>351</v>
      </c>
      <c r="E124" s="26" t="s">
        <v>32</v>
      </c>
      <c r="F124" s="29">
        <v>860.32</v>
      </c>
      <c r="G124" s="29">
        <v>762.89</v>
      </c>
      <c r="H124" s="29">
        <v>762.56</v>
      </c>
      <c r="I124" s="29"/>
      <c r="J124" s="29">
        <f t="shared" si="70"/>
        <v>-97.43</v>
      </c>
      <c r="K124" s="29">
        <f t="shared" si="71"/>
        <v>-97.76</v>
      </c>
      <c r="L124" s="29">
        <f t="shared" si="72"/>
        <v>-0.33</v>
      </c>
      <c r="M124" s="37">
        <f t="shared" si="73"/>
        <v>-0.1132</v>
      </c>
      <c r="N124" s="27">
        <v>129.21</v>
      </c>
      <c r="O124" s="27">
        <v>90.73</v>
      </c>
      <c r="P124" s="37">
        <f t="shared" si="74"/>
        <v>0.4241</v>
      </c>
      <c r="Q124" s="29">
        <f t="shared" si="75"/>
        <v>69.84</v>
      </c>
      <c r="R124" s="29">
        <f t="shared" si="76"/>
        <v>104.34</v>
      </c>
      <c r="S124" s="29">
        <f t="shared" si="77"/>
        <v>104.34</v>
      </c>
      <c r="T124" s="29">
        <v>111162.35</v>
      </c>
      <c r="U124" s="29">
        <v>100996.22</v>
      </c>
      <c r="V124" s="29">
        <f>T124+S124*K124</f>
        <v>100962.07</v>
      </c>
      <c r="W124" s="29">
        <f t="shared" si="48"/>
        <v>-10166.13</v>
      </c>
      <c r="X124" s="29">
        <f t="shared" si="49"/>
        <v>-10200.28</v>
      </c>
      <c r="Y124" s="29">
        <f t="shared" si="50"/>
        <v>-34.15</v>
      </c>
      <c r="Z124" s="26"/>
      <c r="AA124" s="1"/>
      <c r="AB124" s="1"/>
      <c r="AC124" s="1"/>
      <c r="AD124" s="1"/>
      <c r="AE124" s="1"/>
      <c r="AF124" s="1"/>
      <c r="AG124" s="1"/>
      <c r="AH124" s="1"/>
      <c r="AI124" s="1"/>
    </row>
    <row r="125" ht="20" customHeight="1" spans="1:35">
      <c r="A125" s="26">
        <v>113</v>
      </c>
      <c r="B125" s="26" t="s">
        <v>352</v>
      </c>
      <c r="C125" s="26" t="s">
        <v>353</v>
      </c>
      <c r="D125" s="26" t="s">
        <v>354</v>
      </c>
      <c r="E125" s="26" t="s">
        <v>32</v>
      </c>
      <c r="F125" s="29">
        <v>163.06</v>
      </c>
      <c r="G125" s="29">
        <v>60.62</v>
      </c>
      <c r="H125" s="29">
        <v>60.62</v>
      </c>
      <c r="I125" s="29"/>
      <c r="J125" s="29">
        <f t="shared" si="70"/>
        <v>-102.44</v>
      </c>
      <c r="K125" s="29">
        <f t="shared" si="71"/>
        <v>-102.44</v>
      </c>
      <c r="L125" s="29">
        <f t="shared" si="72"/>
        <v>0</v>
      </c>
      <c r="M125" s="37">
        <f t="shared" si="73"/>
        <v>-0.6282</v>
      </c>
      <c r="N125" s="27">
        <v>256.98</v>
      </c>
      <c r="O125" s="27">
        <v>212.4</v>
      </c>
      <c r="P125" s="37">
        <f t="shared" si="74"/>
        <v>0.2099</v>
      </c>
      <c r="Q125" s="29">
        <f t="shared" si="75"/>
        <v>163.5</v>
      </c>
      <c r="R125" s="29">
        <f t="shared" si="76"/>
        <v>244.26</v>
      </c>
      <c r="S125" s="29">
        <f t="shared" si="77"/>
        <v>244.26</v>
      </c>
      <c r="T125" s="29">
        <v>41903.16</v>
      </c>
      <c r="U125" s="29">
        <v>16882.14</v>
      </c>
      <c r="V125" s="29">
        <f>T125+S125*K125</f>
        <v>16881.17</v>
      </c>
      <c r="W125" s="29">
        <f t="shared" si="48"/>
        <v>-25021.02</v>
      </c>
      <c r="X125" s="29">
        <f t="shared" si="49"/>
        <v>-25021.99</v>
      </c>
      <c r="Y125" s="29">
        <f t="shared" si="50"/>
        <v>-0.97</v>
      </c>
      <c r="Z125" s="5"/>
      <c r="AA125" s="1"/>
      <c r="AB125" s="1"/>
      <c r="AC125" s="1"/>
      <c r="AD125" s="1"/>
      <c r="AE125" s="1"/>
      <c r="AF125" s="1"/>
      <c r="AG125" s="1"/>
      <c r="AH125" s="1"/>
      <c r="AI125" s="1"/>
    </row>
    <row r="126" ht="20" customHeight="1" spans="1:35">
      <c r="A126" s="26">
        <v>114</v>
      </c>
      <c r="B126" s="26" t="s">
        <v>355</v>
      </c>
      <c r="C126" s="26" t="s">
        <v>356</v>
      </c>
      <c r="D126" s="26" t="s">
        <v>357</v>
      </c>
      <c r="E126" s="26" t="s">
        <v>32</v>
      </c>
      <c r="F126" s="29">
        <v>14.69</v>
      </c>
      <c r="G126" s="29">
        <v>27.2</v>
      </c>
      <c r="H126" s="29">
        <f>21.5+5.7</f>
        <v>27.2</v>
      </c>
      <c r="I126" s="29"/>
      <c r="J126" s="29">
        <f t="shared" si="70"/>
        <v>12.51</v>
      </c>
      <c r="K126" s="29">
        <f t="shared" si="71"/>
        <v>12.51</v>
      </c>
      <c r="L126" s="29">
        <f t="shared" si="72"/>
        <v>0</v>
      </c>
      <c r="M126" s="37">
        <f t="shared" si="73"/>
        <v>0.8516</v>
      </c>
      <c r="N126" s="27">
        <v>103.72</v>
      </c>
      <c r="O126" s="27">
        <v>127.05</v>
      </c>
      <c r="P126" s="37">
        <f t="shared" si="74"/>
        <v>-0.1836</v>
      </c>
      <c r="Q126" s="29">
        <f t="shared" si="75"/>
        <v>97.8</v>
      </c>
      <c r="R126" s="29">
        <f t="shared" si="76"/>
        <v>146.11</v>
      </c>
      <c r="S126" s="29">
        <f t="shared" si="77"/>
        <v>103.72</v>
      </c>
      <c r="T126" s="29">
        <v>1524.06</v>
      </c>
      <c r="U126" s="29">
        <v>2821.24</v>
      </c>
      <c r="V126" s="29">
        <v>2821.24</v>
      </c>
      <c r="W126" s="29">
        <f t="shared" si="48"/>
        <v>1297.18</v>
      </c>
      <c r="X126" s="29">
        <f t="shared" si="49"/>
        <v>1297.18</v>
      </c>
      <c r="Y126" s="29">
        <f t="shared" si="50"/>
        <v>0</v>
      </c>
      <c r="Z126" s="26"/>
      <c r="AA126" s="1"/>
      <c r="AB126" s="1"/>
      <c r="AC126" s="1"/>
      <c r="AD126" s="1"/>
      <c r="AE126" s="1"/>
      <c r="AF126" s="1"/>
      <c r="AG126" s="1"/>
      <c r="AH126" s="1"/>
      <c r="AI126" s="1"/>
    </row>
    <row r="127" ht="20" customHeight="1" spans="1:35">
      <c r="A127" s="26">
        <v>115</v>
      </c>
      <c r="B127" s="26" t="s">
        <v>358</v>
      </c>
      <c r="C127" s="26" t="s">
        <v>356</v>
      </c>
      <c r="D127" s="26" t="s">
        <v>359</v>
      </c>
      <c r="E127" s="26" t="s">
        <v>32</v>
      </c>
      <c r="F127" s="29">
        <v>2.86</v>
      </c>
      <c r="G127" s="29">
        <v>8.83</v>
      </c>
      <c r="H127" s="29">
        <v>8.82</v>
      </c>
      <c r="I127" s="29"/>
      <c r="J127" s="29">
        <f t="shared" si="70"/>
        <v>5.97</v>
      </c>
      <c r="K127" s="29">
        <f t="shared" si="71"/>
        <v>5.96</v>
      </c>
      <c r="L127" s="29">
        <f t="shared" si="72"/>
        <v>-0.01</v>
      </c>
      <c r="M127" s="37">
        <f t="shared" si="73"/>
        <v>2.0874</v>
      </c>
      <c r="N127" s="27">
        <v>98.75</v>
      </c>
      <c r="O127" s="27">
        <v>116.9</v>
      </c>
      <c r="P127" s="37">
        <f t="shared" si="74"/>
        <v>-0.1553</v>
      </c>
      <c r="Q127" s="29">
        <f t="shared" si="75"/>
        <v>89.98</v>
      </c>
      <c r="R127" s="29">
        <f t="shared" si="76"/>
        <v>134.44</v>
      </c>
      <c r="S127" s="29">
        <f t="shared" si="77"/>
        <v>98.75</v>
      </c>
      <c r="T127" s="29">
        <v>282.83</v>
      </c>
      <c r="U127" s="29">
        <v>871.49</v>
      </c>
      <c r="V127" s="29">
        <f>T127+S127*K127</f>
        <v>871.38</v>
      </c>
      <c r="W127" s="29">
        <f t="shared" si="48"/>
        <v>588.66</v>
      </c>
      <c r="X127" s="29">
        <f t="shared" si="49"/>
        <v>588.55</v>
      </c>
      <c r="Y127" s="29">
        <f t="shared" si="50"/>
        <v>-0.11</v>
      </c>
      <c r="Z127" s="26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0" customHeight="1" spans="1:35">
      <c r="A128" s="26">
        <v>116</v>
      </c>
      <c r="B128" s="26" t="s">
        <v>360</v>
      </c>
      <c r="C128" s="26" t="s">
        <v>361</v>
      </c>
      <c r="D128" s="26" t="s">
        <v>362</v>
      </c>
      <c r="E128" s="26" t="s">
        <v>32</v>
      </c>
      <c r="F128" s="29">
        <v>19.35</v>
      </c>
      <c r="G128" s="29">
        <v>29.34</v>
      </c>
      <c r="H128" s="29">
        <f>29.31</f>
        <v>29.31</v>
      </c>
      <c r="I128" s="29"/>
      <c r="J128" s="29">
        <f t="shared" si="70"/>
        <v>9.99</v>
      </c>
      <c r="K128" s="29">
        <f t="shared" si="71"/>
        <v>9.96</v>
      </c>
      <c r="L128" s="29">
        <f t="shared" si="72"/>
        <v>-0.03</v>
      </c>
      <c r="M128" s="37">
        <f t="shared" si="73"/>
        <v>0.5163</v>
      </c>
      <c r="N128" s="27">
        <v>392.29</v>
      </c>
      <c r="O128" s="27">
        <v>287.46</v>
      </c>
      <c r="P128" s="37">
        <f t="shared" si="74"/>
        <v>0.3647</v>
      </c>
      <c r="Q128" s="29">
        <f t="shared" si="75"/>
        <v>221.28</v>
      </c>
      <c r="R128" s="29">
        <f t="shared" si="76"/>
        <v>330.58</v>
      </c>
      <c r="S128" s="29">
        <f t="shared" si="77"/>
        <v>330.58</v>
      </c>
      <c r="T128" s="29">
        <v>7591.2</v>
      </c>
      <c r="U128" s="29">
        <v>10893.26</v>
      </c>
      <c r="V128" s="29">
        <f>T128+S128*K128</f>
        <v>10883.78</v>
      </c>
      <c r="W128" s="29">
        <f t="shared" si="48"/>
        <v>3302.06</v>
      </c>
      <c r="X128" s="29">
        <f t="shared" si="49"/>
        <v>3292.58</v>
      </c>
      <c r="Y128" s="29">
        <f t="shared" si="50"/>
        <v>-9.48</v>
      </c>
      <c r="Z128" s="26"/>
      <c r="AA128" s="1"/>
      <c r="AB128" s="1"/>
      <c r="AC128" s="1"/>
      <c r="AD128" s="1"/>
      <c r="AE128" s="1"/>
      <c r="AF128" s="1"/>
      <c r="AG128" s="1"/>
      <c r="AH128" s="1"/>
      <c r="AI128" s="1"/>
    </row>
    <row r="129" ht="20" customHeight="1" spans="1:35">
      <c r="A129" s="26">
        <v>117</v>
      </c>
      <c r="B129" s="26" t="s">
        <v>363</v>
      </c>
      <c r="C129" s="26" t="s">
        <v>361</v>
      </c>
      <c r="D129" s="26" t="s">
        <v>364</v>
      </c>
      <c r="E129" s="26" t="s">
        <v>32</v>
      </c>
      <c r="F129" s="29">
        <v>3.14</v>
      </c>
      <c r="G129" s="29">
        <v>16</v>
      </c>
      <c r="H129" s="29">
        <f>16</f>
        <v>16</v>
      </c>
      <c r="I129" s="29"/>
      <c r="J129" s="29">
        <f t="shared" si="70"/>
        <v>12.86</v>
      </c>
      <c r="K129" s="29">
        <f t="shared" si="71"/>
        <v>12.86</v>
      </c>
      <c r="L129" s="29">
        <f t="shared" si="72"/>
        <v>0</v>
      </c>
      <c r="M129" s="37">
        <f t="shared" si="73"/>
        <v>4.0955</v>
      </c>
      <c r="N129" s="27">
        <v>392.29</v>
      </c>
      <c r="O129" s="27">
        <v>333.66</v>
      </c>
      <c r="P129" s="37">
        <f t="shared" si="74"/>
        <v>0.1757</v>
      </c>
      <c r="Q129" s="29">
        <f t="shared" si="75"/>
        <v>256.84</v>
      </c>
      <c r="R129" s="29">
        <f t="shared" si="76"/>
        <v>383.71</v>
      </c>
      <c r="S129" s="29">
        <f t="shared" si="77"/>
        <v>383.71</v>
      </c>
      <c r="T129" s="29">
        <v>1230.61</v>
      </c>
      <c r="U129" s="29">
        <v>6164.73</v>
      </c>
      <c r="V129" s="29">
        <v>6164.73</v>
      </c>
      <c r="W129" s="29">
        <f t="shared" si="48"/>
        <v>4934.12</v>
      </c>
      <c r="X129" s="29">
        <f t="shared" si="49"/>
        <v>4934.12</v>
      </c>
      <c r="Y129" s="29">
        <f t="shared" si="50"/>
        <v>0</v>
      </c>
      <c r="Z129" s="26"/>
      <c r="AA129" s="1"/>
      <c r="AB129" s="1"/>
      <c r="AC129" s="1"/>
      <c r="AD129" s="1"/>
      <c r="AE129" s="1"/>
      <c r="AF129" s="1"/>
      <c r="AG129" s="1"/>
      <c r="AH129" s="1"/>
      <c r="AI129" s="1"/>
    </row>
    <row r="130" ht="20" customHeight="1" spans="1:35">
      <c r="A130" s="26">
        <v>118</v>
      </c>
      <c r="B130" s="26" t="s">
        <v>365</v>
      </c>
      <c r="C130" s="26" t="s">
        <v>366</v>
      </c>
      <c r="D130" s="26" t="s">
        <v>367</v>
      </c>
      <c r="E130" s="26" t="s">
        <v>32</v>
      </c>
      <c r="F130" s="29">
        <v>9.96</v>
      </c>
      <c r="G130" s="29">
        <v>9.96</v>
      </c>
      <c r="H130" s="29">
        <v>2.51</v>
      </c>
      <c r="I130" s="29"/>
      <c r="J130" s="29">
        <f t="shared" si="70"/>
        <v>0</v>
      </c>
      <c r="K130" s="29">
        <f t="shared" si="71"/>
        <v>-7.45</v>
      </c>
      <c r="L130" s="29">
        <f t="shared" si="72"/>
        <v>-7.45</v>
      </c>
      <c r="M130" s="37">
        <f t="shared" si="73"/>
        <v>0</v>
      </c>
      <c r="N130" s="27">
        <v>271.88</v>
      </c>
      <c r="O130" s="27">
        <v>392.16</v>
      </c>
      <c r="P130" s="37">
        <f t="shared" si="74"/>
        <v>-0.3067</v>
      </c>
      <c r="Q130" s="29">
        <f t="shared" si="75"/>
        <v>301.87</v>
      </c>
      <c r="R130" s="29">
        <f t="shared" si="76"/>
        <v>450.98</v>
      </c>
      <c r="S130" s="29">
        <f t="shared" si="77"/>
        <v>301.87</v>
      </c>
      <c r="T130" s="29">
        <v>2707.92</v>
      </c>
      <c r="U130" s="29">
        <v>2707.92</v>
      </c>
      <c r="V130" s="29">
        <f>T130+S130*K130</f>
        <v>458.99</v>
      </c>
      <c r="W130" s="29">
        <f t="shared" si="48"/>
        <v>0</v>
      </c>
      <c r="X130" s="29">
        <f t="shared" si="49"/>
        <v>-2248.93</v>
      </c>
      <c r="Y130" s="29">
        <f t="shared" si="50"/>
        <v>-2248.93</v>
      </c>
      <c r="Z130" s="26"/>
      <c r="AA130" s="1"/>
      <c r="AB130" s="1"/>
      <c r="AC130" s="1"/>
      <c r="AD130" s="1"/>
      <c r="AE130" s="1"/>
      <c r="AF130" s="1"/>
      <c r="AG130" s="1"/>
      <c r="AH130" s="1"/>
      <c r="AI130" s="1"/>
    </row>
    <row r="131" ht="20" customHeight="1" spans="1:35">
      <c r="A131" s="26"/>
      <c r="B131" s="26"/>
      <c r="C131" s="26" t="s">
        <v>368</v>
      </c>
      <c r="D131" s="26"/>
      <c r="E131" s="26"/>
      <c r="F131" s="29"/>
      <c r="G131" s="29"/>
      <c r="H131" s="29"/>
      <c r="I131" s="29"/>
      <c r="J131" s="29"/>
      <c r="K131" s="29"/>
      <c r="L131" s="29"/>
      <c r="M131" s="37"/>
      <c r="N131" s="27"/>
      <c r="O131" s="27"/>
      <c r="P131" s="37"/>
      <c r="Q131" s="29"/>
      <c r="R131" s="29"/>
      <c r="S131" s="29"/>
      <c r="T131" s="29">
        <v>2850747.95</v>
      </c>
      <c r="U131" s="29">
        <v>3314824.03</v>
      </c>
      <c r="V131" s="29">
        <f>+SUM(V132:V158)</f>
        <v>3061146.2</v>
      </c>
      <c r="W131" s="29">
        <f t="shared" si="48"/>
        <v>464076.08</v>
      </c>
      <c r="X131" s="29">
        <f t="shared" si="49"/>
        <v>210398.25</v>
      </c>
      <c r="Y131" s="29">
        <f t="shared" si="50"/>
        <v>-253677.83</v>
      </c>
      <c r="Z131" s="26"/>
      <c r="AA131" s="42"/>
      <c r="AB131" s="1"/>
      <c r="AC131" s="1"/>
      <c r="AD131" s="1"/>
      <c r="AE131" s="1"/>
      <c r="AF131" s="1"/>
      <c r="AG131" s="1"/>
      <c r="AH131" s="1"/>
      <c r="AI131" s="1"/>
    </row>
    <row r="132" ht="20" customHeight="1" spans="1:35">
      <c r="A132" s="26">
        <v>119</v>
      </c>
      <c r="B132" s="26" t="s">
        <v>369</v>
      </c>
      <c r="C132" s="26" t="s">
        <v>370</v>
      </c>
      <c r="D132" s="26" t="s">
        <v>371</v>
      </c>
      <c r="E132" s="26" t="s">
        <v>32</v>
      </c>
      <c r="F132" s="29">
        <v>2787.83</v>
      </c>
      <c r="G132" s="29">
        <v>3039.21</v>
      </c>
      <c r="H132" s="29">
        <v>3037.23</v>
      </c>
      <c r="I132" s="29"/>
      <c r="J132" s="29">
        <f t="shared" ref="J132:J158" si="78">G132-F132</f>
        <v>251.38</v>
      </c>
      <c r="K132" s="29">
        <f t="shared" ref="K132:K158" si="79">H132-F132</f>
        <v>249.4</v>
      </c>
      <c r="L132" s="29">
        <f t="shared" ref="L132:L158" si="80">H132-G132</f>
        <v>-1.98</v>
      </c>
      <c r="M132" s="37">
        <f t="shared" ref="M132:M158" si="81">J132/F132</f>
        <v>0.0902</v>
      </c>
      <c r="N132" s="27">
        <v>188.2</v>
      </c>
      <c r="O132" s="27">
        <v>140.67</v>
      </c>
      <c r="P132" s="37">
        <f t="shared" ref="P132:P158" si="82">(N132-O132)/O132</f>
        <v>0.3379</v>
      </c>
      <c r="Q132" s="29">
        <f t="shared" ref="Q132:Q158" si="83">O132*0.9056*0.85</f>
        <v>108.28</v>
      </c>
      <c r="R132" s="29">
        <f t="shared" ref="R132:R158" si="84">O132*1.15</f>
        <v>161.77</v>
      </c>
      <c r="S132" s="29">
        <f t="shared" ref="S132:S158" si="85">IF(N132&lt;O132*0.9056*0.85,O132*0.9056*0.85,IF(N132&gt;O132*1.15,O132*1.15,N132))</f>
        <v>161.77</v>
      </c>
      <c r="T132" s="29">
        <v>524669.61</v>
      </c>
      <c r="U132" s="29">
        <v>565335.38</v>
      </c>
      <c r="V132" s="29">
        <f t="shared" ref="V132:V154" si="86">T132+S132*K132</f>
        <v>565015.05</v>
      </c>
      <c r="W132" s="29">
        <f t="shared" ref="W132:W187" si="87">U132-T132</f>
        <v>40665.77</v>
      </c>
      <c r="X132" s="29">
        <f t="shared" si="49"/>
        <v>40345.44</v>
      </c>
      <c r="Y132" s="29">
        <f t="shared" si="50"/>
        <v>-320.33</v>
      </c>
      <c r="Z132" s="26"/>
      <c r="AA132" s="1"/>
      <c r="AB132" s="1"/>
      <c r="AC132" s="1"/>
      <c r="AD132" s="1"/>
      <c r="AE132" s="1"/>
      <c r="AF132" s="1"/>
      <c r="AG132" s="1"/>
      <c r="AH132" s="1"/>
      <c r="AI132" s="1"/>
    </row>
    <row r="133" s="7" customFormat="1" ht="20" customHeight="1" spans="1:35">
      <c r="A133" s="26">
        <v>120</v>
      </c>
      <c r="B133" s="26" t="s">
        <v>372</v>
      </c>
      <c r="C133" s="26" t="s">
        <v>373</v>
      </c>
      <c r="D133" s="26" t="s">
        <v>374</v>
      </c>
      <c r="E133" s="26" t="s">
        <v>32</v>
      </c>
      <c r="F133" s="29">
        <v>858.46</v>
      </c>
      <c r="G133" s="29">
        <v>1044.02</v>
      </c>
      <c r="H133" s="29">
        <v>1044.02</v>
      </c>
      <c r="I133" s="29"/>
      <c r="J133" s="29">
        <f t="shared" si="78"/>
        <v>185.56</v>
      </c>
      <c r="K133" s="29">
        <f t="shared" si="79"/>
        <v>185.56</v>
      </c>
      <c r="L133" s="29">
        <f t="shared" si="80"/>
        <v>0</v>
      </c>
      <c r="M133" s="37">
        <f t="shared" si="81"/>
        <v>0.2162</v>
      </c>
      <c r="N133" s="27">
        <v>133.2</v>
      </c>
      <c r="O133" s="27">
        <v>98.47</v>
      </c>
      <c r="P133" s="37">
        <f t="shared" si="82"/>
        <v>0.3527</v>
      </c>
      <c r="Q133" s="29">
        <f t="shared" si="83"/>
        <v>75.8</v>
      </c>
      <c r="R133" s="29">
        <f t="shared" si="84"/>
        <v>113.24</v>
      </c>
      <c r="S133" s="29">
        <f t="shared" si="85"/>
        <v>113.24</v>
      </c>
      <c r="T133" s="29">
        <v>114347.24</v>
      </c>
      <c r="U133" s="29">
        <v>135360.23</v>
      </c>
      <c r="V133" s="29">
        <f t="shared" si="86"/>
        <v>135360.05</v>
      </c>
      <c r="W133" s="29">
        <f t="shared" si="87"/>
        <v>21012.99</v>
      </c>
      <c r="X133" s="29">
        <f t="shared" ref="X133:X193" si="88">V133-T133</f>
        <v>21012.81</v>
      </c>
      <c r="Y133" s="29">
        <f t="shared" ref="Y133:Y193" si="89">V133-U133</f>
        <v>-0.18</v>
      </c>
      <c r="Z133" s="26"/>
      <c r="AA133" s="1"/>
      <c r="AB133" s="1"/>
      <c r="AC133" s="1"/>
      <c r="AD133" s="1"/>
      <c r="AE133" s="1"/>
      <c r="AF133" s="1"/>
      <c r="AG133" s="1"/>
      <c r="AH133" s="1"/>
      <c r="AI133" s="1"/>
    </row>
    <row r="134" ht="20" customHeight="1" spans="1:35">
      <c r="A134" s="26">
        <v>121</v>
      </c>
      <c r="B134" s="26" t="s">
        <v>375</v>
      </c>
      <c r="C134" s="26" t="s">
        <v>376</v>
      </c>
      <c r="D134" s="26" t="s">
        <v>374</v>
      </c>
      <c r="E134" s="26" t="s">
        <v>32</v>
      </c>
      <c r="F134" s="29">
        <v>380.82</v>
      </c>
      <c r="G134" s="29">
        <v>431.67</v>
      </c>
      <c r="H134" s="29">
        <v>431.67</v>
      </c>
      <c r="I134" s="29"/>
      <c r="J134" s="29">
        <f t="shared" si="78"/>
        <v>50.85</v>
      </c>
      <c r="K134" s="29">
        <f t="shared" si="79"/>
        <v>50.85</v>
      </c>
      <c r="L134" s="29">
        <f t="shared" si="80"/>
        <v>0</v>
      </c>
      <c r="M134" s="37">
        <f t="shared" si="81"/>
        <v>0.1335</v>
      </c>
      <c r="N134" s="27">
        <v>133.2</v>
      </c>
      <c r="O134" s="27">
        <v>105.64</v>
      </c>
      <c r="P134" s="37">
        <f t="shared" si="82"/>
        <v>0.2609</v>
      </c>
      <c r="Q134" s="29">
        <f t="shared" si="83"/>
        <v>81.32</v>
      </c>
      <c r="R134" s="29">
        <f t="shared" si="84"/>
        <v>121.49</v>
      </c>
      <c r="S134" s="29">
        <f t="shared" si="85"/>
        <v>121.49</v>
      </c>
      <c r="T134" s="29">
        <v>50725.22</v>
      </c>
      <c r="U134" s="29">
        <v>56903.22</v>
      </c>
      <c r="V134" s="29">
        <f t="shared" si="86"/>
        <v>56902.99</v>
      </c>
      <c r="W134" s="29">
        <f t="shared" si="87"/>
        <v>6178</v>
      </c>
      <c r="X134" s="29">
        <f t="shared" si="88"/>
        <v>6177.77</v>
      </c>
      <c r="Y134" s="29">
        <f t="shared" si="89"/>
        <v>-0.23</v>
      </c>
      <c r="Z134" s="26"/>
      <c r="AA134" s="1"/>
      <c r="AB134" s="1"/>
      <c r="AC134" s="1"/>
      <c r="AD134" s="1"/>
      <c r="AE134" s="1"/>
      <c r="AF134" s="1"/>
      <c r="AG134" s="1"/>
      <c r="AH134" s="1"/>
      <c r="AI134" s="1"/>
    </row>
    <row r="135" ht="20" customHeight="1" spans="1:35">
      <c r="A135" s="26">
        <v>122</v>
      </c>
      <c r="B135" s="26" t="s">
        <v>377</v>
      </c>
      <c r="C135" s="26" t="s">
        <v>378</v>
      </c>
      <c r="D135" s="26" t="s">
        <v>379</v>
      </c>
      <c r="E135" s="26" t="s">
        <v>32</v>
      </c>
      <c r="F135" s="29">
        <v>680.54</v>
      </c>
      <c r="G135" s="29">
        <v>797.9</v>
      </c>
      <c r="H135" s="29">
        <f>300.48+107.1+390.25</f>
        <v>797.83</v>
      </c>
      <c r="I135" s="29"/>
      <c r="J135" s="29">
        <f t="shared" si="78"/>
        <v>117.36</v>
      </c>
      <c r="K135" s="29">
        <f t="shared" si="79"/>
        <v>117.29</v>
      </c>
      <c r="L135" s="29">
        <f t="shared" si="80"/>
        <v>-0.07</v>
      </c>
      <c r="M135" s="37">
        <f t="shared" si="81"/>
        <v>0.1725</v>
      </c>
      <c r="N135" s="27">
        <v>30.33</v>
      </c>
      <c r="O135" s="27">
        <v>31.52</v>
      </c>
      <c r="P135" s="37">
        <f t="shared" si="82"/>
        <v>-0.0378</v>
      </c>
      <c r="Q135" s="29">
        <f t="shared" si="83"/>
        <v>24.26</v>
      </c>
      <c r="R135" s="29">
        <f t="shared" si="84"/>
        <v>36.25</v>
      </c>
      <c r="S135" s="29">
        <f t="shared" si="85"/>
        <v>30.33</v>
      </c>
      <c r="T135" s="29">
        <v>20640.63</v>
      </c>
      <c r="U135" s="29">
        <v>24200.2</v>
      </c>
      <c r="V135" s="29">
        <f t="shared" si="86"/>
        <v>24198.04</v>
      </c>
      <c r="W135" s="29">
        <f t="shared" si="87"/>
        <v>3559.57</v>
      </c>
      <c r="X135" s="29">
        <f t="shared" si="88"/>
        <v>3557.41</v>
      </c>
      <c r="Y135" s="29">
        <f t="shared" si="89"/>
        <v>-2.16</v>
      </c>
      <c r="Z135" s="26"/>
      <c r="AA135" s="1"/>
      <c r="AB135" s="1"/>
      <c r="AC135" s="1"/>
      <c r="AD135" s="1"/>
      <c r="AE135" s="1"/>
      <c r="AF135" s="1"/>
      <c r="AG135" s="1"/>
      <c r="AH135" s="1"/>
      <c r="AI135" s="1"/>
    </row>
    <row r="136" ht="20" customHeight="1" spans="1:35">
      <c r="A136" s="26">
        <v>123</v>
      </c>
      <c r="B136" s="26" t="s">
        <v>380</v>
      </c>
      <c r="C136" s="26" t="s">
        <v>381</v>
      </c>
      <c r="D136" s="26" t="s">
        <v>382</v>
      </c>
      <c r="E136" s="26" t="s">
        <v>32</v>
      </c>
      <c r="F136" s="29">
        <v>5055.46</v>
      </c>
      <c r="G136" s="29">
        <v>5055.46</v>
      </c>
      <c r="H136" s="29">
        <f>142.99+1994.65+2130.5+88.7</f>
        <v>4356.84</v>
      </c>
      <c r="I136" s="29"/>
      <c r="J136" s="29">
        <f t="shared" si="78"/>
        <v>0</v>
      </c>
      <c r="K136" s="29">
        <f t="shared" si="79"/>
        <v>-698.62</v>
      </c>
      <c r="L136" s="29">
        <f t="shared" si="80"/>
        <v>-698.62</v>
      </c>
      <c r="M136" s="37">
        <f t="shared" si="81"/>
        <v>0</v>
      </c>
      <c r="N136" s="27">
        <v>22.12</v>
      </c>
      <c r="O136" s="27">
        <v>25.5</v>
      </c>
      <c r="P136" s="37">
        <f t="shared" si="82"/>
        <v>-0.1325</v>
      </c>
      <c r="Q136" s="29">
        <f t="shared" si="83"/>
        <v>19.63</v>
      </c>
      <c r="R136" s="29">
        <f t="shared" si="84"/>
        <v>29.33</v>
      </c>
      <c r="S136" s="29">
        <f t="shared" si="85"/>
        <v>22.12</v>
      </c>
      <c r="T136" s="29">
        <v>111826.78</v>
      </c>
      <c r="U136" s="29">
        <v>111826.78</v>
      </c>
      <c r="V136" s="29">
        <f t="shared" si="86"/>
        <v>96373.31</v>
      </c>
      <c r="W136" s="29">
        <f t="shared" si="87"/>
        <v>0</v>
      </c>
      <c r="X136" s="29">
        <f t="shared" si="88"/>
        <v>-15453.47</v>
      </c>
      <c r="Y136" s="29">
        <f t="shared" si="89"/>
        <v>-15453.47</v>
      </c>
      <c r="Z136" s="26"/>
      <c r="AA136" s="1"/>
      <c r="AB136" s="1"/>
      <c r="AC136" s="1"/>
      <c r="AD136" s="1"/>
      <c r="AE136" s="1"/>
      <c r="AF136" s="1"/>
      <c r="AG136" s="1"/>
      <c r="AH136" s="1"/>
      <c r="AI136" s="1"/>
    </row>
    <row r="137" ht="20" customHeight="1" spans="1:35">
      <c r="A137" s="26">
        <v>124</v>
      </c>
      <c r="B137" s="26" t="s">
        <v>383</v>
      </c>
      <c r="C137" s="26" t="s">
        <v>384</v>
      </c>
      <c r="D137" s="26" t="s">
        <v>385</v>
      </c>
      <c r="E137" s="26" t="s">
        <v>32</v>
      </c>
      <c r="F137" s="29">
        <v>1624.08</v>
      </c>
      <c r="G137" s="29">
        <v>2173.41</v>
      </c>
      <c r="H137" s="29">
        <f>2149.24+19.39</f>
        <v>2168.63</v>
      </c>
      <c r="I137" s="29"/>
      <c r="J137" s="29">
        <f t="shared" si="78"/>
        <v>549.33</v>
      </c>
      <c r="K137" s="29">
        <f t="shared" si="79"/>
        <v>544.55</v>
      </c>
      <c r="L137" s="29">
        <f t="shared" si="80"/>
        <v>-4.78</v>
      </c>
      <c r="M137" s="37">
        <f t="shared" si="81"/>
        <v>0.3382</v>
      </c>
      <c r="N137" s="27">
        <v>148.21</v>
      </c>
      <c r="O137" s="27">
        <v>117.46</v>
      </c>
      <c r="P137" s="37">
        <f t="shared" si="82"/>
        <v>0.2618</v>
      </c>
      <c r="Q137" s="29">
        <f t="shared" si="83"/>
        <v>90.42</v>
      </c>
      <c r="R137" s="29">
        <f t="shared" si="84"/>
        <v>135.08</v>
      </c>
      <c r="S137" s="29">
        <f t="shared" si="85"/>
        <v>135.08</v>
      </c>
      <c r="T137" s="29">
        <v>240705.46</v>
      </c>
      <c r="U137" s="29">
        <v>314907.73</v>
      </c>
      <c r="V137" s="29">
        <f t="shared" si="86"/>
        <v>314263.27</v>
      </c>
      <c r="W137" s="29">
        <f t="shared" si="87"/>
        <v>74202.27</v>
      </c>
      <c r="X137" s="29">
        <f t="shared" si="88"/>
        <v>73557.81</v>
      </c>
      <c r="Y137" s="29">
        <f t="shared" si="89"/>
        <v>-644.46</v>
      </c>
      <c r="Z137" s="26"/>
      <c r="AA137" s="1"/>
      <c r="AB137" s="1"/>
      <c r="AC137" s="1"/>
      <c r="AD137" s="1"/>
      <c r="AE137" s="1"/>
      <c r="AF137" s="1"/>
      <c r="AG137" s="1"/>
      <c r="AH137" s="1"/>
      <c r="AI137" s="1"/>
    </row>
    <row r="138" ht="20" customHeight="1" spans="1:35">
      <c r="A138" s="26">
        <v>125</v>
      </c>
      <c r="B138" s="26" t="s">
        <v>386</v>
      </c>
      <c r="C138" s="26" t="s">
        <v>387</v>
      </c>
      <c r="D138" s="26" t="s">
        <v>388</v>
      </c>
      <c r="E138" s="26" t="s">
        <v>32</v>
      </c>
      <c r="F138" s="29">
        <v>3431.38</v>
      </c>
      <c r="G138" s="29">
        <v>3431.38</v>
      </c>
      <c r="H138" s="29">
        <f>59.79+139.19+2636.31</f>
        <v>2835.29</v>
      </c>
      <c r="I138" s="29"/>
      <c r="J138" s="29">
        <f t="shared" si="78"/>
        <v>0</v>
      </c>
      <c r="K138" s="29">
        <f t="shared" si="79"/>
        <v>-596.09</v>
      </c>
      <c r="L138" s="29">
        <f t="shared" si="80"/>
        <v>-596.09</v>
      </c>
      <c r="M138" s="37">
        <f t="shared" si="81"/>
        <v>0</v>
      </c>
      <c r="N138" s="27">
        <v>36.95</v>
      </c>
      <c r="O138" s="27">
        <v>50.6</v>
      </c>
      <c r="P138" s="37">
        <f t="shared" si="82"/>
        <v>-0.2698</v>
      </c>
      <c r="Q138" s="29">
        <f t="shared" si="83"/>
        <v>38.95</v>
      </c>
      <c r="R138" s="29">
        <f t="shared" si="84"/>
        <v>58.19</v>
      </c>
      <c r="S138" s="29">
        <f t="shared" si="85"/>
        <v>38.95</v>
      </c>
      <c r="T138" s="29">
        <v>126789.35</v>
      </c>
      <c r="U138" s="29">
        <v>126789.35</v>
      </c>
      <c r="V138" s="29">
        <f t="shared" si="86"/>
        <v>103571.64</v>
      </c>
      <c r="W138" s="29">
        <f t="shared" si="87"/>
        <v>0</v>
      </c>
      <c r="X138" s="29">
        <f t="shared" si="88"/>
        <v>-23217.71</v>
      </c>
      <c r="Y138" s="29">
        <f t="shared" si="89"/>
        <v>-23217.71</v>
      </c>
      <c r="Z138" s="26"/>
      <c r="AA138" s="1"/>
      <c r="AB138" s="1"/>
      <c r="AC138" s="1"/>
      <c r="AD138" s="1"/>
      <c r="AE138" s="1"/>
      <c r="AF138" s="1"/>
      <c r="AG138" s="1"/>
      <c r="AH138" s="1"/>
      <c r="AI138" s="1"/>
    </row>
    <row r="139" ht="20" customHeight="1" spans="1:35">
      <c r="A139" s="26">
        <v>126</v>
      </c>
      <c r="B139" s="26" t="s">
        <v>389</v>
      </c>
      <c r="C139" s="26" t="s">
        <v>390</v>
      </c>
      <c r="D139" s="26" t="s">
        <v>391</v>
      </c>
      <c r="E139" s="26" t="s">
        <v>32</v>
      </c>
      <c r="F139" s="29">
        <v>312.9</v>
      </c>
      <c r="G139" s="29">
        <v>437.02</v>
      </c>
      <c r="H139" s="29">
        <f>G139</f>
        <v>437.02</v>
      </c>
      <c r="I139" s="29"/>
      <c r="J139" s="29">
        <f t="shared" si="78"/>
        <v>124.12</v>
      </c>
      <c r="K139" s="29">
        <f t="shared" si="79"/>
        <v>124.12</v>
      </c>
      <c r="L139" s="29">
        <f t="shared" si="80"/>
        <v>0</v>
      </c>
      <c r="M139" s="37">
        <f t="shared" si="81"/>
        <v>0.3967</v>
      </c>
      <c r="N139" s="27">
        <v>17.13</v>
      </c>
      <c r="O139" s="27">
        <v>18.67</v>
      </c>
      <c r="P139" s="37">
        <f t="shared" si="82"/>
        <v>-0.0825</v>
      </c>
      <c r="Q139" s="29">
        <f t="shared" si="83"/>
        <v>14.37</v>
      </c>
      <c r="R139" s="29">
        <f t="shared" si="84"/>
        <v>21.47</v>
      </c>
      <c r="S139" s="29">
        <f t="shared" si="85"/>
        <v>17.13</v>
      </c>
      <c r="T139" s="29">
        <v>5359.91</v>
      </c>
      <c r="U139" s="29">
        <v>7486.18</v>
      </c>
      <c r="V139" s="29">
        <f t="shared" si="86"/>
        <v>7486.09</v>
      </c>
      <c r="W139" s="29">
        <f t="shared" si="87"/>
        <v>2126.27</v>
      </c>
      <c r="X139" s="29">
        <f t="shared" si="88"/>
        <v>2126.18</v>
      </c>
      <c r="Y139" s="29">
        <f t="shared" si="89"/>
        <v>-0.09</v>
      </c>
      <c r="Z139" s="26"/>
      <c r="AA139" s="42" t="s">
        <v>392</v>
      </c>
      <c r="AB139" s="1"/>
      <c r="AC139" s="1"/>
      <c r="AD139" s="1"/>
      <c r="AE139" s="1"/>
      <c r="AF139" s="1"/>
      <c r="AG139" s="1"/>
      <c r="AH139" s="1"/>
      <c r="AI139" s="1"/>
    </row>
    <row r="140" ht="20" customHeight="1" spans="1:35">
      <c r="A140" s="26">
        <v>127</v>
      </c>
      <c r="B140" s="26" t="s">
        <v>393</v>
      </c>
      <c r="C140" s="26" t="s">
        <v>394</v>
      </c>
      <c r="D140" s="26" t="s">
        <v>395</v>
      </c>
      <c r="E140" s="26" t="s">
        <v>32</v>
      </c>
      <c r="F140" s="29">
        <v>977.19</v>
      </c>
      <c r="G140" s="29">
        <v>977.19</v>
      </c>
      <c r="H140" s="29">
        <f>25.44+549.77</f>
        <v>575.21</v>
      </c>
      <c r="I140" s="29"/>
      <c r="J140" s="29">
        <f t="shared" si="78"/>
        <v>0</v>
      </c>
      <c r="K140" s="29">
        <f t="shared" si="79"/>
        <v>-401.98</v>
      </c>
      <c r="L140" s="29">
        <f t="shared" si="80"/>
        <v>-401.98</v>
      </c>
      <c r="M140" s="37">
        <f t="shared" si="81"/>
        <v>0</v>
      </c>
      <c r="N140" s="27">
        <v>162.51</v>
      </c>
      <c r="O140" s="27">
        <v>147.48</v>
      </c>
      <c r="P140" s="37">
        <f t="shared" si="82"/>
        <v>0.1019</v>
      </c>
      <c r="Q140" s="29">
        <f t="shared" si="83"/>
        <v>113.52</v>
      </c>
      <c r="R140" s="29">
        <f t="shared" si="84"/>
        <v>169.6</v>
      </c>
      <c r="S140" s="29">
        <f t="shared" si="85"/>
        <v>162.51</v>
      </c>
      <c r="T140" s="29">
        <v>158803.15</v>
      </c>
      <c r="U140" s="29">
        <v>158803.15</v>
      </c>
      <c r="V140" s="29">
        <f t="shared" si="86"/>
        <v>93477.38</v>
      </c>
      <c r="W140" s="29">
        <f t="shared" si="87"/>
        <v>0</v>
      </c>
      <c r="X140" s="29">
        <f t="shared" si="88"/>
        <v>-65325.77</v>
      </c>
      <c r="Y140" s="29">
        <f t="shared" si="89"/>
        <v>-65325.77</v>
      </c>
      <c r="Z140" s="26"/>
      <c r="AA140" s="1"/>
      <c r="AB140" s="1"/>
      <c r="AC140" s="1"/>
      <c r="AD140" s="1"/>
      <c r="AE140" s="1"/>
      <c r="AF140" s="1"/>
      <c r="AG140" s="1"/>
      <c r="AH140" s="1"/>
      <c r="AI140" s="1"/>
    </row>
    <row r="141" ht="20" customHeight="1" spans="1:35">
      <c r="A141" s="26">
        <v>128</v>
      </c>
      <c r="B141" s="26" t="s">
        <v>396</v>
      </c>
      <c r="C141" s="26" t="s">
        <v>397</v>
      </c>
      <c r="D141" s="26" t="s">
        <v>398</v>
      </c>
      <c r="E141" s="26" t="s">
        <v>32</v>
      </c>
      <c r="F141" s="29">
        <v>186.44</v>
      </c>
      <c r="G141" s="29">
        <v>186.44</v>
      </c>
      <c r="H141" s="29">
        <f>98.24</f>
        <v>98.24</v>
      </c>
      <c r="I141" s="29"/>
      <c r="J141" s="29">
        <f t="shared" si="78"/>
        <v>0</v>
      </c>
      <c r="K141" s="29">
        <f t="shared" si="79"/>
        <v>-88.2</v>
      </c>
      <c r="L141" s="29">
        <f t="shared" si="80"/>
        <v>-88.2</v>
      </c>
      <c r="M141" s="37">
        <f t="shared" si="81"/>
        <v>0</v>
      </c>
      <c r="N141" s="27">
        <v>682.21</v>
      </c>
      <c r="O141" s="27">
        <v>453.37</v>
      </c>
      <c r="P141" s="37">
        <f t="shared" si="82"/>
        <v>0.5048</v>
      </c>
      <c r="Q141" s="29">
        <f t="shared" si="83"/>
        <v>348.99</v>
      </c>
      <c r="R141" s="29">
        <f t="shared" si="84"/>
        <v>521.38</v>
      </c>
      <c r="S141" s="29">
        <f t="shared" si="85"/>
        <v>521.38</v>
      </c>
      <c r="T141" s="29">
        <v>127191.23</v>
      </c>
      <c r="U141" s="29">
        <v>127191.23</v>
      </c>
      <c r="V141" s="29">
        <f t="shared" si="86"/>
        <v>81205.51</v>
      </c>
      <c r="W141" s="29">
        <f t="shared" si="87"/>
        <v>0</v>
      </c>
      <c r="X141" s="29">
        <f t="shared" si="88"/>
        <v>-45985.72</v>
      </c>
      <c r="Y141" s="29">
        <f t="shared" si="89"/>
        <v>-45985.72</v>
      </c>
      <c r="Z141" s="26"/>
      <c r="AA141" s="1"/>
      <c r="AB141" s="1"/>
      <c r="AC141" s="1"/>
      <c r="AD141" s="1"/>
      <c r="AE141" s="1"/>
      <c r="AF141" s="1"/>
      <c r="AG141" s="1"/>
      <c r="AH141" s="1"/>
      <c r="AI141" s="1"/>
    </row>
    <row r="142" ht="20" customHeight="1" spans="1:35">
      <c r="A142" s="26">
        <v>129</v>
      </c>
      <c r="B142" s="26" t="s">
        <v>399</v>
      </c>
      <c r="C142" s="26" t="s">
        <v>400</v>
      </c>
      <c r="D142" s="26" t="s">
        <v>401</v>
      </c>
      <c r="E142" s="26" t="s">
        <v>53</v>
      </c>
      <c r="F142" s="29">
        <v>379.9</v>
      </c>
      <c r="G142" s="29">
        <v>404.6</v>
      </c>
      <c r="H142" s="29">
        <f>404.6</f>
        <v>404.6</v>
      </c>
      <c r="I142" s="29"/>
      <c r="J142" s="29">
        <f t="shared" si="78"/>
        <v>24.7</v>
      </c>
      <c r="K142" s="29">
        <f t="shared" si="79"/>
        <v>24.7</v>
      </c>
      <c r="L142" s="29">
        <f t="shared" si="80"/>
        <v>0</v>
      </c>
      <c r="M142" s="37">
        <f t="shared" si="81"/>
        <v>0.065</v>
      </c>
      <c r="N142" s="27">
        <v>217.73</v>
      </c>
      <c r="O142" s="27">
        <v>207.95</v>
      </c>
      <c r="P142" s="37">
        <f t="shared" si="82"/>
        <v>0.047</v>
      </c>
      <c r="Q142" s="29">
        <f t="shared" si="83"/>
        <v>160.07</v>
      </c>
      <c r="R142" s="29">
        <f t="shared" si="84"/>
        <v>239.14</v>
      </c>
      <c r="S142" s="29">
        <f t="shared" si="85"/>
        <v>217.73</v>
      </c>
      <c r="T142" s="29">
        <v>82715.63</v>
      </c>
      <c r="U142" s="29">
        <v>88093.56</v>
      </c>
      <c r="V142" s="29">
        <f t="shared" si="86"/>
        <v>88093.56</v>
      </c>
      <c r="W142" s="29">
        <f t="shared" si="87"/>
        <v>5377.93</v>
      </c>
      <c r="X142" s="29">
        <f t="shared" si="88"/>
        <v>5377.93</v>
      </c>
      <c r="Y142" s="29">
        <f t="shared" si="89"/>
        <v>0</v>
      </c>
      <c r="Z142" s="26"/>
      <c r="AA142" s="1"/>
      <c r="AB142" s="1"/>
      <c r="AC142" s="1"/>
      <c r="AD142" s="1"/>
      <c r="AE142" s="1"/>
      <c r="AF142" s="1"/>
      <c r="AG142" s="1"/>
      <c r="AH142" s="1"/>
      <c r="AI142" s="1"/>
    </row>
    <row r="143" ht="20" customHeight="1" spans="1:35">
      <c r="A143" s="26">
        <v>130</v>
      </c>
      <c r="B143" s="26" t="s">
        <v>402</v>
      </c>
      <c r="C143" s="26" t="s">
        <v>403</v>
      </c>
      <c r="D143" s="26" t="s">
        <v>404</v>
      </c>
      <c r="E143" s="26" t="s">
        <v>32</v>
      </c>
      <c r="F143" s="29">
        <v>791.39</v>
      </c>
      <c r="G143" s="29">
        <v>791.39</v>
      </c>
      <c r="H143" s="29">
        <v>791.39</v>
      </c>
      <c r="I143" s="29"/>
      <c r="J143" s="29">
        <f t="shared" si="78"/>
        <v>0</v>
      </c>
      <c r="K143" s="29">
        <f t="shared" si="79"/>
        <v>0</v>
      </c>
      <c r="L143" s="29">
        <f t="shared" si="80"/>
        <v>0</v>
      </c>
      <c r="M143" s="37">
        <f t="shared" si="81"/>
        <v>0</v>
      </c>
      <c r="N143" s="27">
        <v>588.26</v>
      </c>
      <c r="O143" s="27">
        <v>621.97</v>
      </c>
      <c r="P143" s="37">
        <f t="shared" si="82"/>
        <v>-0.0542</v>
      </c>
      <c r="Q143" s="29">
        <f t="shared" si="83"/>
        <v>478.77</v>
      </c>
      <c r="R143" s="29">
        <f t="shared" si="84"/>
        <v>715.27</v>
      </c>
      <c r="S143" s="29">
        <f t="shared" si="85"/>
        <v>588.26</v>
      </c>
      <c r="T143" s="29">
        <v>465543.08</v>
      </c>
      <c r="U143" s="29">
        <v>465543.08</v>
      </c>
      <c r="V143" s="29">
        <f t="shared" si="86"/>
        <v>465543.08</v>
      </c>
      <c r="W143" s="29">
        <f t="shared" si="87"/>
        <v>0</v>
      </c>
      <c r="X143" s="29">
        <f t="shared" si="88"/>
        <v>0</v>
      </c>
      <c r="Y143" s="29">
        <f t="shared" si="89"/>
        <v>0</v>
      </c>
      <c r="Z143" s="26"/>
      <c r="AA143" s="1"/>
      <c r="AB143" s="1"/>
      <c r="AC143" s="1"/>
      <c r="AD143" s="1"/>
      <c r="AE143" s="1"/>
      <c r="AF143" s="1"/>
      <c r="AG143" s="1"/>
      <c r="AH143" s="1"/>
      <c r="AI143" s="1"/>
    </row>
    <row r="144" ht="20" customHeight="1" spans="1:35">
      <c r="A144" s="26">
        <v>131</v>
      </c>
      <c r="B144" s="26" t="s">
        <v>405</v>
      </c>
      <c r="C144" s="26" t="s">
        <v>406</v>
      </c>
      <c r="D144" s="26" t="s">
        <v>407</v>
      </c>
      <c r="E144" s="26" t="s">
        <v>32</v>
      </c>
      <c r="F144" s="29">
        <v>683.02</v>
      </c>
      <c r="G144" s="29">
        <v>950.67</v>
      </c>
      <c r="H144" s="29">
        <f>19.25+877.43</f>
        <v>896.68</v>
      </c>
      <c r="I144" s="29"/>
      <c r="J144" s="29">
        <f t="shared" si="78"/>
        <v>267.65</v>
      </c>
      <c r="K144" s="29">
        <f t="shared" si="79"/>
        <v>213.66</v>
      </c>
      <c r="L144" s="29">
        <f t="shared" si="80"/>
        <v>-53.99</v>
      </c>
      <c r="M144" s="37">
        <f t="shared" si="81"/>
        <v>0.3919</v>
      </c>
      <c r="N144" s="27">
        <v>604.05</v>
      </c>
      <c r="O144" s="27">
        <v>569.7</v>
      </c>
      <c r="P144" s="37">
        <f t="shared" si="82"/>
        <v>0.0603</v>
      </c>
      <c r="Q144" s="29">
        <f t="shared" si="83"/>
        <v>438.53</v>
      </c>
      <c r="R144" s="29">
        <f t="shared" si="84"/>
        <v>655.16</v>
      </c>
      <c r="S144" s="29">
        <f t="shared" si="85"/>
        <v>604.05</v>
      </c>
      <c r="T144" s="29">
        <v>412578.23</v>
      </c>
      <c r="U144" s="29">
        <v>574252.15</v>
      </c>
      <c r="V144" s="29">
        <f t="shared" si="86"/>
        <v>541639.55</v>
      </c>
      <c r="W144" s="29">
        <f t="shared" si="87"/>
        <v>161673.92</v>
      </c>
      <c r="X144" s="29">
        <f t="shared" si="88"/>
        <v>129061.32</v>
      </c>
      <c r="Y144" s="29">
        <f t="shared" si="89"/>
        <v>-32612.6</v>
      </c>
      <c r="Z144" s="26"/>
      <c r="AA144" s="1"/>
      <c r="AB144" s="1"/>
      <c r="AC144" s="1"/>
      <c r="AD144" s="1"/>
      <c r="AE144" s="1"/>
      <c r="AF144" s="1"/>
      <c r="AG144" s="1"/>
      <c r="AH144" s="1"/>
      <c r="AI144" s="1"/>
    </row>
    <row r="145" ht="20" customHeight="1" spans="1:35">
      <c r="A145" s="26">
        <v>132</v>
      </c>
      <c r="B145" s="26" t="s">
        <v>408</v>
      </c>
      <c r="C145" s="26" t="s">
        <v>406</v>
      </c>
      <c r="D145" s="26" t="s">
        <v>409</v>
      </c>
      <c r="E145" s="26" t="s">
        <v>32</v>
      </c>
      <c r="F145" s="29">
        <v>8.19</v>
      </c>
      <c r="G145" s="29">
        <v>18.98</v>
      </c>
      <c r="H145" s="29">
        <v>0</v>
      </c>
      <c r="I145" s="29"/>
      <c r="J145" s="29">
        <f t="shared" si="78"/>
        <v>10.79</v>
      </c>
      <c r="K145" s="29">
        <f t="shared" si="79"/>
        <v>-8.19</v>
      </c>
      <c r="L145" s="29">
        <f t="shared" si="80"/>
        <v>-18.98</v>
      </c>
      <c r="M145" s="37">
        <f t="shared" si="81"/>
        <v>1.3175</v>
      </c>
      <c r="N145" s="27">
        <v>95.98</v>
      </c>
      <c r="O145" s="27">
        <v>97.03</v>
      </c>
      <c r="P145" s="37">
        <f t="shared" si="82"/>
        <v>-0.0108</v>
      </c>
      <c r="Q145" s="29">
        <f t="shared" si="83"/>
        <v>74.69</v>
      </c>
      <c r="R145" s="29">
        <f t="shared" si="84"/>
        <v>111.58</v>
      </c>
      <c r="S145" s="29">
        <f t="shared" si="85"/>
        <v>95.98</v>
      </c>
      <c r="T145" s="29">
        <v>786.08</v>
      </c>
      <c r="U145" s="29">
        <v>1822.11</v>
      </c>
      <c r="V145" s="29">
        <f t="shared" si="86"/>
        <v>0</v>
      </c>
      <c r="W145" s="29">
        <f t="shared" si="87"/>
        <v>1036.03</v>
      </c>
      <c r="X145" s="29">
        <f t="shared" si="88"/>
        <v>-786.08</v>
      </c>
      <c r="Y145" s="29">
        <f t="shared" si="89"/>
        <v>-1822.11</v>
      </c>
      <c r="Z145" s="26"/>
      <c r="AA145" s="1"/>
      <c r="AB145" s="1"/>
      <c r="AC145" s="1"/>
      <c r="AD145" s="1"/>
      <c r="AE145" s="1"/>
      <c r="AF145" s="1"/>
      <c r="AG145" s="1"/>
      <c r="AH145" s="1"/>
      <c r="AI145" s="1"/>
    </row>
    <row r="146" ht="20" customHeight="1" spans="1:35">
      <c r="A146" s="26">
        <v>133</v>
      </c>
      <c r="B146" s="26" t="s">
        <v>410</v>
      </c>
      <c r="C146" s="26" t="s">
        <v>406</v>
      </c>
      <c r="D146" s="26" t="s">
        <v>411</v>
      </c>
      <c r="E146" s="26" t="s">
        <v>32</v>
      </c>
      <c r="F146" s="29">
        <v>18.65</v>
      </c>
      <c r="G146" s="29">
        <v>18.98</v>
      </c>
      <c r="H146" s="29">
        <v>18.98</v>
      </c>
      <c r="I146" s="29"/>
      <c r="J146" s="29">
        <f t="shared" si="78"/>
        <v>0.33</v>
      </c>
      <c r="K146" s="29">
        <f t="shared" si="79"/>
        <v>0.33</v>
      </c>
      <c r="L146" s="29">
        <f t="shared" si="80"/>
        <v>0</v>
      </c>
      <c r="M146" s="37">
        <f t="shared" si="81"/>
        <v>0.0177</v>
      </c>
      <c r="N146" s="27">
        <v>585.51</v>
      </c>
      <c r="O146" s="27">
        <v>329.74</v>
      </c>
      <c r="P146" s="37">
        <f t="shared" si="82"/>
        <v>0.7757</v>
      </c>
      <c r="Q146" s="29">
        <f t="shared" si="83"/>
        <v>253.82</v>
      </c>
      <c r="R146" s="29">
        <f t="shared" si="84"/>
        <v>379.2</v>
      </c>
      <c r="S146" s="29">
        <f t="shared" si="85"/>
        <v>379.2</v>
      </c>
      <c r="T146" s="29">
        <v>10919.76</v>
      </c>
      <c r="U146" s="29">
        <v>11046.53</v>
      </c>
      <c r="V146" s="29">
        <f t="shared" si="86"/>
        <v>11044.9</v>
      </c>
      <c r="W146" s="29">
        <f t="shared" si="87"/>
        <v>126.77</v>
      </c>
      <c r="X146" s="29">
        <f t="shared" si="88"/>
        <v>125.14</v>
      </c>
      <c r="Y146" s="29">
        <f t="shared" si="89"/>
        <v>-1.63</v>
      </c>
      <c r="Z146" s="26"/>
      <c r="AA146" s="1"/>
      <c r="AB146" s="1"/>
      <c r="AC146" s="1"/>
      <c r="AD146" s="1"/>
      <c r="AE146" s="1"/>
      <c r="AF146" s="1"/>
      <c r="AG146" s="1"/>
      <c r="AH146" s="1"/>
      <c r="AI146" s="1"/>
    </row>
    <row r="147" ht="20" customHeight="1" spans="1:35">
      <c r="A147" s="26">
        <v>134</v>
      </c>
      <c r="B147" s="26" t="s">
        <v>412</v>
      </c>
      <c r="C147" s="26" t="s">
        <v>406</v>
      </c>
      <c r="D147" s="26" t="s">
        <v>413</v>
      </c>
      <c r="E147" s="26" t="s">
        <v>32</v>
      </c>
      <c r="F147" s="29">
        <v>132.14</v>
      </c>
      <c r="G147" s="29">
        <v>132.14</v>
      </c>
      <c r="H147" s="29">
        <f>104.64</f>
        <v>104.64</v>
      </c>
      <c r="I147" s="29"/>
      <c r="J147" s="29">
        <f t="shared" si="78"/>
        <v>0</v>
      </c>
      <c r="K147" s="29">
        <f t="shared" si="79"/>
        <v>-27.5</v>
      </c>
      <c r="L147" s="29">
        <f t="shared" si="80"/>
        <v>-27.5</v>
      </c>
      <c r="M147" s="37">
        <f t="shared" si="81"/>
        <v>0</v>
      </c>
      <c r="N147" s="27">
        <v>249.83</v>
      </c>
      <c r="O147" s="27">
        <v>239.51</v>
      </c>
      <c r="P147" s="37">
        <f t="shared" si="82"/>
        <v>0.0431</v>
      </c>
      <c r="Q147" s="29">
        <f t="shared" si="83"/>
        <v>184.37</v>
      </c>
      <c r="R147" s="29">
        <f t="shared" si="84"/>
        <v>275.44</v>
      </c>
      <c r="S147" s="29">
        <f t="shared" si="85"/>
        <v>249.83</v>
      </c>
      <c r="T147" s="29">
        <v>33012.54</v>
      </c>
      <c r="U147" s="29">
        <v>33012.54</v>
      </c>
      <c r="V147" s="29">
        <f t="shared" si="86"/>
        <v>26142.22</v>
      </c>
      <c r="W147" s="29">
        <f t="shared" si="87"/>
        <v>0</v>
      </c>
      <c r="X147" s="29">
        <f t="shared" si="88"/>
        <v>-6870.32</v>
      </c>
      <c r="Y147" s="29">
        <f t="shared" si="89"/>
        <v>-6870.32</v>
      </c>
      <c r="Z147" s="26"/>
      <c r="AA147" s="1"/>
      <c r="AB147" s="1"/>
      <c r="AC147" s="1"/>
      <c r="AD147" s="1"/>
      <c r="AE147" s="1"/>
      <c r="AF147" s="1"/>
      <c r="AG147" s="1"/>
      <c r="AH147" s="1"/>
      <c r="AI147" s="1"/>
    </row>
    <row r="148" ht="20" customHeight="1" spans="1:35">
      <c r="A148" s="26">
        <v>135</v>
      </c>
      <c r="B148" s="26" t="s">
        <v>414</v>
      </c>
      <c r="C148" s="26" t="s">
        <v>406</v>
      </c>
      <c r="D148" s="26" t="s">
        <v>415</v>
      </c>
      <c r="E148" s="26" t="s">
        <v>32</v>
      </c>
      <c r="F148" s="29">
        <v>252.81</v>
      </c>
      <c r="G148" s="29">
        <v>252.81</v>
      </c>
      <c r="H148" s="29">
        <f>45.48</f>
        <v>45.48</v>
      </c>
      <c r="I148" s="29"/>
      <c r="J148" s="29">
        <f t="shared" si="78"/>
        <v>0</v>
      </c>
      <c r="K148" s="29">
        <f t="shared" si="79"/>
        <v>-207.33</v>
      </c>
      <c r="L148" s="29">
        <f t="shared" si="80"/>
        <v>-207.33</v>
      </c>
      <c r="M148" s="37">
        <f t="shared" si="81"/>
        <v>0</v>
      </c>
      <c r="N148" s="27">
        <v>295.33</v>
      </c>
      <c r="O148" s="27">
        <v>275.9</v>
      </c>
      <c r="P148" s="37">
        <f t="shared" si="82"/>
        <v>0.0704</v>
      </c>
      <c r="Q148" s="29">
        <f t="shared" si="83"/>
        <v>212.38</v>
      </c>
      <c r="R148" s="29">
        <f t="shared" si="84"/>
        <v>317.29</v>
      </c>
      <c r="S148" s="29">
        <f t="shared" si="85"/>
        <v>295.33</v>
      </c>
      <c r="T148" s="29">
        <v>74662.38</v>
      </c>
      <c r="U148" s="29">
        <v>74662.38</v>
      </c>
      <c r="V148" s="29">
        <f t="shared" si="86"/>
        <v>13431.61</v>
      </c>
      <c r="W148" s="29">
        <f t="shared" si="87"/>
        <v>0</v>
      </c>
      <c r="X148" s="29">
        <f t="shared" si="88"/>
        <v>-61230.77</v>
      </c>
      <c r="Y148" s="29">
        <f t="shared" si="89"/>
        <v>-61230.77</v>
      </c>
      <c r="Z148" s="26"/>
      <c r="AA148" s="1"/>
      <c r="AB148" s="1"/>
      <c r="AC148" s="1"/>
      <c r="AD148" s="1"/>
      <c r="AE148" s="1"/>
      <c r="AF148" s="1"/>
      <c r="AG148" s="1"/>
      <c r="AH148" s="1"/>
      <c r="AI148" s="1"/>
    </row>
    <row r="149" ht="20" customHeight="1" spans="1:35">
      <c r="A149" s="26">
        <v>136</v>
      </c>
      <c r="B149" s="26" t="s">
        <v>416</v>
      </c>
      <c r="C149" s="26" t="s">
        <v>406</v>
      </c>
      <c r="D149" s="26" t="s">
        <v>417</v>
      </c>
      <c r="E149" s="26" t="s">
        <v>32</v>
      </c>
      <c r="F149" s="29">
        <v>52</v>
      </c>
      <c r="G149" s="29">
        <v>52.75</v>
      </c>
      <c r="H149" s="29">
        <f>52.41</f>
        <v>52.41</v>
      </c>
      <c r="I149" s="29"/>
      <c r="J149" s="29">
        <f t="shared" si="78"/>
        <v>0.75</v>
      </c>
      <c r="K149" s="29">
        <f t="shared" si="79"/>
        <v>0.41</v>
      </c>
      <c r="L149" s="29">
        <f t="shared" si="80"/>
        <v>-0.34</v>
      </c>
      <c r="M149" s="37">
        <f t="shared" si="81"/>
        <v>0.0144</v>
      </c>
      <c r="N149" s="27">
        <v>295.33</v>
      </c>
      <c r="O149" s="27">
        <v>272.31</v>
      </c>
      <c r="P149" s="37">
        <f t="shared" si="82"/>
        <v>0.0845</v>
      </c>
      <c r="Q149" s="29">
        <f t="shared" si="83"/>
        <v>209.61</v>
      </c>
      <c r="R149" s="29">
        <f t="shared" si="84"/>
        <v>313.16</v>
      </c>
      <c r="S149" s="29">
        <f t="shared" si="85"/>
        <v>295.33</v>
      </c>
      <c r="T149" s="29">
        <v>15357.16</v>
      </c>
      <c r="U149" s="29">
        <v>15579.72</v>
      </c>
      <c r="V149" s="29">
        <f t="shared" si="86"/>
        <v>15478.25</v>
      </c>
      <c r="W149" s="29">
        <f t="shared" si="87"/>
        <v>222.56</v>
      </c>
      <c r="X149" s="29">
        <f t="shared" si="88"/>
        <v>121.09</v>
      </c>
      <c r="Y149" s="29">
        <f t="shared" si="89"/>
        <v>-101.47</v>
      </c>
      <c r="Z149" s="26"/>
      <c r="AA149" s="1"/>
      <c r="AB149" s="1"/>
      <c r="AC149" s="1"/>
      <c r="AD149" s="1"/>
      <c r="AE149" s="1"/>
      <c r="AF149" s="1"/>
      <c r="AG149" s="1"/>
      <c r="AH149" s="1"/>
      <c r="AI149" s="1"/>
    </row>
    <row r="150" ht="20" customHeight="1" spans="1:35">
      <c r="A150" s="26">
        <v>137</v>
      </c>
      <c r="B150" s="26" t="s">
        <v>418</v>
      </c>
      <c r="C150" s="26" t="s">
        <v>406</v>
      </c>
      <c r="D150" s="26" t="s">
        <v>419</v>
      </c>
      <c r="E150" s="26" t="s">
        <v>32</v>
      </c>
      <c r="F150" s="29">
        <v>216.53</v>
      </c>
      <c r="G150" s="29">
        <v>462.7</v>
      </c>
      <c r="H150" s="29">
        <f>462.7</f>
        <v>462.7</v>
      </c>
      <c r="I150" s="29"/>
      <c r="J150" s="29">
        <f t="shared" si="78"/>
        <v>246.17</v>
      </c>
      <c r="K150" s="29">
        <f t="shared" si="79"/>
        <v>246.17</v>
      </c>
      <c r="L150" s="29">
        <f t="shared" si="80"/>
        <v>0</v>
      </c>
      <c r="M150" s="37">
        <f t="shared" si="81"/>
        <v>1.1369</v>
      </c>
      <c r="N150" s="27">
        <v>283.46</v>
      </c>
      <c r="O150" s="27">
        <v>510.23</v>
      </c>
      <c r="P150" s="37">
        <f t="shared" si="82"/>
        <v>-0.4444</v>
      </c>
      <c r="Q150" s="29">
        <f t="shared" si="83"/>
        <v>392.75</v>
      </c>
      <c r="R150" s="29">
        <f t="shared" si="84"/>
        <v>586.76</v>
      </c>
      <c r="S150" s="29">
        <f t="shared" si="85"/>
        <v>392.75</v>
      </c>
      <c r="T150" s="29">
        <v>61377.59</v>
      </c>
      <c r="U150" s="29">
        <v>158063.22</v>
      </c>
      <c r="V150" s="29">
        <f t="shared" si="86"/>
        <v>158060.86</v>
      </c>
      <c r="W150" s="29">
        <f t="shared" si="87"/>
        <v>96685.63</v>
      </c>
      <c r="X150" s="29">
        <f t="shared" si="88"/>
        <v>96683.27</v>
      </c>
      <c r="Y150" s="29">
        <f t="shared" si="89"/>
        <v>-2.36</v>
      </c>
      <c r="Z150" s="26"/>
      <c r="AA150" s="1"/>
      <c r="AB150" s="1"/>
      <c r="AC150" s="1"/>
      <c r="AD150" s="1"/>
      <c r="AE150" s="1"/>
      <c r="AF150" s="1"/>
      <c r="AG150" s="1"/>
      <c r="AH150" s="1"/>
      <c r="AI150" s="1"/>
    </row>
    <row r="151" ht="20" customHeight="1" spans="1:35">
      <c r="A151" s="26">
        <v>138</v>
      </c>
      <c r="B151" s="26" t="s">
        <v>420</v>
      </c>
      <c r="C151" s="26" t="s">
        <v>406</v>
      </c>
      <c r="D151" s="26" t="s">
        <v>421</v>
      </c>
      <c r="E151" s="26" t="s">
        <v>32</v>
      </c>
      <c r="F151" s="29">
        <v>48.48</v>
      </c>
      <c r="G151" s="29">
        <v>52.41</v>
      </c>
      <c r="H151" s="29">
        <v>52.41</v>
      </c>
      <c r="I151" s="29"/>
      <c r="J151" s="29">
        <f t="shared" si="78"/>
        <v>3.93</v>
      </c>
      <c r="K151" s="29">
        <f t="shared" si="79"/>
        <v>3.93</v>
      </c>
      <c r="L151" s="29">
        <f t="shared" si="80"/>
        <v>0</v>
      </c>
      <c r="M151" s="37">
        <f t="shared" si="81"/>
        <v>0.0811</v>
      </c>
      <c r="N151" s="27">
        <v>696.19</v>
      </c>
      <c r="O151" s="27">
        <v>632.95</v>
      </c>
      <c r="P151" s="37">
        <f t="shared" si="82"/>
        <v>0.0999</v>
      </c>
      <c r="Q151" s="29">
        <f t="shared" si="83"/>
        <v>487.22</v>
      </c>
      <c r="R151" s="29">
        <f t="shared" si="84"/>
        <v>727.89</v>
      </c>
      <c r="S151" s="29">
        <f t="shared" si="85"/>
        <v>696.19</v>
      </c>
      <c r="T151" s="29">
        <v>33750.25</v>
      </c>
      <c r="U151" s="29">
        <v>36487.87</v>
      </c>
      <c r="V151" s="29">
        <f t="shared" si="86"/>
        <v>36486.28</v>
      </c>
      <c r="W151" s="29">
        <f t="shared" si="87"/>
        <v>2737.62</v>
      </c>
      <c r="X151" s="29">
        <f t="shared" si="88"/>
        <v>2736.03</v>
      </c>
      <c r="Y151" s="29">
        <f t="shared" si="89"/>
        <v>-1.59</v>
      </c>
      <c r="Z151" s="26"/>
      <c r="AA151" s="1"/>
      <c r="AB151" s="1"/>
      <c r="AC151" s="1"/>
      <c r="AD151" s="1"/>
      <c r="AE151" s="1"/>
      <c r="AF151" s="1"/>
      <c r="AG151" s="1"/>
      <c r="AH151" s="1"/>
      <c r="AI151" s="1"/>
    </row>
    <row r="152" ht="20" customHeight="1" spans="1:35">
      <c r="A152" s="26">
        <v>139</v>
      </c>
      <c r="B152" s="26" t="s">
        <v>422</v>
      </c>
      <c r="C152" s="26" t="s">
        <v>406</v>
      </c>
      <c r="D152" s="26" t="s">
        <v>423</v>
      </c>
      <c r="E152" s="26" t="s">
        <v>32</v>
      </c>
      <c r="F152" s="29">
        <v>83.45</v>
      </c>
      <c r="G152" s="29">
        <v>103</v>
      </c>
      <c r="H152" s="29">
        <v>102.89</v>
      </c>
      <c r="I152" s="29"/>
      <c r="J152" s="29">
        <f t="shared" si="78"/>
        <v>19.55</v>
      </c>
      <c r="K152" s="29">
        <f t="shared" si="79"/>
        <v>19.44</v>
      </c>
      <c r="L152" s="29">
        <f t="shared" si="80"/>
        <v>-0.11</v>
      </c>
      <c r="M152" s="37">
        <f t="shared" si="81"/>
        <v>0.2343</v>
      </c>
      <c r="N152" s="27">
        <v>823.85</v>
      </c>
      <c r="O152" s="27">
        <v>632.95</v>
      </c>
      <c r="P152" s="37">
        <f t="shared" si="82"/>
        <v>0.3016</v>
      </c>
      <c r="Q152" s="29">
        <f t="shared" si="83"/>
        <v>487.22</v>
      </c>
      <c r="R152" s="29">
        <f t="shared" si="84"/>
        <v>727.89</v>
      </c>
      <c r="S152" s="29">
        <f t="shared" si="85"/>
        <v>727.89</v>
      </c>
      <c r="T152" s="29">
        <v>68750.28</v>
      </c>
      <c r="U152" s="29">
        <v>82981.16</v>
      </c>
      <c r="V152" s="29">
        <f t="shared" si="86"/>
        <v>82900.46</v>
      </c>
      <c r="W152" s="29">
        <f t="shared" si="87"/>
        <v>14230.88</v>
      </c>
      <c r="X152" s="29">
        <f t="shared" si="88"/>
        <v>14150.18</v>
      </c>
      <c r="Y152" s="29">
        <f t="shared" si="89"/>
        <v>-80.7</v>
      </c>
      <c r="Z152" s="26"/>
      <c r="AA152" s="1"/>
      <c r="AB152" s="1"/>
      <c r="AC152" s="1"/>
      <c r="AD152" s="1"/>
      <c r="AE152" s="1"/>
      <c r="AF152" s="1"/>
      <c r="AG152" s="1"/>
      <c r="AH152" s="1"/>
      <c r="AI152" s="1"/>
    </row>
    <row r="153" ht="20" customHeight="1" spans="1:35">
      <c r="A153" s="26">
        <v>140</v>
      </c>
      <c r="B153" s="26" t="s">
        <v>424</v>
      </c>
      <c r="C153" s="26" t="s">
        <v>406</v>
      </c>
      <c r="D153" s="26" t="s">
        <v>425</v>
      </c>
      <c r="E153" s="26" t="s">
        <v>32</v>
      </c>
      <c r="F153" s="29">
        <v>9.19</v>
      </c>
      <c r="G153" s="29">
        <v>9.31</v>
      </c>
      <c r="H153" s="29">
        <f>9.31</f>
        <v>9.31</v>
      </c>
      <c r="I153" s="29"/>
      <c r="J153" s="29">
        <f t="shared" si="78"/>
        <v>0.12</v>
      </c>
      <c r="K153" s="29">
        <f t="shared" si="79"/>
        <v>0.12</v>
      </c>
      <c r="L153" s="29">
        <f t="shared" si="80"/>
        <v>0</v>
      </c>
      <c r="M153" s="37">
        <f t="shared" si="81"/>
        <v>0.0131</v>
      </c>
      <c r="N153" s="27">
        <v>442.56</v>
      </c>
      <c r="O153" s="27">
        <v>211.74</v>
      </c>
      <c r="P153" s="37">
        <f t="shared" si="82"/>
        <v>1.0901</v>
      </c>
      <c r="Q153" s="29">
        <f t="shared" si="83"/>
        <v>162.99</v>
      </c>
      <c r="R153" s="29">
        <f t="shared" si="84"/>
        <v>243.5</v>
      </c>
      <c r="S153" s="29">
        <f t="shared" si="85"/>
        <v>243.5</v>
      </c>
      <c r="T153" s="29">
        <v>4065.09</v>
      </c>
      <c r="U153" s="29">
        <v>4095.77</v>
      </c>
      <c r="V153" s="29">
        <f t="shared" si="86"/>
        <v>4094.31</v>
      </c>
      <c r="W153" s="29">
        <f t="shared" si="87"/>
        <v>30.68</v>
      </c>
      <c r="X153" s="29">
        <f t="shared" si="88"/>
        <v>29.22</v>
      </c>
      <c r="Y153" s="29">
        <f t="shared" si="89"/>
        <v>-1.46</v>
      </c>
      <c r="Z153" s="26"/>
      <c r="AA153" s="1"/>
      <c r="AB153" s="1"/>
      <c r="AC153" s="1"/>
      <c r="AD153" s="1"/>
      <c r="AE153" s="1"/>
      <c r="AF153" s="1"/>
      <c r="AG153" s="1"/>
      <c r="AH153" s="1"/>
      <c r="AI153" s="1"/>
    </row>
    <row r="154" ht="20" customHeight="1" spans="1:35">
      <c r="A154" s="26">
        <v>141</v>
      </c>
      <c r="B154" s="26" t="s">
        <v>426</v>
      </c>
      <c r="C154" s="26" t="s">
        <v>406</v>
      </c>
      <c r="D154" s="26" t="s">
        <v>427</v>
      </c>
      <c r="E154" s="26" t="s">
        <v>32</v>
      </c>
      <c r="F154" s="29">
        <v>42.33</v>
      </c>
      <c r="G154" s="29">
        <v>137.8</v>
      </c>
      <c r="H154" s="29">
        <f>137.8</f>
        <v>137.8</v>
      </c>
      <c r="I154" s="29"/>
      <c r="J154" s="29">
        <f t="shared" si="78"/>
        <v>95.47</v>
      </c>
      <c r="K154" s="29">
        <f t="shared" si="79"/>
        <v>95.47</v>
      </c>
      <c r="L154" s="29">
        <f t="shared" si="80"/>
        <v>0</v>
      </c>
      <c r="M154" s="37">
        <f t="shared" si="81"/>
        <v>2.2554</v>
      </c>
      <c r="N154" s="27">
        <v>423.33</v>
      </c>
      <c r="O154" s="27">
        <v>160.16</v>
      </c>
      <c r="P154" s="37">
        <f t="shared" si="82"/>
        <v>1.6432</v>
      </c>
      <c r="Q154" s="29">
        <f t="shared" si="83"/>
        <v>123.28</v>
      </c>
      <c r="R154" s="29">
        <f t="shared" si="84"/>
        <v>184.18</v>
      </c>
      <c r="S154" s="29">
        <f t="shared" si="85"/>
        <v>184.18</v>
      </c>
      <c r="T154" s="29">
        <v>17920.83</v>
      </c>
      <c r="U154" s="29">
        <v>35504.91</v>
      </c>
      <c r="V154" s="29">
        <f t="shared" si="86"/>
        <v>35504.49</v>
      </c>
      <c r="W154" s="29">
        <f t="shared" si="87"/>
        <v>17584.08</v>
      </c>
      <c r="X154" s="29">
        <f t="shared" si="88"/>
        <v>17583.66</v>
      </c>
      <c r="Y154" s="29">
        <f t="shared" si="89"/>
        <v>-0.42</v>
      </c>
      <c r="Z154" s="26"/>
      <c r="AA154" s="1"/>
      <c r="AB154" s="1"/>
      <c r="AC154" s="1"/>
      <c r="AD154" s="1"/>
      <c r="AE154" s="1"/>
      <c r="AF154" s="1"/>
      <c r="AG154" s="1"/>
      <c r="AH154" s="1"/>
      <c r="AI154" s="1"/>
    </row>
    <row r="155" ht="20" customHeight="1" spans="1:35">
      <c r="A155" s="26">
        <v>142</v>
      </c>
      <c r="B155" s="26" t="s">
        <v>428</v>
      </c>
      <c r="C155" s="26" t="s">
        <v>429</v>
      </c>
      <c r="D155" s="26" t="s">
        <v>430</v>
      </c>
      <c r="E155" s="26" t="s">
        <v>32</v>
      </c>
      <c r="F155" s="29">
        <v>25.43</v>
      </c>
      <c r="G155" s="29">
        <v>29.82</v>
      </c>
      <c r="H155" s="29">
        <f>29.82</f>
        <v>29.82</v>
      </c>
      <c r="I155" s="29"/>
      <c r="J155" s="29">
        <f t="shared" si="78"/>
        <v>4.39</v>
      </c>
      <c r="K155" s="29">
        <f t="shared" si="79"/>
        <v>4.39</v>
      </c>
      <c r="L155" s="29">
        <f t="shared" si="80"/>
        <v>0</v>
      </c>
      <c r="M155" s="37">
        <f t="shared" si="81"/>
        <v>0.1726</v>
      </c>
      <c r="N155" s="27">
        <v>430.56</v>
      </c>
      <c r="O155" s="27">
        <v>300.56</v>
      </c>
      <c r="P155" s="37">
        <f t="shared" si="82"/>
        <v>0.4325</v>
      </c>
      <c r="Q155" s="29">
        <f t="shared" si="83"/>
        <v>231.36</v>
      </c>
      <c r="R155" s="29">
        <f t="shared" si="84"/>
        <v>345.64</v>
      </c>
      <c r="S155" s="29">
        <f t="shared" si="85"/>
        <v>345.64</v>
      </c>
      <c r="T155" s="29">
        <v>10949.14</v>
      </c>
      <c r="U155" s="29">
        <v>12466.24</v>
      </c>
      <c r="V155" s="29">
        <v>12466.24</v>
      </c>
      <c r="W155" s="29">
        <f t="shared" si="87"/>
        <v>1517.1</v>
      </c>
      <c r="X155" s="29">
        <f t="shared" si="88"/>
        <v>1517.1</v>
      </c>
      <c r="Y155" s="29">
        <f t="shared" si="89"/>
        <v>0</v>
      </c>
      <c r="Z155" s="26"/>
      <c r="AA155" s="1"/>
      <c r="AB155" s="1"/>
      <c r="AC155" s="1"/>
      <c r="AD155" s="1"/>
      <c r="AE155" s="1"/>
      <c r="AF155" s="1"/>
      <c r="AG155" s="1"/>
      <c r="AH155" s="1"/>
      <c r="AI155" s="1"/>
    </row>
    <row r="156" ht="20" customHeight="1" spans="1:35">
      <c r="A156" s="26">
        <v>143</v>
      </c>
      <c r="B156" s="26" t="s">
        <v>431</v>
      </c>
      <c r="C156" s="26" t="s">
        <v>432</v>
      </c>
      <c r="D156" s="26" t="s">
        <v>433</v>
      </c>
      <c r="E156" s="26" t="s">
        <v>53</v>
      </c>
      <c r="F156" s="29">
        <v>56.07</v>
      </c>
      <c r="G156" s="29">
        <v>336.58</v>
      </c>
      <c r="H156" s="29">
        <f>55.73+280.84</f>
        <v>336.57</v>
      </c>
      <c r="I156" s="29"/>
      <c r="J156" s="29">
        <f t="shared" si="78"/>
        <v>280.51</v>
      </c>
      <c r="K156" s="29">
        <f t="shared" si="79"/>
        <v>280.5</v>
      </c>
      <c r="L156" s="29">
        <f t="shared" si="80"/>
        <v>-0.01</v>
      </c>
      <c r="M156" s="37">
        <f t="shared" si="81"/>
        <v>5.0029</v>
      </c>
      <c r="N156" s="27">
        <v>103.69</v>
      </c>
      <c r="O156" s="27">
        <v>30.94</v>
      </c>
      <c r="P156" s="37">
        <f t="shared" si="82"/>
        <v>2.3513</v>
      </c>
      <c r="Q156" s="29">
        <f t="shared" si="83"/>
        <v>23.82</v>
      </c>
      <c r="R156" s="29">
        <f t="shared" si="84"/>
        <v>35.58</v>
      </c>
      <c r="S156" s="29">
        <f t="shared" si="85"/>
        <v>35.58</v>
      </c>
      <c r="T156" s="29">
        <v>5813.9</v>
      </c>
      <c r="U156" s="29">
        <v>15794.6</v>
      </c>
      <c r="V156" s="29">
        <f>T156+S156*K156</f>
        <v>15794.09</v>
      </c>
      <c r="W156" s="29">
        <f t="shared" si="87"/>
        <v>9980.7</v>
      </c>
      <c r="X156" s="29">
        <f t="shared" si="88"/>
        <v>9980.19</v>
      </c>
      <c r="Y156" s="29">
        <f t="shared" si="89"/>
        <v>-0.51</v>
      </c>
      <c r="Z156" s="26"/>
      <c r="AA156" s="1"/>
      <c r="AB156" s="1"/>
      <c r="AC156" s="1"/>
      <c r="AD156" s="1"/>
      <c r="AE156" s="1"/>
      <c r="AF156" s="1"/>
      <c r="AG156" s="1"/>
      <c r="AH156" s="1"/>
      <c r="AI156" s="1"/>
    </row>
    <row r="157" ht="20" customHeight="1" spans="1:35">
      <c r="A157" s="26">
        <v>144</v>
      </c>
      <c r="B157" s="26" t="s">
        <v>434</v>
      </c>
      <c r="C157" s="26" t="s">
        <v>435</v>
      </c>
      <c r="D157" s="26" t="s">
        <v>436</v>
      </c>
      <c r="E157" s="26" t="s">
        <v>32</v>
      </c>
      <c r="F157" s="29">
        <v>80.95</v>
      </c>
      <c r="G157" s="29">
        <v>89.22</v>
      </c>
      <c r="H157" s="29">
        <f>89.22</f>
        <v>89.22</v>
      </c>
      <c r="I157" s="29"/>
      <c r="J157" s="29">
        <f t="shared" si="78"/>
        <v>8.27</v>
      </c>
      <c r="K157" s="29">
        <f t="shared" si="79"/>
        <v>8.27</v>
      </c>
      <c r="L157" s="29">
        <f t="shared" si="80"/>
        <v>0</v>
      </c>
      <c r="M157" s="37">
        <f t="shared" si="81"/>
        <v>0.1022</v>
      </c>
      <c r="N157" s="27">
        <v>730.81</v>
      </c>
      <c r="O157" s="27">
        <v>456.55</v>
      </c>
      <c r="P157" s="37">
        <f t="shared" si="82"/>
        <v>0.6007</v>
      </c>
      <c r="Q157" s="29">
        <f t="shared" si="83"/>
        <v>351.43</v>
      </c>
      <c r="R157" s="29">
        <f t="shared" si="84"/>
        <v>525.03</v>
      </c>
      <c r="S157" s="29">
        <f t="shared" si="85"/>
        <v>525.03</v>
      </c>
      <c r="T157" s="29">
        <v>59155.42</v>
      </c>
      <c r="U157" s="29">
        <v>63497.8</v>
      </c>
      <c r="V157" s="29">
        <f>T157+S157*K157</f>
        <v>63497.42</v>
      </c>
      <c r="W157" s="29">
        <f t="shared" si="87"/>
        <v>4342.38</v>
      </c>
      <c r="X157" s="29">
        <f t="shared" si="88"/>
        <v>4342</v>
      </c>
      <c r="Y157" s="29">
        <f t="shared" si="89"/>
        <v>-0.38</v>
      </c>
      <c r="Z157" s="26"/>
      <c r="AA157" s="1"/>
      <c r="AB157" s="1"/>
      <c r="AC157" s="1"/>
      <c r="AD157" s="1"/>
      <c r="AE157" s="1"/>
      <c r="AF157" s="1"/>
      <c r="AG157" s="1"/>
      <c r="AH157" s="1"/>
      <c r="AI157" s="1"/>
    </row>
    <row r="158" ht="20" customHeight="1" spans="1:35">
      <c r="A158" s="26">
        <v>145</v>
      </c>
      <c r="B158" s="26" t="s">
        <v>437</v>
      </c>
      <c r="C158" s="26" t="s">
        <v>438</v>
      </c>
      <c r="D158" s="26" t="s">
        <v>439</v>
      </c>
      <c r="E158" s="26" t="s">
        <v>32</v>
      </c>
      <c r="F158" s="29">
        <v>17.63</v>
      </c>
      <c r="G158" s="29">
        <v>20.27</v>
      </c>
      <c r="H158" s="29">
        <f>20.27</f>
        <v>20.27</v>
      </c>
      <c r="I158" s="29"/>
      <c r="J158" s="29">
        <f t="shared" si="78"/>
        <v>2.64</v>
      </c>
      <c r="K158" s="29">
        <f t="shared" si="79"/>
        <v>2.64</v>
      </c>
      <c r="L158" s="29">
        <f t="shared" si="80"/>
        <v>0</v>
      </c>
      <c r="M158" s="37">
        <f t="shared" si="81"/>
        <v>0.1497</v>
      </c>
      <c r="N158" s="27">
        <v>699.57</v>
      </c>
      <c r="O158" s="27">
        <v>258.08</v>
      </c>
      <c r="P158" s="37">
        <f t="shared" si="82"/>
        <v>1.7107</v>
      </c>
      <c r="Q158" s="29">
        <f t="shared" si="83"/>
        <v>198.66</v>
      </c>
      <c r="R158" s="29">
        <f t="shared" si="84"/>
        <v>296.79</v>
      </c>
      <c r="S158" s="29">
        <f t="shared" si="85"/>
        <v>296.79</v>
      </c>
      <c r="T158" s="29">
        <v>12332.02</v>
      </c>
      <c r="U158" s="29">
        <v>13116.92</v>
      </c>
      <c r="V158" s="29">
        <f>T158+S158*K158</f>
        <v>13115.55</v>
      </c>
      <c r="W158" s="29">
        <f t="shared" si="87"/>
        <v>784.9</v>
      </c>
      <c r="X158" s="29">
        <f t="shared" si="88"/>
        <v>783.53</v>
      </c>
      <c r="Y158" s="29">
        <f t="shared" si="89"/>
        <v>-1.37</v>
      </c>
      <c r="Z158" s="26"/>
      <c r="AA158" s="1"/>
      <c r="AB158" s="1"/>
      <c r="AC158" s="1"/>
      <c r="AD158" s="1"/>
      <c r="AE158" s="1"/>
      <c r="AF158" s="1"/>
      <c r="AG158" s="1"/>
      <c r="AH158" s="1"/>
      <c r="AI158" s="1"/>
    </row>
    <row r="159" ht="20" customHeight="1" spans="1:35">
      <c r="A159" s="26"/>
      <c r="B159" s="26"/>
      <c r="C159" s="26" t="s">
        <v>440</v>
      </c>
      <c r="D159" s="26"/>
      <c r="E159" s="26"/>
      <c r="F159" s="29"/>
      <c r="G159" s="29"/>
      <c r="H159" s="29"/>
      <c r="I159" s="29"/>
      <c r="J159" s="29"/>
      <c r="K159" s="29"/>
      <c r="L159" s="29"/>
      <c r="M159" s="37"/>
      <c r="N159" s="27"/>
      <c r="O159" s="27"/>
      <c r="P159" s="37"/>
      <c r="Q159" s="29"/>
      <c r="R159" s="29"/>
      <c r="S159" s="29"/>
      <c r="T159" s="29">
        <v>1110460.07</v>
      </c>
      <c r="U159" s="29">
        <v>1163442.67</v>
      </c>
      <c r="V159" s="29">
        <f>+SUM(V160:V168)</f>
        <v>1095926.46</v>
      </c>
      <c r="W159" s="29">
        <f t="shared" si="87"/>
        <v>52982.6</v>
      </c>
      <c r="X159" s="29">
        <f t="shared" si="88"/>
        <v>-14533.61</v>
      </c>
      <c r="Y159" s="29">
        <f t="shared" si="89"/>
        <v>-67516.21</v>
      </c>
      <c r="Z159" s="26"/>
      <c r="AA159" s="42"/>
      <c r="AB159" s="1"/>
      <c r="AC159" s="1"/>
      <c r="AD159" s="1"/>
      <c r="AE159" s="1"/>
      <c r="AF159" s="1"/>
      <c r="AG159" s="1"/>
      <c r="AH159" s="1"/>
      <c r="AI159" s="1"/>
    </row>
    <row r="160" ht="20" customHeight="1" spans="1:35">
      <c r="A160" s="26">
        <v>146</v>
      </c>
      <c r="B160" s="26" t="s">
        <v>441</v>
      </c>
      <c r="C160" s="26" t="s">
        <v>442</v>
      </c>
      <c r="D160" s="26" t="s">
        <v>443</v>
      </c>
      <c r="E160" s="26" t="s">
        <v>32</v>
      </c>
      <c r="F160" s="29">
        <v>3212.05</v>
      </c>
      <c r="G160" s="29">
        <v>3212.05</v>
      </c>
      <c r="H160" s="29">
        <f>82.91+611.77+2145.37+171.38</f>
        <v>3011.43</v>
      </c>
      <c r="I160" s="29"/>
      <c r="J160" s="29">
        <f t="shared" ref="J160:J168" si="90">G160-F160</f>
        <v>0</v>
      </c>
      <c r="K160" s="29">
        <f t="shared" ref="K160:K168" si="91">H160-F160</f>
        <v>-200.62</v>
      </c>
      <c r="L160" s="29">
        <f t="shared" ref="L160:L168" si="92">H160-G160</f>
        <v>-200.62</v>
      </c>
      <c r="M160" s="37">
        <f t="shared" ref="M160:M168" si="93">J160/F160</f>
        <v>0</v>
      </c>
      <c r="N160" s="27">
        <v>39.44</v>
      </c>
      <c r="O160" s="27">
        <v>48.24</v>
      </c>
      <c r="P160" s="37">
        <f t="shared" ref="P160:P168" si="94">(N160-O160)/O160</f>
        <v>-0.1824</v>
      </c>
      <c r="Q160" s="29">
        <f t="shared" ref="Q160:Q168" si="95">O160*0.9056*0.85</f>
        <v>37.13</v>
      </c>
      <c r="R160" s="29">
        <f t="shared" ref="R160:R168" si="96">O160*1.15</f>
        <v>55.48</v>
      </c>
      <c r="S160" s="29">
        <f t="shared" ref="S160:S168" si="97">IF(N160&lt;O160*0.9056*0.85,O160*0.9056*0.85,IF(N160&gt;O160*1.15,O160*1.15,N160))</f>
        <v>39.44</v>
      </c>
      <c r="T160" s="29">
        <v>126683.18</v>
      </c>
      <c r="U160" s="29">
        <v>126683.18</v>
      </c>
      <c r="V160" s="29">
        <f t="shared" ref="V160:V165" si="98">T160+S160*K160</f>
        <v>118770.73</v>
      </c>
      <c r="W160" s="29">
        <f t="shared" si="87"/>
        <v>0</v>
      </c>
      <c r="X160" s="29">
        <f t="shared" si="88"/>
        <v>-7912.45</v>
      </c>
      <c r="Y160" s="29">
        <f t="shared" si="89"/>
        <v>-7912.45</v>
      </c>
      <c r="Z160" s="26" t="s">
        <v>444</v>
      </c>
      <c r="AA160" s="1"/>
      <c r="AB160" s="1"/>
      <c r="AC160" s="1"/>
      <c r="AD160" s="1"/>
      <c r="AE160" s="1"/>
      <c r="AF160" s="1"/>
      <c r="AG160" s="1"/>
      <c r="AH160" s="1"/>
      <c r="AI160" s="1"/>
    </row>
    <row r="161" s="7" customFormat="1" ht="20" customHeight="1" spans="1:35">
      <c r="A161" s="26">
        <v>147</v>
      </c>
      <c r="B161" s="26" t="s">
        <v>445</v>
      </c>
      <c r="C161" s="26" t="s">
        <v>446</v>
      </c>
      <c r="D161" s="26" t="s">
        <v>447</v>
      </c>
      <c r="E161" s="26" t="s">
        <v>32</v>
      </c>
      <c r="F161" s="29">
        <v>16.56</v>
      </c>
      <c r="G161" s="29">
        <v>17.45</v>
      </c>
      <c r="H161" s="29">
        <v>16.56</v>
      </c>
      <c r="I161" s="29">
        <v>17.25</v>
      </c>
      <c r="J161" s="29">
        <f t="shared" si="90"/>
        <v>0.89</v>
      </c>
      <c r="K161" s="29">
        <f t="shared" si="91"/>
        <v>0</v>
      </c>
      <c r="L161" s="29">
        <f t="shared" si="92"/>
        <v>-0.89</v>
      </c>
      <c r="M161" s="37">
        <f t="shared" si="93"/>
        <v>0.0537</v>
      </c>
      <c r="N161" s="27">
        <v>19.62</v>
      </c>
      <c r="O161" s="27">
        <v>17.11</v>
      </c>
      <c r="P161" s="37">
        <f t="shared" si="94"/>
        <v>0.1467</v>
      </c>
      <c r="Q161" s="29">
        <f t="shared" si="95"/>
        <v>13.17</v>
      </c>
      <c r="R161" s="29">
        <f t="shared" si="96"/>
        <v>19.68</v>
      </c>
      <c r="S161" s="29">
        <f t="shared" si="97"/>
        <v>19.62</v>
      </c>
      <c r="T161" s="29">
        <v>324.87</v>
      </c>
      <c r="U161" s="29">
        <v>342.27</v>
      </c>
      <c r="V161" s="29">
        <f t="shared" si="98"/>
        <v>324.87</v>
      </c>
      <c r="W161" s="29">
        <f t="shared" si="87"/>
        <v>17.4</v>
      </c>
      <c r="X161" s="29">
        <f t="shared" si="88"/>
        <v>0</v>
      </c>
      <c r="Y161" s="29">
        <f t="shared" si="89"/>
        <v>-17.4</v>
      </c>
      <c r="Z161" s="26" t="s">
        <v>448</v>
      </c>
      <c r="AA161" s="1"/>
      <c r="AB161" s="1"/>
      <c r="AC161" s="1"/>
      <c r="AD161" s="1"/>
      <c r="AE161" s="1"/>
      <c r="AF161" s="1"/>
      <c r="AG161" s="1"/>
      <c r="AH161" s="1"/>
      <c r="AI161" s="1"/>
    </row>
    <row r="162" ht="20" customHeight="1" spans="1:35">
      <c r="A162" s="26">
        <v>148</v>
      </c>
      <c r="B162" s="26" t="s">
        <v>449</v>
      </c>
      <c r="C162" s="26" t="s">
        <v>450</v>
      </c>
      <c r="D162" s="26" t="s">
        <v>451</v>
      </c>
      <c r="E162" s="26" t="s">
        <v>32</v>
      </c>
      <c r="F162" s="29">
        <v>631.61</v>
      </c>
      <c r="G162" s="29">
        <v>631.61</v>
      </c>
      <c r="H162" s="29">
        <f>545.95</f>
        <v>545.95</v>
      </c>
      <c r="I162" s="29">
        <f>363.825+153*2</f>
        <v>669.83</v>
      </c>
      <c r="J162" s="29">
        <f t="shared" si="90"/>
        <v>0</v>
      </c>
      <c r="K162" s="29">
        <f t="shared" si="91"/>
        <v>-85.66</v>
      </c>
      <c r="L162" s="29">
        <f t="shared" si="92"/>
        <v>-85.66</v>
      </c>
      <c r="M162" s="37">
        <f t="shared" si="93"/>
        <v>0</v>
      </c>
      <c r="N162" s="27">
        <v>665.34</v>
      </c>
      <c r="O162" s="27">
        <v>645.25</v>
      </c>
      <c r="P162" s="37">
        <f t="shared" si="94"/>
        <v>0.0311</v>
      </c>
      <c r="Q162" s="29">
        <f t="shared" si="95"/>
        <v>496.69</v>
      </c>
      <c r="R162" s="29">
        <f t="shared" si="96"/>
        <v>742.04</v>
      </c>
      <c r="S162" s="29">
        <f t="shared" si="97"/>
        <v>665.34</v>
      </c>
      <c r="T162" s="29">
        <v>420235.4</v>
      </c>
      <c r="U162" s="29">
        <v>420235.4</v>
      </c>
      <c r="V162" s="29">
        <f t="shared" si="98"/>
        <v>363242.38</v>
      </c>
      <c r="W162" s="29">
        <f t="shared" si="87"/>
        <v>0</v>
      </c>
      <c r="X162" s="29">
        <f t="shared" si="88"/>
        <v>-56993.02</v>
      </c>
      <c r="Y162" s="29">
        <f t="shared" si="89"/>
        <v>-56993.02</v>
      </c>
      <c r="Z162" s="26" t="s">
        <v>452</v>
      </c>
      <c r="AA162" s="48" t="s">
        <v>453</v>
      </c>
      <c r="AB162" s="1"/>
      <c r="AC162" s="1"/>
      <c r="AD162" s="1"/>
      <c r="AE162" s="7" t="s">
        <v>454</v>
      </c>
      <c r="AF162" s="1"/>
      <c r="AG162" s="1"/>
      <c r="AH162" s="1"/>
      <c r="AI162" s="1"/>
    </row>
    <row r="163" ht="20" customHeight="1" spans="1:35">
      <c r="A163" s="26">
        <v>149</v>
      </c>
      <c r="B163" s="26" t="s">
        <v>455</v>
      </c>
      <c r="C163" s="26" t="s">
        <v>456</v>
      </c>
      <c r="D163" s="26" t="s">
        <v>457</v>
      </c>
      <c r="E163" s="26" t="s">
        <v>32</v>
      </c>
      <c r="F163" s="29">
        <v>1449.08</v>
      </c>
      <c r="G163" s="29">
        <v>1624.99</v>
      </c>
      <c r="H163" s="29">
        <f>1623.18</f>
        <v>1623.18</v>
      </c>
      <c r="I163" s="29"/>
      <c r="J163" s="29">
        <f t="shared" si="90"/>
        <v>175.91</v>
      </c>
      <c r="K163" s="29">
        <f t="shared" si="91"/>
        <v>174.1</v>
      </c>
      <c r="L163" s="29">
        <f t="shared" si="92"/>
        <v>-1.81</v>
      </c>
      <c r="M163" s="37">
        <f t="shared" si="93"/>
        <v>0.1214</v>
      </c>
      <c r="N163" s="27">
        <v>19.62</v>
      </c>
      <c r="O163" s="27">
        <v>21.48</v>
      </c>
      <c r="P163" s="37">
        <f t="shared" si="94"/>
        <v>-0.0866</v>
      </c>
      <c r="Q163" s="29">
        <f t="shared" si="95"/>
        <v>16.53</v>
      </c>
      <c r="R163" s="29">
        <f t="shared" si="96"/>
        <v>24.7</v>
      </c>
      <c r="S163" s="29">
        <f t="shared" si="97"/>
        <v>19.62</v>
      </c>
      <c r="T163" s="29">
        <v>28430.92</v>
      </c>
      <c r="U163" s="29">
        <v>31882.38</v>
      </c>
      <c r="V163" s="29">
        <f t="shared" si="98"/>
        <v>31846.76</v>
      </c>
      <c r="W163" s="29">
        <f t="shared" si="87"/>
        <v>3451.46</v>
      </c>
      <c r="X163" s="29">
        <f t="shared" si="88"/>
        <v>3415.84</v>
      </c>
      <c r="Y163" s="29">
        <f t="shared" si="89"/>
        <v>-35.62</v>
      </c>
      <c r="Z163" s="26"/>
      <c r="AA163" s="1"/>
      <c r="AB163" s="1"/>
      <c r="AC163" s="1"/>
      <c r="AD163" s="1"/>
      <c r="AE163" s="1"/>
      <c r="AF163" s="1"/>
      <c r="AG163" s="1"/>
      <c r="AH163" s="1"/>
      <c r="AI163" s="1"/>
    </row>
    <row r="164" ht="20" customHeight="1" spans="1:35">
      <c r="A164" s="26">
        <v>150</v>
      </c>
      <c r="B164" s="26" t="s">
        <v>458</v>
      </c>
      <c r="C164" s="26" t="s">
        <v>459</v>
      </c>
      <c r="D164" s="26" t="s">
        <v>460</v>
      </c>
      <c r="E164" s="26" t="s">
        <v>32</v>
      </c>
      <c r="F164" s="29">
        <v>485.21</v>
      </c>
      <c r="G164" s="29">
        <v>485.43</v>
      </c>
      <c r="H164" s="29">
        <f>485.24</f>
        <v>485.24</v>
      </c>
      <c r="I164" s="29"/>
      <c r="J164" s="29">
        <f t="shared" si="90"/>
        <v>0.22</v>
      </c>
      <c r="K164" s="29">
        <f t="shared" si="91"/>
        <v>0.03</v>
      </c>
      <c r="L164" s="29">
        <f t="shared" si="92"/>
        <v>-0.19</v>
      </c>
      <c r="M164" s="37">
        <f t="shared" si="93"/>
        <v>0.0005</v>
      </c>
      <c r="N164" s="27">
        <v>685.63</v>
      </c>
      <c r="O164" s="27">
        <v>780.55</v>
      </c>
      <c r="P164" s="37">
        <f t="shared" si="94"/>
        <v>-0.1216</v>
      </c>
      <c r="Q164" s="29">
        <f t="shared" si="95"/>
        <v>600.84</v>
      </c>
      <c r="R164" s="29">
        <f t="shared" si="96"/>
        <v>897.63</v>
      </c>
      <c r="S164" s="29">
        <f t="shared" si="97"/>
        <v>685.63</v>
      </c>
      <c r="T164" s="29">
        <v>332674.53</v>
      </c>
      <c r="U164" s="29">
        <v>332824.75</v>
      </c>
      <c r="V164" s="29">
        <f t="shared" si="98"/>
        <v>332695.1</v>
      </c>
      <c r="W164" s="29">
        <f t="shared" si="87"/>
        <v>150.22</v>
      </c>
      <c r="X164" s="29">
        <f t="shared" si="88"/>
        <v>20.57</v>
      </c>
      <c r="Y164" s="29">
        <f t="shared" si="89"/>
        <v>-129.65</v>
      </c>
      <c r="Z164" s="26"/>
      <c r="AA164" s="1"/>
      <c r="AB164" s="1"/>
      <c r="AC164" s="1"/>
      <c r="AD164" s="1"/>
      <c r="AE164" s="1"/>
      <c r="AF164" s="1"/>
      <c r="AG164" s="1"/>
      <c r="AH164" s="1"/>
      <c r="AI164" s="1"/>
    </row>
    <row r="165" ht="20" customHeight="1" spans="1:35">
      <c r="A165" s="26">
        <v>151</v>
      </c>
      <c r="B165" s="26" t="s">
        <v>461</v>
      </c>
      <c r="C165" s="26" t="s">
        <v>459</v>
      </c>
      <c r="D165" s="26" t="s">
        <v>462</v>
      </c>
      <c r="E165" s="26" t="s">
        <v>32</v>
      </c>
      <c r="F165" s="29">
        <v>116.4</v>
      </c>
      <c r="G165" s="29">
        <v>231.88</v>
      </c>
      <c r="H165" s="29">
        <f>217.67</f>
        <v>217.67</v>
      </c>
      <c r="I165" s="29"/>
      <c r="J165" s="29">
        <f t="shared" si="90"/>
        <v>115.48</v>
      </c>
      <c r="K165" s="29">
        <f t="shared" si="91"/>
        <v>101.27</v>
      </c>
      <c r="L165" s="29">
        <f t="shared" si="92"/>
        <v>-14.21</v>
      </c>
      <c r="M165" s="37">
        <f t="shared" si="93"/>
        <v>0.9921</v>
      </c>
      <c r="N165" s="27">
        <v>170.61</v>
      </c>
      <c r="O165" s="27">
        <v>176.34</v>
      </c>
      <c r="P165" s="37">
        <f t="shared" si="94"/>
        <v>-0.0325</v>
      </c>
      <c r="Q165" s="29">
        <f t="shared" si="95"/>
        <v>135.74</v>
      </c>
      <c r="R165" s="29">
        <f t="shared" si="96"/>
        <v>202.79</v>
      </c>
      <c r="S165" s="29">
        <f t="shared" si="97"/>
        <v>170.61</v>
      </c>
      <c r="T165" s="29">
        <v>19859.46</v>
      </c>
      <c r="U165" s="29">
        <v>39561.59</v>
      </c>
      <c r="V165" s="29">
        <f t="shared" si="98"/>
        <v>37137.13</v>
      </c>
      <c r="W165" s="29">
        <f t="shared" si="87"/>
        <v>19702.13</v>
      </c>
      <c r="X165" s="29">
        <f t="shared" si="88"/>
        <v>17277.67</v>
      </c>
      <c r="Y165" s="29">
        <f t="shared" si="89"/>
        <v>-2424.46</v>
      </c>
      <c r="Z165" s="26"/>
      <c r="AA165" s="1"/>
      <c r="AB165" s="1"/>
      <c r="AC165" s="1"/>
      <c r="AD165" s="1"/>
      <c r="AE165" s="1"/>
      <c r="AF165" s="1"/>
      <c r="AG165" s="1"/>
      <c r="AH165" s="1"/>
      <c r="AI165" s="1"/>
    </row>
    <row r="166" ht="20" customHeight="1" spans="1:35">
      <c r="A166" s="26">
        <v>152</v>
      </c>
      <c r="B166" s="26" t="s">
        <v>463</v>
      </c>
      <c r="C166" s="26" t="s">
        <v>459</v>
      </c>
      <c r="D166" s="26" t="s">
        <v>464</v>
      </c>
      <c r="E166" s="26" t="s">
        <v>32</v>
      </c>
      <c r="F166" s="29">
        <v>194.8</v>
      </c>
      <c r="G166" s="29">
        <v>197.41</v>
      </c>
      <c r="H166" s="29">
        <f>97.33+100.08</f>
        <v>197.41</v>
      </c>
      <c r="I166" s="29"/>
      <c r="J166" s="29">
        <f t="shared" si="90"/>
        <v>2.61</v>
      </c>
      <c r="K166" s="29">
        <f t="shared" si="91"/>
        <v>2.61</v>
      </c>
      <c r="L166" s="29">
        <f t="shared" si="92"/>
        <v>0</v>
      </c>
      <c r="M166" s="37">
        <f t="shared" si="93"/>
        <v>0.0134</v>
      </c>
      <c r="N166" s="27">
        <v>167.7</v>
      </c>
      <c r="O166" s="27">
        <v>195.42</v>
      </c>
      <c r="P166" s="37">
        <f t="shared" si="94"/>
        <v>-0.1418</v>
      </c>
      <c r="Q166" s="29">
        <f t="shared" si="95"/>
        <v>150.43</v>
      </c>
      <c r="R166" s="29">
        <f t="shared" si="96"/>
        <v>224.73</v>
      </c>
      <c r="S166" s="29">
        <f t="shared" si="97"/>
        <v>167.7</v>
      </c>
      <c r="T166" s="29">
        <v>32668.71</v>
      </c>
      <c r="U166" s="29">
        <v>33105.66</v>
      </c>
      <c r="V166" s="29">
        <v>33105.66</v>
      </c>
      <c r="W166" s="29">
        <f t="shared" si="87"/>
        <v>436.95</v>
      </c>
      <c r="X166" s="29">
        <f t="shared" si="88"/>
        <v>436.95</v>
      </c>
      <c r="Y166" s="29">
        <f t="shared" si="89"/>
        <v>0</v>
      </c>
      <c r="Z166" s="26"/>
      <c r="AA166" s="1"/>
      <c r="AB166" s="1"/>
      <c r="AC166" s="1"/>
      <c r="AD166" s="1"/>
      <c r="AE166" s="1"/>
      <c r="AF166" s="1"/>
      <c r="AG166" s="1"/>
      <c r="AH166" s="1"/>
      <c r="AI166" s="1"/>
    </row>
    <row r="167" ht="20" customHeight="1" spans="1:35">
      <c r="A167" s="26">
        <v>153</v>
      </c>
      <c r="B167" s="26" t="s">
        <v>465</v>
      </c>
      <c r="C167" s="26" t="s">
        <v>466</v>
      </c>
      <c r="D167" s="26" t="s">
        <v>467</v>
      </c>
      <c r="E167" s="26" t="s">
        <v>32</v>
      </c>
      <c r="F167" s="29">
        <v>81.71</v>
      </c>
      <c r="G167" s="29">
        <v>130.25</v>
      </c>
      <c r="H167" s="29">
        <v>130.25</v>
      </c>
      <c r="I167" s="29"/>
      <c r="J167" s="29">
        <f t="shared" si="90"/>
        <v>48.54</v>
      </c>
      <c r="K167" s="29">
        <f t="shared" si="91"/>
        <v>48.54</v>
      </c>
      <c r="L167" s="29">
        <f t="shared" si="92"/>
        <v>0</v>
      </c>
      <c r="M167" s="37">
        <f t="shared" si="93"/>
        <v>0.5941</v>
      </c>
      <c r="N167" s="27">
        <v>203.6</v>
      </c>
      <c r="O167" s="27">
        <v>199.66</v>
      </c>
      <c r="P167" s="37">
        <f t="shared" si="94"/>
        <v>0.0197</v>
      </c>
      <c r="Q167" s="29">
        <f t="shared" si="95"/>
        <v>153.69</v>
      </c>
      <c r="R167" s="29">
        <f t="shared" si="96"/>
        <v>229.61</v>
      </c>
      <c r="S167" s="29">
        <f t="shared" si="97"/>
        <v>203.6</v>
      </c>
      <c r="T167" s="29">
        <v>16635.85</v>
      </c>
      <c r="U167" s="29">
        <v>26519.65</v>
      </c>
      <c r="V167" s="29">
        <f>T167+S167*K167</f>
        <v>26518.59</v>
      </c>
      <c r="W167" s="29">
        <f t="shared" si="87"/>
        <v>9883.8</v>
      </c>
      <c r="X167" s="29">
        <f t="shared" si="88"/>
        <v>9882.74</v>
      </c>
      <c r="Y167" s="29">
        <f t="shared" si="89"/>
        <v>-1.06</v>
      </c>
      <c r="Z167" s="26"/>
      <c r="AA167" s="1"/>
      <c r="AB167" s="1"/>
      <c r="AC167" s="1"/>
      <c r="AD167" s="1"/>
      <c r="AE167" s="1"/>
      <c r="AF167" s="1"/>
      <c r="AG167" s="1"/>
      <c r="AH167" s="1"/>
      <c r="AI167" s="1"/>
    </row>
    <row r="168" ht="20" customHeight="1" spans="1:35">
      <c r="A168" s="26">
        <v>154</v>
      </c>
      <c r="B168" s="26" t="s">
        <v>468</v>
      </c>
      <c r="C168" s="26" t="s">
        <v>459</v>
      </c>
      <c r="D168" s="26" t="s">
        <v>469</v>
      </c>
      <c r="E168" s="26" t="s">
        <v>32</v>
      </c>
      <c r="F168" s="29">
        <v>219.24</v>
      </c>
      <c r="G168" s="29">
        <v>251.13</v>
      </c>
      <c r="H168" s="29">
        <v>251.13</v>
      </c>
      <c r="I168" s="29"/>
      <c r="J168" s="29">
        <f t="shared" si="90"/>
        <v>31.89</v>
      </c>
      <c r="K168" s="29">
        <f t="shared" si="91"/>
        <v>31.89</v>
      </c>
      <c r="L168" s="29">
        <f t="shared" si="92"/>
        <v>0</v>
      </c>
      <c r="M168" s="37">
        <f t="shared" si="93"/>
        <v>0.1455</v>
      </c>
      <c r="N168" s="27">
        <v>606.4</v>
      </c>
      <c r="O168" s="27">
        <v>699.74</v>
      </c>
      <c r="P168" s="37">
        <f t="shared" si="94"/>
        <v>-0.1334</v>
      </c>
      <c r="Q168" s="29">
        <f t="shared" si="95"/>
        <v>538.63</v>
      </c>
      <c r="R168" s="29">
        <f t="shared" si="96"/>
        <v>804.7</v>
      </c>
      <c r="S168" s="29">
        <f t="shared" si="97"/>
        <v>606.4</v>
      </c>
      <c r="T168" s="29">
        <v>132947.14</v>
      </c>
      <c r="U168" s="29">
        <v>152287.78</v>
      </c>
      <c r="V168" s="29">
        <f>T168+S168*K168</f>
        <v>152285.24</v>
      </c>
      <c r="W168" s="29">
        <f t="shared" si="87"/>
        <v>19340.64</v>
      </c>
      <c r="X168" s="29">
        <f t="shared" si="88"/>
        <v>19338.1</v>
      </c>
      <c r="Y168" s="29">
        <f t="shared" si="89"/>
        <v>-2.54</v>
      </c>
      <c r="Z168" s="26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0" customHeight="1" spans="1:35">
      <c r="A169" s="26"/>
      <c r="B169" s="26"/>
      <c r="C169" s="26" t="s">
        <v>470</v>
      </c>
      <c r="D169" s="26"/>
      <c r="E169" s="26"/>
      <c r="F169" s="29"/>
      <c r="G169" s="29"/>
      <c r="H169" s="29"/>
      <c r="I169" s="29"/>
      <c r="J169" s="29"/>
      <c r="K169" s="29"/>
      <c r="L169" s="29"/>
      <c r="M169" s="37"/>
      <c r="N169" s="27"/>
      <c r="O169" s="27"/>
      <c r="P169" s="37"/>
      <c r="Q169" s="29"/>
      <c r="R169" s="29"/>
      <c r="S169" s="29"/>
      <c r="T169" s="29">
        <v>181690.65</v>
      </c>
      <c r="U169" s="29">
        <v>214493.81</v>
      </c>
      <c r="V169" s="29">
        <f>+SUM(V170:V187)</f>
        <v>173013.46</v>
      </c>
      <c r="W169" s="29">
        <f t="shared" si="87"/>
        <v>32803.16</v>
      </c>
      <c r="X169" s="29">
        <f t="shared" si="88"/>
        <v>-8677.19</v>
      </c>
      <c r="Y169" s="29">
        <f t="shared" si="89"/>
        <v>-41480.35</v>
      </c>
      <c r="Z169" s="26"/>
      <c r="AA169" s="42"/>
      <c r="AB169" s="1"/>
      <c r="AC169" s="1"/>
      <c r="AD169" s="1"/>
      <c r="AE169" s="1"/>
      <c r="AF169" s="1"/>
      <c r="AG169" s="1"/>
      <c r="AH169" s="1"/>
      <c r="AI169" s="1"/>
    </row>
    <row r="170" ht="20" customHeight="1" spans="1:35">
      <c r="A170" s="26">
        <v>155</v>
      </c>
      <c r="B170" s="67" t="s">
        <v>471</v>
      </c>
      <c r="C170" s="26" t="s">
        <v>472</v>
      </c>
      <c r="D170" s="26" t="s">
        <v>473</v>
      </c>
      <c r="E170" s="26" t="s">
        <v>32</v>
      </c>
      <c r="F170" s="29">
        <v>62.43</v>
      </c>
      <c r="G170" s="29">
        <v>52.5</v>
      </c>
      <c r="H170" s="29">
        <v>52.5</v>
      </c>
      <c r="I170" s="29"/>
      <c r="J170" s="29">
        <f t="shared" ref="J170:J187" si="99">G170-F170</f>
        <v>-9.93</v>
      </c>
      <c r="K170" s="29">
        <f t="shared" ref="K170:K187" si="100">H170-F170</f>
        <v>-9.93</v>
      </c>
      <c r="L170" s="29">
        <f t="shared" ref="L170:L187" si="101">H170-G170</f>
        <v>0</v>
      </c>
      <c r="M170" s="37">
        <f t="shared" ref="M170:M187" si="102">J170/F170</f>
        <v>-0.1591</v>
      </c>
      <c r="N170" s="27">
        <v>373.22</v>
      </c>
      <c r="O170" s="27">
        <v>441.35</v>
      </c>
      <c r="P170" s="37">
        <f t="shared" ref="P170:P187" si="103">(N170-O170)/O170</f>
        <v>-0.1544</v>
      </c>
      <c r="Q170" s="29">
        <f t="shared" ref="Q170:Q187" si="104">O170*0.9056*0.85</f>
        <v>339.73</v>
      </c>
      <c r="R170" s="29">
        <f t="shared" ref="R170:R187" si="105">O170*1.15</f>
        <v>507.55</v>
      </c>
      <c r="S170" s="29">
        <f t="shared" ref="S170:S187" si="106">IF(N170&lt;O170*0.9056*0.85,O170*0.9056*0.85,IF(N170&gt;O170*1.15,O170*1.15,N170))</f>
        <v>373.22</v>
      </c>
      <c r="T170" s="29">
        <v>23300.12</v>
      </c>
      <c r="U170" s="29">
        <v>19592.59</v>
      </c>
      <c r="V170" s="29">
        <v>19592.59</v>
      </c>
      <c r="W170" s="29">
        <f t="shared" si="87"/>
        <v>-3707.53</v>
      </c>
      <c r="X170" s="29">
        <f t="shared" si="88"/>
        <v>-3707.53</v>
      </c>
      <c r="Y170" s="29">
        <f t="shared" si="89"/>
        <v>0</v>
      </c>
      <c r="Z170" s="26"/>
      <c r="AA170" s="1"/>
      <c r="AB170" s="1"/>
      <c r="AC170" s="1"/>
      <c r="AD170" s="1"/>
      <c r="AE170" s="1"/>
      <c r="AF170" s="1"/>
      <c r="AG170" s="1"/>
      <c r="AH170" s="1"/>
      <c r="AI170" s="1"/>
    </row>
    <row r="171" s="7" customFormat="1" ht="20" customHeight="1" spans="1:35">
      <c r="A171" s="26">
        <v>156</v>
      </c>
      <c r="B171" s="26" t="s">
        <v>474</v>
      </c>
      <c r="C171" s="26" t="s">
        <v>475</v>
      </c>
      <c r="D171" s="26" t="s">
        <v>476</v>
      </c>
      <c r="E171" s="26" t="s">
        <v>53</v>
      </c>
      <c r="F171" s="29">
        <v>179.57</v>
      </c>
      <c r="G171" s="29">
        <v>276.55</v>
      </c>
      <c r="H171" s="29">
        <f>272.35+4.2</f>
        <v>276.55</v>
      </c>
      <c r="I171" s="29"/>
      <c r="J171" s="29">
        <f t="shared" si="99"/>
        <v>96.98</v>
      </c>
      <c r="K171" s="29">
        <f t="shared" si="100"/>
        <v>96.98</v>
      </c>
      <c r="L171" s="29">
        <f t="shared" si="101"/>
        <v>0</v>
      </c>
      <c r="M171" s="37">
        <f t="shared" si="102"/>
        <v>0.5401</v>
      </c>
      <c r="N171" s="27">
        <v>27.17</v>
      </c>
      <c r="O171" s="27">
        <v>10.82</v>
      </c>
      <c r="P171" s="37">
        <f t="shared" si="103"/>
        <v>1.5111</v>
      </c>
      <c r="Q171" s="29">
        <f t="shared" si="104"/>
        <v>8.33</v>
      </c>
      <c r="R171" s="29">
        <f t="shared" si="105"/>
        <v>12.44</v>
      </c>
      <c r="S171" s="29">
        <f t="shared" si="106"/>
        <v>12.44</v>
      </c>
      <c r="T171" s="29">
        <v>4878.92</v>
      </c>
      <c r="U171" s="29">
        <v>6085.65</v>
      </c>
      <c r="V171" s="29">
        <f>T171+S171*K171</f>
        <v>6085.35</v>
      </c>
      <c r="W171" s="29">
        <f t="shared" si="87"/>
        <v>1206.73</v>
      </c>
      <c r="X171" s="29">
        <f t="shared" si="88"/>
        <v>1206.43</v>
      </c>
      <c r="Y171" s="29">
        <f t="shared" si="89"/>
        <v>-0.3</v>
      </c>
      <c r="Z171" s="26"/>
      <c r="AA171" s="1"/>
      <c r="AB171" s="1"/>
      <c r="AC171" s="1"/>
      <c r="AD171" s="1"/>
      <c r="AE171" s="1"/>
      <c r="AF171" s="1"/>
      <c r="AG171" s="1"/>
      <c r="AH171" s="1"/>
      <c r="AI171" s="1"/>
    </row>
    <row r="172" ht="20" customHeight="1" spans="1:35">
      <c r="A172" s="26">
        <v>157</v>
      </c>
      <c r="B172" s="26" t="s">
        <v>477</v>
      </c>
      <c r="C172" s="26" t="s">
        <v>478</v>
      </c>
      <c r="D172" s="26" t="s">
        <v>479</v>
      </c>
      <c r="E172" s="26" t="s">
        <v>53</v>
      </c>
      <c r="F172" s="29">
        <v>63.9</v>
      </c>
      <c r="G172" s="29">
        <v>62.83</v>
      </c>
      <c r="H172" s="29">
        <f>55.43+3.9+3.5</f>
        <v>62.83</v>
      </c>
      <c r="I172" s="29"/>
      <c r="J172" s="29">
        <f t="shared" si="99"/>
        <v>-1.07</v>
      </c>
      <c r="K172" s="29">
        <f t="shared" si="100"/>
        <v>-1.07</v>
      </c>
      <c r="L172" s="29">
        <f t="shared" si="101"/>
        <v>0</v>
      </c>
      <c r="M172" s="37">
        <f t="shared" si="102"/>
        <v>-0.0167</v>
      </c>
      <c r="N172" s="27">
        <v>252.01</v>
      </c>
      <c r="O172" s="27">
        <v>247.5</v>
      </c>
      <c r="P172" s="37">
        <f t="shared" si="103"/>
        <v>0.0182</v>
      </c>
      <c r="Q172" s="29">
        <f t="shared" si="104"/>
        <v>190.52</v>
      </c>
      <c r="R172" s="29">
        <f t="shared" si="105"/>
        <v>284.63</v>
      </c>
      <c r="S172" s="29">
        <f t="shared" si="106"/>
        <v>252.01</v>
      </c>
      <c r="T172" s="29">
        <v>16103.44</v>
      </c>
      <c r="U172" s="29">
        <v>15834.75</v>
      </c>
      <c r="V172" s="29">
        <f>T172+S172*K172</f>
        <v>15833.79</v>
      </c>
      <c r="W172" s="29">
        <f t="shared" si="87"/>
        <v>-268.69</v>
      </c>
      <c r="X172" s="29">
        <f t="shared" si="88"/>
        <v>-269.65</v>
      </c>
      <c r="Y172" s="29">
        <f t="shared" si="89"/>
        <v>-0.96</v>
      </c>
      <c r="Z172" s="26"/>
      <c r="AA172" s="1"/>
      <c r="AB172" s="1"/>
      <c r="AC172" s="1"/>
      <c r="AD172" s="1"/>
      <c r="AE172" s="1"/>
      <c r="AF172" s="1"/>
      <c r="AG172" s="1"/>
      <c r="AH172" s="1"/>
      <c r="AI172" s="1"/>
    </row>
    <row r="173" ht="20" customHeight="1" spans="1:35">
      <c r="A173" s="26">
        <v>158</v>
      </c>
      <c r="B173" s="26" t="s">
        <v>480</v>
      </c>
      <c r="C173" s="26" t="s">
        <v>481</v>
      </c>
      <c r="D173" s="26" t="s">
        <v>482</v>
      </c>
      <c r="E173" s="26" t="s">
        <v>53</v>
      </c>
      <c r="F173" s="29">
        <v>31.73</v>
      </c>
      <c r="G173" s="29">
        <v>31.8</v>
      </c>
      <c r="H173" s="29">
        <v>31.8</v>
      </c>
      <c r="I173" s="29"/>
      <c r="J173" s="29">
        <f t="shared" si="99"/>
        <v>0.07</v>
      </c>
      <c r="K173" s="29">
        <f t="shared" si="100"/>
        <v>0.07</v>
      </c>
      <c r="L173" s="29">
        <f t="shared" si="101"/>
        <v>0</v>
      </c>
      <c r="M173" s="37">
        <f t="shared" si="102"/>
        <v>0.0022</v>
      </c>
      <c r="N173" s="27">
        <v>508.12</v>
      </c>
      <c r="O173" s="27">
        <v>816.95</v>
      </c>
      <c r="P173" s="37">
        <f t="shared" si="103"/>
        <v>-0.378</v>
      </c>
      <c r="Q173" s="29">
        <f t="shared" si="104"/>
        <v>628.86</v>
      </c>
      <c r="R173" s="29">
        <f t="shared" si="105"/>
        <v>939.49</v>
      </c>
      <c r="S173" s="29">
        <f t="shared" si="106"/>
        <v>628.86</v>
      </c>
      <c r="T173" s="29">
        <v>16122.65</v>
      </c>
      <c r="U173" s="29">
        <v>16166.42</v>
      </c>
      <c r="V173" s="29">
        <v>16166.42</v>
      </c>
      <c r="W173" s="29">
        <f t="shared" si="87"/>
        <v>43.77</v>
      </c>
      <c r="X173" s="29">
        <f t="shared" si="88"/>
        <v>43.77</v>
      </c>
      <c r="Y173" s="29">
        <f t="shared" si="89"/>
        <v>0</v>
      </c>
      <c r="Z173" s="26"/>
      <c r="AA173" s="1"/>
      <c r="AB173" s="1"/>
      <c r="AC173" s="1"/>
      <c r="AD173" s="1"/>
      <c r="AE173" s="1"/>
      <c r="AF173" s="1"/>
      <c r="AG173" s="1"/>
      <c r="AH173" s="1"/>
      <c r="AI173" s="1"/>
    </row>
    <row r="174" ht="20" customHeight="1" spans="1:35">
      <c r="A174" s="26">
        <v>159</v>
      </c>
      <c r="B174" s="26" t="s">
        <v>483</v>
      </c>
      <c r="C174" s="26" t="s">
        <v>481</v>
      </c>
      <c r="D174" s="26" t="s">
        <v>484</v>
      </c>
      <c r="E174" s="26" t="s">
        <v>53</v>
      </c>
      <c r="F174" s="29">
        <v>3.8</v>
      </c>
      <c r="G174" s="29">
        <v>3.8</v>
      </c>
      <c r="H174" s="29">
        <v>0</v>
      </c>
      <c r="I174" s="29"/>
      <c r="J174" s="29">
        <f t="shared" si="99"/>
        <v>0</v>
      </c>
      <c r="K174" s="29">
        <f t="shared" si="100"/>
        <v>-3.8</v>
      </c>
      <c r="L174" s="29">
        <f t="shared" si="101"/>
        <v>-3.8</v>
      </c>
      <c r="M174" s="37">
        <f t="shared" si="102"/>
        <v>0</v>
      </c>
      <c r="N174" s="27">
        <v>486.8</v>
      </c>
      <c r="O174" s="27">
        <v>721.68</v>
      </c>
      <c r="P174" s="37">
        <f t="shared" si="103"/>
        <v>-0.3255</v>
      </c>
      <c r="Q174" s="29">
        <f t="shared" si="104"/>
        <v>555.52</v>
      </c>
      <c r="R174" s="29">
        <f t="shared" si="105"/>
        <v>829.93</v>
      </c>
      <c r="S174" s="29">
        <f t="shared" si="106"/>
        <v>555.52</v>
      </c>
      <c r="T174" s="29">
        <v>1849.84</v>
      </c>
      <c r="U174" s="29">
        <v>1849.84</v>
      </c>
      <c r="V174" s="29">
        <f t="shared" ref="V174:V187" si="107">T174+S174*K174</f>
        <v>-261.14</v>
      </c>
      <c r="W174" s="29">
        <f t="shared" si="87"/>
        <v>0</v>
      </c>
      <c r="X174" s="29">
        <f t="shared" si="88"/>
        <v>-2110.98</v>
      </c>
      <c r="Y174" s="29">
        <f t="shared" si="89"/>
        <v>-2110.98</v>
      </c>
      <c r="Z174" s="26"/>
      <c r="AA174" s="1"/>
      <c r="AB174" s="1"/>
      <c r="AC174" s="1"/>
      <c r="AD174" s="1"/>
      <c r="AE174" s="1"/>
      <c r="AF174" s="1"/>
      <c r="AG174" s="1"/>
      <c r="AH174" s="1"/>
      <c r="AI174" s="1"/>
    </row>
    <row r="175" ht="20" customHeight="1" spans="1:35">
      <c r="A175" s="26">
        <v>160</v>
      </c>
      <c r="B175" s="26" t="s">
        <v>485</v>
      </c>
      <c r="C175" s="26" t="s">
        <v>481</v>
      </c>
      <c r="D175" s="26" t="s">
        <v>486</v>
      </c>
      <c r="E175" s="26" t="s">
        <v>53</v>
      </c>
      <c r="F175" s="29">
        <v>4.2</v>
      </c>
      <c r="G175" s="29">
        <v>4.2</v>
      </c>
      <c r="H175" s="29">
        <v>0</v>
      </c>
      <c r="I175" s="29"/>
      <c r="J175" s="29">
        <f t="shared" si="99"/>
        <v>0</v>
      </c>
      <c r="K175" s="29">
        <f t="shared" si="100"/>
        <v>-4.2</v>
      </c>
      <c r="L175" s="29">
        <f t="shared" si="101"/>
        <v>-4.2</v>
      </c>
      <c r="M175" s="37">
        <f t="shared" si="102"/>
        <v>0</v>
      </c>
      <c r="N175" s="27">
        <v>478.8</v>
      </c>
      <c r="O175" s="27">
        <v>680.89</v>
      </c>
      <c r="P175" s="37">
        <f t="shared" si="103"/>
        <v>-0.2968</v>
      </c>
      <c r="Q175" s="29">
        <f t="shared" si="104"/>
        <v>524.12</v>
      </c>
      <c r="R175" s="29">
        <f t="shared" si="105"/>
        <v>783.02</v>
      </c>
      <c r="S175" s="29">
        <f t="shared" si="106"/>
        <v>524.12</v>
      </c>
      <c r="T175" s="29">
        <v>2010.96</v>
      </c>
      <c r="U175" s="29">
        <v>2010.96</v>
      </c>
      <c r="V175" s="29">
        <f t="shared" si="107"/>
        <v>-190.34</v>
      </c>
      <c r="W175" s="29">
        <f t="shared" si="87"/>
        <v>0</v>
      </c>
      <c r="X175" s="29">
        <f t="shared" si="88"/>
        <v>-2201.3</v>
      </c>
      <c r="Y175" s="29">
        <f t="shared" si="89"/>
        <v>-2201.3</v>
      </c>
      <c r="Z175" s="26"/>
      <c r="AA175" s="1"/>
      <c r="AB175" s="1"/>
      <c r="AC175" s="1"/>
      <c r="AD175" s="1"/>
      <c r="AE175" s="1"/>
      <c r="AF175" s="1"/>
      <c r="AG175" s="1"/>
      <c r="AH175" s="1"/>
      <c r="AI175" s="1"/>
    </row>
    <row r="176" ht="20" customHeight="1" spans="1:35">
      <c r="A176" s="26">
        <v>161</v>
      </c>
      <c r="B176" s="26" t="s">
        <v>487</v>
      </c>
      <c r="C176" s="26" t="s">
        <v>481</v>
      </c>
      <c r="D176" s="26" t="s">
        <v>488</v>
      </c>
      <c r="E176" s="26" t="s">
        <v>53</v>
      </c>
      <c r="F176" s="29">
        <v>16.8</v>
      </c>
      <c r="G176" s="29">
        <v>28.1</v>
      </c>
      <c r="H176" s="29">
        <v>28.1</v>
      </c>
      <c r="I176" s="29"/>
      <c r="J176" s="29">
        <f t="shared" si="99"/>
        <v>11.3</v>
      </c>
      <c r="K176" s="29">
        <f t="shared" si="100"/>
        <v>11.3</v>
      </c>
      <c r="L176" s="29">
        <f t="shared" si="101"/>
        <v>0</v>
      </c>
      <c r="M176" s="37">
        <f t="shared" si="102"/>
        <v>0.6726</v>
      </c>
      <c r="N176" s="27">
        <v>462.8</v>
      </c>
      <c r="O176" s="27">
        <v>640.1</v>
      </c>
      <c r="P176" s="37">
        <f t="shared" si="103"/>
        <v>-0.277</v>
      </c>
      <c r="Q176" s="29">
        <f t="shared" si="104"/>
        <v>492.72</v>
      </c>
      <c r="R176" s="29">
        <f t="shared" si="105"/>
        <v>736.12</v>
      </c>
      <c r="S176" s="29">
        <f t="shared" si="106"/>
        <v>492.72</v>
      </c>
      <c r="T176" s="29">
        <v>7775.04</v>
      </c>
      <c r="U176" s="29">
        <v>13342.91</v>
      </c>
      <c r="V176" s="29">
        <f t="shared" si="107"/>
        <v>13342.78</v>
      </c>
      <c r="W176" s="29">
        <f t="shared" si="87"/>
        <v>5567.87</v>
      </c>
      <c r="X176" s="29">
        <f t="shared" si="88"/>
        <v>5567.74</v>
      </c>
      <c r="Y176" s="29">
        <f t="shared" si="89"/>
        <v>-0.13</v>
      </c>
      <c r="Z176" s="26"/>
      <c r="AA176" s="1"/>
      <c r="AB176" s="1"/>
      <c r="AC176" s="1"/>
      <c r="AD176" s="1"/>
      <c r="AE176" s="1"/>
      <c r="AF176" s="1"/>
      <c r="AG176" s="1"/>
      <c r="AH176" s="1"/>
      <c r="AI176" s="1"/>
    </row>
    <row r="177" ht="20" customHeight="1" spans="1:35">
      <c r="A177" s="26">
        <v>162</v>
      </c>
      <c r="B177" s="26" t="s">
        <v>489</v>
      </c>
      <c r="C177" s="26" t="s">
        <v>481</v>
      </c>
      <c r="D177" s="26" t="s">
        <v>490</v>
      </c>
      <c r="E177" s="26" t="s">
        <v>53</v>
      </c>
      <c r="F177" s="29">
        <v>43.05</v>
      </c>
      <c r="G177" s="29">
        <v>43.05</v>
      </c>
      <c r="H177" s="29">
        <f>(21.44+9.19)/2</f>
        <v>15.32</v>
      </c>
      <c r="I177" s="29">
        <f>23.56+1.86</f>
        <v>25.42</v>
      </c>
      <c r="J177" s="29">
        <f t="shared" si="99"/>
        <v>0</v>
      </c>
      <c r="K177" s="29">
        <f t="shared" si="100"/>
        <v>-27.73</v>
      </c>
      <c r="L177" s="29">
        <f t="shared" si="101"/>
        <v>-27.73</v>
      </c>
      <c r="M177" s="37">
        <f t="shared" si="102"/>
        <v>0</v>
      </c>
      <c r="N177" s="27">
        <v>508.12</v>
      </c>
      <c r="O177" s="27">
        <v>816.95</v>
      </c>
      <c r="P177" s="37">
        <f t="shared" si="103"/>
        <v>-0.378</v>
      </c>
      <c r="Q177" s="29">
        <f t="shared" si="104"/>
        <v>628.86</v>
      </c>
      <c r="R177" s="29">
        <f t="shared" si="105"/>
        <v>939.49</v>
      </c>
      <c r="S177" s="29">
        <f t="shared" si="106"/>
        <v>628.86</v>
      </c>
      <c r="T177" s="29">
        <v>21874.57</v>
      </c>
      <c r="U177" s="29">
        <v>21874.57</v>
      </c>
      <c r="V177" s="29">
        <f t="shared" si="107"/>
        <v>4436.28</v>
      </c>
      <c r="W177" s="29">
        <f t="shared" si="87"/>
        <v>0</v>
      </c>
      <c r="X177" s="29">
        <f t="shared" si="88"/>
        <v>-17438.29</v>
      </c>
      <c r="Y177" s="29">
        <f t="shared" si="89"/>
        <v>-17438.29</v>
      </c>
      <c r="Z177" s="26"/>
      <c r="AA177" s="48" t="s">
        <v>491</v>
      </c>
      <c r="AB177" s="1"/>
      <c r="AC177" s="1"/>
      <c r="AD177" s="1"/>
      <c r="AE177" s="1"/>
      <c r="AF177" s="1"/>
      <c r="AG177" s="1"/>
      <c r="AH177" s="1"/>
      <c r="AI177" s="65" t="s">
        <v>492</v>
      </c>
    </row>
    <row r="178" ht="20" customHeight="1" spans="1:35">
      <c r="A178" s="26">
        <v>163</v>
      </c>
      <c r="B178" s="26" t="s">
        <v>493</v>
      </c>
      <c r="C178" s="26" t="s">
        <v>481</v>
      </c>
      <c r="D178" s="26" t="s">
        <v>494</v>
      </c>
      <c r="E178" s="26" t="s">
        <v>53</v>
      </c>
      <c r="F178" s="29">
        <v>47.9</v>
      </c>
      <c r="G178" s="29">
        <v>66.59</v>
      </c>
      <c r="H178" s="29">
        <v>26.59</v>
      </c>
      <c r="I178" s="29"/>
      <c r="J178" s="29">
        <f t="shared" si="99"/>
        <v>18.69</v>
      </c>
      <c r="K178" s="29">
        <f t="shared" si="100"/>
        <v>-21.31</v>
      </c>
      <c r="L178" s="29">
        <f t="shared" si="101"/>
        <v>-40</v>
      </c>
      <c r="M178" s="37">
        <f t="shared" si="102"/>
        <v>0.3902</v>
      </c>
      <c r="N178" s="27">
        <v>497.52</v>
      </c>
      <c r="O178" s="27">
        <v>752.19</v>
      </c>
      <c r="P178" s="37">
        <f t="shared" si="103"/>
        <v>-0.3386</v>
      </c>
      <c r="Q178" s="29">
        <f t="shared" si="104"/>
        <v>579.01</v>
      </c>
      <c r="R178" s="29">
        <f t="shared" si="105"/>
        <v>865.02</v>
      </c>
      <c r="S178" s="29">
        <f t="shared" si="106"/>
        <v>579.01</v>
      </c>
      <c r="T178" s="29">
        <v>23831.21</v>
      </c>
      <c r="U178" s="29">
        <v>34650.51</v>
      </c>
      <c r="V178" s="29">
        <f t="shared" si="107"/>
        <v>11492.51</v>
      </c>
      <c r="W178" s="29">
        <f t="shared" si="87"/>
        <v>10819.3</v>
      </c>
      <c r="X178" s="29">
        <f t="shared" si="88"/>
        <v>-12338.7</v>
      </c>
      <c r="Y178" s="29">
        <f t="shared" si="89"/>
        <v>-23158</v>
      </c>
      <c r="Z178" s="26" t="s">
        <v>495</v>
      </c>
      <c r="AA178" s="1"/>
      <c r="AB178" s="1"/>
      <c r="AC178" s="1"/>
      <c r="AD178" s="1"/>
      <c r="AE178" s="1"/>
      <c r="AF178" s="1"/>
      <c r="AG178" s="1"/>
      <c r="AH178" s="1"/>
      <c r="AI178" s="1"/>
    </row>
    <row r="179" ht="20" customHeight="1" spans="1:35">
      <c r="A179" s="26">
        <v>164</v>
      </c>
      <c r="B179" s="26" t="s">
        <v>496</v>
      </c>
      <c r="C179" s="26" t="s">
        <v>497</v>
      </c>
      <c r="D179" s="26" t="s">
        <v>498</v>
      </c>
      <c r="E179" s="26" t="s">
        <v>53</v>
      </c>
      <c r="F179" s="29">
        <v>6.7</v>
      </c>
      <c r="G179" s="29">
        <v>6.7</v>
      </c>
      <c r="H179" s="29">
        <v>0</v>
      </c>
      <c r="I179" s="29"/>
      <c r="J179" s="29">
        <f t="shared" si="99"/>
        <v>0</v>
      </c>
      <c r="K179" s="29">
        <f t="shared" si="100"/>
        <v>-6.7</v>
      </c>
      <c r="L179" s="29">
        <f t="shared" si="101"/>
        <v>-6.7</v>
      </c>
      <c r="M179" s="37">
        <f t="shared" si="102"/>
        <v>0</v>
      </c>
      <c r="N179" s="27">
        <v>468.51</v>
      </c>
      <c r="O179" s="27">
        <v>272</v>
      </c>
      <c r="P179" s="37">
        <f t="shared" si="103"/>
        <v>0.7225</v>
      </c>
      <c r="Q179" s="29">
        <f t="shared" si="104"/>
        <v>209.37</v>
      </c>
      <c r="R179" s="29">
        <f t="shared" si="105"/>
        <v>312.8</v>
      </c>
      <c r="S179" s="29">
        <f t="shared" si="106"/>
        <v>312.8</v>
      </c>
      <c r="T179" s="29">
        <v>3139.02</v>
      </c>
      <c r="U179" s="29">
        <v>3139.02</v>
      </c>
      <c r="V179" s="29">
        <f t="shared" si="107"/>
        <v>1043.26</v>
      </c>
      <c r="W179" s="29">
        <f t="shared" si="87"/>
        <v>0</v>
      </c>
      <c r="X179" s="29">
        <f t="shared" si="88"/>
        <v>-2095.76</v>
      </c>
      <c r="Y179" s="29">
        <f t="shared" si="89"/>
        <v>-2095.76</v>
      </c>
      <c r="Z179" s="26"/>
      <c r="AA179" s="1"/>
      <c r="AB179" s="1"/>
      <c r="AC179" s="1"/>
      <c r="AD179" s="1"/>
      <c r="AE179" s="1"/>
      <c r="AF179" s="1"/>
      <c r="AG179" s="1"/>
      <c r="AH179" s="1"/>
      <c r="AI179" s="1"/>
    </row>
    <row r="180" ht="20" customHeight="1" spans="1:35">
      <c r="A180" s="26">
        <v>165</v>
      </c>
      <c r="B180" s="26" t="s">
        <v>499</v>
      </c>
      <c r="C180" s="26" t="s">
        <v>497</v>
      </c>
      <c r="D180" s="26" t="s">
        <v>500</v>
      </c>
      <c r="E180" s="26" t="s">
        <v>53</v>
      </c>
      <c r="F180" s="29">
        <v>29.84</v>
      </c>
      <c r="G180" s="29">
        <v>29.84</v>
      </c>
      <c r="H180" s="29">
        <f>29.84+15.32</f>
        <v>45.16</v>
      </c>
      <c r="I180" s="29">
        <v>59.61</v>
      </c>
      <c r="J180" s="29">
        <f t="shared" si="99"/>
        <v>0</v>
      </c>
      <c r="K180" s="29">
        <f t="shared" si="100"/>
        <v>15.32</v>
      </c>
      <c r="L180" s="29">
        <f t="shared" si="101"/>
        <v>15.32</v>
      </c>
      <c r="M180" s="37">
        <f t="shared" si="102"/>
        <v>0</v>
      </c>
      <c r="N180" s="27">
        <v>473.06</v>
      </c>
      <c r="O180" s="27">
        <v>331.37</v>
      </c>
      <c r="P180" s="37">
        <f t="shared" si="103"/>
        <v>0.4276</v>
      </c>
      <c r="Q180" s="29">
        <f t="shared" si="104"/>
        <v>255.08</v>
      </c>
      <c r="R180" s="29">
        <f t="shared" si="105"/>
        <v>381.08</v>
      </c>
      <c r="S180" s="29">
        <f t="shared" si="106"/>
        <v>381.08</v>
      </c>
      <c r="T180" s="29">
        <v>14116.11</v>
      </c>
      <c r="U180" s="29">
        <v>14116.11</v>
      </c>
      <c r="V180" s="29">
        <f t="shared" si="107"/>
        <v>19954.26</v>
      </c>
      <c r="W180" s="29">
        <f t="shared" si="87"/>
        <v>0</v>
      </c>
      <c r="X180" s="29">
        <f t="shared" si="88"/>
        <v>5838.15</v>
      </c>
      <c r="Y180" s="29">
        <f t="shared" si="89"/>
        <v>5838.15</v>
      </c>
      <c r="Z180" s="26" t="s">
        <v>501</v>
      </c>
      <c r="AA180" s="1"/>
      <c r="AB180" s="1"/>
      <c r="AC180" s="1"/>
      <c r="AD180" s="1"/>
      <c r="AE180" s="1"/>
      <c r="AF180" s="1"/>
      <c r="AG180" s="1"/>
      <c r="AH180" s="1"/>
      <c r="AI180" s="42" t="s">
        <v>502</v>
      </c>
    </row>
    <row r="181" ht="20" customHeight="1" spans="1:35">
      <c r="A181" s="26">
        <v>166</v>
      </c>
      <c r="B181" s="26" t="s">
        <v>503</v>
      </c>
      <c r="C181" s="26" t="s">
        <v>504</v>
      </c>
      <c r="D181" s="26" t="s">
        <v>505</v>
      </c>
      <c r="E181" s="26" t="s">
        <v>32</v>
      </c>
      <c r="F181" s="29">
        <v>95.29</v>
      </c>
      <c r="G181" s="29">
        <v>95.29</v>
      </c>
      <c r="H181" s="29">
        <v>95.29</v>
      </c>
      <c r="I181" s="29"/>
      <c r="J181" s="29">
        <f t="shared" si="99"/>
        <v>0</v>
      </c>
      <c r="K181" s="29">
        <f t="shared" si="100"/>
        <v>0</v>
      </c>
      <c r="L181" s="29">
        <f t="shared" si="101"/>
        <v>0</v>
      </c>
      <c r="M181" s="37">
        <f t="shared" si="102"/>
        <v>0</v>
      </c>
      <c r="N181" s="27">
        <v>205.48</v>
      </c>
      <c r="O181" s="27">
        <v>308.59</v>
      </c>
      <c r="P181" s="37">
        <f t="shared" si="103"/>
        <v>-0.3341</v>
      </c>
      <c r="Q181" s="29">
        <f t="shared" si="104"/>
        <v>237.54</v>
      </c>
      <c r="R181" s="29">
        <f t="shared" si="105"/>
        <v>354.88</v>
      </c>
      <c r="S181" s="29">
        <f t="shared" si="106"/>
        <v>237.54</v>
      </c>
      <c r="T181" s="29">
        <v>19580.02</v>
      </c>
      <c r="U181" s="29">
        <v>19580.02</v>
      </c>
      <c r="V181" s="29">
        <f t="shared" si="107"/>
        <v>19580.02</v>
      </c>
      <c r="W181" s="29">
        <f t="shared" si="87"/>
        <v>0</v>
      </c>
      <c r="X181" s="29">
        <f t="shared" si="88"/>
        <v>0</v>
      </c>
      <c r="Y181" s="29">
        <f t="shared" si="89"/>
        <v>0</v>
      </c>
      <c r="Z181" s="26"/>
      <c r="AA181" s="1"/>
      <c r="AB181" s="1"/>
      <c r="AC181" s="1"/>
      <c r="AD181" s="1"/>
      <c r="AE181" s="1"/>
      <c r="AF181" s="1"/>
      <c r="AG181" s="1"/>
      <c r="AH181" s="1"/>
      <c r="AI181" s="1"/>
    </row>
    <row r="182" ht="20" customHeight="1" spans="1:35">
      <c r="A182" s="26">
        <v>167</v>
      </c>
      <c r="B182" s="26" t="s">
        <v>506</v>
      </c>
      <c r="C182" s="26" t="s">
        <v>507</v>
      </c>
      <c r="D182" s="26" t="s">
        <v>508</v>
      </c>
      <c r="E182" s="26" t="s">
        <v>32</v>
      </c>
      <c r="F182" s="29">
        <v>7.3</v>
      </c>
      <c r="G182" s="29">
        <v>7.3</v>
      </c>
      <c r="H182" s="29">
        <v>7.3</v>
      </c>
      <c r="I182" s="29"/>
      <c r="J182" s="29">
        <f t="shared" si="99"/>
        <v>0</v>
      </c>
      <c r="K182" s="29">
        <f t="shared" si="100"/>
        <v>0</v>
      </c>
      <c r="L182" s="29">
        <f t="shared" si="101"/>
        <v>0</v>
      </c>
      <c r="M182" s="37">
        <f t="shared" si="102"/>
        <v>0</v>
      </c>
      <c r="N182" s="27">
        <v>801.02</v>
      </c>
      <c r="O182" s="27">
        <v>638.84</v>
      </c>
      <c r="P182" s="37">
        <f t="shared" si="103"/>
        <v>0.2539</v>
      </c>
      <c r="Q182" s="29">
        <f t="shared" si="104"/>
        <v>491.75</v>
      </c>
      <c r="R182" s="29">
        <f t="shared" si="105"/>
        <v>734.67</v>
      </c>
      <c r="S182" s="29">
        <f t="shared" si="106"/>
        <v>734.67</v>
      </c>
      <c r="T182" s="29">
        <v>5847.45</v>
      </c>
      <c r="U182" s="29">
        <v>5847.45</v>
      </c>
      <c r="V182" s="29">
        <f t="shared" si="107"/>
        <v>5847.45</v>
      </c>
      <c r="W182" s="29">
        <f t="shared" si="87"/>
        <v>0</v>
      </c>
      <c r="X182" s="29">
        <f t="shared" si="88"/>
        <v>0</v>
      </c>
      <c r="Y182" s="29">
        <f t="shared" si="89"/>
        <v>0</v>
      </c>
      <c r="Z182" s="26"/>
      <c r="AA182" s="1"/>
      <c r="AB182" s="1"/>
      <c r="AC182" s="1"/>
      <c r="AD182" s="1"/>
      <c r="AE182" s="1"/>
      <c r="AF182" s="1"/>
      <c r="AG182" s="1"/>
      <c r="AH182" s="1"/>
      <c r="AI182" s="1"/>
    </row>
    <row r="183" ht="20" customHeight="1" spans="1:35">
      <c r="A183" s="26">
        <v>168</v>
      </c>
      <c r="B183" s="26" t="s">
        <v>509</v>
      </c>
      <c r="C183" s="26" t="s">
        <v>510</v>
      </c>
      <c r="D183" s="26" t="s">
        <v>511</v>
      </c>
      <c r="E183" s="26" t="s">
        <v>32</v>
      </c>
      <c r="F183" s="29">
        <v>7.3</v>
      </c>
      <c r="G183" s="29">
        <v>7.3</v>
      </c>
      <c r="H183" s="29">
        <v>7.3</v>
      </c>
      <c r="I183" s="29"/>
      <c r="J183" s="29">
        <f t="shared" si="99"/>
        <v>0</v>
      </c>
      <c r="K183" s="29">
        <f t="shared" si="100"/>
        <v>0</v>
      </c>
      <c r="L183" s="29">
        <f t="shared" si="101"/>
        <v>0</v>
      </c>
      <c r="M183" s="37">
        <f t="shared" si="102"/>
        <v>0</v>
      </c>
      <c r="N183" s="27">
        <v>328.86</v>
      </c>
      <c r="O183" s="27">
        <v>295.82</v>
      </c>
      <c r="P183" s="37">
        <f t="shared" si="103"/>
        <v>0.1117</v>
      </c>
      <c r="Q183" s="29">
        <f t="shared" si="104"/>
        <v>227.71</v>
      </c>
      <c r="R183" s="29">
        <f t="shared" si="105"/>
        <v>340.19</v>
      </c>
      <c r="S183" s="29">
        <f t="shared" si="106"/>
        <v>328.86</v>
      </c>
      <c r="T183" s="29">
        <v>2400.68</v>
      </c>
      <c r="U183" s="29">
        <v>2400.68</v>
      </c>
      <c r="V183" s="29">
        <f t="shared" si="107"/>
        <v>2400.68</v>
      </c>
      <c r="W183" s="29">
        <f t="shared" si="87"/>
        <v>0</v>
      </c>
      <c r="X183" s="29">
        <f t="shared" si="88"/>
        <v>0</v>
      </c>
      <c r="Y183" s="29">
        <f t="shared" si="89"/>
        <v>0</v>
      </c>
      <c r="Z183" s="26"/>
      <c r="AA183" s="1"/>
      <c r="AB183" s="1"/>
      <c r="AC183" s="1"/>
      <c r="AD183" s="1"/>
      <c r="AE183" s="1"/>
      <c r="AF183" s="1"/>
      <c r="AG183" s="1"/>
      <c r="AH183" s="1"/>
      <c r="AI183" s="1"/>
    </row>
    <row r="184" ht="20" customHeight="1" spans="1:35">
      <c r="A184" s="26">
        <v>169</v>
      </c>
      <c r="B184" s="26" t="s">
        <v>512</v>
      </c>
      <c r="C184" s="26" t="s">
        <v>400</v>
      </c>
      <c r="D184" s="26" t="s">
        <v>513</v>
      </c>
      <c r="E184" s="26" t="s">
        <v>53</v>
      </c>
      <c r="F184" s="29">
        <v>49.01</v>
      </c>
      <c r="G184" s="29">
        <v>641.79</v>
      </c>
      <c r="H184" s="29">
        <f>243.55+397.62</f>
        <v>641.17</v>
      </c>
      <c r="I184" s="29"/>
      <c r="J184" s="29">
        <f t="shared" si="99"/>
        <v>592.78</v>
      </c>
      <c r="K184" s="29">
        <f t="shared" si="100"/>
        <v>592.16</v>
      </c>
      <c r="L184" s="29">
        <f t="shared" si="101"/>
        <v>-0.62</v>
      </c>
      <c r="M184" s="37">
        <f t="shared" si="102"/>
        <v>12.0951</v>
      </c>
      <c r="N184" s="27">
        <v>69.83</v>
      </c>
      <c r="O184" s="27">
        <v>26.86</v>
      </c>
      <c r="P184" s="37">
        <f t="shared" si="103"/>
        <v>1.5998</v>
      </c>
      <c r="Q184" s="29">
        <f t="shared" si="104"/>
        <v>20.68</v>
      </c>
      <c r="R184" s="29">
        <f t="shared" si="105"/>
        <v>30.89</v>
      </c>
      <c r="S184" s="29">
        <f t="shared" si="106"/>
        <v>30.89</v>
      </c>
      <c r="T184" s="29">
        <v>3422.37</v>
      </c>
      <c r="U184" s="29">
        <v>21732.74</v>
      </c>
      <c r="V184" s="29">
        <f t="shared" si="107"/>
        <v>21714.19</v>
      </c>
      <c r="W184" s="29">
        <f t="shared" si="87"/>
        <v>18310.37</v>
      </c>
      <c r="X184" s="29">
        <f t="shared" si="88"/>
        <v>18291.82</v>
      </c>
      <c r="Y184" s="29">
        <f t="shared" si="89"/>
        <v>-18.55</v>
      </c>
      <c r="Z184" s="26"/>
      <c r="AA184" s="1"/>
      <c r="AB184" s="1"/>
      <c r="AC184" s="1"/>
      <c r="AD184" s="1"/>
      <c r="AE184" s="1"/>
      <c r="AF184" s="1"/>
      <c r="AG184" s="1"/>
      <c r="AH184" s="1"/>
      <c r="AI184" s="1"/>
    </row>
    <row r="185" ht="20" customHeight="1" spans="1:35">
      <c r="A185" s="26">
        <v>170</v>
      </c>
      <c r="B185" s="26" t="s">
        <v>514</v>
      </c>
      <c r="C185" s="26" t="s">
        <v>515</v>
      </c>
      <c r="D185" s="26" t="s">
        <v>516</v>
      </c>
      <c r="E185" s="26" t="s">
        <v>67</v>
      </c>
      <c r="F185" s="29">
        <v>3</v>
      </c>
      <c r="G185" s="29">
        <v>3</v>
      </c>
      <c r="H185" s="31">
        <v>3</v>
      </c>
      <c r="I185" s="31"/>
      <c r="J185" s="29">
        <f t="shared" si="99"/>
        <v>0</v>
      </c>
      <c r="K185" s="29">
        <f t="shared" si="100"/>
        <v>0</v>
      </c>
      <c r="L185" s="29">
        <f t="shared" si="101"/>
        <v>0</v>
      </c>
      <c r="M185" s="37">
        <f t="shared" si="102"/>
        <v>0</v>
      </c>
      <c r="N185" s="27">
        <v>1112.92</v>
      </c>
      <c r="O185" s="27">
        <v>900</v>
      </c>
      <c r="P185" s="37">
        <f t="shared" si="103"/>
        <v>0.2366</v>
      </c>
      <c r="Q185" s="29">
        <f t="shared" si="104"/>
        <v>692.78</v>
      </c>
      <c r="R185" s="29">
        <f t="shared" si="105"/>
        <v>1035</v>
      </c>
      <c r="S185" s="29">
        <f t="shared" si="106"/>
        <v>1035</v>
      </c>
      <c r="T185" s="29">
        <v>3338.76</v>
      </c>
      <c r="U185" s="29">
        <v>3338.76</v>
      </c>
      <c r="V185" s="29">
        <f t="shared" si="107"/>
        <v>3338.76</v>
      </c>
      <c r="W185" s="29">
        <f t="shared" si="87"/>
        <v>0</v>
      </c>
      <c r="X185" s="29">
        <f t="shared" si="88"/>
        <v>0</v>
      </c>
      <c r="Y185" s="29">
        <f t="shared" si="89"/>
        <v>0</v>
      </c>
      <c r="Z185" s="26"/>
      <c r="AA185" s="1"/>
      <c r="AB185" s="1"/>
      <c r="AC185" s="1"/>
      <c r="AD185" s="1"/>
      <c r="AE185" s="1"/>
      <c r="AF185" s="1"/>
      <c r="AG185" s="1"/>
      <c r="AH185" s="1"/>
      <c r="AI185" s="1"/>
    </row>
    <row r="186" ht="20" customHeight="1" spans="1:35">
      <c r="A186" s="26">
        <v>171</v>
      </c>
      <c r="B186" s="26" t="s">
        <v>517</v>
      </c>
      <c r="C186" s="26" t="s">
        <v>515</v>
      </c>
      <c r="D186" s="26" t="s">
        <v>518</v>
      </c>
      <c r="E186" s="26" t="s">
        <v>67</v>
      </c>
      <c r="F186" s="29">
        <v>1</v>
      </c>
      <c r="G186" s="29">
        <v>1</v>
      </c>
      <c r="H186" s="31">
        <v>1</v>
      </c>
      <c r="I186" s="31"/>
      <c r="J186" s="29">
        <f t="shared" si="99"/>
        <v>0</v>
      </c>
      <c r="K186" s="29">
        <f t="shared" si="100"/>
        <v>0</v>
      </c>
      <c r="L186" s="29">
        <f t="shared" si="101"/>
        <v>0</v>
      </c>
      <c r="M186" s="37">
        <f t="shared" si="102"/>
        <v>0</v>
      </c>
      <c r="N186" s="27">
        <v>2574.58</v>
      </c>
      <c r="O186" s="27">
        <v>2035.4</v>
      </c>
      <c r="P186" s="37">
        <f t="shared" si="103"/>
        <v>0.2649</v>
      </c>
      <c r="Q186" s="29">
        <f t="shared" si="104"/>
        <v>1566.77</v>
      </c>
      <c r="R186" s="29">
        <f t="shared" si="105"/>
        <v>2340.71</v>
      </c>
      <c r="S186" s="29">
        <f t="shared" si="106"/>
        <v>2340.71</v>
      </c>
      <c r="T186" s="29">
        <v>2574.58</v>
      </c>
      <c r="U186" s="29">
        <v>2574.58</v>
      </c>
      <c r="V186" s="29">
        <f t="shared" si="107"/>
        <v>2574.58</v>
      </c>
      <c r="W186" s="29">
        <f t="shared" si="87"/>
        <v>0</v>
      </c>
      <c r="X186" s="29">
        <f t="shared" si="88"/>
        <v>0</v>
      </c>
      <c r="Y186" s="29">
        <f t="shared" si="89"/>
        <v>0</v>
      </c>
      <c r="Z186" s="26"/>
      <c r="AA186" s="1"/>
      <c r="AB186" s="1"/>
      <c r="AC186" s="1"/>
      <c r="AD186" s="1"/>
      <c r="AE186" s="1"/>
      <c r="AF186" s="1"/>
      <c r="AG186" s="1"/>
      <c r="AH186" s="1"/>
      <c r="AI186" s="1"/>
    </row>
    <row r="187" ht="20" customHeight="1" spans="1:35">
      <c r="A187" s="26">
        <v>172</v>
      </c>
      <c r="B187" s="26" t="s">
        <v>519</v>
      </c>
      <c r="C187" s="26" t="s">
        <v>520</v>
      </c>
      <c r="D187" s="26" t="s">
        <v>521</v>
      </c>
      <c r="E187" s="26" t="s">
        <v>32</v>
      </c>
      <c r="F187" s="29">
        <v>4762.46</v>
      </c>
      <c r="G187" s="29">
        <v>5122.46</v>
      </c>
      <c r="H187" s="29">
        <f>4994.97</f>
        <v>4994.97</v>
      </c>
      <c r="I187" s="29">
        <v>5122.46</v>
      </c>
      <c r="J187" s="29">
        <f t="shared" si="99"/>
        <v>360</v>
      </c>
      <c r="K187" s="29">
        <f t="shared" si="100"/>
        <v>232.51</v>
      </c>
      <c r="L187" s="29">
        <f t="shared" si="101"/>
        <v>-127.49</v>
      </c>
      <c r="M187" s="37">
        <f t="shared" si="102"/>
        <v>0.0756</v>
      </c>
      <c r="N187" s="27">
        <v>2</v>
      </c>
      <c r="O187" s="27">
        <v>3</v>
      </c>
      <c r="P187" s="37">
        <f t="shared" si="103"/>
        <v>-0.3333</v>
      </c>
      <c r="Q187" s="29">
        <f t="shared" si="104"/>
        <v>2.31</v>
      </c>
      <c r="R187" s="29">
        <f t="shared" si="105"/>
        <v>3.45</v>
      </c>
      <c r="S187" s="29">
        <f t="shared" si="106"/>
        <v>2.31</v>
      </c>
      <c r="T187" s="29">
        <v>9524.92</v>
      </c>
      <c r="U187" s="29">
        <v>10356.26</v>
      </c>
      <c r="V187" s="29">
        <f t="shared" si="107"/>
        <v>10062.02</v>
      </c>
      <c r="W187" s="29">
        <f t="shared" si="87"/>
        <v>831.34</v>
      </c>
      <c r="X187" s="29">
        <f t="shared" si="88"/>
        <v>537.1</v>
      </c>
      <c r="Y187" s="29">
        <f t="shared" si="89"/>
        <v>-294.24</v>
      </c>
      <c r="Z187" s="26"/>
      <c r="AA187" s="1"/>
      <c r="AB187" s="1"/>
      <c r="AC187" s="1"/>
      <c r="AD187" s="1"/>
      <c r="AE187" s="1"/>
      <c r="AF187" s="1"/>
      <c r="AG187" s="1"/>
      <c r="AH187" s="1"/>
      <c r="AI187" s="1"/>
    </row>
    <row r="188" ht="20" customHeight="1" spans="1:35">
      <c r="A188" s="49"/>
      <c r="B188" s="5"/>
      <c r="C188" s="5" t="s">
        <v>522</v>
      </c>
      <c r="D188" s="5"/>
      <c r="E188" s="5"/>
      <c r="F188" s="6"/>
      <c r="G188" s="50"/>
      <c r="H188" s="29"/>
      <c r="I188" s="29"/>
      <c r="J188" s="29"/>
      <c r="K188" s="29"/>
      <c r="L188" s="29"/>
      <c r="M188" s="37"/>
      <c r="N188" s="51"/>
      <c r="O188" s="6"/>
      <c r="P188" s="37"/>
      <c r="Q188" s="29"/>
      <c r="R188" s="29"/>
      <c r="S188" s="29"/>
      <c r="T188" s="29">
        <v>14732579.96</v>
      </c>
      <c r="U188" s="29">
        <v>15615036.81</v>
      </c>
      <c r="V188" s="29">
        <f>+V169+V159+V131+V113+V108+V94+V72+V55+V28+V18+V11+V4</f>
        <v>14892121.3</v>
      </c>
      <c r="W188" s="29">
        <f>+U188-T188</f>
        <v>882456.85</v>
      </c>
      <c r="X188" s="29">
        <f t="shared" si="88"/>
        <v>159541.34</v>
      </c>
      <c r="Y188" s="29">
        <f t="shared" si="89"/>
        <v>-722915.51</v>
      </c>
      <c r="Z188" s="5"/>
      <c r="AA188" s="1"/>
      <c r="AB188" s="7"/>
      <c r="AC188" s="1"/>
      <c r="AD188" s="1"/>
      <c r="AE188" s="1"/>
      <c r="AF188" s="1"/>
      <c r="AG188" s="1"/>
      <c r="AH188" s="1"/>
      <c r="AI188" s="1"/>
    </row>
    <row r="189" ht="20" customHeight="1" spans="1:35">
      <c r="A189" s="49"/>
      <c r="B189" s="5"/>
      <c r="C189" s="5" t="s">
        <v>523</v>
      </c>
      <c r="D189" s="5"/>
      <c r="E189" s="5"/>
      <c r="F189" s="6"/>
      <c r="G189" s="50"/>
      <c r="H189" s="29"/>
      <c r="I189" s="29"/>
      <c r="J189" s="29"/>
      <c r="K189" s="29"/>
      <c r="L189" s="29"/>
      <c r="M189" s="37"/>
      <c r="N189" s="51"/>
      <c r="O189" s="6"/>
      <c r="P189" s="37"/>
      <c r="Q189" s="29"/>
      <c r="R189" s="29"/>
      <c r="S189" s="29"/>
      <c r="T189" s="29">
        <v>2214992.31</v>
      </c>
      <c r="U189" s="29">
        <v>2754116.16</v>
      </c>
      <c r="V189" s="29">
        <f>SUM(V191:V258)</f>
        <v>2263488.79</v>
      </c>
      <c r="W189" s="29">
        <f>+U189-T189</f>
        <v>539123.85</v>
      </c>
      <c r="X189" s="29">
        <f t="shared" si="88"/>
        <v>48496.48</v>
      </c>
      <c r="Y189" s="29">
        <f t="shared" si="89"/>
        <v>-490627.37</v>
      </c>
      <c r="Z189" s="5"/>
      <c r="AA189" s="1"/>
      <c r="AB189" s="7"/>
      <c r="AC189" s="1"/>
      <c r="AD189" s="1"/>
      <c r="AE189" s="1"/>
      <c r="AF189" s="1"/>
      <c r="AG189" s="1"/>
      <c r="AH189" s="1"/>
      <c r="AI189" s="1"/>
    </row>
    <row r="190" s="11" customFormat="1" ht="20" customHeight="1" spans="1:35">
      <c r="A190" s="49">
        <v>1</v>
      </c>
      <c r="B190" s="5"/>
      <c r="C190" s="5" t="s">
        <v>524</v>
      </c>
      <c r="D190" s="5"/>
      <c r="E190" s="5"/>
      <c r="F190" s="6"/>
      <c r="G190" s="50"/>
      <c r="H190" s="29"/>
      <c r="I190" s="29"/>
      <c r="J190" s="29"/>
      <c r="K190" s="29"/>
      <c r="L190" s="29"/>
      <c r="M190" s="37"/>
      <c r="N190" s="51"/>
      <c r="O190" s="6"/>
      <c r="P190" s="37"/>
      <c r="Q190" s="29"/>
      <c r="R190" s="29"/>
      <c r="S190" s="29"/>
      <c r="T190" s="29"/>
      <c r="U190" s="29"/>
      <c r="V190" s="29">
        <f>T190+S190*K190</f>
        <v>0</v>
      </c>
      <c r="W190" s="29"/>
      <c r="X190" s="29">
        <f t="shared" si="88"/>
        <v>0</v>
      </c>
      <c r="Y190" s="29">
        <f t="shared" si="89"/>
        <v>0</v>
      </c>
      <c r="Z190" s="5"/>
      <c r="AA190" s="1"/>
      <c r="AB190" s="7"/>
      <c r="AC190" s="1"/>
      <c r="AD190" s="1"/>
      <c r="AE190" s="1"/>
      <c r="AF190" s="1"/>
      <c r="AG190" s="1"/>
      <c r="AH190" s="1"/>
      <c r="AI190" s="1"/>
    </row>
    <row r="191" s="11" customFormat="1" ht="20" customHeight="1" spans="1:35">
      <c r="A191" s="49" t="s">
        <v>525</v>
      </c>
      <c r="B191" s="26" t="s">
        <v>519</v>
      </c>
      <c r="C191" s="26" t="s">
        <v>526</v>
      </c>
      <c r="D191" s="5"/>
      <c r="E191" s="5"/>
      <c r="F191" s="6"/>
      <c r="G191" s="50"/>
      <c r="H191" s="29"/>
      <c r="I191" s="29"/>
      <c r="J191" s="29"/>
      <c r="K191" s="29"/>
      <c r="L191" s="29"/>
      <c r="M191" s="37"/>
      <c r="N191" s="51"/>
      <c r="O191" s="6"/>
      <c r="P191" s="37"/>
      <c r="Q191" s="29"/>
      <c r="R191" s="29"/>
      <c r="S191" s="29"/>
      <c r="T191" s="29">
        <v>529002.35</v>
      </c>
      <c r="U191" s="29">
        <v>529002.35</v>
      </c>
      <c r="V191" s="29">
        <f>V188/U188*U191</f>
        <v>504511.6</v>
      </c>
      <c r="W191" s="29"/>
      <c r="X191" s="29">
        <f t="shared" si="88"/>
        <v>-24490.75</v>
      </c>
      <c r="Y191" s="29">
        <f t="shared" si="89"/>
        <v>-24490.75</v>
      </c>
      <c r="Z191" s="5"/>
      <c r="AA191" s="1"/>
      <c r="AB191" s="7"/>
      <c r="AC191" s="1"/>
      <c r="AD191" s="1"/>
      <c r="AE191" s="1"/>
      <c r="AF191" s="1"/>
      <c r="AG191" s="1"/>
      <c r="AH191" s="1"/>
      <c r="AI191" s="1"/>
    </row>
    <row r="192" s="12" customFormat="1" ht="20" customHeight="1" spans="1:35">
      <c r="A192" s="26">
        <v>173</v>
      </c>
      <c r="B192" s="26" t="s">
        <v>527</v>
      </c>
      <c r="C192" s="26" t="s">
        <v>528</v>
      </c>
      <c r="D192" s="26" t="s">
        <v>529</v>
      </c>
      <c r="E192" s="26" t="s">
        <v>32</v>
      </c>
      <c r="F192" s="29">
        <v>3288.12</v>
      </c>
      <c r="G192" s="29">
        <v>9179.96</v>
      </c>
      <c r="H192" s="29">
        <f>3345.74</f>
        <v>3345.74</v>
      </c>
      <c r="I192" s="29"/>
      <c r="J192" s="29">
        <f>G192-F192</f>
        <v>5891.84</v>
      </c>
      <c r="K192" s="29">
        <f>H192-F192</f>
        <v>57.62</v>
      </c>
      <c r="L192" s="29">
        <f>H192-G192</f>
        <v>-5834.22</v>
      </c>
      <c r="M192" s="37">
        <f>J192/F192</f>
        <v>1.7919</v>
      </c>
      <c r="N192" s="27">
        <v>65.35</v>
      </c>
      <c r="O192" s="27">
        <v>69.55</v>
      </c>
      <c r="P192" s="37">
        <f>(N192-O192)/O192</f>
        <v>-0.0604</v>
      </c>
      <c r="Q192" s="29">
        <f>O192*0.9056*0.85</f>
        <v>53.54</v>
      </c>
      <c r="R192" s="29">
        <f>O192*1.15</f>
        <v>79.98</v>
      </c>
      <c r="S192" s="29">
        <f>IF(N192&lt;O192*0.9056*0.85,O192*0.9056*0.85,IF(N192&gt;O192*1.15,O192*1.15,N192))</f>
        <v>65.35</v>
      </c>
      <c r="T192" s="29">
        <v>214878.64</v>
      </c>
      <c r="U192" s="29">
        <v>599910.39</v>
      </c>
      <c r="V192" s="29">
        <f>T192+S192*K192</f>
        <v>218644.11</v>
      </c>
      <c r="W192" s="29">
        <f>U192-T192</f>
        <v>385031.75</v>
      </c>
      <c r="X192" s="29">
        <f t="shared" si="88"/>
        <v>3765.47</v>
      </c>
      <c r="Y192" s="29">
        <f t="shared" si="89"/>
        <v>-381266.28</v>
      </c>
      <c r="Z192" s="26"/>
      <c r="AA192" s="1"/>
      <c r="AB192" s="1"/>
      <c r="AC192" s="1"/>
      <c r="AD192" s="1"/>
      <c r="AE192" s="1"/>
      <c r="AF192" s="1"/>
      <c r="AG192" s="1"/>
      <c r="AH192" s="1"/>
      <c r="AI192" s="1"/>
    </row>
    <row r="193" s="12" customFormat="1" ht="20" customHeight="1" spans="1:35">
      <c r="A193" s="26">
        <v>174</v>
      </c>
      <c r="B193" s="26" t="s">
        <v>530</v>
      </c>
      <c r="C193" s="26" t="s">
        <v>531</v>
      </c>
      <c r="D193" s="26" t="s">
        <v>532</v>
      </c>
      <c r="E193" s="26" t="s">
        <v>71</v>
      </c>
      <c r="F193" s="29">
        <v>14.42</v>
      </c>
      <c r="G193" s="29">
        <v>14.42</v>
      </c>
      <c r="H193" s="29">
        <v>14.42</v>
      </c>
      <c r="I193" s="29"/>
      <c r="J193" s="29">
        <f>G193-F193</f>
        <v>0</v>
      </c>
      <c r="K193" s="29">
        <f>H193-F193</f>
        <v>0</v>
      </c>
      <c r="L193" s="29">
        <f>H193-G193</f>
        <v>0</v>
      </c>
      <c r="M193" s="37">
        <f>J193/F193</f>
        <v>0</v>
      </c>
      <c r="N193" s="27">
        <v>6313.66</v>
      </c>
      <c r="O193" s="27">
        <v>6000</v>
      </c>
      <c r="P193" s="37">
        <f>(N193-O193)/O193</f>
        <v>0.0523</v>
      </c>
      <c r="Q193" s="29">
        <f>O193*0.9056*0.85</f>
        <v>4618.56</v>
      </c>
      <c r="R193" s="29">
        <f>O193*1.15</f>
        <v>6900</v>
      </c>
      <c r="S193" s="29">
        <f>IF(N193&lt;O193*0.9056*0.85,O193*0.9056*0.85,IF(N193&gt;O193*1.15,O193*1.15,N193))</f>
        <v>6313.66</v>
      </c>
      <c r="T193" s="29">
        <v>91023.4</v>
      </c>
      <c r="U193" s="29">
        <v>91023.4</v>
      </c>
      <c r="V193" s="29">
        <f>T193+S193*K193</f>
        <v>91023.4</v>
      </c>
      <c r="W193" s="29">
        <f>U193-T193</f>
        <v>0</v>
      </c>
      <c r="X193" s="29">
        <f t="shared" si="88"/>
        <v>0</v>
      </c>
      <c r="Y193" s="29">
        <f t="shared" si="89"/>
        <v>0</v>
      </c>
      <c r="Z193" s="26"/>
      <c r="AA193" s="1"/>
      <c r="AB193" s="1"/>
      <c r="AC193" s="1"/>
      <c r="AD193" s="1"/>
      <c r="AE193" s="1"/>
      <c r="AF193" s="1"/>
      <c r="AG193" s="1"/>
      <c r="AH193" s="1"/>
      <c r="AI193" s="1"/>
    </row>
    <row r="194" ht="20" customHeight="1" spans="1:35">
      <c r="A194" s="26"/>
      <c r="B194" s="26"/>
      <c r="C194" s="26" t="s">
        <v>533</v>
      </c>
      <c r="D194" s="26"/>
      <c r="E194" s="26"/>
      <c r="F194" s="29"/>
      <c r="G194" s="29"/>
      <c r="H194" s="29"/>
      <c r="I194" s="29"/>
      <c r="J194" s="29"/>
      <c r="K194" s="29"/>
      <c r="L194" s="29"/>
      <c r="M194" s="37"/>
      <c r="N194" s="27"/>
      <c r="O194" s="27"/>
      <c r="P194" s="37"/>
      <c r="Q194" s="29"/>
      <c r="R194" s="29"/>
      <c r="S194" s="29"/>
      <c r="T194" s="29"/>
      <c r="U194" s="29"/>
      <c r="V194" s="29"/>
      <c r="W194" s="29"/>
      <c r="X194" s="29"/>
      <c r="Y194" s="29"/>
      <c r="Z194" s="26"/>
      <c r="AA194" s="42"/>
      <c r="AB194" s="1"/>
      <c r="AC194" s="1"/>
      <c r="AD194" s="1"/>
      <c r="AE194" s="1"/>
      <c r="AF194" s="1"/>
      <c r="AG194" s="1"/>
      <c r="AH194" s="1"/>
      <c r="AI194" s="1"/>
    </row>
    <row r="195" ht="20" customHeight="1" spans="1:35">
      <c r="A195" s="26">
        <v>175</v>
      </c>
      <c r="B195" s="26" t="s">
        <v>534</v>
      </c>
      <c r="C195" s="26" t="s">
        <v>535</v>
      </c>
      <c r="D195" s="26" t="s">
        <v>536</v>
      </c>
      <c r="E195" s="26" t="s">
        <v>32</v>
      </c>
      <c r="F195" s="29">
        <v>1596.93</v>
      </c>
      <c r="G195" s="29">
        <v>1593.65</v>
      </c>
      <c r="H195" s="29">
        <v>1593.65</v>
      </c>
      <c r="I195" s="29"/>
      <c r="J195" s="29">
        <f t="shared" ref="J195:J258" si="108">G195-F195</f>
        <v>-3.28</v>
      </c>
      <c r="K195" s="29">
        <f t="shared" ref="K195:K258" si="109">H195-F195</f>
        <v>-3.28</v>
      </c>
      <c r="L195" s="29">
        <f t="shared" ref="L195:L258" si="110">H195-G195</f>
        <v>0</v>
      </c>
      <c r="M195" s="37">
        <f t="shared" ref="M195:M258" si="111">J195/F195</f>
        <v>-0.0021</v>
      </c>
      <c r="N195" s="27">
        <v>19.66</v>
      </c>
      <c r="O195" s="27">
        <v>21.74</v>
      </c>
      <c r="P195" s="37">
        <f t="shared" ref="P195:P258" si="112">(N195-O195)/O195</f>
        <v>-0.0957</v>
      </c>
      <c r="Q195" s="29">
        <f t="shared" ref="Q195:Q258" si="113">O195*0.9056*0.85</f>
        <v>16.73</v>
      </c>
      <c r="R195" s="29">
        <f t="shared" ref="R195:R258" si="114">O195*1.15</f>
        <v>25</v>
      </c>
      <c r="S195" s="29">
        <f t="shared" ref="S195:S258" si="115">IF(N195&lt;O195*0.9056*0.85,O195*0.9056*0.85,IF(N195&gt;O195*1.15,O195*1.15,N195))</f>
        <v>19.66</v>
      </c>
      <c r="T195" s="29">
        <v>31395.64</v>
      </c>
      <c r="U195" s="29">
        <v>31331.23</v>
      </c>
      <c r="V195" s="29">
        <f>T195+S195*K195</f>
        <v>31331.16</v>
      </c>
      <c r="W195" s="29">
        <f t="shared" ref="W195:W258" si="116">U195-T195</f>
        <v>-64.41</v>
      </c>
      <c r="X195" s="29">
        <f t="shared" ref="X195:X258" si="117">V195-T195</f>
        <v>-64.48</v>
      </c>
      <c r="Y195" s="29">
        <f t="shared" ref="Y195:Y258" si="118">V195-U195</f>
        <v>-0.07</v>
      </c>
      <c r="Z195" s="26"/>
      <c r="AA195" s="1"/>
      <c r="AB195" s="1"/>
      <c r="AC195" s="1"/>
      <c r="AD195" s="1"/>
      <c r="AE195" s="1"/>
      <c r="AF195" s="1"/>
      <c r="AG195" s="1"/>
      <c r="AH195" s="1"/>
      <c r="AI195" s="1"/>
    </row>
    <row r="196" s="7" customFormat="1" ht="20" customHeight="1" spans="1:35">
      <c r="A196" s="26">
        <v>176</v>
      </c>
      <c r="B196" s="26" t="s">
        <v>537</v>
      </c>
      <c r="C196" s="26" t="s">
        <v>535</v>
      </c>
      <c r="D196" s="26" t="s">
        <v>538</v>
      </c>
      <c r="E196" s="26" t="s">
        <v>32</v>
      </c>
      <c r="F196" s="29">
        <v>54.83</v>
      </c>
      <c r="G196" s="29">
        <v>54.35</v>
      </c>
      <c r="H196" s="29">
        <v>54.35</v>
      </c>
      <c r="I196" s="29"/>
      <c r="J196" s="29">
        <f t="shared" si="108"/>
        <v>-0.48</v>
      </c>
      <c r="K196" s="29">
        <f t="shared" si="109"/>
        <v>-0.48</v>
      </c>
      <c r="L196" s="29">
        <f t="shared" si="110"/>
        <v>0</v>
      </c>
      <c r="M196" s="37">
        <f t="shared" si="111"/>
        <v>-0.0088</v>
      </c>
      <c r="N196" s="27">
        <v>24.63</v>
      </c>
      <c r="O196" s="27">
        <v>27.23</v>
      </c>
      <c r="P196" s="37">
        <f t="shared" si="112"/>
        <v>-0.0955</v>
      </c>
      <c r="Q196" s="29">
        <f t="shared" si="113"/>
        <v>20.96</v>
      </c>
      <c r="R196" s="29">
        <f t="shared" si="114"/>
        <v>31.31</v>
      </c>
      <c r="S196" s="29">
        <f t="shared" si="115"/>
        <v>24.63</v>
      </c>
      <c r="T196" s="29">
        <v>1350.34</v>
      </c>
      <c r="U196" s="29">
        <v>1338.64</v>
      </c>
      <c r="V196" s="29">
        <f>T196+S196*K196</f>
        <v>1338.52</v>
      </c>
      <c r="W196" s="29">
        <f t="shared" si="116"/>
        <v>-11.7</v>
      </c>
      <c r="X196" s="29">
        <f t="shared" si="117"/>
        <v>-11.82</v>
      </c>
      <c r="Y196" s="29">
        <f t="shared" si="118"/>
        <v>-0.12</v>
      </c>
      <c r="Z196" s="26"/>
      <c r="AA196" s="1"/>
      <c r="AB196" s="1"/>
      <c r="AC196" s="1"/>
      <c r="AD196" s="1"/>
      <c r="AE196" s="1"/>
      <c r="AF196" s="1"/>
      <c r="AG196" s="1"/>
      <c r="AH196" s="1"/>
      <c r="AI196" s="1"/>
    </row>
    <row r="197" ht="20" customHeight="1" spans="1:35">
      <c r="A197" s="26">
        <v>177</v>
      </c>
      <c r="B197" s="26" t="s">
        <v>539</v>
      </c>
      <c r="C197" s="26" t="s">
        <v>535</v>
      </c>
      <c r="D197" s="26" t="s">
        <v>540</v>
      </c>
      <c r="E197" s="26" t="s">
        <v>32</v>
      </c>
      <c r="F197" s="29">
        <v>593.08</v>
      </c>
      <c r="G197" s="29">
        <v>519.33</v>
      </c>
      <c r="H197" s="29">
        <v>519.33</v>
      </c>
      <c r="I197" s="29"/>
      <c r="J197" s="29">
        <f t="shared" si="108"/>
        <v>-73.75</v>
      </c>
      <c r="K197" s="29">
        <f t="shared" si="109"/>
        <v>-73.75</v>
      </c>
      <c r="L197" s="29">
        <f t="shared" si="110"/>
        <v>0</v>
      </c>
      <c r="M197" s="37">
        <f t="shared" si="111"/>
        <v>-0.1244</v>
      </c>
      <c r="N197" s="27">
        <v>49.49</v>
      </c>
      <c r="O197" s="27">
        <v>54.67</v>
      </c>
      <c r="P197" s="37">
        <f t="shared" si="112"/>
        <v>-0.0948</v>
      </c>
      <c r="Q197" s="29">
        <f t="shared" si="113"/>
        <v>42.08</v>
      </c>
      <c r="R197" s="29">
        <f t="shared" si="114"/>
        <v>62.87</v>
      </c>
      <c r="S197" s="29">
        <f t="shared" si="115"/>
        <v>49.49</v>
      </c>
      <c r="T197" s="29">
        <v>29351.53</v>
      </c>
      <c r="U197" s="29">
        <v>25701.39</v>
      </c>
      <c r="V197" s="29">
        <v>25701.39</v>
      </c>
      <c r="W197" s="29">
        <f t="shared" si="116"/>
        <v>-3650.14</v>
      </c>
      <c r="X197" s="29">
        <f t="shared" si="117"/>
        <v>-3650.14</v>
      </c>
      <c r="Y197" s="29">
        <f t="shared" si="118"/>
        <v>0</v>
      </c>
      <c r="Z197" s="26"/>
      <c r="AA197" s="1"/>
      <c r="AB197" s="1"/>
      <c r="AC197" s="1"/>
      <c r="AD197" s="1"/>
      <c r="AE197" s="1"/>
      <c r="AF197" s="1"/>
      <c r="AG197" s="1"/>
      <c r="AH197" s="1"/>
      <c r="AI197" s="1"/>
    </row>
    <row r="198" ht="20" customHeight="1" spans="1:35">
      <c r="A198" s="26">
        <v>178</v>
      </c>
      <c r="B198" s="26" t="s">
        <v>541</v>
      </c>
      <c r="C198" s="26" t="s">
        <v>542</v>
      </c>
      <c r="D198" s="26" t="s">
        <v>543</v>
      </c>
      <c r="E198" s="26" t="s">
        <v>32</v>
      </c>
      <c r="F198" s="29">
        <v>3466.65</v>
      </c>
      <c r="G198" s="29">
        <v>3154.87</v>
      </c>
      <c r="H198" s="29">
        <v>3018.44</v>
      </c>
      <c r="I198" s="29"/>
      <c r="J198" s="29">
        <f t="shared" si="108"/>
        <v>-311.78</v>
      </c>
      <c r="K198" s="29">
        <f t="shared" si="109"/>
        <v>-448.21</v>
      </c>
      <c r="L198" s="29">
        <f t="shared" si="110"/>
        <v>-136.43</v>
      </c>
      <c r="M198" s="37">
        <f t="shared" si="111"/>
        <v>-0.0899</v>
      </c>
      <c r="N198" s="27">
        <v>12.36</v>
      </c>
      <c r="O198" s="27">
        <v>13.43</v>
      </c>
      <c r="P198" s="37">
        <f t="shared" si="112"/>
        <v>-0.0797</v>
      </c>
      <c r="Q198" s="29">
        <f t="shared" si="113"/>
        <v>10.34</v>
      </c>
      <c r="R198" s="29">
        <f t="shared" si="114"/>
        <v>15.44</v>
      </c>
      <c r="S198" s="29">
        <f t="shared" si="115"/>
        <v>12.36</v>
      </c>
      <c r="T198" s="29">
        <v>42847.84</v>
      </c>
      <c r="U198" s="29">
        <v>38994.15</v>
      </c>
      <c r="V198" s="29">
        <f>T198+S198*K198</f>
        <v>37307.96</v>
      </c>
      <c r="W198" s="29">
        <f t="shared" si="116"/>
        <v>-3853.69</v>
      </c>
      <c r="X198" s="29">
        <f t="shared" si="117"/>
        <v>-5539.88</v>
      </c>
      <c r="Y198" s="29">
        <f t="shared" si="118"/>
        <v>-1686.19</v>
      </c>
      <c r="Z198" s="26"/>
      <c r="AA198" s="42" t="s">
        <v>544</v>
      </c>
      <c r="AB198" s="1"/>
      <c r="AC198" s="1"/>
      <c r="AD198" s="1"/>
      <c r="AE198" s="1"/>
      <c r="AF198" s="1"/>
      <c r="AG198" s="1"/>
      <c r="AH198" s="1"/>
      <c r="AI198" s="1"/>
    </row>
    <row r="199" ht="20" customHeight="1" spans="1:35">
      <c r="A199" s="26">
        <v>179</v>
      </c>
      <c r="B199" s="26" t="s">
        <v>545</v>
      </c>
      <c r="C199" s="26" t="s">
        <v>542</v>
      </c>
      <c r="D199" s="26" t="s">
        <v>546</v>
      </c>
      <c r="E199" s="26" t="s">
        <v>32</v>
      </c>
      <c r="F199" s="29">
        <v>109.65</v>
      </c>
      <c r="G199" s="29">
        <v>110.5</v>
      </c>
      <c r="H199" s="29">
        <v>107.63</v>
      </c>
      <c r="I199" s="29"/>
      <c r="J199" s="29">
        <f t="shared" si="108"/>
        <v>0.85</v>
      </c>
      <c r="K199" s="29">
        <f t="shared" si="109"/>
        <v>-2.02</v>
      </c>
      <c r="L199" s="29">
        <f t="shared" si="110"/>
        <v>-2.87</v>
      </c>
      <c r="M199" s="37">
        <f t="shared" si="111"/>
        <v>0.0078</v>
      </c>
      <c r="N199" s="27">
        <v>12.36</v>
      </c>
      <c r="O199" s="27">
        <v>13.43</v>
      </c>
      <c r="P199" s="37">
        <f t="shared" si="112"/>
        <v>-0.0797</v>
      </c>
      <c r="Q199" s="29">
        <f t="shared" si="113"/>
        <v>10.34</v>
      </c>
      <c r="R199" s="29">
        <f t="shared" si="114"/>
        <v>15.44</v>
      </c>
      <c r="S199" s="29">
        <f t="shared" si="115"/>
        <v>12.36</v>
      </c>
      <c r="T199" s="29">
        <v>1355.27</v>
      </c>
      <c r="U199" s="29">
        <v>1365.72</v>
      </c>
      <c r="V199" s="29">
        <f>T199+S199*K199</f>
        <v>1330.3</v>
      </c>
      <c r="W199" s="29">
        <f t="shared" si="116"/>
        <v>10.45</v>
      </c>
      <c r="X199" s="29">
        <f t="shared" si="117"/>
        <v>-24.97</v>
      </c>
      <c r="Y199" s="29">
        <f t="shared" si="118"/>
        <v>-35.42</v>
      </c>
      <c r="Z199" s="26"/>
      <c r="AA199" s="1"/>
      <c r="AB199" s="1"/>
      <c r="AC199" s="1"/>
      <c r="AD199" s="1"/>
      <c r="AE199" s="1"/>
      <c r="AF199" s="1"/>
      <c r="AG199" s="1"/>
      <c r="AH199" s="1"/>
      <c r="AI199" s="1"/>
    </row>
    <row r="200" ht="20" customHeight="1" spans="1:35">
      <c r="A200" s="26">
        <v>180</v>
      </c>
      <c r="B200" s="26" t="s">
        <v>547</v>
      </c>
      <c r="C200" s="26" t="s">
        <v>542</v>
      </c>
      <c r="D200" s="26" t="s">
        <v>548</v>
      </c>
      <c r="E200" s="26" t="s">
        <v>32</v>
      </c>
      <c r="F200" s="29">
        <v>1186.16</v>
      </c>
      <c r="G200" s="29">
        <v>1142.45</v>
      </c>
      <c r="H200" s="29">
        <v>1142.45</v>
      </c>
      <c r="I200" s="29"/>
      <c r="J200" s="29">
        <f t="shared" si="108"/>
        <v>-43.71</v>
      </c>
      <c r="K200" s="29">
        <f t="shared" si="109"/>
        <v>-43.71</v>
      </c>
      <c r="L200" s="29">
        <f t="shared" si="110"/>
        <v>0</v>
      </c>
      <c r="M200" s="37">
        <f t="shared" si="111"/>
        <v>-0.0369</v>
      </c>
      <c r="N200" s="27">
        <v>36.49</v>
      </c>
      <c r="O200" s="27">
        <v>39.96</v>
      </c>
      <c r="P200" s="37">
        <f t="shared" si="112"/>
        <v>-0.0868</v>
      </c>
      <c r="Q200" s="29">
        <f t="shared" si="113"/>
        <v>30.76</v>
      </c>
      <c r="R200" s="29">
        <f t="shared" si="114"/>
        <v>45.95</v>
      </c>
      <c r="S200" s="29">
        <f t="shared" si="115"/>
        <v>36.49</v>
      </c>
      <c r="T200" s="29">
        <v>43282.98</v>
      </c>
      <c r="U200" s="29">
        <v>41688</v>
      </c>
      <c r="V200" s="29">
        <f>T200+S200*K200</f>
        <v>41688</v>
      </c>
      <c r="W200" s="29">
        <f t="shared" si="116"/>
        <v>-1594.98</v>
      </c>
      <c r="X200" s="29">
        <f t="shared" si="117"/>
        <v>-1594.98</v>
      </c>
      <c r="Y200" s="29">
        <f t="shared" si="118"/>
        <v>0</v>
      </c>
      <c r="Z200" s="26"/>
      <c r="AA200" s="1"/>
      <c r="AB200" s="1"/>
      <c r="AC200" s="1"/>
      <c r="AD200" s="1"/>
      <c r="AE200" s="1"/>
      <c r="AF200" s="1"/>
      <c r="AG200" s="1"/>
      <c r="AH200" s="1"/>
      <c r="AI200" s="1"/>
    </row>
    <row r="201" ht="20" customHeight="1" spans="1:35">
      <c r="A201" s="26">
        <v>181</v>
      </c>
      <c r="B201" s="26" t="s">
        <v>549</v>
      </c>
      <c r="C201" s="26" t="s">
        <v>542</v>
      </c>
      <c r="D201" s="26" t="s">
        <v>550</v>
      </c>
      <c r="E201" s="26" t="s">
        <v>32</v>
      </c>
      <c r="F201" s="29">
        <v>315.5</v>
      </c>
      <c r="G201" s="29">
        <v>313.22</v>
      </c>
      <c r="H201" s="29">
        <v>313.22</v>
      </c>
      <c r="I201" s="29"/>
      <c r="J201" s="29">
        <f t="shared" si="108"/>
        <v>-2.28</v>
      </c>
      <c r="K201" s="29">
        <f t="shared" si="109"/>
        <v>-2.28</v>
      </c>
      <c r="L201" s="29">
        <f t="shared" si="110"/>
        <v>0</v>
      </c>
      <c r="M201" s="37">
        <f t="shared" si="111"/>
        <v>-0.0072</v>
      </c>
      <c r="N201" s="27">
        <v>48.55</v>
      </c>
      <c r="O201" s="27">
        <v>39.96</v>
      </c>
      <c r="P201" s="37">
        <f t="shared" si="112"/>
        <v>0.215</v>
      </c>
      <c r="Q201" s="29">
        <f t="shared" si="113"/>
        <v>30.76</v>
      </c>
      <c r="R201" s="29">
        <f t="shared" si="114"/>
        <v>45.95</v>
      </c>
      <c r="S201" s="29">
        <f t="shared" si="115"/>
        <v>45.95</v>
      </c>
      <c r="T201" s="29">
        <v>15317.73</v>
      </c>
      <c r="U201" s="29">
        <v>15212.72</v>
      </c>
      <c r="V201" s="29">
        <v>15212.72</v>
      </c>
      <c r="W201" s="29">
        <f t="shared" si="116"/>
        <v>-105.01</v>
      </c>
      <c r="X201" s="29">
        <f t="shared" si="117"/>
        <v>-105.01</v>
      </c>
      <c r="Y201" s="29">
        <f t="shared" si="118"/>
        <v>0</v>
      </c>
      <c r="Z201" s="26"/>
      <c r="AA201" s="1"/>
      <c r="AB201" s="1"/>
      <c r="AC201" s="1"/>
      <c r="AD201" s="1"/>
      <c r="AE201" s="1"/>
      <c r="AF201" s="1"/>
      <c r="AG201" s="1"/>
      <c r="AH201" s="1"/>
      <c r="AI201" s="1"/>
    </row>
    <row r="202" ht="20" customHeight="1" spans="1:35">
      <c r="A202" s="26">
        <v>182</v>
      </c>
      <c r="B202" s="26" t="s">
        <v>551</v>
      </c>
      <c r="C202" s="26" t="s">
        <v>542</v>
      </c>
      <c r="D202" s="26" t="s">
        <v>552</v>
      </c>
      <c r="E202" s="26" t="s">
        <v>32</v>
      </c>
      <c r="F202" s="29">
        <v>222</v>
      </c>
      <c r="G202" s="29">
        <v>226.2</v>
      </c>
      <c r="H202" s="29">
        <v>226.2</v>
      </c>
      <c r="I202" s="29"/>
      <c r="J202" s="29">
        <f t="shared" si="108"/>
        <v>4.2</v>
      </c>
      <c r="K202" s="29">
        <f t="shared" si="109"/>
        <v>4.2</v>
      </c>
      <c r="L202" s="29">
        <f t="shared" si="110"/>
        <v>0</v>
      </c>
      <c r="M202" s="37">
        <f t="shared" si="111"/>
        <v>0.0189</v>
      </c>
      <c r="N202" s="27">
        <v>52.57</v>
      </c>
      <c r="O202" s="27">
        <v>39.96</v>
      </c>
      <c r="P202" s="37">
        <f t="shared" si="112"/>
        <v>0.3156</v>
      </c>
      <c r="Q202" s="29">
        <f t="shared" si="113"/>
        <v>30.76</v>
      </c>
      <c r="R202" s="29">
        <f t="shared" si="114"/>
        <v>45.95</v>
      </c>
      <c r="S202" s="29">
        <f t="shared" si="115"/>
        <v>45.95</v>
      </c>
      <c r="T202" s="29">
        <v>11670.54</v>
      </c>
      <c r="U202" s="29">
        <v>11863.55</v>
      </c>
      <c r="V202" s="29">
        <f t="shared" ref="V202:V207" si="119">T202+S202*K202</f>
        <v>11863.53</v>
      </c>
      <c r="W202" s="29">
        <f t="shared" si="116"/>
        <v>193.01</v>
      </c>
      <c r="X202" s="29">
        <f t="shared" si="117"/>
        <v>192.99</v>
      </c>
      <c r="Y202" s="29">
        <f t="shared" si="118"/>
        <v>-0.02</v>
      </c>
      <c r="Z202" s="26"/>
      <c r="AA202" s="1"/>
      <c r="AB202" s="1"/>
      <c r="AC202" s="1"/>
      <c r="AD202" s="1"/>
      <c r="AE202" s="1"/>
      <c r="AF202" s="1"/>
      <c r="AG202" s="1"/>
      <c r="AH202" s="1"/>
      <c r="AI202" s="1"/>
    </row>
    <row r="203" ht="20" customHeight="1" spans="1:35">
      <c r="A203" s="26">
        <v>183</v>
      </c>
      <c r="B203" s="26" t="s">
        <v>553</v>
      </c>
      <c r="C203" s="26" t="s">
        <v>554</v>
      </c>
      <c r="D203" s="26" t="s">
        <v>555</v>
      </c>
      <c r="E203" s="26" t="s">
        <v>32</v>
      </c>
      <c r="F203" s="29">
        <v>199.69</v>
      </c>
      <c r="G203" s="29">
        <v>297.75</v>
      </c>
      <c r="H203" s="29">
        <f>269.68+1.22+15.39</f>
        <v>286.29</v>
      </c>
      <c r="I203" s="29"/>
      <c r="J203" s="29">
        <f t="shared" si="108"/>
        <v>98.06</v>
      </c>
      <c r="K203" s="29">
        <f t="shared" si="109"/>
        <v>86.6</v>
      </c>
      <c r="L203" s="29">
        <f t="shared" si="110"/>
        <v>-11.46</v>
      </c>
      <c r="M203" s="37">
        <f t="shared" si="111"/>
        <v>0.4911</v>
      </c>
      <c r="N203" s="27">
        <v>31.42</v>
      </c>
      <c r="O203" s="27">
        <v>34.37</v>
      </c>
      <c r="P203" s="37">
        <f t="shared" si="112"/>
        <v>-0.0858</v>
      </c>
      <c r="Q203" s="29">
        <f t="shared" si="113"/>
        <v>26.46</v>
      </c>
      <c r="R203" s="29">
        <f t="shared" si="114"/>
        <v>39.53</v>
      </c>
      <c r="S203" s="29">
        <f t="shared" si="115"/>
        <v>31.42</v>
      </c>
      <c r="T203" s="29">
        <v>6274.33</v>
      </c>
      <c r="U203" s="29">
        <v>9355.29</v>
      </c>
      <c r="V203" s="29">
        <f t="shared" si="119"/>
        <v>8995.3</v>
      </c>
      <c r="W203" s="29">
        <f t="shared" si="116"/>
        <v>3080.96</v>
      </c>
      <c r="X203" s="29">
        <f t="shared" si="117"/>
        <v>2720.97</v>
      </c>
      <c r="Y203" s="29">
        <f t="shared" si="118"/>
        <v>-359.99</v>
      </c>
      <c r="Z203" s="26"/>
      <c r="AA203" s="1"/>
      <c r="AB203" s="1"/>
      <c r="AC203" s="1"/>
      <c r="AD203" s="1"/>
      <c r="AE203" s="1"/>
      <c r="AF203" s="1"/>
      <c r="AG203" s="1"/>
      <c r="AH203" s="1"/>
      <c r="AI203" s="1"/>
    </row>
    <row r="204" ht="20" customHeight="1" spans="1:35">
      <c r="A204" s="26">
        <v>184</v>
      </c>
      <c r="B204" s="26" t="s">
        <v>556</v>
      </c>
      <c r="C204" s="26" t="s">
        <v>557</v>
      </c>
      <c r="D204" s="26" t="s">
        <v>558</v>
      </c>
      <c r="E204" s="26" t="s">
        <v>32</v>
      </c>
      <c r="F204" s="29">
        <v>101.01</v>
      </c>
      <c r="G204" s="29">
        <v>4.28</v>
      </c>
      <c r="H204" s="29">
        <v>4.08</v>
      </c>
      <c r="I204" s="29"/>
      <c r="J204" s="29">
        <f t="shared" si="108"/>
        <v>-96.73</v>
      </c>
      <c r="K204" s="29">
        <f t="shared" si="109"/>
        <v>-96.93</v>
      </c>
      <c r="L204" s="29">
        <f t="shared" si="110"/>
        <v>-0.2</v>
      </c>
      <c r="M204" s="37">
        <f t="shared" si="111"/>
        <v>-0.9576</v>
      </c>
      <c r="N204" s="27">
        <v>66.62</v>
      </c>
      <c r="O204" s="27">
        <v>71.22</v>
      </c>
      <c r="P204" s="37">
        <f t="shared" si="112"/>
        <v>-0.0646</v>
      </c>
      <c r="Q204" s="29">
        <f t="shared" si="113"/>
        <v>54.82</v>
      </c>
      <c r="R204" s="29">
        <f t="shared" si="114"/>
        <v>81.9</v>
      </c>
      <c r="S204" s="29">
        <f t="shared" si="115"/>
        <v>66.62</v>
      </c>
      <c r="T204" s="29">
        <v>6729.43</v>
      </c>
      <c r="U204" s="29">
        <v>285.4</v>
      </c>
      <c r="V204" s="29">
        <f t="shared" si="119"/>
        <v>271.95</v>
      </c>
      <c r="W204" s="29">
        <f t="shared" si="116"/>
        <v>-6444.03</v>
      </c>
      <c r="X204" s="29">
        <f t="shared" si="117"/>
        <v>-6457.48</v>
      </c>
      <c r="Y204" s="29">
        <f t="shared" si="118"/>
        <v>-13.45</v>
      </c>
      <c r="Z204" s="26"/>
      <c r="AA204" s="1"/>
      <c r="AB204" s="1"/>
      <c r="AC204" s="1"/>
      <c r="AD204" s="1"/>
      <c r="AE204" s="1"/>
      <c r="AF204" s="1"/>
      <c r="AG204" s="1"/>
      <c r="AH204" s="1"/>
      <c r="AI204" s="1"/>
    </row>
    <row r="205" ht="20" customHeight="1" spans="1:35">
      <c r="A205" s="26">
        <v>185</v>
      </c>
      <c r="B205" s="26" t="s">
        <v>559</v>
      </c>
      <c r="C205" s="26" t="s">
        <v>557</v>
      </c>
      <c r="D205" s="26" t="s">
        <v>560</v>
      </c>
      <c r="E205" s="26" t="s">
        <v>32</v>
      </c>
      <c r="F205" s="29">
        <v>289.41</v>
      </c>
      <c r="G205" s="29">
        <v>395.28</v>
      </c>
      <c r="H205" s="29">
        <f>376.15</f>
        <v>376.15</v>
      </c>
      <c r="I205" s="29"/>
      <c r="J205" s="29">
        <f t="shared" si="108"/>
        <v>105.87</v>
      </c>
      <c r="K205" s="29">
        <f t="shared" si="109"/>
        <v>86.74</v>
      </c>
      <c r="L205" s="29">
        <f t="shared" si="110"/>
        <v>-19.13</v>
      </c>
      <c r="M205" s="37">
        <f t="shared" si="111"/>
        <v>0.3658</v>
      </c>
      <c r="N205" s="27">
        <v>70.72</v>
      </c>
      <c r="O205" s="27">
        <v>75.53</v>
      </c>
      <c r="P205" s="37">
        <f t="shared" si="112"/>
        <v>-0.0637</v>
      </c>
      <c r="Q205" s="29">
        <f t="shared" si="113"/>
        <v>58.14</v>
      </c>
      <c r="R205" s="29">
        <f t="shared" si="114"/>
        <v>86.86</v>
      </c>
      <c r="S205" s="29">
        <f t="shared" si="115"/>
        <v>70.72</v>
      </c>
      <c r="T205" s="29">
        <v>20466.86</v>
      </c>
      <c r="U205" s="29">
        <v>27954.14</v>
      </c>
      <c r="V205" s="29">
        <f t="shared" si="119"/>
        <v>26601.11</v>
      </c>
      <c r="W205" s="29">
        <f t="shared" si="116"/>
        <v>7487.28</v>
      </c>
      <c r="X205" s="29">
        <f t="shared" si="117"/>
        <v>6134.25</v>
      </c>
      <c r="Y205" s="29">
        <f t="shared" si="118"/>
        <v>-1353.03</v>
      </c>
      <c r="Z205" s="26"/>
      <c r="AA205" s="1"/>
      <c r="AB205" s="1"/>
      <c r="AC205" s="1"/>
      <c r="AD205" s="1"/>
      <c r="AE205" s="1"/>
      <c r="AF205" s="1"/>
      <c r="AG205" s="1"/>
      <c r="AH205" s="1"/>
      <c r="AI205" s="1"/>
    </row>
    <row r="206" ht="20" customHeight="1" spans="1:35">
      <c r="A206" s="26">
        <v>186</v>
      </c>
      <c r="B206" s="26" t="s">
        <v>561</v>
      </c>
      <c r="C206" s="26" t="s">
        <v>557</v>
      </c>
      <c r="D206" s="26" t="s">
        <v>562</v>
      </c>
      <c r="E206" s="26" t="s">
        <v>32</v>
      </c>
      <c r="F206" s="29">
        <v>52.16</v>
      </c>
      <c r="G206" s="29">
        <v>31.12</v>
      </c>
      <c r="H206" s="29">
        <v>31.12</v>
      </c>
      <c r="I206" s="29"/>
      <c r="J206" s="29">
        <f t="shared" si="108"/>
        <v>-21.04</v>
      </c>
      <c r="K206" s="29">
        <f t="shared" si="109"/>
        <v>-21.04</v>
      </c>
      <c r="L206" s="29">
        <f t="shared" si="110"/>
        <v>0</v>
      </c>
      <c r="M206" s="37">
        <f t="shared" si="111"/>
        <v>-0.4034</v>
      </c>
      <c r="N206" s="27">
        <v>74.82</v>
      </c>
      <c r="O206" s="27">
        <v>79.85</v>
      </c>
      <c r="P206" s="37">
        <f t="shared" si="112"/>
        <v>-0.063</v>
      </c>
      <c r="Q206" s="29">
        <f t="shared" si="113"/>
        <v>61.47</v>
      </c>
      <c r="R206" s="29">
        <f t="shared" si="114"/>
        <v>91.83</v>
      </c>
      <c r="S206" s="29">
        <f t="shared" si="115"/>
        <v>74.82</v>
      </c>
      <c r="T206" s="29">
        <v>3902.61</v>
      </c>
      <c r="U206" s="29">
        <v>2328.56</v>
      </c>
      <c r="V206" s="29">
        <f t="shared" si="119"/>
        <v>2328.4</v>
      </c>
      <c r="W206" s="29">
        <f t="shared" si="116"/>
        <v>-1574.05</v>
      </c>
      <c r="X206" s="29">
        <f t="shared" si="117"/>
        <v>-1574.21</v>
      </c>
      <c r="Y206" s="29">
        <f t="shared" si="118"/>
        <v>-0.16</v>
      </c>
      <c r="Z206" s="26"/>
      <c r="AA206" s="1"/>
      <c r="AB206" s="1"/>
      <c r="AC206" s="1"/>
      <c r="AD206" s="1"/>
      <c r="AE206" s="1"/>
      <c r="AF206" s="1"/>
      <c r="AG206" s="1"/>
      <c r="AH206" s="1"/>
      <c r="AI206" s="1"/>
    </row>
    <row r="207" ht="20" customHeight="1" spans="1:35">
      <c r="A207" s="26">
        <v>187</v>
      </c>
      <c r="B207" s="26" t="s">
        <v>563</v>
      </c>
      <c r="C207" s="26" t="s">
        <v>557</v>
      </c>
      <c r="D207" s="26" t="s">
        <v>564</v>
      </c>
      <c r="E207" s="26" t="s">
        <v>32</v>
      </c>
      <c r="F207" s="29">
        <v>64.8</v>
      </c>
      <c r="G207" s="29">
        <v>80.36</v>
      </c>
      <c r="H207" s="29">
        <f>64.44+12.09</f>
        <v>76.53</v>
      </c>
      <c r="I207" s="29"/>
      <c r="J207" s="29">
        <f t="shared" si="108"/>
        <v>15.56</v>
      </c>
      <c r="K207" s="29">
        <f t="shared" si="109"/>
        <v>11.73</v>
      </c>
      <c r="L207" s="29">
        <f t="shared" si="110"/>
        <v>-3.83</v>
      </c>
      <c r="M207" s="37">
        <f t="shared" si="111"/>
        <v>0.2401</v>
      </c>
      <c r="N207" s="27">
        <v>100.9</v>
      </c>
      <c r="O207" s="27">
        <v>108.33</v>
      </c>
      <c r="P207" s="37">
        <f t="shared" si="112"/>
        <v>-0.0686</v>
      </c>
      <c r="Q207" s="29">
        <f t="shared" si="113"/>
        <v>83.39</v>
      </c>
      <c r="R207" s="29">
        <f t="shared" si="114"/>
        <v>124.58</v>
      </c>
      <c r="S207" s="29">
        <f t="shared" si="115"/>
        <v>100.9</v>
      </c>
      <c r="T207" s="29">
        <v>6538.32</v>
      </c>
      <c r="U207" s="29">
        <v>8108.18</v>
      </c>
      <c r="V207" s="29">
        <f t="shared" si="119"/>
        <v>7721.88</v>
      </c>
      <c r="W207" s="29">
        <f t="shared" si="116"/>
        <v>1569.86</v>
      </c>
      <c r="X207" s="29">
        <f t="shared" si="117"/>
        <v>1183.56</v>
      </c>
      <c r="Y207" s="29">
        <f t="shared" si="118"/>
        <v>-386.3</v>
      </c>
      <c r="Z207" s="26"/>
      <c r="AA207" s="1"/>
      <c r="AB207" s="1"/>
      <c r="AC207" s="1"/>
      <c r="AD207" s="1"/>
      <c r="AE207" s="1"/>
      <c r="AF207" s="1"/>
      <c r="AG207" s="1"/>
      <c r="AH207" s="1"/>
      <c r="AI207" s="1"/>
    </row>
    <row r="208" ht="20" customHeight="1" spans="1:35">
      <c r="A208" s="26">
        <v>188</v>
      </c>
      <c r="B208" s="26" t="s">
        <v>565</v>
      </c>
      <c r="C208" s="26" t="s">
        <v>557</v>
      </c>
      <c r="D208" s="26" t="s">
        <v>566</v>
      </c>
      <c r="E208" s="26" t="s">
        <v>32</v>
      </c>
      <c r="F208" s="29">
        <v>18.42</v>
      </c>
      <c r="G208" s="29">
        <v>0</v>
      </c>
      <c r="H208" s="29">
        <v>0</v>
      </c>
      <c r="I208" s="29"/>
      <c r="J208" s="29">
        <f t="shared" si="108"/>
        <v>-18.42</v>
      </c>
      <c r="K208" s="29">
        <f t="shared" si="109"/>
        <v>-18.42</v>
      </c>
      <c r="L208" s="29">
        <f t="shared" si="110"/>
        <v>0</v>
      </c>
      <c r="M208" s="37">
        <f t="shared" si="111"/>
        <v>-1</v>
      </c>
      <c r="N208" s="27">
        <v>53.08</v>
      </c>
      <c r="O208" s="27">
        <v>57.93</v>
      </c>
      <c r="P208" s="37">
        <f t="shared" si="112"/>
        <v>-0.0837</v>
      </c>
      <c r="Q208" s="29">
        <f t="shared" si="113"/>
        <v>44.59</v>
      </c>
      <c r="R208" s="29">
        <f t="shared" si="114"/>
        <v>66.62</v>
      </c>
      <c r="S208" s="29">
        <f t="shared" si="115"/>
        <v>53.08</v>
      </c>
      <c r="T208" s="29">
        <v>977.8</v>
      </c>
      <c r="U208" s="29">
        <v>0</v>
      </c>
      <c r="V208" s="29">
        <v>0</v>
      </c>
      <c r="W208" s="29">
        <f t="shared" si="116"/>
        <v>-977.8</v>
      </c>
      <c r="X208" s="29">
        <f t="shared" si="117"/>
        <v>-977.8</v>
      </c>
      <c r="Y208" s="29">
        <f t="shared" si="118"/>
        <v>0</v>
      </c>
      <c r="Z208" s="26"/>
      <c r="AA208" s="1"/>
      <c r="AB208" s="1"/>
      <c r="AC208" s="1"/>
      <c r="AD208" s="1"/>
      <c r="AE208" s="1"/>
      <c r="AF208" s="1"/>
      <c r="AG208" s="1"/>
      <c r="AH208" s="1"/>
      <c r="AI208" s="1"/>
    </row>
    <row r="209" ht="20" customHeight="1" spans="1:35">
      <c r="A209" s="26">
        <v>189</v>
      </c>
      <c r="B209" s="26" t="s">
        <v>567</v>
      </c>
      <c r="C209" s="26" t="s">
        <v>557</v>
      </c>
      <c r="D209" s="26" t="s">
        <v>568</v>
      </c>
      <c r="E209" s="26" t="s">
        <v>32</v>
      </c>
      <c r="F209" s="29">
        <v>43.68</v>
      </c>
      <c r="G209" s="29">
        <v>0</v>
      </c>
      <c r="H209" s="29">
        <v>0</v>
      </c>
      <c r="I209" s="29"/>
      <c r="J209" s="29">
        <f t="shared" si="108"/>
        <v>-43.68</v>
      </c>
      <c r="K209" s="29">
        <f t="shared" si="109"/>
        <v>-43.68</v>
      </c>
      <c r="L209" s="29">
        <f t="shared" si="110"/>
        <v>0</v>
      </c>
      <c r="M209" s="37">
        <f t="shared" si="111"/>
        <v>-1</v>
      </c>
      <c r="N209" s="27">
        <v>57.18</v>
      </c>
      <c r="O209" s="27">
        <v>62.24</v>
      </c>
      <c r="P209" s="37">
        <f t="shared" si="112"/>
        <v>-0.0813</v>
      </c>
      <c r="Q209" s="29">
        <f t="shared" si="113"/>
        <v>47.91</v>
      </c>
      <c r="R209" s="29">
        <f t="shared" si="114"/>
        <v>71.58</v>
      </c>
      <c r="S209" s="29">
        <f t="shared" si="115"/>
        <v>57.18</v>
      </c>
      <c r="T209" s="29">
        <v>2497.62</v>
      </c>
      <c r="U209" s="29">
        <v>0</v>
      </c>
      <c r="V209" s="29">
        <f t="shared" ref="V209:V214" si="120">T209+S209*K209</f>
        <v>0</v>
      </c>
      <c r="W209" s="29">
        <f t="shared" si="116"/>
        <v>-2497.62</v>
      </c>
      <c r="X209" s="29">
        <f t="shared" si="117"/>
        <v>-2497.62</v>
      </c>
      <c r="Y209" s="29">
        <f t="shared" si="118"/>
        <v>0</v>
      </c>
      <c r="Z209" s="26"/>
      <c r="AA209" s="1"/>
      <c r="AB209" s="1"/>
      <c r="AC209" s="1"/>
      <c r="AD209" s="1"/>
      <c r="AE209" s="1"/>
      <c r="AF209" s="1"/>
      <c r="AG209" s="1"/>
      <c r="AH209" s="1"/>
      <c r="AI209" s="1"/>
    </row>
    <row r="210" ht="20" customHeight="1" spans="1:35">
      <c r="A210" s="26">
        <v>190</v>
      </c>
      <c r="B210" s="26" t="s">
        <v>569</v>
      </c>
      <c r="C210" s="26" t="s">
        <v>557</v>
      </c>
      <c r="D210" s="26" t="s">
        <v>570</v>
      </c>
      <c r="E210" s="26" t="s">
        <v>32</v>
      </c>
      <c r="F210" s="29">
        <v>72.8</v>
      </c>
      <c r="G210" s="29">
        <v>0</v>
      </c>
      <c r="H210" s="29">
        <f>404.76+18.83</f>
        <v>423.59</v>
      </c>
      <c r="I210" s="29"/>
      <c r="J210" s="29">
        <f t="shared" si="108"/>
        <v>-72.8</v>
      </c>
      <c r="K210" s="29">
        <f t="shared" si="109"/>
        <v>350.79</v>
      </c>
      <c r="L210" s="29">
        <f t="shared" si="110"/>
        <v>423.59</v>
      </c>
      <c r="M210" s="37">
        <f t="shared" si="111"/>
        <v>-1</v>
      </c>
      <c r="N210" s="27">
        <v>61.28</v>
      </c>
      <c r="O210" s="27">
        <v>66.56</v>
      </c>
      <c r="P210" s="37">
        <f t="shared" si="112"/>
        <v>-0.0793</v>
      </c>
      <c r="Q210" s="29">
        <f t="shared" si="113"/>
        <v>51.24</v>
      </c>
      <c r="R210" s="29">
        <f t="shared" si="114"/>
        <v>76.54</v>
      </c>
      <c r="S210" s="29">
        <f t="shared" si="115"/>
        <v>61.28</v>
      </c>
      <c r="T210" s="29">
        <v>4461.18</v>
      </c>
      <c r="U210" s="29">
        <v>0</v>
      </c>
      <c r="V210" s="29">
        <f t="shared" si="120"/>
        <v>25957.59</v>
      </c>
      <c r="W210" s="29">
        <f t="shared" si="116"/>
        <v>-4461.18</v>
      </c>
      <c r="X210" s="29">
        <f t="shared" si="117"/>
        <v>21496.41</v>
      </c>
      <c r="Y210" s="29">
        <f t="shared" si="118"/>
        <v>25957.59</v>
      </c>
      <c r="Z210" s="26" t="s">
        <v>571</v>
      </c>
      <c r="AA210" s="48" t="s">
        <v>572</v>
      </c>
      <c r="AB210" s="1"/>
      <c r="AC210" s="1"/>
      <c r="AD210" s="1"/>
      <c r="AE210" s="1"/>
      <c r="AF210" s="1"/>
      <c r="AG210" s="1"/>
      <c r="AH210" s="1"/>
      <c r="AI210" s="1"/>
    </row>
    <row r="211" ht="20" customHeight="1" spans="1:35">
      <c r="A211" s="26">
        <v>191</v>
      </c>
      <c r="B211" s="26" t="s">
        <v>573</v>
      </c>
      <c r="C211" s="26" t="s">
        <v>557</v>
      </c>
      <c r="D211" s="26" t="s">
        <v>574</v>
      </c>
      <c r="E211" s="26" t="s">
        <v>32</v>
      </c>
      <c r="F211" s="29">
        <v>23.36</v>
      </c>
      <c r="G211" s="29">
        <v>21.63</v>
      </c>
      <c r="H211" s="29">
        <v>21.63</v>
      </c>
      <c r="I211" s="29"/>
      <c r="J211" s="29">
        <f t="shared" si="108"/>
        <v>-1.73</v>
      </c>
      <c r="K211" s="29">
        <f t="shared" si="109"/>
        <v>-1.73</v>
      </c>
      <c r="L211" s="29">
        <f t="shared" si="110"/>
        <v>0</v>
      </c>
      <c r="M211" s="37">
        <f t="shared" si="111"/>
        <v>-0.0741</v>
      </c>
      <c r="N211" s="27">
        <v>58.27</v>
      </c>
      <c r="O211" s="27">
        <v>63.57</v>
      </c>
      <c r="P211" s="37">
        <f t="shared" si="112"/>
        <v>-0.0834</v>
      </c>
      <c r="Q211" s="29">
        <f t="shared" si="113"/>
        <v>48.93</v>
      </c>
      <c r="R211" s="29">
        <f t="shared" si="114"/>
        <v>73.11</v>
      </c>
      <c r="S211" s="29">
        <f t="shared" si="115"/>
        <v>58.27</v>
      </c>
      <c r="T211" s="29">
        <v>1360.94</v>
      </c>
      <c r="U211" s="29">
        <v>1260.31</v>
      </c>
      <c r="V211" s="29">
        <f t="shared" si="120"/>
        <v>1260.13</v>
      </c>
      <c r="W211" s="29">
        <f t="shared" si="116"/>
        <v>-100.63</v>
      </c>
      <c r="X211" s="29">
        <f t="shared" si="117"/>
        <v>-100.81</v>
      </c>
      <c r="Y211" s="29">
        <f t="shared" si="118"/>
        <v>-0.18</v>
      </c>
      <c r="Z211" s="26"/>
      <c r="AA211" s="1"/>
      <c r="AB211" s="1"/>
      <c r="AC211" s="1"/>
      <c r="AD211" s="1"/>
      <c r="AE211" s="1"/>
      <c r="AF211" s="1"/>
      <c r="AG211" s="1"/>
      <c r="AH211" s="1"/>
      <c r="AI211" s="1"/>
    </row>
    <row r="212" ht="20" customHeight="1" spans="1:35">
      <c r="A212" s="26">
        <v>192</v>
      </c>
      <c r="B212" s="26" t="s">
        <v>575</v>
      </c>
      <c r="C212" s="26" t="s">
        <v>557</v>
      </c>
      <c r="D212" s="26" t="s">
        <v>576</v>
      </c>
      <c r="E212" s="26" t="s">
        <v>32</v>
      </c>
      <c r="F212" s="29">
        <v>722.53</v>
      </c>
      <c r="G212" s="29">
        <v>224.97</v>
      </c>
      <c r="H212" s="29">
        <v>219.24</v>
      </c>
      <c r="I212" s="29"/>
      <c r="J212" s="29">
        <f t="shared" si="108"/>
        <v>-497.56</v>
      </c>
      <c r="K212" s="29">
        <f t="shared" si="109"/>
        <v>-503.29</v>
      </c>
      <c r="L212" s="29">
        <f t="shared" si="110"/>
        <v>-5.73</v>
      </c>
      <c r="M212" s="37">
        <f t="shared" si="111"/>
        <v>-0.6886</v>
      </c>
      <c r="N212" s="27">
        <v>62.37</v>
      </c>
      <c r="O212" s="27">
        <v>67.88</v>
      </c>
      <c r="P212" s="37">
        <f t="shared" si="112"/>
        <v>-0.0812</v>
      </c>
      <c r="Q212" s="29">
        <f t="shared" si="113"/>
        <v>52.25</v>
      </c>
      <c r="R212" s="29">
        <f t="shared" si="114"/>
        <v>78.06</v>
      </c>
      <c r="S212" s="29">
        <f t="shared" si="115"/>
        <v>62.37</v>
      </c>
      <c r="T212" s="29">
        <v>45064.47</v>
      </c>
      <c r="U212" s="29">
        <v>14031.23</v>
      </c>
      <c r="V212" s="29">
        <f t="shared" si="120"/>
        <v>13674.27</v>
      </c>
      <c r="W212" s="29">
        <f t="shared" si="116"/>
        <v>-31033.24</v>
      </c>
      <c r="X212" s="29">
        <f t="shared" si="117"/>
        <v>-31390.2</v>
      </c>
      <c r="Y212" s="29">
        <f t="shared" si="118"/>
        <v>-356.96</v>
      </c>
      <c r="Z212" s="26"/>
      <c r="AA212" s="1"/>
      <c r="AB212" s="1"/>
      <c r="AC212" s="1"/>
      <c r="AD212" s="1"/>
      <c r="AE212" s="1"/>
      <c r="AF212" s="1"/>
      <c r="AG212" s="1"/>
      <c r="AH212" s="1"/>
      <c r="AI212" s="1"/>
    </row>
    <row r="213" ht="20" customHeight="1" spans="1:35">
      <c r="A213" s="26">
        <v>193</v>
      </c>
      <c r="B213" s="26" t="s">
        <v>577</v>
      </c>
      <c r="C213" s="26" t="s">
        <v>557</v>
      </c>
      <c r="D213" s="26" t="s">
        <v>578</v>
      </c>
      <c r="E213" s="26" t="s">
        <v>32</v>
      </c>
      <c r="F213" s="29">
        <v>230.4</v>
      </c>
      <c r="G213" s="29">
        <v>868.28</v>
      </c>
      <c r="H213" s="29">
        <f>403.09</f>
        <v>403.09</v>
      </c>
      <c r="I213" s="29"/>
      <c r="J213" s="29">
        <f t="shared" si="108"/>
        <v>637.88</v>
      </c>
      <c r="K213" s="29">
        <f t="shared" si="109"/>
        <v>172.69</v>
      </c>
      <c r="L213" s="29">
        <f t="shared" si="110"/>
        <v>-465.19</v>
      </c>
      <c r="M213" s="37">
        <f t="shared" si="111"/>
        <v>2.7686</v>
      </c>
      <c r="N213" s="27">
        <v>102.3</v>
      </c>
      <c r="O213" s="27">
        <v>100.46</v>
      </c>
      <c r="P213" s="37">
        <f t="shared" si="112"/>
        <v>0.0183</v>
      </c>
      <c r="Q213" s="29">
        <f t="shared" si="113"/>
        <v>77.33</v>
      </c>
      <c r="R213" s="29">
        <f t="shared" si="114"/>
        <v>115.53</v>
      </c>
      <c r="S213" s="29">
        <f t="shared" si="115"/>
        <v>102.3</v>
      </c>
      <c r="T213" s="29">
        <v>23569.92</v>
      </c>
      <c r="U213" s="29">
        <v>88825.3</v>
      </c>
      <c r="V213" s="29">
        <f t="shared" si="120"/>
        <v>41236.11</v>
      </c>
      <c r="W213" s="29">
        <f t="shared" si="116"/>
        <v>65255.38</v>
      </c>
      <c r="X213" s="29">
        <f t="shared" si="117"/>
        <v>17666.19</v>
      </c>
      <c r="Y213" s="29">
        <f t="shared" si="118"/>
        <v>-47589.19</v>
      </c>
      <c r="Z213" s="26"/>
      <c r="AA213" s="1"/>
      <c r="AB213" s="1"/>
      <c r="AC213" s="1"/>
      <c r="AD213" s="1"/>
      <c r="AE213" s="1"/>
      <c r="AF213" s="1"/>
      <c r="AG213" s="1"/>
      <c r="AH213" s="1"/>
      <c r="AI213" s="1"/>
    </row>
    <row r="214" ht="20" customHeight="1" spans="1:35">
      <c r="A214" s="26">
        <v>194</v>
      </c>
      <c r="B214" s="26" t="s">
        <v>579</v>
      </c>
      <c r="C214" s="26" t="s">
        <v>557</v>
      </c>
      <c r="D214" s="26" t="s">
        <v>580</v>
      </c>
      <c r="E214" s="26" t="s">
        <v>32</v>
      </c>
      <c r="F214" s="29">
        <v>105.49</v>
      </c>
      <c r="G214" s="29">
        <v>0</v>
      </c>
      <c r="H214" s="29">
        <v>0</v>
      </c>
      <c r="I214" s="29"/>
      <c r="J214" s="29">
        <f t="shared" si="108"/>
        <v>-105.49</v>
      </c>
      <c r="K214" s="29">
        <f t="shared" si="109"/>
        <v>-105.49</v>
      </c>
      <c r="L214" s="29">
        <f t="shared" si="110"/>
        <v>0</v>
      </c>
      <c r="M214" s="37">
        <f t="shared" si="111"/>
        <v>-1</v>
      </c>
      <c r="N214" s="27">
        <v>106.73</v>
      </c>
      <c r="O214" s="27">
        <v>109.38</v>
      </c>
      <c r="P214" s="37">
        <f t="shared" si="112"/>
        <v>-0.0242</v>
      </c>
      <c r="Q214" s="29">
        <f t="shared" si="113"/>
        <v>84.2</v>
      </c>
      <c r="R214" s="29">
        <f t="shared" si="114"/>
        <v>125.79</v>
      </c>
      <c r="S214" s="29">
        <f t="shared" si="115"/>
        <v>106.73</v>
      </c>
      <c r="T214" s="29">
        <v>11258.74</v>
      </c>
      <c r="U214" s="29">
        <v>0</v>
      </c>
      <c r="V214" s="29">
        <f t="shared" si="120"/>
        <v>-0.21</v>
      </c>
      <c r="W214" s="29">
        <f t="shared" si="116"/>
        <v>-11258.74</v>
      </c>
      <c r="X214" s="29">
        <f t="shared" si="117"/>
        <v>-11258.95</v>
      </c>
      <c r="Y214" s="29">
        <f t="shared" si="118"/>
        <v>-0.21</v>
      </c>
      <c r="Z214" s="26"/>
      <c r="AA214" s="1"/>
      <c r="AB214" s="1"/>
      <c r="AC214" s="1"/>
      <c r="AD214" s="1"/>
      <c r="AE214" s="1"/>
      <c r="AF214" s="1"/>
      <c r="AG214" s="1"/>
      <c r="AH214" s="1"/>
      <c r="AI214" s="1"/>
    </row>
    <row r="215" ht="20" customHeight="1" spans="1:35">
      <c r="A215" s="26">
        <v>195</v>
      </c>
      <c r="B215" s="26" t="s">
        <v>581</v>
      </c>
      <c r="C215" s="26" t="s">
        <v>557</v>
      </c>
      <c r="D215" s="26" t="s">
        <v>582</v>
      </c>
      <c r="E215" s="26" t="s">
        <v>32</v>
      </c>
      <c r="F215" s="29">
        <v>119.71</v>
      </c>
      <c r="G215" s="29">
        <v>0</v>
      </c>
      <c r="H215" s="29">
        <v>0</v>
      </c>
      <c r="I215" s="29"/>
      <c r="J215" s="29">
        <f t="shared" si="108"/>
        <v>-119.71</v>
      </c>
      <c r="K215" s="29">
        <f t="shared" si="109"/>
        <v>-119.71</v>
      </c>
      <c r="L215" s="29">
        <f t="shared" si="110"/>
        <v>0</v>
      </c>
      <c r="M215" s="37">
        <f t="shared" si="111"/>
        <v>-1</v>
      </c>
      <c r="N215" s="27">
        <v>111.16</v>
      </c>
      <c r="O215" s="27">
        <v>113.85</v>
      </c>
      <c r="P215" s="37">
        <f t="shared" si="112"/>
        <v>-0.0236</v>
      </c>
      <c r="Q215" s="29">
        <f t="shared" si="113"/>
        <v>87.64</v>
      </c>
      <c r="R215" s="29">
        <f t="shared" si="114"/>
        <v>130.93</v>
      </c>
      <c r="S215" s="29">
        <f t="shared" si="115"/>
        <v>111.16</v>
      </c>
      <c r="T215" s="29">
        <v>13307.02</v>
      </c>
      <c r="U215" s="29">
        <v>0</v>
      </c>
      <c r="V215" s="29">
        <v>0</v>
      </c>
      <c r="W215" s="29">
        <f t="shared" si="116"/>
        <v>-13307.02</v>
      </c>
      <c r="X215" s="29">
        <f t="shared" si="117"/>
        <v>-13307.02</v>
      </c>
      <c r="Y215" s="29">
        <f t="shared" si="118"/>
        <v>0</v>
      </c>
      <c r="Z215" s="26"/>
      <c r="AA215" s="1"/>
      <c r="AB215" s="1"/>
      <c r="AC215" s="1"/>
      <c r="AD215" s="1"/>
      <c r="AE215" s="1"/>
      <c r="AF215" s="1"/>
      <c r="AG215" s="1"/>
      <c r="AH215" s="1"/>
      <c r="AI215" s="1"/>
    </row>
    <row r="216" ht="20" customHeight="1" spans="1:35">
      <c r="A216" s="26">
        <v>196</v>
      </c>
      <c r="B216" s="26" t="s">
        <v>583</v>
      </c>
      <c r="C216" s="26" t="s">
        <v>112</v>
      </c>
      <c r="D216" s="26" t="s">
        <v>584</v>
      </c>
      <c r="E216" s="26" t="s">
        <v>32</v>
      </c>
      <c r="F216" s="29">
        <v>106.68</v>
      </c>
      <c r="G216" s="29">
        <v>323.15</v>
      </c>
      <c r="H216" s="29">
        <v>323.15</v>
      </c>
      <c r="I216" s="29"/>
      <c r="J216" s="29">
        <f t="shared" si="108"/>
        <v>216.47</v>
      </c>
      <c r="K216" s="29">
        <f t="shared" si="109"/>
        <v>216.47</v>
      </c>
      <c r="L216" s="29">
        <f t="shared" si="110"/>
        <v>0</v>
      </c>
      <c r="M216" s="37">
        <f t="shared" si="111"/>
        <v>2.0292</v>
      </c>
      <c r="N216" s="27">
        <v>66.62</v>
      </c>
      <c r="O216" s="27">
        <v>78.81</v>
      </c>
      <c r="P216" s="37">
        <f t="shared" si="112"/>
        <v>-0.1547</v>
      </c>
      <c r="Q216" s="29">
        <f t="shared" si="113"/>
        <v>60.66</v>
      </c>
      <c r="R216" s="29">
        <f t="shared" si="114"/>
        <v>90.63</v>
      </c>
      <c r="S216" s="29">
        <f t="shared" si="115"/>
        <v>66.62</v>
      </c>
      <c r="T216" s="29">
        <v>7107.3</v>
      </c>
      <c r="U216" s="29">
        <v>21528.25</v>
      </c>
      <c r="V216" s="29">
        <v>21528.25</v>
      </c>
      <c r="W216" s="29">
        <f t="shared" si="116"/>
        <v>14420.95</v>
      </c>
      <c r="X216" s="29">
        <f t="shared" si="117"/>
        <v>14420.95</v>
      </c>
      <c r="Y216" s="29">
        <f t="shared" si="118"/>
        <v>0</v>
      </c>
      <c r="Z216" s="26"/>
      <c r="AA216" s="42"/>
      <c r="AB216" s="1"/>
      <c r="AC216" s="1"/>
      <c r="AD216" s="1"/>
      <c r="AE216" s="1"/>
      <c r="AF216" s="1"/>
      <c r="AG216" s="1"/>
      <c r="AH216" s="1"/>
      <c r="AI216" s="1"/>
    </row>
    <row r="217" ht="20" customHeight="1" spans="1:35">
      <c r="A217" s="26">
        <v>197</v>
      </c>
      <c r="B217" s="26" t="s">
        <v>585</v>
      </c>
      <c r="C217" s="26" t="s">
        <v>112</v>
      </c>
      <c r="D217" s="26" t="s">
        <v>586</v>
      </c>
      <c r="E217" s="26" t="s">
        <v>32</v>
      </c>
      <c r="F217" s="29">
        <v>708.62</v>
      </c>
      <c r="G217" s="29">
        <v>560.48</v>
      </c>
      <c r="H217" s="29">
        <v>560.48</v>
      </c>
      <c r="I217" s="29"/>
      <c r="J217" s="29">
        <f t="shared" si="108"/>
        <v>-148.14</v>
      </c>
      <c r="K217" s="29">
        <f t="shared" si="109"/>
        <v>-148.14</v>
      </c>
      <c r="L217" s="29">
        <f t="shared" si="110"/>
        <v>0</v>
      </c>
      <c r="M217" s="37">
        <f t="shared" si="111"/>
        <v>-0.2091</v>
      </c>
      <c r="N217" s="27">
        <v>70.72</v>
      </c>
      <c r="O217" s="27">
        <v>83.12</v>
      </c>
      <c r="P217" s="37">
        <f t="shared" si="112"/>
        <v>-0.1492</v>
      </c>
      <c r="Q217" s="29">
        <f t="shared" si="113"/>
        <v>63.98</v>
      </c>
      <c r="R217" s="29">
        <f t="shared" si="114"/>
        <v>95.59</v>
      </c>
      <c r="S217" s="29">
        <f t="shared" si="115"/>
        <v>70.72</v>
      </c>
      <c r="T217" s="29">
        <v>50113.95</v>
      </c>
      <c r="U217" s="29">
        <v>39637.36</v>
      </c>
      <c r="V217" s="29">
        <v>39637.36</v>
      </c>
      <c r="W217" s="29">
        <f t="shared" si="116"/>
        <v>-10476.59</v>
      </c>
      <c r="X217" s="29">
        <f t="shared" si="117"/>
        <v>-10476.59</v>
      </c>
      <c r="Y217" s="29">
        <f t="shared" si="118"/>
        <v>0</v>
      </c>
      <c r="Z217" s="26"/>
      <c r="AA217" s="42"/>
      <c r="AB217" s="1"/>
      <c r="AC217" s="1"/>
      <c r="AD217" s="1"/>
      <c r="AE217" s="1"/>
      <c r="AF217" s="1"/>
      <c r="AG217" s="1"/>
      <c r="AH217" s="1"/>
      <c r="AI217" s="1"/>
    </row>
    <row r="218" s="7" customFormat="1" ht="20" customHeight="1" spans="1:35">
      <c r="A218" s="26">
        <v>198</v>
      </c>
      <c r="B218" s="26" t="s">
        <v>587</v>
      </c>
      <c r="C218" s="26" t="s">
        <v>588</v>
      </c>
      <c r="D218" s="26" t="s">
        <v>589</v>
      </c>
      <c r="E218" s="26" t="s">
        <v>32</v>
      </c>
      <c r="F218" s="29">
        <v>120.09</v>
      </c>
      <c r="G218" s="29">
        <v>11.16</v>
      </c>
      <c r="H218" s="29">
        <v>11.16</v>
      </c>
      <c r="I218" s="29"/>
      <c r="J218" s="29">
        <f t="shared" si="108"/>
        <v>-108.93</v>
      </c>
      <c r="K218" s="29">
        <f t="shared" si="109"/>
        <v>-108.93</v>
      </c>
      <c r="L218" s="29">
        <f t="shared" si="110"/>
        <v>0</v>
      </c>
      <c r="M218" s="37">
        <f t="shared" si="111"/>
        <v>-0.9071</v>
      </c>
      <c r="N218" s="27">
        <v>78.64</v>
      </c>
      <c r="O218" s="27">
        <v>128.71</v>
      </c>
      <c r="P218" s="37">
        <f t="shared" si="112"/>
        <v>-0.389</v>
      </c>
      <c r="Q218" s="29">
        <f t="shared" si="113"/>
        <v>99.08</v>
      </c>
      <c r="R218" s="29">
        <f t="shared" si="114"/>
        <v>148.02</v>
      </c>
      <c r="S218" s="29">
        <f t="shared" si="115"/>
        <v>99.08</v>
      </c>
      <c r="T218" s="29">
        <v>9443.85</v>
      </c>
      <c r="U218" s="29">
        <v>-1348.18</v>
      </c>
      <c r="V218" s="29">
        <f>T218+S218*K218</f>
        <v>-1348.93</v>
      </c>
      <c r="W218" s="29">
        <f t="shared" si="116"/>
        <v>-10792.03</v>
      </c>
      <c r="X218" s="29">
        <f t="shared" si="117"/>
        <v>-10792.78</v>
      </c>
      <c r="Y218" s="29">
        <f t="shared" si="118"/>
        <v>-0.75</v>
      </c>
      <c r="Z218" s="26"/>
      <c r="AA218" s="1"/>
      <c r="AB218" s="1"/>
      <c r="AC218" s="1"/>
      <c r="AD218" s="1"/>
      <c r="AE218" s="1"/>
      <c r="AF218" s="1"/>
      <c r="AG218" s="1"/>
      <c r="AH218" s="1"/>
      <c r="AI218" s="1"/>
    </row>
    <row r="219" s="7" customFormat="1" ht="20" customHeight="1" spans="1:35">
      <c r="A219" s="26">
        <v>199</v>
      </c>
      <c r="B219" s="26" t="s">
        <v>590</v>
      </c>
      <c r="C219" s="26" t="s">
        <v>588</v>
      </c>
      <c r="D219" s="26" t="s">
        <v>591</v>
      </c>
      <c r="E219" s="26" t="s">
        <v>32</v>
      </c>
      <c r="F219" s="29">
        <v>13.17</v>
      </c>
      <c r="G219" s="29">
        <v>89.83</v>
      </c>
      <c r="H219" s="29">
        <f>86.48</f>
        <v>86.48</v>
      </c>
      <c r="I219" s="29"/>
      <c r="J219" s="29">
        <f t="shared" si="108"/>
        <v>76.66</v>
      </c>
      <c r="K219" s="29">
        <f t="shared" si="109"/>
        <v>73.31</v>
      </c>
      <c r="L219" s="29">
        <f t="shared" si="110"/>
        <v>-3.35</v>
      </c>
      <c r="M219" s="37">
        <f t="shared" si="111"/>
        <v>5.8208</v>
      </c>
      <c r="N219" s="27">
        <v>82.74</v>
      </c>
      <c r="O219" s="27">
        <v>133.03</v>
      </c>
      <c r="P219" s="37">
        <f t="shared" si="112"/>
        <v>-0.378</v>
      </c>
      <c r="Q219" s="29">
        <f t="shared" si="113"/>
        <v>102.4</v>
      </c>
      <c r="R219" s="29">
        <f t="shared" si="114"/>
        <v>152.98</v>
      </c>
      <c r="S219" s="29">
        <f t="shared" si="115"/>
        <v>102.4</v>
      </c>
      <c r="T219" s="29">
        <v>1089.55</v>
      </c>
      <c r="U219" s="29">
        <v>8939.73</v>
      </c>
      <c r="V219" s="29">
        <f>T219+S219*K219</f>
        <v>8596.49</v>
      </c>
      <c r="W219" s="29">
        <f t="shared" si="116"/>
        <v>7850.18</v>
      </c>
      <c r="X219" s="29">
        <f t="shared" si="117"/>
        <v>7506.94</v>
      </c>
      <c r="Y219" s="29">
        <f t="shared" si="118"/>
        <v>-343.24</v>
      </c>
      <c r="Z219" s="26"/>
      <c r="AA219" s="1"/>
      <c r="AB219" s="1"/>
      <c r="AC219" s="1"/>
      <c r="AD219" s="1"/>
      <c r="AE219" s="1"/>
      <c r="AF219" s="1"/>
      <c r="AG219" s="1"/>
      <c r="AH219" s="1"/>
      <c r="AI219" s="1"/>
    </row>
    <row r="220" ht="20" customHeight="1" spans="1:35">
      <c r="A220" s="26">
        <v>200</v>
      </c>
      <c r="B220" s="26" t="s">
        <v>592</v>
      </c>
      <c r="C220" s="26" t="s">
        <v>588</v>
      </c>
      <c r="D220" s="26" t="s">
        <v>593</v>
      </c>
      <c r="E220" s="26" t="s">
        <v>32</v>
      </c>
      <c r="F220" s="29">
        <v>24.96</v>
      </c>
      <c r="G220" s="29">
        <v>0</v>
      </c>
      <c r="H220" s="29">
        <v>0</v>
      </c>
      <c r="I220" s="29"/>
      <c r="J220" s="29">
        <f t="shared" si="108"/>
        <v>-24.96</v>
      </c>
      <c r="K220" s="29">
        <f t="shared" si="109"/>
        <v>-24.96</v>
      </c>
      <c r="L220" s="29">
        <f t="shared" si="110"/>
        <v>0</v>
      </c>
      <c r="M220" s="37">
        <f t="shared" si="111"/>
        <v>-1</v>
      </c>
      <c r="N220" s="27">
        <v>131.77</v>
      </c>
      <c r="O220" s="27">
        <v>172.21</v>
      </c>
      <c r="P220" s="37">
        <f t="shared" si="112"/>
        <v>-0.2348</v>
      </c>
      <c r="Q220" s="29">
        <f t="shared" si="113"/>
        <v>132.56</v>
      </c>
      <c r="R220" s="29">
        <f t="shared" si="114"/>
        <v>198.04</v>
      </c>
      <c r="S220" s="29">
        <f t="shared" si="115"/>
        <v>132.56</v>
      </c>
      <c r="T220" s="29">
        <v>3288.56</v>
      </c>
      <c r="U220" s="29">
        <v>-19.73</v>
      </c>
      <c r="V220" s="29">
        <f>T220+S220*K220</f>
        <v>-20.14</v>
      </c>
      <c r="W220" s="29">
        <f t="shared" si="116"/>
        <v>-3308.29</v>
      </c>
      <c r="X220" s="29">
        <f t="shared" si="117"/>
        <v>-3308.7</v>
      </c>
      <c r="Y220" s="29">
        <f t="shared" si="118"/>
        <v>-0.41</v>
      </c>
      <c r="Z220" s="26"/>
      <c r="AA220" s="1"/>
      <c r="AB220" s="1"/>
      <c r="AC220" s="1"/>
      <c r="AD220" s="1"/>
      <c r="AE220" s="1"/>
      <c r="AF220" s="1"/>
      <c r="AG220" s="1"/>
      <c r="AH220" s="1"/>
      <c r="AI220" s="1"/>
    </row>
    <row r="221" ht="20" customHeight="1" spans="1:35">
      <c r="A221" s="26">
        <v>201</v>
      </c>
      <c r="B221" s="26" t="s">
        <v>594</v>
      </c>
      <c r="C221" s="26" t="s">
        <v>588</v>
      </c>
      <c r="D221" s="26" t="s">
        <v>595</v>
      </c>
      <c r="E221" s="26" t="s">
        <v>32</v>
      </c>
      <c r="F221" s="29">
        <v>49.91</v>
      </c>
      <c r="G221" s="29">
        <v>0</v>
      </c>
      <c r="H221" s="29">
        <v>0</v>
      </c>
      <c r="I221" s="29"/>
      <c r="J221" s="29">
        <f t="shared" si="108"/>
        <v>-49.91</v>
      </c>
      <c r="K221" s="29">
        <f t="shared" si="109"/>
        <v>-49.91</v>
      </c>
      <c r="L221" s="29">
        <f t="shared" si="110"/>
        <v>0</v>
      </c>
      <c r="M221" s="37">
        <f t="shared" si="111"/>
        <v>-1</v>
      </c>
      <c r="N221" s="27">
        <v>136.2</v>
      </c>
      <c r="O221" s="27">
        <v>176.67</v>
      </c>
      <c r="P221" s="37">
        <f t="shared" si="112"/>
        <v>-0.2291</v>
      </c>
      <c r="Q221" s="29">
        <f t="shared" si="113"/>
        <v>135.99</v>
      </c>
      <c r="R221" s="29">
        <f t="shared" si="114"/>
        <v>203.17</v>
      </c>
      <c r="S221" s="29">
        <f t="shared" si="115"/>
        <v>136.2</v>
      </c>
      <c r="T221" s="29">
        <v>6798.23</v>
      </c>
      <c r="U221" s="29">
        <v>0</v>
      </c>
      <c r="V221" s="29">
        <v>0</v>
      </c>
      <c r="W221" s="29">
        <f t="shared" si="116"/>
        <v>-6798.23</v>
      </c>
      <c r="X221" s="29">
        <f t="shared" si="117"/>
        <v>-6798.23</v>
      </c>
      <c r="Y221" s="29">
        <f t="shared" si="118"/>
        <v>0</v>
      </c>
      <c r="Z221" s="26"/>
      <c r="AA221" s="1"/>
      <c r="AB221" s="1"/>
      <c r="AC221" s="1"/>
      <c r="AD221" s="1"/>
      <c r="AE221" s="1"/>
      <c r="AF221" s="1"/>
      <c r="AG221" s="1"/>
      <c r="AH221" s="1"/>
      <c r="AI221" s="1"/>
    </row>
    <row r="222" ht="20" customHeight="1" spans="1:35">
      <c r="A222" s="26">
        <v>202</v>
      </c>
      <c r="B222" s="26" t="s">
        <v>596</v>
      </c>
      <c r="C222" s="26" t="s">
        <v>588</v>
      </c>
      <c r="D222" s="26" t="s">
        <v>597</v>
      </c>
      <c r="E222" s="26" t="s">
        <v>32</v>
      </c>
      <c r="F222" s="29">
        <v>49.91</v>
      </c>
      <c r="G222" s="29">
        <v>11.53</v>
      </c>
      <c r="H222" s="29">
        <f>10.98+39.67</f>
        <v>50.65</v>
      </c>
      <c r="I222" s="29"/>
      <c r="J222" s="29">
        <f t="shared" si="108"/>
        <v>-38.38</v>
      </c>
      <c r="K222" s="29">
        <f t="shared" si="109"/>
        <v>0.74</v>
      </c>
      <c r="L222" s="29">
        <f t="shared" si="110"/>
        <v>39.12</v>
      </c>
      <c r="M222" s="37">
        <f t="shared" si="111"/>
        <v>-0.769</v>
      </c>
      <c r="N222" s="27">
        <v>140.63</v>
      </c>
      <c r="O222" s="27">
        <v>90.57</v>
      </c>
      <c r="P222" s="37">
        <f t="shared" si="112"/>
        <v>0.5527</v>
      </c>
      <c r="Q222" s="29">
        <f t="shared" si="113"/>
        <v>69.72</v>
      </c>
      <c r="R222" s="29">
        <f t="shared" si="114"/>
        <v>104.16</v>
      </c>
      <c r="S222" s="29">
        <f t="shared" si="115"/>
        <v>104.16</v>
      </c>
      <c r="T222" s="29">
        <v>7019.35</v>
      </c>
      <c r="U222" s="29">
        <v>3021.68</v>
      </c>
      <c r="V222" s="29">
        <f>T222+S222*K222</f>
        <v>7096.43</v>
      </c>
      <c r="W222" s="29">
        <f t="shared" si="116"/>
        <v>-3997.67</v>
      </c>
      <c r="X222" s="29">
        <f t="shared" si="117"/>
        <v>77.08</v>
      </c>
      <c r="Y222" s="29">
        <f t="shared" si="118"/>
        <v>4074.75</v>
      </c>
      <c r="Z222" s="26" t="s">
        <v>598</v>
      </c>
      <c r="AA222" s="48" t="s">
        <v>599</v>
      </c>
      <c r="AB222" s="1"/>
      <c r="AC222" s="1"/>
      <c r="AD222" s="1"/>
      <c r="AE222" s="1"/>
      <c r="AF222" s="1"/>
      <c r="AG222" s="1"/>
      <c r="AH222" s="1"/>
      <c r="AI222" s="1"/>
    </row>
    <row r="223" ht="20" customHeight="1" spans="1:35">
      <c r="A223" s="26">
        <v>203</v>
      </c>
      <c r="B223" s="26" t="s">
        <v>600</v>
      </c>
      <c r="C223" s="26" t="s">
        <v>588</v>
      </c>
      <c r="D223" s="26" t="s">
        <v>601</v>
      </c>
      <c r="E223" s="26" t="s">
        <v>32</v>
      </c>
      <c r="F223" s="29">
        <v>325.5</v>
      </c>
      <c r="G223" s="29">
        <v>490.53</v>
      </c>
      <c r="H223" s="29">
        <v>429.35</v>
      </c>
      <c r="I223" s="29"/>
      <c r="J223" s="29">
        <f t="shared" si="108"/>
        <v>165.03</v>
      </c>
      <c r="K223" s="29">
        <f t="shared" si="109"/>
        <v>103.85</v>
      </c>
      <c r="L223" s="29">
        <f t="shared" si="110"/>
        <v>-61.18</v>
      </c>
      <c r="M223" s="37">
        <f t="shared" si="111"/>
        <v>0.507</v>
      </c>
      <c r="N223" s="27">
        <v>149.49</v>
      </c>
      <c r="O223" s="27">
        <v>190.06</v>
      </c>
      <c r="P223" s="37">
        <f t="shared" si="112"/>
        <v>-0.2135</v>
      </c>
      <c r="Q223" s="29">
        <f t="shared" si="113"/>
        <v>146.3</v>
      </c>
      <c r="R223" s="29">
        <f t="shared" si="114"/>
        <v>218.57</v>
      </c>
      <c r="S223" s="29">
        <f t="shared" si="115"/>
        <v>149.49</v>
      </c>
      <c r="T223" s="29">
        <v>48659.67</v>
      </c>
      <c r="U223" s="29">
        <v>73329.81</v>
      </c>
      <c r="V223" s="29">
        <f>T223+S223*K223</f>
        <v>64184.21</v>
      </c>
      <c r="W223" s="29">
        <f t="shared" si="116"/>
        <v>24670.14</v>
      </c>
      <c r="X223" s="29">
        <f t="shared" si="117"/>
        <v>15524.54</v>
      </c>
      <c r="Y223" s="29">
        <f t="shared" si="118"/>
        <v>-9145.6</v>
      </c>
      <c r="Z223" s="26"/>
      <c r="AA223" s="1"/>
      <c r="AB223" s="1"/>
      <c r="AC223" s="1"/>
      <c r="AD223" s="1"/>
      <c r="AE223" s="1"/>
      <c r="AF223" s="1"/>
      <c r="AG223" s="1"/>
      <c r="AH223" s="1"/>
      <c r="AI223" s="1"/>
    </row>
    <row r="224" ht="20" customHeight="1" spans="1:35">
      <c r="A224" s="26">
        <v>204</v>
      </c>
      <c r="B224" s="26" t="s">
        <v>602</v>
      </c>
      <c r="C224" s="26" t="s">
        <v>120</v>
      </c>
      <c r="D224" s="26" t="s">
        <v>603</v>
      </c>
      <c r="E224" s="26" t="s">
        <v>32</v>
      </c>
      <c r="F224" s="29">
        <v>271.46</v>
      </c>
      <c r="G224" s="29">
        <v>302.14</v>
      </c>
      <c r="H224" s="29">
        <f>288.35</f>
        <v>288.35</v>
      </c>
      <c r="I224" s="29"/>
      <c r="J224" s="29">
        <f t="shared" si="108"/>
        <v>30.68</v>
      </c>
      <c r="K224" s="29">
        <f t="shared" si="109"/>
        <v>16.89</v>
      </c>
      <c r="L224" s="29">
        <f t="shared" si="110"/>
        <v>-13.79</v>
      </c>
      <c r="M224" s="37">
        <f t="shared" si="111"/>
        <v>0.113</v>
      </c>
      <c r="N224" s="27">
        <v>43.27</v>
      </c>
      <c r="O224" s="27">
        <v>45.5</v>
      </c>
      <c r="P224" s="37">
        <f t="shared" si="112"/>
        <v>-0.049</v>
      </c>
      <c r="Q224" s="29">
        <f t="shared" si="113"/>
        <v>35.02</v>
      </c>
      <c r="R224" s="29">
        <f t="shared" si="114"/>
        <v>52.33</v>
      </c>
      <c r="S224" s="29">
        <f t="shared" si="115"/>
        <v>43.27</v>
      </c>
      <c r="T224" s="29">
        <v>11746.07</v>
      </c>
      <c r="U224" s="29">
        <v>13073.56</v>
      </c>
      <c r="V224" s="29">
        <f>T224+S224*K224</f>
        <v>12476.9</v>
      </c>
      <c r="W224" s="29">
        <f t="shared" si="116"/>
        <v>1327.49</v>
      </c>
      <c r="X224" s="29">
        <f t="shared" si="117"/>
        <v>730.83</v>
      </c>
      <c r="Y224" s="29">
        <f t="shared" si="118"/>
        <v>-596.66</v>
      </c>
      <c r="Z224" s="26"/>
      <c r="AA224" s="1"/>
      <c r="AB224" s="1"/>
      <c r="AC224" s="1"/>
      <c r="AD224" s="1"/>
      <c r="AE224" s="1"/>
      <c r="AF224" s="1"/>
      <c r="AG224" s="1"/>
      <c r="AH224" s="1"/>
      <c r="AI224" s="1"/>
    </row>
    <row r="225" ht="20" customHeight="1" spans="1:35">
      <c r="A225" s="26">
        <v>205</v>
      </c>
      <c r="B225" s="26" t="s">
        <v>604</v>
      </c>
      <c r="C225" s="26" t="s">
        <v>120</v>
      </c>
      <c r="D225" s="26" t="s">
        <v>605</v>
      </c>
      <c r="E225" s="26" t="s">
        <v>32</v>
      </c>
      <c r="F225" s="29">
        <v>36.56</v>
      </c>
      <c r="G225" s="29">
        <v>192.98</v>
      </c>
      <c r="H225" s="29">
        <v>183.12</v>
      </c>
      <c r="I225" s="29"/>
      <c r="J225" s="29">
        <f t="shared" si="108"/>
        <v>156.42</v>
      </c>
      <c r="K225" s="29">
        <f t="shared" si="109"/>
        <v>146.56</v>
      </c>
      <c r="L225" s="29">
        <f t="shared" si="110"/>
        <v>-9.86</v>
      </c>
      <c r="M225" s="37">
        <f t="shared" si="111"/>
        <v>4.2784</v>
      </c>
      <c r="N225" s="27">
        <v>45.51</v>
      </c>
      <c r="O225" s="27">
        <v>45.5</v>
      </c>
      <c r="P225" s="37">
        <f t="shared" si="112"/>
        <v>0.0002</v>
      </c>
      <c r="Q225" s="29">
        <f t="shared" si="113"/>
        <v>35.02</v>
      </c>
      <c r="R225" s="29">
        <f t="shared" si="114"/>
        <v>52.33</v>
      </c>
      <c r="S225" s="29">
        <f t="shared" si="115"/>
        <v>45.51</v>
      </c>
      <c r="T225" s="29">
        <v>1663.78</v>
      </c>
      <c r="U225" s="29">
        <v>8782.64</v>
      </c>
      <c r="V225" s="29">
        <f>T225+S225*K225</f>
        <v>8333.73</v>
      </c>
      <c r="W225" s="29">
        <f t="shared" si="116"/>
        <v>7118.86</v>
      </c>
      <c r="X225" s="29">
        <f t="shared" si="117"/>
        <v>6669.95</v>
      </c>
      <c r="Y225" s="29">
        <f t="shared" si="118"/>
        <v>-448.91</v>
      </c>
      <c r="Z225" s="26"/>
      <c r="AA225" s="1"/>
      <c r="AB225" s="1"/>
      <c r="AC225" s="1"/>
      <c r="AD225" s="1"/>
      <c r="AE225" s="1"/>
      <c r="AF225" s="1"/>
      <c r="AG225" s="1"/>
      <c r="AH225" s="1"/>
      <c r="AI225" s="1"/>
    </row>
    <row r="226" ht="20" customHeight="1" spans="1:35">
      <c r="A226" s="26">
        <v>206</v>
      </c>
      <c r="B226" s="26" t="s">
        <v>606</v>
      </c>
      <c r="C226" s="26" t="s">
        <v>120</v>
      </c>
      <c r="D226" s="26" t="s">
        <v>607</v>
      </c>
      <c r="E226" s="26" t="s">
        <v>32</v>
      </c>
      <c r="F226" s="29">
        <v>6.26</v>
      </c>
      <c r="G226" s="29">
        <v>0</v>
      </c>
      <c r="H226" s="29">
        <v>0</v>
      </c>
      <c r="I226" s="29"/>
      <c r="J226" s="29">
        <f t="shared" si="108"/>
        <v>-6.26</v>
      </c>
      <c r="K226" s="29">
        <f t="shared" si="109"/>
        <v>-6.26</v>
      </c>
      <c r="L226" s="29">
        <f t="shared" si="110"/>
        <v>0</v>
      </c>
      <c r="M226" s="37">
        <f t="shared" si="111"/>
        <v>-1</v>
      </c>
      <c r="N226" s="27">
        <v>52.24</v>
      </c>
      <c r="O226" s="27">
        <v>45.5</v>
      </c>
      <c r="P226" s="37">
        <f t="shared" si="112"/>
        <v>0.1481</v>
      </c>
      <c r="Q226" s="29">
        <f t="shared" si="113"/>
        <v>35.02</v>
      </c>
      <c r="R226" s="29">
        <f t="shared" si="114"/>
        <v>52.33</v>
      </c>
      <c r="S226" s="29">
        <f t="shared" si="115"/>
        <v>52.24</v>
      </c>
      <c r="T226" s="29">
        <v>327.13</v>
      </c>
      <c r="U226" s="29">
        <v>0</v>
      </c>
      <c r="V226" s="29">
        <v>0</v>
      </c>
      <c r="W226" s="29">
        <f t="shared" si="116"/>
        <v>-327.13</v>
      </c>
      <c r="X226" s="29">
        <f t="shared" si="117"/>
        <v>-327.13</v>
      </c>
      <c r="Y226" s="29">
        <f t="shared" si="118"/>
        <v>0</v>
      </c>
      <c r="Z226" s="26"/>
      <c r="AA226" s="1"/>
      <c r="AB226" s="1"/>
      <c r="AC226" s="1"/>
      <c r="AD226" s="1"/>
      <c r="AE226" s="1"/>
      <c r="AF226" s="1"/>
      <c r="AG226" s="1"/>
      <c r="AH226" s="1"/>
      <c r="AI226" s="1"/>
    </row>
    <row r="227" ht="20" customHeight="1" spans="1:35">
      <c r="A227" s="26">
        <v>207</v>
      </c>
      <c r="B227" s="26" t="s">
        <v>608</v>
      </c>
      <c r="C227" s="26" t="s">
        <v>120</v>
      </c>
      <c r="D227" s="26" t="s">
        <v>609</v>
      </c>
      <c r="E227" s="26" t="s">
        <v>32</v>
      </c>
      <c r="F227" s="29">
        <v>184.81</v>
      </c>
      <c r="G227" s="29">
        <v>0</v>
      </c>
      <c r="H227" s="29">
        <v>0</v>
      </c>
      <c r="I227" s="29"/>
      <c r="J227" s="29">
        <f t="shared" si="108"/>
        <v>-184.81</v>
      </c>
      <c r="K227" s="29">
        <f t="shared" si="109"/>
        <v>-184.81</v>
      </c>
      <c r="L227" s="29">
        <f t="shared" si="110"/>
        <v>0</v>
      </c>
      <c r="M227" s="37">
        <f t="shared" si="111"/>
        <v>-1</v>
      </c>
      <c r="N227" s="27">
        <v>84.7</v>
      </c>
      <c r="O227" s="27">
        <v>84.13</v>
      </c>
      <c r="P227" s="37">
        <f t="shared" si="112"/>
        <v>0.0068</v>
      </c>
      <c r="Q227" s="29">
        <f t="shared" si="113"/>
        <v>64.76</v>
      </c>
      <c r="R227" s="29">
        <f t="shared" si="114"/>
        <v>96.75</v>
      </c>
      <c r="S227" s="29">
        <f t="shared" si="115"/>
        <v>84.7</v>
      </c>
      <c r="T227" s="29">
        <v>15653.07</v>
      </c>
      <c r="U227" s="29">
        <v>0</v>
      </c>
      <c r="V227" s="29">
        <f t="shared" ref="V227:V242" si="121">T227+S227*K227</f>
        <v>-0.34</v>
      </c>
      <c r="W227" s="29">
        <f t="shared" si="116"/>
        <v>-15653.07</v>
      </c>
      <c r="X227" s="29">
        <f t="shared" si="117"/>
        <v>-15653.41</v>
      </c>
      <c r="Y227" s="29">
        <f t="shared" si="118"/>
        <v>-0.34</v>
      </c>
      <c r="Z227" s="26"/>
      <c r="AA227" s="1"/>
      <c r="AB227" s="1"/>
      <c r="AC227" s="1"/>
      <c r="AD227" s="1"/>
      <c r="AE227" s="1"/>
      <c r="AF227" s="1"/>
      <c r="AG227" s="1"/>
      <c r="AH227" s="1"/>
      <c r="AI227" s="1"/>
    </row>
    <row r="228" ht="20" customHeight="1" spans="1:35">
      <c r="A228" s="26">
        <v>208</v>
      </c>
      <c r="B228" s="26" t="s">
        <v>610</v>
      </c>
      <c r="C228" s="26" t="s">
        <v>115</v>
      </c>
      <c r="D228" s="26" t="s">
        <v>611</v>
      </c>
      <c r="E228" s="26" t="s">
        <v>32</v>
      </c>
      <c r="F228" s="29">
        <v>137.31</v>
      </c>
      <c r="G228" s="29">
        <v>27.34</v>
      </c>
      <c r="H228" s="29">
        <f>27.34+52.06</f>
        <v>79.4</v>
      </c>
      <c r="I228" s="29"/>
      <c r="J228" s="29">
        <f t="shared" si="108"/>
        <v>-109.97</v>
      </c>
      <c r="K228" s="29">
        <f t="shared" si="109"/>
        <v>-57.91</v>
      </c>
      <c r="L228" s="29">
        <f t="shared" si="110"/>
        <v>52.06</v>
      </c>
      <c r="M228" s="37">
        <f t="shared" si="111"/>
        <v>-0.8009</v>
      </c>
      <c r="N228" s="27">
        <v>59.25</v>
      </c>
      <c r="O228" s="27">
        <v>63.21</v>
      </c>
      <c r="P228" s="37">
        <f t="shared" si="112"/>
        <v>-0.0626</v>
      </c>
      <c r="Q228" s="29">
        <f t="shared" si="113"/>
        <v>48.66</v>
      </c>
      <c r="R228" s="29">
        <f t="shared" si="114"/>
        <v>72.69</v>
      </c>
      <c r="S228" s="29">
        <f t="shared" si="115"/>
        <v>59.25</v>
      </c>
      <c r="T228" s="29">
        <v>8135.84</v>
      </c>
      <c r="U228" s="29">
        <v>1619.79</v>
      </c>
      <c r="V228" s="29">
        <f t="shared" si="121"/>
        <v>4704.67</v>
      </c>
      <c r="W228" s="29">
        <f t="shared" si="116"/>
        <v>-6516.05</v>
      </c>
      <c r="X228" s="29">
        <f t="shared" si="117"/>
        <v>-3431.17</v>
      </c>
      <c r="Y228" s="29">
        <f t="shared" si="118"/>
        <v>3084.88</v>
      </c>
      <c r="Z228" s="26" t="s">
        <v>612</v>
      </c>
      <c r="AA228" s="1"/>
      <c r="AB228" s="1"/>
      <c r="AC228" s="1"/>
      <c r="AD228" s="1"/>
      <c r="AE228" s="1"/>
      <c r="AF228" s="1"/>
      <c r="AG228" s="1"/>
      <c r="AH228" s="1"/>
      <c r="AI228" s="1"/>
    </row>
    <row r="229" ht="20" customHeight="1" spans="1:35">
      <c r="A229" s="26">
        <v>209</v>
      </c>
      <c r="B229" s="26" t="s">
        <v>613</v>
      </c>
      <c r="C229" s="26" t="s">
        <v>115</v>
      </c>
      <c r="D229" s="26" t="s">
        <v>614</v>
      </c>
      <c r="E229" s="26" t="s">
        <v>32</v>
      </c>
      <c r="F229" s="29">
        <v>2425.67</v>
      </c>
      <c r="G229" s="29">
        <v>2800.8</v>
      </c>
      <c r="H229" s="29">
        <f>2768.33+47.89</f>
        <v>2816.22</v>
      </c>
      <c r="I229" s="29"/>
      <c r="J229" s="29">
        <f t="shared" si="108"/>
        <v>375.13</v>
      </c>
      <c r="K229" s="29">
        <f t="shared" si="109"/>
        <v>390.55</v>
      </c>
      <c r="L229" s="29">
        <f t="shared" si="110"/>
        <v>15.42</v>
      </c>
      <c r="M229" s="37">
        <f t="shared" si="111"/>
        <v>0.1547</v>
      </c>
      <c r="N229" s="27">
        <v>67.34</v>
      </c>
      <c r="O229" s="27">
        <v>71.47</v>
      </c>
      <c r="P229" s="37">
        <f t="shared" si="112"/>
        <v>-0.0578</v>
      </c>
      <c r="Q229" s="29">
        <f t="shared" si="113"/>
        <v>55.01</v>
      </c>
      <c r="R229" s="29">
        <f t="shared" si="114"/>
        <v>82.19</v>
      </c>
      <c r="S229" s="29">
        <f t="shared" si="115"/>
        <v>67.34</v>
      </c>
      <c r="T229" s="29">
        <v>163344.85</v>
      </c>
      <c r="U229" s="29">
        <v>188605.61</v>
      </c>
      <c r="V229" s="29">
        <f t="shared" si="121"/>
        <v>189644.49</v>
      </c>
      <c r="W229" s="29">
        <f t="shared" si="116"/>
        <v>25260.76</v>
      </c>
      <c r="X229" s="29">
        <f t="shared" si="117"/>
        <v>26299.64</v>
      </c>
      <c r="Y229" s="29">
        <f t="shared" si="118"/>
        <v>1038.88</v>
      </c>
      <c r="Z229" s="26" t="s">
        <v>612</v>
      </c>
      <c r="AA229" s="1"/>
      <c r="AB229" s="1"/>
      <c r="AC229" s="1"/>
      <c r="AD229" s="1"/>
      <c r="AE229" s="1"/>
      <c r="AF229" s="1"/>
      <c r="AG229" s="1"/>
      <c r="AH229" s="1"/>
      <c r="AI229" s="1"/>
    </row>
    <row r="230" ht="20" customHeight="1" spans="1:35">
      <c r="A230" s="26">
        <v>210</v>
      </c>
      <c r="B230" s="26" t="s">
        <v>615</v>
      </c>
      <c r="C230" s="26" t="s">
        <v>115</v>
      </c>
      <c r="D230" s="26" t="s">
        <v>616</v>
      </c>
      <c r="E230" s="26" t="s">
        <v>32</v>
      </c>
      <c r="F230" s="29">
        <v>107.85</v>
      </c>
      <c r="G230" s="29">
        <v>101.46</v>
      </c>
      <c r="H230" s="29">
        <v>96.63</v>
      </c>
      <c r="I230" s="29"/>
      <c r="J230" s="29">
        <f t="shared" si="108"/>
        <v>-6.39</v>
      </c>
      <c r="K230" s="29">
        <f t="shared" si="109"/>
        <v>-11.22</v>
      </c>
      <c r="L230" s="29">
        <f t="shared" si="110"/>
        <v>-4.83</v>
      </c>
      <c r="M230" s="37">
        <f t="shared" si="111"/>
        <v>-0.0592</v>
      </c>
      <c r="N230" s="27">
        <v>75.42</v>
      </c>
      <c r="O230" s="27">
        <v>79.73</v>
      </c>
      <c r="P230" s="37">
        <f t="shared" si="112"/>
        <v>-0.0541</v>
      </c>
      <c r="Q230" s="29">
        <f t="shared" si="113"/>
        <v>61.37</v>
      </c>
      <c r="R230" s="29">
        <f t="shared" si="114"/>
        <v>91.69</v>
      </c>
      <c r="S230" s="29">
        <f t="shared" si="115"/>
        <v>75.42</v>
      </c>
      <c r="T230" s="29">
        <v>8134.05</v>
      </c>
      <c r="U230" s="29">
        <v>7652.23</v>
      </c>
      <c r="V230" s="29">
        <f t="shared" si="121"/>
        <v>7287.84</v>
      </c>
      <c r="W230" s="29">
        <f t="shared" si="116"/>
        <v>-481.82</v>
      </c>
      <c r="X230" s="29">
        <f t="shared" si="117"/>
        <v>-846.21</v>
      </c>
      <c r="Y230" s="29">
        <f t="shared" si="118"/>
        <v>-364.39</v>
      </c>
      <c r="Z230" s="26"/>
      <c r="AA230" s="1"/>
      <c r="AB230" s="1"/>
      <c r="AC230" s="1"/>
      <c r="AD230" s="1"/>
      <c r="AE230" s="1"/>
      <c r="AF230" s="1"/>
      <c r="AG230" s="1"/>
      <c r="AH230" s="1"/>
      <c r="AI230" s="1"/>
    </row>
    <row r="231" ht="20" customHeight="1" spans="1:35">
      <c r="A231" s="26">
        <v>211</v>
      </c>
      <c r="B231" s="26" t="s">
        <v>617</v>
      </c>
      <c r="C231" s="26" t="s">
        <v>115</v>
      </c>
      <c r="D231" s="26" t="s">
        <v>618</v>
      </c>
      <c r="E231" s="26" t="s">
        <v>32</v>
      </c>
      <c r="F231" s="29">
        <v>29.53</v>
      </c>
      <c r="G231" s="29">
        <v>0</v>
      </c>
      <c r="H231" s="29">
        <v>0</v>
      </c>
      <c r="I231" s="29"/>
      <c r="J231" s="29">
        <f t="shared" si="108"/>
        <v>-29.53</v>
      </c>
      <c r="K231" s="29">
        <f t="shared" si="109"/>
        <v>-29.53</v>
      </c>
      <c r="L231" s="29">
        <f t="shared" si="110"/>
        <v>0</v>
      </c>
      <c r="M231" s="37">
        <f t="shared" si="111"/>
        <v>-1</v>
      </c>
      <c r="N231" s="27">
        <v>142.61</v>
      </c>
      <c r="O231" s="27">
        <v>136.94</v>
      </c>
      <c r="P231" s="37">
        <f t="shared" si="112"/>
        <v>0.0414</v>
      </c>
      <c r="Q231" s="29">
        <f t="shared" si="113"/>
        <v>105.41</v>
      </c>
      <c r="R231" s="29">
        <f t="shared" si="114"/>
        <v>157.48</v>
      </c>
      <c r="S231" s="29">
        <f t="shared" si="115"/>
        <v>142.61</v>
      </c>
      <c r="T231" s="29">
        <v>4211.27</v>
      </c>
      <c r="U231" s="29">
        <v>0</v>
      </c>
      <c r="V231" s="29">
        <f t="shared" si="121"/>
        <v>0</v>
      </c>
      <c r="W231" s="29">
        <f t="shared" si="116"/>
        <v>-4211.27</v>
      </c>
      <c r="X231" s="29">
        <f t="shared" si="117"/>
        <v>-4211.27</v>
      </c>
      <c r="Y231" s="29">
        <f t="shared" si="118"/>
        <v>0</v>
      </c>
      <c r="Z231" s="26"/>
      <c r="AA231" s="1"/>
      <c r="AB231" s="1"/>
      <c r="AC231" s="1"/>
      <c r="AD231" s="1"/>
      <c r="AE231" s="1"/>
      <c r="AF231" s="1"/>
      <c r="AG231" s="1"/>
      <c r="AH231" s="1"/>
      <c r="AI231" s="1"/>
    </row>
    <row r="232" ht="20" customHeight="1" spans="1:35">
      <c r="A232" s="26">
        <v>212</v>
      </c>
      <c r="B232" s="26" t="s">
        <v>619</v>
      </c>
      <c r="C232" s="26" t="s">
        <v>115</v>
      </c>
      <c r="D232" s="26" t="s">
        <v>620</v>
      </c>
      <c r="E232" s="26" t="s">
        <v>32</v>
      </c>
      <c r="F232" s="29">
        <v>95.67</v>
      </c>
      <c r="G232" s="29">
        <v>0</v>
      </c>
      <c r="H232" s="29">
        <v>0</v>
      </c>
      <c r="I232" s="29"/>
      <c r="J232" s="29">
        <f t="shared" si="108"/>
        <v>-95.67</v>
      </c>
      <c r="K232" s="29">
        <f t="shared" si="109"/>
        <v>-95.67</v>
      </c>
      <c r="L232" s="29">
        <f t="shared" si="110"/>
        <v>0</v>
      </c>
      <c r="M232" s="37">
        <f t="shared" si="111"/>
        <v>-1</v>
      </c>
      <c r="N232" s="27">
        <v>192.07</v>
      </c>
      <c r="O232" s="27">
        <v>179.5</v>
      </c>
      <c r="P232" s="37">
        <f t="shared" si="112"/>
        <v>0.07</v>
      </c>
      <c r="Q232" s="29">
        <f t="shared" si="113"/>
        <v>138.17</v>
      </c>
      <c r="R232" s="29">
        <f t="shared" si="114"/>
        <v>206.43</v>
      </c>
      <c r="S232" s="29">
        <f t="shared" si="115"/>
        <v>192.07</v>
      </c>
      <c r="T232" s="29">
        <v>18375.34</v>
      </c>
      <c r="U232" s="29">
        <v>0</v>
      </c>
      <c r="V232" s="29">
        <f t="shared" si="121"/>
        <v>0</v>
      </c>
      <c r="W232" s="29">
        <f t="shared" si="116"/>
        <v>-18375.34</v>
      </c>
      <c r="X232" s="29">
        <f t="shared" si="117"/>
        <v>-18375.34</v>
      </c>
      <c r="Y232" s="29">
        <f t="shared" si="118"/>
        <v>0</v>
      </c>
      <c r="Z232" s="26"/>
      <c r="AA232" s="1"/>
      <c r="AB232" s="1"/>
      <c r="AC232" s="1"/>
      <c r="AD232" s="1"/>
      <c r="AE232" s="1"/>
      <c r="AF232" s="1"/>
      <c r="AG232" s="1"/>
      <c r="AH232" s="1"/>
      <c r="AI232" s="1"/>
    </row>
    <row r="233" ht="20" customHeight="1" spans="1:35">
      <c r="A233" s="26">
        <v>213</v>
      </c>
      <c r="B233" s="26" t="s">
        <v>621</v>
      </c>
      <c r="C233" s="26" t="s">
        <v>118</v>
      </c>
      <c r="D233" s="26" t="s">
        <v>622</v>
      </c>
      <c r="E233" s="26" t="s">
        <v>32</v>
      </c>
      <c r="F233" s="29">
        <v>137.73</v>
      </c>
      <c r="G233" s="29">
        <v>207.7</v>
      </c>
      <c r="H233" s="29">
        <v>0</v>
      </c>
      <c r="I233" s="29"/>
      <c r="J233" s="29">
        <f t="shared" si="108"/>
        <v>69.97</v>
      </c>
      <c r="K233" s="29">
        <f t="shared" si="109"/>
        <v>-137.73</v>
      </c>
      <c r="L233" s="29">
        <f t="shared" si="110"/>
        <v>-207.7</v>
      </c>
      <c r="M233" s="37">
        <f t="shared" si="111"/>
        <v>0.508</v>
      </c>
      <c r="N233" s="27">
        <v>101.92</v>
      </c>
      <c r="O233" s="27">
        <v>111.72</v>
      </c>
      <c r="P233" s="37">
        <f t="shared" si="112"/>
        <v>-0.0877</v>
      </c>
      <c r="Q233" s="29">
        <f t="shared" si="113"/>
        <v>86</v>
      </c>
      <c r="R233" s="29">
        <f t="shared" si="114"/>
        <v>128.48</v>
      </c>
      <c r="S233" s="29">
        <f t="shared" si="115"/>
        <v>101.92</v>
      </c>
      <c r="T233" s="29">
        <v>14037.38</v>
      </c>
      <c r="U233" s="29">
        <v>21168.65</v>
      </c>
      <c r="V233" s="29">
        <f t="shared" si="121"/>
        <v>-0.06</v>
      </c>
      <c r="W233" s="29">
        <f t="shared" si="116"/>
        <v>7131.27</v>
      </c>
      <c r="X233" s="29">
        <f t="shared" si="117"/>
        <v>-14037.44</v>
      </c>
      <c r="Y233" s="29">
        <f t="shared" si="118"/>
        <v>-21168.71</v>
      </c>
      <c r="Z233" s="26"/>
      <c r="AA233" s="1"/>
      <c r="AB233" s="1"/>
      <c r="AC233" s="1"/>
      <c r="AD233" s="1"/>
      <c r="AE233" s="1"/>
      <c r="AF233" s="1"/>
      <c r="AG233" s="1"/>
      <c r="AH233" s="1"/>
      <c r="AI233" s="1"/>
    </row>
    <row r="234" ht="20" customHeight="1" spans="1:35">
      <c r="A234" s="26">
        <v>214</v>
      </c>
      <c r="B234" s="26" t="s">
        <v>623</v>
      </c>
      <c r="C234" s="26" t="s">
        <v>624</v>
      </c>
      <c r="D234" s="26" t="s">
        <v>625</v>
      </c>
      <c r="E234" s="26" t="s">
        <v>32</v>
      </c>
      <c r="F234" s="29">
        <v>136.19</v>
      </c>
      <c r="G234" s="29">
        <v>82.72</v>
      </c>
      <c r="H234" s="29">
        <f>56.79</f>
        <v>56.79</v>
      </c>
      <c r="I234" s="29"/>
      <c r="J234" s="29">
        <f t="shared" si="108"/>
        <v>-53.47</v>
      </c>
      <c r="K234" s="29">
        <f t="shared" si="109"/>
        <v>-79.4</v>
      </c>
      <c r="L234" s="29">
        <f t="shared" si="110"/>
        <v>-25.93</v>
      </c>
      <c r="M234" s="37">
        <f t="shared" si="111"/>
        <v>-0.3926</v>
      </c>
      <c r="N234" s="27">
        <v>77.07</v>
      </c>
      <c r="O234" s="27">
        <v>84.99</v>
      </c>
      <c r="P234" s="37">
        <f t="shared" si="112"/>
        <v>-0.0932</v>
      </c>
      <c r="Q234" s="29">
        <f t="shared" si="113"/>
        <v>65.42</v>
      </c>
      <c r="R234" s="29">
        <f t="shared" si="114"/>
        <v>97.74</v>
      </c>
      <c r="S234" s="29">
        <f t="shared" si="115"/>
        <v>77.07</v>
      </c>
      <c r="T234" s="29">
        <v>10495.97</v>
      </c>
      <c r="U234" s="29">
        <v>6374.91</v>
      </c>
      <c r="V234" s="29">
        <f t="shared" si="121"/>
        <v>4376.61</v>
      </c>
      <c r="W234" s="29">
        <f t="shared" si="116"/>
        <v>-4121.06</v>
      </c>
      <c r="X234" s="29">
        <f t="shared" si="117"/>
        <v>-6119.36</v>
      </c>
      <c r="Y234" s="29">
        <f t="shared" si="118"/>
        <v>-1998.3</v>
      </c>
      <c r="Z234" s="26"/>
      <c r="AA234" s="1"/>
      <c r="AB234" s="1"/>
      <c r="AC234" s="1"/>
      <c r="AD234" s="1"/>
      <c r="AE234" s="1"/>
      <c r="AF234" s="1"/>
      <c r="AG234" s="1"/>
      <c r="AH234" s="1"/>
      <c r="AI234" s="1"/>
    </row>
    <row r="235" ht="20" customHeight="1" spans="1:35">
      <c r="A235" s="26">
        <v>215</v>
      </c>
      <c r="B235" s="26" t="s">
        <v>626</v>
      </c>
      <c r="C235" s="26" t="s">
        <v>624</v>
      </c>
      <c r="D235" s="26" t="s">
        <v>627</v>
      </c>
      <c r="E235" s="26" t="s">
        <v>32</v>
      </c>
      <c r="F235" s="29">
        <v>1.59</v>
      </c>
      <c r="G235" s="29">
        <v>0</v>
      </c>
      <c r="H235" s="29">
        <v>0</v>
      </c>
      <c r="I235" s="29"/>
      <c r="J235" s="29">
        <f t="shared" si="108"/>
        <v>-1.59</v>
      </c>
      <c r="K235" s="29">
        <f t="shared" si="109"/>
        <v>-1.59</v>
      </c>
      <c r="L235" s="29">
        <f t="shared" si="110"/>
        <v>0</v>
      </c>
      <c r="M235" s="37">
        <f t="shared" si="111"/>
        <v>-1</v>
      </c>
      <c r="N235" s="27">
        <v>85.41</v>
      </c>
      <c r="O235" s="27">
        <v>93.74</v>
      </c>
      <c r="P235" s="37">
        <f t="shared" si="112"/>
        <v>-0.0889</v>
      </c>
      <c r="Q235" s="29">
        <f t="shared" si="113"/>
        <v>72.16</v>
      </c>
      <c r="R235" s="29">
        <f t="shared" si="114"/>
        <v>107.8</v>
      </c>
      <c r="S235" s="29">
        <f t="shared" si="115"/>
        <v>85.41</v>
      </c>
      <c r="T235" s="29">
        <v>135.72</v>
      </c>
      <c r="U235" s="29">
        <v>0</v>
      </c>
      <c r="V235" s="29">
        <f t="shared" si="121"/>
        <v>-0.08</v>
      </c>
      <c r="W235" s="29">
        <f t="shared" si="116"/>
        <v>-135.72</v>
      </c>
      <c r="X235" s="29">
        <f t="shared" si="117"/>
        <v>-135.8</v>
      </c>
      <c r="Y235" s="29">
        <f t="shared" si="118"/>
        <v>-0.08</v>
      </c>
      <c r="Z235" s="26"/>
      <c r="AA235" s="1"/>
      <c r="AB235" s="1"/>
      <c r="AC235" s="1"/>
      <c r="AD235" s="1"/>
      <c r="AE235" s="1"/>
      <c r="AF235" s="1"/>
      <c r="AG235" s="1"/>
      <c r="AH235" s="1"/>
      <c r="AI235" s="1"/>
    </row>
    <row r="236" ht="20" customHeight="1" spans="1:35">
      <c r="A236" s="26">
        <v>216</v>
      </c>
      <c r="B236" s="26" t="s">
        <v>628</v>
      </c>
      <c r="C236" s="26" t="s">
        <v>624</v>
      </c>
      <c r="D236" s="26" t="s">
        <v>629</v>
      </c>
      <c r="E236" s="26" t="s">
        <v>32</v>
      </c>
      <c r="F236" s="29">
        <v>38.08</v>
      </c>
      <c r="G236" s="29">
        <v>25.4</v>
      </c>
      <c r="H236" s="29">
        <v>24.19</v>
      </c>
      <c r="I236" s="29"/>
      <c r="J236" s="29">
        <f t="shared" si="108"/>
        <v>-12.68</v>
      </c>
      <c r="K236" s="29">
        <f t="shared" si="109"/>
        <v>-13.89</v>
      </c>
      <c r="L236" s="29">
        <f t="shared" si="110"/>
        <v>-1.21</v>
      </c>
      <c r="M236" s="37">
        <f t="shared" si="111"/>
        <v>-0.333</v>
      </c>
      <c r="N236" s="27">
        <v>93.75</v>
      </c>
      <c r="O236" s="27">
        <v>93.74</v>
      </c>
      <c r="P236" s="37">
        <f t="shared" si="112"/>
        <v>0.0001</v>
      </c>
      <c r="Q236" s="29">
        <f t="shared" si="113"/>
        <v>72.16</v>
      </c>
      <c r="R236" s="29">
        <f t="shared" si="114"/>
        <v>107.8</v>
      </c>
      <c r="S236" s="29">
        <f t="shared" si="115"/>
        <v>93.75</v>
      </c>
      <c r="T236" s="29">
        <v>3569.61</v>
      </c>
      <c r="U236" s="29">
        <v>2381.64</v>
      </c>
      <c r="V236" s="29">
        <f t="shared" si="121"/>
        <v>2267.42</v>
      </c>
      <c r="W236" s="29">
        <f t="shared" si="116"/>
        <v>-1187.97</v>
      </c>
      <c r="X236" s="29">
        <f t="shared" si="117"/>
        <v>-1302.19</v>
      </c>
      <c r="Y236" s="29">
        <f t="shared" si="118"/>
        <v>-114.22</v>
      </c>
      <c r="Z236" s="26"/>
      <c r="AA236" s="1"/>
      <c r="AB236" s="1"/>
      <c r="AC236" s="1"/>
      <c r="AD236" s="1"/>
      <c r="AE236" s="1"/>
      <c r="AF236" s="1"/>
      <c r="AG236" s="1"/>
      <c r="AH236" s="1"/>
      <c r="AI236" s="1"/>
    </row>
    <row r="237" ht="20" customHeight="1" spans="1:35">
      <c r="A237" s="26">
        <v>217</v>
      </c>
      <c r="B237" s="26" t="s">
        <v>630</v>
      </c>
      <c r="C237" s="26" t="s">
        <v>624</v>
      </c>
      <c r="D237" s="26" t="s">
        <v>631</v>
      </c>
      <c r="E237" s="26" t="s">
        <v>32</v>
      </c>
      <c r="F237" s="29">
        <v>4.76</v>
      </c>
      <c r="G237" s="29">
        <v>0</v>
      </c>
      <c r="H237" s="29">
        <v>0</v>
      </c>
      <c r="I237" s="29"/>
      <c r="J237" s="29">
        <f t="shared" si="108"/>
        <v>-4.76</v>
      </c>
      <c r="K237" s="29">
        <f t="shared" si="109"/>
        <v>-4.76</v>
      </c>
      <c r="L237" s="29">
        <f t="shared" si="110"/>
        <v>0</v>
      </c>
      <c r="M237" s="37">
        <f t="shared" si="111"/>
        <v>-1</v>
      </c>
      <c r="N237" s="27">
        <v>102.09</v>
      </c>
      <c r="O237" s="27">
        <v>111.25</v>
      </c>
      <c r="P237" s="37">
        <f t="shared" si="112"/>
        <v>-0.0823</v>
      </c>
      <c r="Q237" s="29">
        <f t="shared" si="113"/>
        <v>85.64</v>
      </c>
      <c r="R237" s="29">
        <f t="shared" si="114"/>
        <v>127.94</v>
      </c>
      <c r="S237" s="29">
        <f t="shared" si="115"/>
        <v>102.09</v>
      </c>
      <c r="T237" s="29">
        <v>485.66</v>
      </c>
      <c r="U237" s="29">
        <v>0</v>
      </c>
      <c r="V237" s="29">
        <f t="shared" si="121"/>
        <v>-0.29</v>
      </c>
      <c r="W237" s="29">
        <f t="shared" si="116"/>
        <v>-485.66</v>
      </c>
      <c r="X237" s="29">
        <f t="shared" si="117"/>
        <v>-485.95</v>
      </c>
      <c r="Y237" s="29">
        <f t="shared" si="118"/>
        <v>-0.29</v>
      </c>
      <c r="Z237" s="26"/>
      <c r="AA237" s="1"/>
      <c r="AB237" s="1"/>
      <c r="AC237" s="1"/>
      <c r="AD237" s="1"/>
      <c r="AE237" s="1"/>
      <c r="AF237" s="1"/>
      <c r="AG237" s="1"/>
      <c r="AH237" s="1"/>
      <c r="AI237" s="1"/>
    </row>
    <row r="238" ht="20" customHeight="1" spans="1:35">
      <c r="A238" s="26">
        <v>218</v>
      </c>
      <c r="B238" s="26" t="s">
        <v>632</v>
      </c>
      <c r="C238" s="26" t="s">
        <v>633</v>
      </c>
      <c r="D238" s="26" t="s">
        <v>634</v>
      </c>
      <c r="E238" s="26" t="s">
        <v>32</v>
      </c>
      <c r="F238" s="29">
        <v>3.64</v>
      </c>
      <c r="G238" s="29">
        <v>274.75</v>
      </c>
      <c r="H238" s="29">
        <f>159.64+17+89.87+21.99</f>
        <v>288.5</v>
      </c>
      <c r="I238" s="29"/>
      <c r="J238" s="29">
        <f t="shared" si="108"/>
        <v>271.11</v>
      </c>
      <c r="K238" s="29">
        <f t="shared" si="109"/>
        <v>284.86</v>
      </c>
      <c r="L238" s="29">
        <f t="shared" si="110"/>
        <v>13.75</v>
      </c>
      <c r="M238" s="37">
        <f t="shared" si="111"/>
        <v>74.4808</v>
      </c>
      <c r="N238" s="27">
        <v>61.79</v>
      </c>
      <c r="O238" s="27">
        <v>65.84</v>
      </c>
      <c r="P238" s="37">
        <f t="shared" si="112"/>
        <v>-0.0615</v>
      </c>
      <c r="Q238" s="29">
        <f t="shared" si="113"/>
        <v>50.68</v>
      </c>
      <c r="R238" s="29">
        <f t="shared" si="114"/>
        <v>75.72</v>
      </c>
      <c r="S238" s="29">
        <f t="shared" si="115"/>
        <v>61.79</v>
      </c>
      <c r="T238" s="29">
        <v>224.92</v>
      </c>
      <c r="U238" s="29">
        <v>16976.97</v>
      </c>
      <c r="V238" s="29">
        <f t="shared" si="121"/>
        <v>17826.42</v>
      </c>
      <c r="W238" s="29">
        <f t="shared" si="116"/>
        <v>16752.05</v>
      </c>
      <c r="X238" s="29">
        <f t="shared" si="117"/>
        <v>17601.5</v>
      </c>
      <c r="Y238" s="29">
        <f t="shared" si="118"/>
        <v>849.45</v>
      </c>
      <c r="Z238" s="26" t="s">
        <v>635</v>
      </c>
      <c r="AA238" s="1"/>
      <c r="AB238" s="1"/>
      <c r="AC238" s="1"/>
      <c r="AD238" s="1"/>
      <c r="AE238" s="1"/>
      <c r="AF238" s="1"/>
      <c r="AG238" s="1"/>
      <c r="AH238" s="1"/>
      <c r="AI238" s="1"/>
    </row>
    <row r="239" ht="20" customHeight="1" spans="1:35">
      <c r="A239" s="26">
        <v>219</v>
      </c>
      <c r="B239" s="26" t="s">
        <v>636</v>
      </c>
      <c r="C239" s="26" t="s">
        <v>633</v>
      </c>
      <c r="D239" s="26" t="s">
        <v>625</v>
      </c>
      <c r="E239" s="26" t="s">
        <v>32</v>
      </c>
      <c r="F239" s="29">
        <v>1379.94</v>
      </c>
      <c r="G239" s="29">
        <v>1057.1</v>
      </c>
      <c r="H239" s="29">
        <f>1006.77</f>
        <v>1006.77</v>
      </c>
      <c r="I239" s="29"/>
      <c r="J239" s="29">
        <f t="shared" si="108"/>
        <v>-322.84</v>
      </c>
      <c r="K239" s="29">
        <f t="shared" si="109"/>
        <v>-373.17</v>
      </c>
      <c r="L239" s="29">
        <f t="shared" si="110"/>
        <v>-50.33</v>
      </c>
      <c r="M239" s="37">
        <f t="shared" si="111"/>
        <v>-0.234</v>
      </c>
      <c r="N239" s="27">
        <v>77.07</v>
      </c>
      <c r="O239" s="27">
        <v>73.21</v>
      </c>
      <c r="P239" s="37">
        <f t="shared" si="112"/>
        <v>0.0527</v>
      </c>
      <c r="Q239" s="29">
        <f t="shared" si="113"/>
        <v>56.35</v>
      </c>
      <c r="R239" s="29">
        <f t="shared" si="114"/>
        <v>84.19</v>
      </c>
      <c r="S239" s="29">
        <f t="shared" si="115"/>
        <v>77.07</v>
      </c>
      <c r="T239" s="29">
        <v>106351.71</v>
      </c>
      <c r="U239" s="29">
        <v>81471.08</v>
      </c>
      <c r="V239" s="29">
        <f t="shared" si="121"/>
        <v>77591.5</v>
      </c>
      <c r="W239" s="29">
        <f t="shared" si="116"/>
        <v>-24880.63</v>
      </c>
      <c r="X239" s="29">
        <f t="shared" si="117"/>
        <v>-28760.21</v>
      </c>
      <c r="Y239" s="29">
        <f t="shared" si="118"/>
        <v>-3879.58</v>
      </c>
      <c r="Z239" s="26"/>
      <c r="AA239" s="1"/>
      <c r="AB239" s="1"/>
      <c r="AC239" s="1"/>
      <c r="AD239" s="1"/>
      <c r="AE239" s="1"/>
      <c r="AF239" s="1"/>
      <c r="AG239" s="1"/>
      <c r="AH239" s="1"/>
      <c r="AI239" s="1"/>
    </row>
    <row r="240" ht="20" customHeight="1" spans="1:35">
      <c r="A240" s="26">
        <v>220</v>
      </c>
      <c r="B240" s="26" t="s">
        <v>637</v>
      </c>
      <c r="C240" s="26" t="s">
        <v>633</v>
      </c>
      <c r="D240" s="26" t="s">
        <v>627</v>
      </c>
      <c r="E240" s="26" t="s">
        <v>32</v>
      </c>
      <c r="F240" s="29">
        <v>69.63</v>
      </c>
      <c r="G240" s="29">
        <v>1113.39</v>
      </c>
      <c r="H240" s="29">
        <f>734.08+326.3</f>
        <v>1060.38</v>
      </c>
      <c r="I240" s="29"/>
      <c r="J240" s="29">
        <f t="shared" si="108"/>
        <v>1043.76</v>
      </c>
      <c r="K240" s="29">
        <f t="shared" si="109"/>
        <v>990.75</v>
      </c>
      <c r="L240" s="29">
        <f t="shared" si="110"/>
        <v>-53.01</v>
      </c>
      <c r="M240" s="37">
        <f t="shared" si="111"/>
        <v>14.9901</v>
      </c>
      <c r="N240" s="27">
        <v>85.41</v>
      </c>
      <c r="O240" s="27">
        <v>80.59</v>
      </c>
      <c r="P240" s="37">
        <f t="shared" si="112"/>
        <v>0.0598</v>
      </c>
      <c r="Q240" s="29">
        <f t="shared" si="113"/>
        <v>62.03</v>
      </c>
      <c r="R240" s="29">
        <f t="shared" si="114"/>
        <v>92.68</v>
      </c>
      <c r="S240" s="29">
        <f t="shared" si="115"/>
        <v>85.41</v>
      </c>
      <c r="T240" s="29">
        <v>5947.1</v>
      </c>
      <c r="U240" s="29">
        <v>95094.97</v>
      </c>
      <c r="V240" s="29">
        <f t="shared" si="121"/>
        <v>90567.06</v>
      </c>
      <c r="W240" s="29">
        <f t="shared" si="116"/>
        <v>89147.87</v>
      </c>
      <c r="X240" s="29">
        <f t="shared" si="117"/>
        <v>84619.96</v>
      </c>
      <c r="Y240" s="29">
        <f t="shared" si="118"/>
        <v>-4527.91</v>
      </c>
      <c r="Z240" s="26"/>
      <c r="AA240" s="1"/>
      <c r="AB240" s="1"/>
      <c r="AC240" s="1"/>
      <c r="AD240" s="1"/>
      <c r="AE240" s="1"/>
      <c r="AF240" s="1"/>
      <c r="AG240" s="1"/>
      <c r="AH240" s="1"/>
      <c r="AI240" s="1"/>
    </row>
    <row r="241" ht="20" customHeight="1" spans="1:35">
      <c r="A241" s="26">
        <v>221</v>
      </c>
      <c r="B241" s="26" t="s">
        <v>638</v>
      </c>
      <c r="C241" s="26" t="s">
        <v>633</v>
      </c>
      <c r="D241" s="26" t="s">
        <v>639</v>
      </c>
      <c r="E241" s="26" t="s">
        <v>32</v>
      </c>
      <c r="F241" s="29">
        <v>7.49</v>
      </c>
      <c r="G241" s="29">
        <v>293.37</v>
      </c>
      <c r="H241" s="29">
        <v>279.4</v>
      </c>
      <c r="I241" s="29"/>
      <c r="J241" s="29">
        <f t="shared" si="108"/>
        <v>285.88</v>
      </c>
      <c r="K241" s="29">
        <f t="shared" si="109"/>
        <v>271.91</v>
      </c>
      <c r="L241" s="29">
        <f t="shared" si="110"/>
        <v>-13.97</v>
      </c>
      <c r="M241" s="37">
        <f t="shared" si="111"/>
        <v>38.1682</v>
      </c>
      <c r="N241" s="27">
        <v>142.8</v>
      </c>
      <c r="O241" s="27">
        <v>126.98</v>
      </c>
      <c r="P241" s="37">
        <f t="shared" si="112"/>
        <v>0.1246</v>
      </c>
      <c r="Q241" s="29">
        <f t="shared" si="113"/>
        <v>97.74</v>
      </c>
      <c r="R241" s="29">
        <f t="shared" si="114"/>
        <v>146.03</v>
      </c>
      <c r="S241" s="29">
        <f t="shared" si="115"/>
        <v>142.8</v>
      </c>
      <c r="T241" s="29">
        <v>1069.57</v>
      </c>
      <c r="U241" s="29">
        <v>41893.24</v>
      </c>
      <c r="V241" s="29">
        <f t="shared" si="121"/>
        <v>39898.32</v>
      </c>
      <c r="W241" s="29">
        <f t="shared" si="116"/>
        <v>40823.67</v>
      </c>
      <c r="X241" s="29">
        <f t="shared" si="117"/>
        <v>38828.75</v>
      </c>
      <c r="Y241" s="29">
        <f t="shared" si="118"/>
        <v>-1994.92</v>
      </c>
      <c r="Z241" s="26"/>
      <c r="AA241" s="1"/>
      <c r="AB241" s="1"/>
      <c r="AC241" s="1"/>
      <c r="AD241" s="1"/>
      <c r="AE241" s="1"/>
      <c r="AF241" s="1"/>
      <c r="AG241" s="1"/>
      <c r="AH241" s="1"/>
      <c r="AI241" s="1"/>
    </row>
    <row r="242" ht="20" customHeight="1" spans="1:35">
      <c r="A242" s="26">
        <v>222</v>
      </c>
      <c r="B242" s="26" t="s">
        <v>640</v>
      </c>
      <c r="C242" s="26" t="s">
        <v>633</v>
      </c>
      <c r="D242" s="26" t="s">
        <v>641</v>
      </c>
      <c r="E242" s="26" t="s">
        <v>32</v>
      </c>
      <c r="F242" s="29">
        <v>83.04</v>
      </c>
      <c r="G242" s="29">
        <v>100.34</v>
      </c>
      <c r="H242" s="29">
        <v>95.56</v>
      </c>
      <c r="I242" s="29"/>
      <c r="J242" s="29">
        <f t="shared" si="108"/>
        <v>17.3</v>
      </c>
      <c r="K242" s="29">
        <f t="shared" si="109"/>
        <v>12.52</v>
      </c>
      <c r="L242" s="29">
        <f t="shared" si="110"/>
        <v>-4.78</v>
      </c>
      <c r="M242" s="37">
        <f t="shared" si="111"/>
        <v>0.2083</v>
      </c>
      <c r="N242" s="27">
        <v>171.41</v>
      </c>
      <c r="O242" s="27">
        <v>150.05</v>
      </c>
      <c r="P242" s="37">
        <f t="shared" si="112"/>
        <v>0.1424</v>
      </c>
      <c r="Q242" s="29">
        <f t="shared" si="113"/>
        <v>115.5</v>
      </c>
      <c r="R242" s="29">
        <f t="shared" si="114"/>
        <v>172.56</v>
      </c>
      <c r="S242" s="29">
        <f t="shared" si="115"/>
        <v>171.41</v>
      </c>
      <c r="T242" s="29">
        <v>14233.89</v>
      </c>
      <c r="U242" s="29">
        <v>17198.94</v>
      </c>
      <c r="V242" s="29">
        <f t="shared" si="121"/>
        <v>16379.94</v>
      </c>
      <c r="W242" s="29">
        <f t="shared" si="116"/>
        <v>2965.05</v>
      </c>
      <c r="X242" s="29">
        <f t="shared" si="117"/>
        <v>2146.05</v>
      </c>
      <c r="Y242" s="29">
        <f t="shared" si="118"/>
        <v>-819</v>
      </c>
      <c r="Z242" s="26"/>
      <c r="AA242" s="1"/>
      <c r="AB242" s="1"/>
      <c r="AC242" s="1"/>
      <c r="AD242" s="1"/>
      <c r="AE242" s="1"/>
      <c r="AF242" s="1"/>
      <c r="AG242" s="1"/>
      <c r="AH242" s="1"/>
      <c r="AI242" s="1"/>
    </row>
    <row r="243" ht="20" customHeight="1" spans="1:35">
      <c r="A243" s="26">
        <v>223</v>
      </c>
      <c r="B243" s="26" t="s">
        <v>642</v>
      </c>
      <c r="C243" s="26" t="s">
        <v>633</v>
      </c>
      <c r="D243" s="26" t="s">
        <v>643</v>
      </c>
      <c r="E243" s="26" t="s">
        <v>32</v>
      </c>
      <c r="F243" s="29">
        <v>38.11</v>
      </c>
      <c r="G243" s="29">
        <v>0</v>
      </c>
      <c r="H243" s="29">
        <v>0</v>
      </c>
      <c r="I243" s="29"/>
      <c r="J243" s="29">
        <f t="shared" si="108"/>
        <v>-38.11</v>
      </c>
      <c r="K243" s="29">
        <f t="shared" si="109"/>
        <v>-38.11</v>
      </c>
      <c r="L243" s="29">
        <f t="shared" si="110"/>
        <v>0</v>
      </c>
      <c r="M243" s="37">
        <f t="shared" si="111"/>
        <v>-1</v>
      </c>
      <c r="N243" s="27">
        <v>67.9</v>
      </c>
      <c r="O243" s="27">
        <v>72.21</v>
      </c>
      <c r="P243" s="37">
        <f t="shared" si="112"/>
        <v>-0.0597</v>
      </c>
      <c r="Q243" s="29">
        <f t="shared" si="113"/>
        <v>55.58</v>
      </c>
      <c r="R243" s="29">
        <f t="shared" si="114"/>
        <v>83.04</v>
      </c>
      <c r="S243" s="29">
        <f t="shared" si="115"/>
        <v>67.9</v>
      </c>
      <c r="T243" s="29">
        <v>2587.72</v>
      </c>
      <c r="U243" s="29">
        <v>0</v>
      </c>
      <c r="V243" s="29">
        <v>0</v>
      </c>
      <c r="W243" s="29">
        <f t="shared" si="116"/>
        <v>-2587.72</v>
      </c>
      <c r="X243" s="29">
        <f t="shared" si="117"/>
        <v>-2587.72</v>
      </c>
      <c r="Y243" s="29">
        <f t="shared" si="118"/>
        <v>0</v>
      </c>
      <c r="Z243" s="26"/>
      <c r="AA243" s="1"/>
      <c r="AB243" s="1"/>
      <c r="AC243" s="1"/>
      <c r="AD243" s="1"/>
      <c r="AE243" s="1"/>
      <c r="AF243" s="1"/>
      <c r="AG243" s="1"/>
      <c r="AH243" s="1"/>
      <c r="AI243" s="1"/>
    </row>
    <row r="244" ht="20" customHeight="1" spans="1:35">
      <c r="A244" s="26">
        <v>224</v>
      </c>
      <c r="B244" s="26" t="s">
        <v>644</v>
      </c>
      <c r="C244" s="26" t="s">
        <v>633</v>
      </c>
      <c r="D244" s="26" t="s">
        <v>645</v>
      </c>
      <c r="E244" s="26" t="s">
        <v>32</v>
      </c>
      <c r="F244" s="29">
        <v>1354.79</v>
      </c>
      <c r="G244" s="29">
        <v>622.07</v>
      </c>
      <c r="H244" s="29">
        <f>592.45</f>
        <v>592.45</v>
      </c>
      <c r="I244" s="29"/>
      <c r="J244" s="29">
        <f t="shared" si="108"/>
        <v>-732.72</v>
      </c>
      <c r="K244" s="29">
        <f t="shared" si="109"/>
        <v>-762.34</v>
      </c>
      <c r="L244" s="29">
        <f t="shared" si="110"/>
        <v>-29.62</v>
      </c>
      <c r="M244" s="37">
        <f t="shared" si="111"/>
        <v>-0.5408</v>
      </c>
      <c r="N244" s="27">
        <v>75.32</v>
      </c>
      <c r="O244" s="27">
        <v>79.58</v>
      </c>
      <c r="P244" s="37">
        <f t="shared" si="112"/>
        <v>-0.0535</v>
      </c>
      <c r="Q244" s="29">
        <f t="shared" si="113"/>
        <v>61.26</v>
      </c>
      <c r="R244" s="29">
        <f t="shared" si="114"/>
        <v>91.52</v>
      </c>
      <c r="S244" s="29">
        <f t="shared" si="115"/>
        <v>75.32</v>
      </c>
      <c r="T244" s="29">
        <v>102042.97</v>
      </c>
      <c r="U244" s="29">
        <v>46854.37</v>
      </c>
      <c r="V244" s="29">
        <f t="shared" ref="V244:V258" si="122">T244+S244*K244</f>
        <v>44623.52</v>
      </c>
      <c r="W244" s="29">
        <f t="shared" si="116"/>
        <v>-55188.6</v>
      </c>
      <c r="X244" s="29">
        <f t="shared" si="117"/>
        <v>-57419.45</v>
      </c>
      <c r="Y244" s="29">
        <f t="shared" si="118"/>
        <v>-2230.85</v>
      </c>
      <c r="Z244" s="26"/>
      <c r="AA244" s="1"/>
      <c r="AB244" s="1"/>
      <c r="AC244" s="1"/>
      <c r="AD244" s="1"/>
      <c r="AE244" s="1"/>
      <c r="AF244" s="1"/>
      <c r="AG244" s="1"/>
      <c r="AH244" s="1"/>
      <c r="AI244" s="1"/>
    </row>
    <row r="245" ht="20" customHeight="1" spans="1:35">
      <c r="A245" s="26">
        <v>225</v>
      </c>
      <c r="B245" s="26" t="s">
        <v>646</v>
      </c>
      <c r="C245" s="26" t="s">
        <v>633</v>
      </c>
      <c r="D245" s="26" t="s">
        <v>647</v>
      </c>
      <c r="E245" s="26" t="s">
        <v>32</v>
      </c>
      <c r="F245" s="29">
        <v>218.76</v>
      </c>
      <c r="G245" s="29">
        <v>788.4</v>
      </c>
      <c r="H245" s="29">
        <f>750.85</f>
        <v>750.85</v>
      </c>
      <c r="I245" s="29"/>
      <c r="J245" s="29">
        <f t="shared" si="108"/>
        <v>569.64</v>
      </c>
      <c r="K245" s="29">
        <f t="shared" si="109"/>
        <v>532.09</v>
      </c>
      <c r="L245" s="29">
        <f t="shared" si="110"/>
        <v>-37.55</v>
      </c>
      <c r="M245" s="37">
        <f t="shared" si="111"/>
        <v>2.6039</v>
      </c>
      <c r="N245" s="27">
        <v>82.74</v>
      </c>
      <c r="O245" s="27">
        <v>86.96</v>
      </c>
      <c r="P245" s="37">
        <f t="shared" si="112"/>
        <v>-0.0485</v>
      </c>
      <c r="Q245" s="29">
        <f t="shared" si="113"/>
        <v>66.94</v>
      </c>
      <c r="R245" s="29">
        <f t="shared" si="114"/>
        <v>100</v>
      </c>
      <c r="S245" s="29">
        <f t="shared" si="115"/>
        <v>82.74</v>
      </c>
      <c r="T245" s="29">
        <v>18099.87</v>
      </c>
      <c r="U245" s="29">
        <v>65231.93</v>
      </c>
      <c r="V245" s="29">
        <f t="shared" si="122"/>
        <v>62125</v>
      </c>
      <c r="W245" s="29">
        <f t="shared" si="116"/>
        <v>47132.06</v>
      </c>
      <c r="X245" s="29">
        <f t="shared" si="117"/>
        <v>44025.13</v>
      </c>
      <c r="Y245" s="29">
        <f t="shared" si="118"/>
        <v>-3106.93</v>
      </c>
      <c r="Z245" s="26"/>
      <c r="AA245" s="1"/>
      <c r="AB245" s="1"/>
      <c r="AC245" s="1"/>
      <c r="AD245" s="1"/>
      <c r="AE245" s="1"/>
      <c r="AF245" s="1"/>
      <c r="AG245" s="1"/>
      <c r="AH245" s="1"/>
      <c r="AI245" s="1"/>
    </row>
    <row r="246" ht="20" customHeight="1" spans="1:35">
      <c r="A246" s="26">
        <v>226</v>
      </c>
      <c r="B246" s="26" t="s">
        <v>648</v>
      </c>
      <c r="C246" s="26" t="s">
        <v>633</v>
      </c>
      <c r="D246" s="26" t="s">
        <v>649</v>
      </c>
      <c r="E246" s="26" t="s">
        <v>32</v>
      </c>
      <c r="F246" s="29">
        <v>122.08</v>
      </c>
      <c r="G246" s="29">
        <v>0</v>
      </c>
      <c r="H246" s="29">
        <v>0</v>
      </c>
      <c r="I246" s="29"/>
      <c r="J246" s="29">
        <f t="shared" si="108"/>
        <v>-122.08</v>
      </c>
      <c r="K246" s="29">
        <f t="shared" si="109"/>
        <v>-122.08</v>
      </c>
      <c r="L246" s="29">
        <f t="shared" si="110"/>
        <v>0</v>
      </c>
      <c r="M246" s="37">
        <f t="shared" si="111"/>
        <v>-1</v>
      </c>
      <c r="N246" s="27">
        <v>155.36</v>
      </c>
      <c r="O246" s="27">
        <v>141.13</v>
      </c>
      <c r="P246" s="37">
        <f t="shared" si="112"/>
        <v>0.1008</v>
      </c>
      <c r="Q246" s="29">
        <f t="shared" si="113"/>
        <v>108.64</v>
      </c>
      <c r="R246" s="29">
        <f t="shared" si="114"/>
        <v>162.3</v>
      </c>
      <c r="S246" s="29">
        <f t="shared" si="115"/>
        <v>155.36</v>
      </c>
      <c r="T246" s="29">
        <v>18966.35</v>
      </c>
      <c r="U246" s="29">
        <v>0</v>
      </c>
      <c r="V246" s="29">
        <f t="shared" si="122"/>
        <v>0</v>
      </c>
      <c r="W246" s="29">
        <f t="shared" si="116"/>
        <v>-18966.35</v>
      </c>
      <c r="X246" s="29">
        <f t="shared" si="117"/>
        <v>-18966.35</v>
      </c>
      <c r="Y246" s="29">
        <f t="shared" si="118"/>
        <v>0</v>
      </c>
      <c r="Z246" s="26"/>
      <c r="AA246" s="1"/>
      <c r="AB246" s="1"/>
      <c r="AC246" s="1"/>
      <c r="AD246" s="1"/>
      <c r="AE246" s="1"/>
      <c r="AF246" s="1"/>
      <c r="AG246" s="1"/>
      <c r="AH246" s="1"/>
      <c r="AI246" s="1"/>
    </row>
    <row r="247" ht="20" customHeight="1" spans="1:35">
      <c r="A247" s="26">
        <v>227</v>
      </c>
      <c r="B247" s="26" t="s">
        <v>650</v>
      </c>
      <c r="C247" s="26" t="s">
        <v>633</v>
      </c>
      <c r="D247" s="26" t="s">
        <v>651</v>
      </c>
      <c r="E247" s="26" t="s">
        <v>32</v>
      </c>
      <c r="F247" s="29">
        <v>94.98</v>
      </c>
      <c r="G247" s="29">
        <v>0</v>
      </c>
      <c r="H247" s="29">
        <v>0</v>
      </c>
      <c r="I247" s="29"/>
      <c r="J247" s="29">
        <f t="shared" si="108"/>
        <v>-94.98</v>
      </c>
      <c r="K247" s="29">
        <f t="shared" si="109"/>
        <v>-94.98</v>
      </c>
      <c r="L247" s="29">
        <f t="shared" si="110"/>
        <v>0</v>
      </c>
      <c r="M247" s="37">
        <f t="shared" si="111"/>
        <v>-1</v>
      </c>
      <c r="N247" s="27">
        <v>164.9</v>
      </c>
      <c r="O247" s="27">
        <v>148.82</v>
      </c>
      <c r="P247" s="37">
        <f t="shared" si="112"/>
        <v>0.108</v>
      </c>
      <c r="Q247" s="29">
        <f t="shared" si="113"/>
        <v>114.56</v>
      </c>
      <c r="R247" s="29">
        <f t="shared" si="114"/>
        <v>171.14</v>
      </c>
      <c r="S247" s="29">
        <f t="shared" si="115"/>
        <v>164.9</v>
      </c>
      <c r="T247" s="29">
        <v>15662.2</v>
      </c>
      <c r="U247" s="29">
        <v>0</v>
      </c>
      <c r="V247" s="29">
        <f t="shared" si="122"/>
        <v>0</v>
      </c>
      <c r="W247" s="29">
        <f t="shared" si="116"/>
        <v>-15662.2</v>
      </c>
      <c r="X247" s="29">
        <f t="shared" si="117"/>
        <v>-15662.2</v>
      </c>
      <c r="Y247" s="29">
        <f t="shared" si="118"/>
        <v>0</v>
      </c>
      <c r="Z247" s="26"/>
      <c r="AA247" s="1"/>
      <c r="AB247" s="1"/>
      <c r="AC247" s="1"/>
      <c r="AD247" s="1"/>
      <c r="AE247" s="1"/>
      <c r="AF247" s="1"/>
      <c r="AG247" s="1"/>
      <c r="AH247" s="1"/>
      <c r="AI247" s="1"/>
    </row>
    <row r="248" ht="20" customHeight="1" spans="1:35">
      <c r="A248" s="26">
        <v>228</v>
      </c>
      <c r="B248" s="26" t="s">
        <v>652</v>
      </c>
      <c r="C248" s="26" t="s">
        <v>633</v>
      </c>
      <c r="D248" s="26" t="s">
        <v>653</v>
      </c>
      <c r="E248" s="26" t="s">
        <v>32</v>
      </c>
      <c r="F248" s="29">
        <v>99.22</v>
      </c>
      <c r="G248" s="29">
        <v>0</v>
      </c>
      <c r="H248" s="29">
        <v>0</v>
      </c>
      <c r="I248" s="29"/>
      <c r="J248" s="29">
        <f t="shared" si="108"/>
        <v>-99.22</v>
      </c>
      <c r="K248" s="29">
        <f t="shared" si="109"/>
        <v>-99.22</v>
      </c>
      <c r="L248" s="29">
        <f t="shared" si="110"/>
        <v>0</v>
      </c>
      <c r="M248" s="37">
        <f t="shared" si="111"/>
        <v>-1</v>
      </c>
      <c r="N248" s="27">
        <v>174.44</v>
      </c>
      <c r="O248" s="27">
        <v>156.51</v>
      </c>
      <c r="P248" s="37">
        <f t="shared" si="112"/>
        <v>0.1146</v>
      </c>
      <c r="Q248" s="29">
        <f t="shared" si="113"/>
        <v>120.48</v>
      </c>
      <c r="R248" s="29">
        <f t="shared" si="114"/>
        <v>179.99</v>
      </c>
      <c r="S248" s="29">
        <f t="shared" si="115"/>
        <v>174.44</v>
      </c>
      <c r="T248" s="29">
        <v>17307.94</v>
      </c>
      <c r="U248" s="29">
        <v>0</v>
      </c>
      <c r="V248" s="29">
        <f t="shared" si="122"/>
        <v>0</v>
      </c>
      <c r="W248" s="29">
        <f t="shared" si="116"/>
        <v>-17307.94</v>
      </c>
      <c r="X248" s="29">
        <f t="shared" si="117"/>
        <v>-17307.94</v>
      </c>
      <c r="Y248" s="29">
        <f t="shared" si="118"/>
        <v>0</v>
      </c>
      <c r="Z248" s="26"/>
      <c r="AA248" s="1"/>
      <c r="AB248" s="1"/>
      <c r="AC248" s="1"/>
      <c r="AD248" s="1"/>
      <c r="AE248" s="1"/>
      <c r="AF248" s="1"/>
      <c r="AG248" s="1"/>
      <c r="AH248" s="1"/>
      <c r="AI248" s="1"/>
    </row>
    <row r="249" ht="20" customHeight="1" spans="1:35">
      <c r="A249" s="26">
        <v>229</v>
      </c>
      <c r="B249" s="26" t="s">
        <v>654</v>
      </c>
      <c r="C249" s="26" t="s">
        <v>655</v>
      </c>
      <c r="D249" s="26" t="s">
        <v>656</v>
      </c>
      <c r="E249" s="26" t="s">
        <v>32</v>
      </c>
      <c r="F249" s="29">
        <v>0.64</v>
      </c>
      <c r="G249" s="29">
        <v>37.77</v>
      </c>
      <c r="H249" s="29">
        <f>0.29+34.04</f>
        <v>34.33</v>
      </c>
      <c r="I249" s="29"/>
      <c r="J249" s="29">
        <f t="shared" si="108"/>
        <v>37.13</v>
      </c>
      <c r="K249" s="29">
        <f t="shared" si="109"/>
        <v>33.69</v>
      </c>
      <c r="L249" s="29">
        <f t="shared" si="110"/>
        <v>-3.44</v>
      </c>
      <c r="M249" s="37">
        <f t="shared" si="111"/>
        <v>58.0156</v>
      </c>
      <c r="N249" s="27">
        <v>61.79</v>
      </c>
      <c r="O249" s="27">
        <v>72.21</v>
      </c>
      <c r="P249" s="37">
        <f t="shared" si="112"/>
        <v>-0.1443</v>
      </c>
      <c r="Q249" s="29">
        <f t="shared" si="113"/>
        <v>55.58</v>
      </c>
      <c r="R249" s="29">
        <f t="shared" si="114"/>
        <v>83.04</v>
      </c>
      <c r="S249" s="29">
        <f t="shared" si="115"/>
        <v>61.79</v>
      </c>
      <c r="T249" s="29">
        <v>39.55</v>
      </c>
      <c r="U249" s="29">
        <v>2333.74</v>
      </c>
      <c r="V249" s="29">
        <f t="shared" si="122"/>
        <v>2121.26</v>
      </c>
      <c r="W249" s="29">
        <f t="shared" si="116"/>
        <v>2294.19</v>
      </c>
      <c r="X249" s="29">
        <f t="shared" si="117"/>
        <v>2081.71</v>
      </c>
      <c r="Y249" s="29">
        <f t="shared" si="118"/>
        <v>-212.48</v>
      </c>
      <c r="Z249" s="26"/>
      <c r="AA249" s="1"/>
      <c r="AB249" s="1"/>
      <c r="AC249" s="1"/>
      <c r="AD249" s="1"/>
      <c r="AE249" s="1"/>
      <c r="AF249" s="1"/>
      <c r="AG249" s="1"/>
      <c r="AH249" s="1"/>
      <c r="AI249" s="1"/>
    </row>
    <row r="250" ht="20" customHeight="1" spans="1:35">
      <c r="A250" s="26">
        <v>230</v>
      </c>
      <c r="B250" s="26" t="s">
        <v>657</v>
      </c>
      <c r="C250" s="26" t="s">
        <v>658</v>
      </c>
      <c r="D250" s="26" t="s">
        <v>659</v>
      </c>
      <c r="E250" s="26" t="s">
        <v>32</v>
      </c>
      <c r="F250" s="29">
        <v>49.6</v>
      </c>
      <c r="G250" s="29">
        <v>100.4</v>
      </c>
      <c r="H250" s="29">
        <f>46.02</f>
        <v>46.02</v>
      </c>
      <c r="I250" s="29"/>
      <c r="J250" s="29">
        <f t="shared" si="108"/>
        <v>50.8</v>
      </c>
      <c r="K250" s="29">
        <f t="shared" si="109"/>
        <v>-3.58</v>
      </c>
      <c r="L250" s="29">
        <f t="shared" si="110"/>
        <v>-54.38</v>
      </c>
      <c r="M250" s="37">
        <f t="shared" si="111"/>
        <v>1.0242</v>
      </c>
      <c r="N250" s="27">
        <v>59.25</v>
      </c>
      <c r="O250" s="27">
        <v>63.21</v>
      </c>
      <c r="P250" s="37">
        <f t="shared" si="112"/>
        <v>-0.0626</v>
      </c>
      <c r="Q250" s="29">
        <f t="shared" si="113"/>
        <v>48.66</v>
      </c>
      <c r="R250" s="29">
        <f t="shared" si="114"/>
        <v>72.69</v>
      </c>
      <c r="S250" s="29">
        <f t="shared" si="115"/>
        <v>59.25</v>
      </c>
      <c r="T250" s="29">
        <v>2938.8</v>
      </c>
      <c r="U250" s="29">
        <v>5948.57</v>
      </c>
      <c r="V250" s="29">
        <f t="shared" si="122"/>
        <v>2726.69</v>
      </c>
      <c r="W250" s="29">
        <f t="shared" si="116"/>
        <v>3009.77</v>
      </c>
      <c r="X250" s="29">
        <f t="shared" si="117"/>
        <v>-212.11</v>
      </c>
      <c r="Y250" s="29">
        <f t="shared" si="118"/>
        <v>-3221.88</v>
      </c>
      <c r="Z250" s="26"/>
      <c r="AA250" s="1"/>
      <c r="AB250" s="1"/>
      <c r="AC250" s="1"/>
      <c r="AD250" s="1"/>
      <c r="AE250" s="1"/>
      <c r="AF250" s="1"/>
      <c r="AG250" s="1"/>
      <c r="AH250" s="1"/>
      <c r="AI250" s="1"/>
    </row>
    <row r="251" ht="20" customHeight="1" spans="1:35">
      <c r="A251" s="26">
        <v>231</v>
      </c>
      <c r="B251" s="26" t="s">
        <v>660</v>
      </c>
      <c r="C251" s="26" t="s">
        <v>661</v>
      </c>
      <c r="D251" s="26" t="s">
        <v>662</v>
      </c>
      <c r="E251" s="26" t="s">
        <v>32</v>
      </c>
      <c r="F251" s="29">
        <v>29.62</v>
      </c>
      <c r="G251" s="29">
        <v>29.4</v>
      </c>
      <c r="H251" s="29">
        <v>0</v>
      </c>
      <c r="I251" s="29"/>
      <c r="J251" s="29">
        <f t="shared" si="108"/>
        <v>-0.22</v>
      </c>
      <c r="K251" s="29">
        <f t="shared" si="109"/>
        <v>-29.62</v>
      </c>
      <c r="L251" s="29">
        <f t="shared" si="110"/>
        <v>-29.4</v>
      </c>
      <c r="M251" s="37">
        <f t="shared" si="111"/>
        <v>-0.0074</v>
      </c>
      <c r="N251" s="27">
        <v>43.27</v>
      </c>
      <c r="O251" s="27">
        <v>45.5</v>
      </c>
      <c r="P251" s="37">
        <f t="shared" si="112"/>
        <v>-0.049</v>
      </c>
      <c r="Q251" s="29">
        <f t="shared" si="113"/>
        <v>35.02</v>
      </c>
      <c r="R251" s="29">
        <f t="shared" si="114"/>
        <v>52.33</v>
      </c>
      <c r="S251" s="29">
        <f t="shared" si="115"/>
        <v>43.27</v>
      </c>
      <c r="T251" s="29">
        <v>1281.48</v>
      </c>
      <c r="U251" s="29">
        <v>1272.14</v>
      </c>
      <c r="V251" s="29">
        <f t="shared" si="122"/>
        <v>-0.18</v>
      </c>
      <c r="W251" s="29">
        <f t="shared" si="116"/>
        <v>-9.34</v>
      </c>
      <c r="X251" s="29">
        <f t="shared" si="117"/>
        <v>-1281.66</v>
      </c>
      <c r="Y251" s="29">
        <f t="shared" si="118"/>
        <v>-1272.32</v>
      </c>
      <c r="Z251" s="26"/>
      <c r="AA251" s="1"/>
      <c r="AB251" s="1"/>
      <c r="AC251" s="1"/>
      <c r="AD251" s="1"/>
      <c r="AE251" s="1"/>
      <c r="AF251" s="1"/>
      <c r="AG251" s="1"/>
      <c r="AH251" s="1"/>
      <c r="AI251" s="1"/>
    </row>
    <row r="252" ht="20" customHeight="1" spans="1:35">
      <c r="A252" s="26">
        <v>232</v>
      </c>
      <c r="B252" s="26" t="s">
        <v>663</v>
      </c>
      <c r="C252" s="26" t="s">
        <v>664</v>
      </c>
      <c r="D252" s="26" t="s">
        <v>665</v>
      </c>
      <c r="E252" s="26" t="s">
        <v>32</v>
      </c>
      <c r="F252" s="29">
        <v>33.74</v>
      </c>
      <c r="G252" s="29">
        <v>125.57</v>
      </c>
      <c r="H252" s="29">
        <f>49.57+69.98</f>
        <v>119.55</v>
      </c>
      <c r="I252" s="29"/>
      <c r="J252" s="29">
        <f t="shared" si="108"/>
        <v>91.83</v>
      </c>
      <c r="K252" s="29">
        <f t="shared" si="109"/>
        <v>85.81</v>
      </c>
      <c r="L252" s="29">
        <f t="shared" si="110"/>
        <v>-6.02</v>
      </c>
      <c r="M252" s="37">
        <f t="shared" si="111"/>
        <v>2.7217</v>
      </c>
      <c r="N252" s="27">
        <v>69.35</v>
      </c>
      <c r="O252" s="27">
        <v>74.27</v>
      </c>
      <c r="P252" s="37">
        <f t="shared" si="112"/>
        <v>-0.0662</v>
      </c>
      <c r="Q252" s="29">
        <f t="shared" si="113"/>
        <v>57.17</v>
      </c>
      <c r="R252" s="29">
        <f t="shared" si="114"/>
        <v>85.41</v>
      </c>
      <c r="S252" s="29">
        <f t="shared" si="115"/>
        <v>69.35</v>
      </c>
      <c r="T252" s="29">
        <v>2339.87</v>
      </c>
      <c r="U252" s="29">
        <v>8708.14</v>
      </c>
      <c r="V252" s="29">
        <f t="shared" si="122"/>
        <v>8290.79</v>
      </c>
      <c r="W252" s="29">
        <f t="shared" si="116"/>
        <v>6368.27</v>
      </c>
      <c r="X252" s="29">
        <f t="shared" si="117"/>
        <v>5950.92</v>
      </c>
      <c r="Y252" s="29">
        <f t="shared" si="118"/>
        <v>-417.35</v>
      </c>
      <c r="Z252" s="26"/>
      <c r="AA252" s="1"/>
      <c r="AB252" s="1"/>
      <c r="AC252" s="1"/>
      <c r="AD252" s="1"/>
      <c r="AE252" s="1"/>
      <c r="AF252" s="1"/>
      <c r="AG252" s="1"/>
      <c r="AH252" s="1"/>
      <c r="AI252" s="1"/>
    </row>
    <row r="253" ht="20" customHeight="1" spans="1:35">
      <c r="A253" s="26">
        <v>233</v>
      </c>
      <c r="B253" s="26" t="s">
        <v>666</v>
      </c>
      <c r="C253" s="26" t="s">
        <v>141</v>
      </c>
      <c r="D253" s="26" t="s">
        <v>667</v>
      </c>
      <c r="E253" s="26" t="s">
        <v>32</v>
      </c>
      <c r="F253" s="29">
        <v>15.96</v>
      </c>
      <c r="G253" s="29">
        <v>933.23</v>
      </c>
      <c r="H253" s="29">
        <f>889.27+7.52</f>
        <v>896.79</v>
      </c>
      <c r="I253" s="29"/>
      <c r="J253" s="29">
        <f t="shared" si="108"/>
        <v>917.27</v>
      </c>
      <c r="K253" s="29">
        <f t="shared" si="109"/>
        <v>880.83</v>
      </c>
      <c r="L253" s="29">
        <f t="shared" si="110"/>
        <v>-36.44</v>
      </c>
      <c r="M253" s="37">
        <f t="shared" si="111"/>
        <v>57.4731</v>
      </c>
      <c r="N253" s="27">
        <v>64.39</v>
      </c>
      <c r="O253" s="27">
        <v>69.66</v>
      </c>
      <c r="P253" s="37">
        <f t="shared" si="112"/>
        <v>-0.0757</v>
      </c>
      <c r="Q253" s="29">
        <f t="shared" si="113"/>
        <v>53.62</v>
      </c>
      <c r="R253" s="29">
        <f t="shared" si="114"/>
        <v>80.11</v>
      </c>
      <c r="S253" s="29">
        <f t="shared" si="115"/>
        <v>64.39</v>
      </c>
      <c r="T253" s="29">
        <v>1027.66</v>
      </c>
      <c r="U253" s="29">
        <v>60090.92</v>
      </c>
      <c r="V253" s="29">
        <f t="shared" si="122"/>
        <v>57744.3</v>
      </c>
      <c r="W253" s="29">
        <f t="shared" si="116"/>
        <v>59063.26</v>
      </c>
      <c r="X253" s="29">
        <f t="shared" si="117"/>
        <v>56716.64</v>
      </c>
      <c r="Y253" s="29">
        <f t="shared" si="118"/>
        <v>-2346.62</v>
      </c>
      <c r="Z253" s="26"/>
      <c r="AA253" s="1"/>
      <c r="AB253" s="1"/>
      <c r="AC253" s="1"/>
      <c r="AD253" s="1"/>
      <c r="AE253" s="1"/>
      <c r="AF253" s="1"/>
      <c r="AG253" s="1"/>
      <c r="AH253" s="1"/>
      <c r="AI253" s="1"/>
    </row>
    <row r="254" ht="20" customHeight="1" spans="1:35">
      <c r="A254" s="26">
        <v>234</v>
      </c>
      <c r="B254" s="26" t="s">
        <v>668</v>
      </c>
      <c r="C254" s="26" t="s">
        <v>669</v>
      </c>
      <c r="D254" s="26" t="s">
        <v>670</v>
      </c>
      <c r="E254" s="26" t="s">
        <v>32</v>
      </c>
      <c r="F254" s="29">
        <v>1274.33</v>
      </c>
      <c r="G254" s="29">
        <v>736.6</v>
      </c>
      <c r="H254" s="29">
        <f>701.95</f>
        <v>701.95</v>
      </c>
      <c r="I254" s="29"/>
      <c r="J254" s="29">
        <f t="shared" si="108"/>
        <v>-537.73</v>
      </c>
      <c r="K254" s="29">
        <f t="shared" si="109"/>
        <v>-572.38</v>
      </c>
      <c r="L254" s="29">
        <f t="shared" si="110"/>
        <v>-34.65</v>
      </c>
      <c r="M254" s="37">
        <f t="shared" si="111"/>
        <v>-0.422</v>
      </c>
      <c r="N254" s="27">
        <v>62.33</v>
      </c>
      <c r="O254" s="27">
        <v>66.94</v>
      </c>
      <c r="P254" s="37">
        <f t="shared" si="112"/>
        <v>-0.0689</v>
      </c>
      <c r="Q254" s="29">
        <f t="shared" si="113"/>
        <v>51.53</v>
      </c>
      <c r="R254" s="29">
        <f t="shared" si="114"/>
        <v>76.98</v>
      </c>
      <c r="S254" s="29">
        <f t="shared" si="115"/>
        <v>62.33</v>
      </c>
      <c r="T254" s="29">
        <v>79429.11</v>
      </c>
      <c r="U254" s="29">
        <v>45912.24</v>
      </c>
      <c r="V254" s="29">
        <f t="shared" si="122"/>
        <v>43752.66</v>
      </c>
      <c r="W254" s="29">
        <f t="shared" si="116"/>
        <v>-33516.87</v>
      </c>
      <c r="X254" s="29">
        <f t="shared" si="117"/>
        <v>-35676.45</v>
      </c>
      <c r="Y254" s="29">
        <f t="shared" si="118"/>
        <v>-2159.58</v>
      </c>
      <c r="Z254" s="26"/>
      <c r="AA254" s="1"/>
      <c r="AB254" s="1"/>
      <c r="AC254" s="1"/>
      <c r="AD254" s="1"/>
      <c r="AE254" s="1"/>
      <c r="AF254" s="1"/>
      <c r="AG254" s="1"/>
      <c r="AH254" s="1"/>
      <c r="AI254" s="1"/>
    </row>
    <row r="255" ht="20" customHeight="1" spans="1:35">
      <c r="A255" s="26">
        <v>235</v>
      </c>
      <c r="B255" s="26" t="s">
        <v>671</v>
      </c>
      <c r="C255" s="26" t="s">
        <v>672</v>
      </c>
      <c r="D255" s="26" t="s">
        <v>673</v>
      </c>
      <c r="E255" s="26" t="s">
        <v>32</v>
      </c>
      <c r="F255" s="29">
        <v>208.37</v>
      </c>
      <c r="G255" s="29">
        <v>448.94</v>
      </c>
      <c r="H255" s="29">
        <f>173.62+36.08+162.51+26.92+13.23+25.53</f>
        <v>437.89</v>
      </c>
      <c r="I255" s="29"/>
      <c r="J255" s="29">
        <f t="shared" si="108"/>
        <v>240.57</v>
      </c>
      <c r="K255" s="29">
        <f t="shared" si="109"/>
        <v>229.52</v>
      </c>
      <c r="L255" s="29">
        <f t="shared" si="110"/>
        <v>-11.05</v>
      </c>
      <c r="M255" s="37">
        <f t="shared" si="111"/>
        <v>1.1545</v>
      </c>
      <c r="N255" s="27">
        <v>48.71</v>
      </c>
      <c r="O255" s="27">
        <v>69.5</v>
      </c>
      <c r="P255" s="37">
        <f t="shared" si="112"/>
        <v>-0.2991</v>
      </c>
      <c r="Q255" s="29">
        <f t="shared" si="113"/>
        <v>53.5</v>
      </c>
      <c r="R255" s="29">
        <f t="shared" si="114"/>
        <v>79.93</v>
      </c>
      <c r="S255" s="29">
        <f t="shared" si="115"/>
        <v>53.5</v>
      </c>
      <c r="T255" s="29">
        <v>10149.8</v>
      </c>
      <c r="U255" s="29">
        <v>23019.9</v>
      </c>
      <c r="V255" s="29">
        <f t="shared" si="122"/>
        <v>22429.12</v>
      </c>
      <c r="W255" s="29">
        <f t="shared" si="116"/>
        <v>12870.1</v>
      </c>
      <c r="X255" s="29">
        <f t="shared" si="117"/>
        <v>12279.32</v>
      </c>
      <c r="Y255" s="29">
        <f t="shared" si="118"/>
        <v>-590.78</v>
      </c>
      <c r="Z255" s="26"/>
      <c r="AA255" s="42"/>
      <c r="AB255" s="1"/>
      <c r="AC255" s="1"/>
      <c r="AD255" s="1"/>
      <c r="AE255" s="1"/>
      <c r="AF255" s="1"/>
      <c r="AG255" s="1"/>
      <c r="AH255" s="1"/>
      <c r="AI255" s="1"/>
    </row>
    <row r="256" ht="20" customHeight="1" spans="1:35">
      <c r="A256" s="26">
        <v>236</v>
      </c>
      <c r="B256" s="26" t="s">
        <v>674</v>
      </c>
      <c r="C256" s="26" t="s">
        <v>675</v>
      </c>
      <c r="D256" s="26" t="s">
        <v>676</v>
      </c>
      <c r="E256" s="26" t="s">
        <v>32</v>
      </c>
      <c r="F256" s="29">
        <v>376.43</v>
      </c>
      <c r="G256" s="29">
        <v>502.95</v>
      </c>
      <c r="H256" s="29">
        <f>487.65</f>
        <v>487.65</v>
      </c>
      <c r="I256" s="29"/>
      <c r="J256" s="29">
        <f t="shared" si="108"/>
        <v>126.52</v>
      </c>
      <c r="K256" s="29">
        <f t="shared" si="109"/>
        <v>111.22</v>
      </c>
      <c r="L256" s="29">
        <f t="shared" si="110"/>
        <v>-15.3</v>
      </c>
      <c r="M256" s="37">
        <f t="shared" si="111"/>
        <v>0.3361</v>
      </c>
      <c r="N256" s="27">
        <v>174.23</v>
      </c>
      <c r="O256" s="27">
        <v>190.32</v>
      </c>
      <c r="P256" s="37">
        <f t="shared" si="112"/>
        <v>-0.0845</v>
      </c>
      <c r="Q256" s="29">
        <f t="shared" si="113"/>
        <v>146.5</v>
      </c>
      <c r="R256" s="29">
        <f t="shared" si="114"/>
        <v>218.87</v>
      </c>
      <c r="S256" s="29">
        <f t="shared" si="115"/>
        <v>174.23</v>
      </c>
      <c r="T256" s="29">
        <v>65585.4</v>
      </c>
      <c r="U256" s="29">
        <v>87629.66</v>
      </c>
      <c r="V256" s="29">
        <f t="shared" si="122"/>
        <v>84963.26</v>
      </c>
      <c r="W256" s="29">
        <f t="shared" si="116"/>
        <v>22044.26</v>
      </c>
      <c r="X256" s="29">
        <f t="shared" si="117"/>
        <v>19377.86</v>
      </c>
      <c r="Y256" s="29">
        <f t="shared" si="118"/>
        <v>-2666.4</v>
      </c>
      <c r="Z256" s="26"/>
      <c r="AA256" s="1"/>
      <c r="AB256" s="1"/>
      <c r="AC256" s="1"/>
      <c r="AD256" s="1"/>
      <c r="AE256" s="1"/>
      <c r="AF256" s="1"/>
      <c r="AG256" s="1"/>
      <c r="AH256" s="1"/>
      <c r="AI256" s="1"/>
    </row>
    <row r="257" s="7" customFormat="1" ht="20" customHeight="1" spans="1:35">
      <c r="A257" s="26">
        <v>237</v>
      </c>
      <c r="B257" s="26" t="s">
        <v>677</v>
      </c>
      <c r="C257" s="26" t="s">
        <v>678</v>
      </c>
      <c r="D257" s="26" t="s">
        <v>679</v>
      </c>
      <c r="E257" s="26" t="s">
        <v>32</v>
      </c>
      <c r="F257" s="29">
        <v>4489.67</v>
      </c>
      <c r="G257" s="29">
        <v>5122.46</v>
      </c>
      <c r="H257" s="29">
        <f>4994.97</f>
        <v>4994.97</v>
      </c>
      <c r="I257" s="29"/>
      <c r="J257" s="29">
        <f t="shared" si="108"/>
        <v>632.79</v>
      </c>
      <c r="K257" s="29">
        <f t="shared" si="109"/>
        <v>505.3</v>
      </c>
      <c r="L257" s="29">
        <f t="shared" si="110"/>
        <v>-127.49</v>
      </c>
      <c r="M257" s="37">
        <f t="shared" si="111"/>
        <v>0.1409</v>
      </c>
      <c r="N257" s="27">
        <v>35.03</v>
      </c>
      <c r="O257" s="27">
        <v>37.72</v>
      </c>
      <c r="P257" s="37">
        <f t="shared" si="112"/>
        <v>-0.0713</v>
      </c>
      <c r="Q257" s="29">
        <f t="shared" si="113"/>
        <v>29.04</v>
      </c>
      <c r="R257" s="29">
        <f t="shared" si="114"/>
        <v>43.38</v>
      </c>
      <c r="S257" s="29">
        <f t="shared" si="115"/>
        <v>35.03</v>
      </c>
      <c r="T257" s="29">
        <v>157273</v>
      </c>
      <c r="U257" s="29">
        <v>179439.77</v>
      </c>
      <c r="V257" s="29">
        <f t="shared" si="122"/>
        <v>174973.66</v>
      </c>
      <c r="W257" s="29">
        <f t="shared" si="116"/>
        <v>22166.77</v>
      </c>
      <c r="X257" s="29">
        <f t="shared" si="117"/>
        <v>17700.66</v>
      </c>
      <c r="Y257" s="29">
        <f t="shared" si="118"/>
        <v>-4466.11</v>
      </c>
      <c r="Z257" s="26"/>
      <c r="AA257" s="42" t="s">
        <v>680</v>
      </c>
      <c r="AB257" s="1"/>
      <c r="AC257" s="1"/>
      <c r="AD257" s="1"/>
      <c r="AE257" s="1"/>
      <c r="AF257" s="1"/>
      <c r="AG257" s="1"/>
      <c r="AH257" s="1"/>
      <c r="AI257" s="1"/>
    </row>
    <row r="258" ht="20" customHeight="1" spans="1:35">
      <c r="A258" s="26">
        <v>238</v>
      </c>
      <c r="B258" s="26" t="s">
        <v>681</v>
      </c>
      <c r="C258" s="26" t="s">
        <v>682</v>
      </c>
      <c r="D258" s="26" t="s">
        <v>683</v>
      </c>
      <c r="E258" s="26" t="s">
        <v>684</v>
      </c>
      <c r="F258" s="29">
        <v>1</v>
      </c>
      <c r="G258" s="29">
        <v>1</v>
      </c>
      <c r="H258" s="31">
        <v>1</v>
      </c>
      <c r="I258" s="31"/>
      <c r="J258" s="29">
        <f t="shared" si="108"/>
        <v>0</v>
      </c>
      <c r="K258" s="29">
        <f t="shared" si="109"/>
        <v>0</v>
      </c>
      <c r="L258" s="29">
        <f t="shared" si="110"/>
        <v>0</v>
      </c>
      <c r="M258" s="37">
        <f t="shared" si="111"/>
        <v>0</v>
      </c>
      <c r="N258" s="27">
        <v>40711.69</v>
      </c>
      <c r="O258" s="27">
        <v>57645.41</v>
      </c>
      <c r="P258" s="37">
        <f t="shared" si="112"/>
        <v>-0.2938</v>
      </c>
      <c r="Q258" s="29">
        <f t="shared" si="113"/>
        <v>44373.13</v>
      </c>
      <c r="R258" s="29">
        <f t="shared" si="114"/>
        <v>66292.22</v>
      </c>
      <c r="S258" s="29">
        <f t="shared" si="115"/>
        <v>44373.13</v>
      </c>
      <c r="T258" s="29">
        <v>40711.69</v>
      </c>
      <c r="U258" s="29">
        <v>40711.69</v>
      </c>
      <c r="V258" s="29">
        <f t="shared" si="122"/>
        <v>40711.69</v>
      </c>
      <c r="W258" s="29">
        <f t="shared" si="116"/>
        <v>0</v>
      </c>
      <c r="X258" s="29">
        <f t="shared" si="117"/>
        <v>0</v>
      </c>
      <c r="Y258" s="29">
        <f t="shared" si="118"/>
        <v>0</v>
      </c>
      <c r="Z258" s="26"/>
      <c r="AA258" s="1"/>
      <c r="AB258" s="1"/>
      <c r="AC258" s="1"/>
      <c r="AD258" s="1"/>
      <c r="AE258" s="1"/>
      <c r="AF258" s="1"/>
      <c r="AG258" s="1"/>
      <c r="AH258" s="1"/>
      <c r="AI258" s="1"/>
    </row>
    <row r="259" ht="20" customHeight="1" spans="1:35">
      <c r="A259" s="26" t="s">
        <v>685</v>
      </c>
      <c r="B259" s="26"/>
      <c r="C259" s="26" t="s">
        <v>686</v>
      </c>
      <c r="D259" s="5"/>
      <c r="E259" s="26"/>
      <c r="F259" s="27"/>
      <c r="G259" s="27"/>
      <c r="H259" s="29"/>
      <c r="I259" s="29"/>
      <c r="J259" s="27"/>
      <c r="K259" s="29"/>
      <c r="L259" s="29"/>
      <c r="M259" s="37"/>
      <c r="N259" s="27"/>
      <c r="O259" s="27"/>
      <c r="P259" s="37"/>
      <c r="Q259" s="29"/>
      <c r="R259" s="29"/>
      <c r="S259" s="29"/>
      <c r="T259" s="29">
        <v>16947572.28</v>
      </c>
      <c r="U259" s="29">
        <v>18369152.96</v>
      </c>
      <c r="V259" s="29">
        <f>V188+V189</f>
        <v>17155610.09</v>
      </c>
      <c r="W259" s="29">
        <f>+U259-T259</f>
        <v>1421580.68</v>
      </c>
      <c r="X259" s="29">
        <f>V259-T259</f>
        <v>208037.81</v>
      </c>
      <c r="Y259" s="29">
        <f>V259-U259</f>
        <v>-1213542.87</v>
      </c>
      <c r="Z259" s="57"/>
      <c r="AA259" s="58"/>
      <c r="AB259" s="7"/>
      <c r="AC259" s="1"/>
      <c r="AD259" s="1"/>
      <c r="AE259" s="1"/>
      <c r="AF259" s="1"/>
      <c r="AG259" s="1"/>
      <c r="AH259" s="1"/>
      <c r="AI259" s="1"/>
    </row>
    <row r="260" ht="20" customHeight="1" spans="1:35">
      <c r="A260" s="26" t="s">
        <v>687</v>
      </c>
      <c r="B260" s="26"/>
      <c r="C260" s="26" t="s">
        <v>688</v>
      </c>
      <c r="D260" s="5"/>
      <c r="E260" s="26"/>
      <c r="F260" s="27"/>
      <c r="G260" s="27"/>
      <c r="H260" s="29"/>
      <c r="I260" s="29"/>
      <c r="J260" s="27"/>
      <c r="K260" s="29"/>
      <c r="L260" s="29"/>
      <c r="M260" s="37"/>
      <c r="N260" s="27"/>
      <c r="O260" s="27"/>
      <c r="P260" s="37"/>
      <c r="Q260" s="29"/>
      <c r="R260" s="29"/>
      <c r="S260" s="29"/>
      <c r="T260" s="29">
        <v>1525281.51</v>
      </c>
      <c r="U260" s="29">
        <v>1653223.77</v>
      </c>
      <c r="V260" s="29">
        <f>V259*0.09</f>
        <v>1544004.91</v>
      </c>
      <c r="W260" s="29">
        <f>+U260-T260</f>
        <v>127942.26</v>
      </c>
      <c r="X260" s="29">
        <f>V260-T260</f>
        <v>18723.4</v>
      </c>
      <c r="Y260" s="29">
        <f>V260-U260</f>
        <v>-109218.86</v>
      </c>
      <c r="Z260" s="57"/>
      <c r="AA260" s="58"/>
      <c r="AB260" s="7"/>
      <c r="AC260" s="1"/>
      <c r="AD260" s="1"/>
      <c r="AE260" s="1"/>
      <c r="AF260" s="1"/>
      <c r="AG260" s="1"/>
      <c r="AH260" s="1"/>
      <c r="AI260" s="1"/>
    </row>
    <row r="261" s="13" customFormat="1" ht="20" customHeight="1" spans="1:35">
      <c r="A261" s="5" t="s">
        <v>689</v>
      </c>
      <c r="B261" s="5"/>
      <c r="C261" s="5" t="s">
        <v>690</v>
      </c>
      <c r="D261" s="5"/>
      <c r="E261" s="5"/>
      <c r="F261" s="51"/>
      <c r="G261" s="51"/>
      <c r="H261" s="50"/>
      <c r="I261" s="50"/>
      <c r="J261" s="51"/>
      <c r="K261" s="50"/>
      <c r="L261" s="29"/>
      <c r="M261" s="55"/>
      <c r="N261" s="51"/>
      <c r="O261" s="51"/>
      <c r="P261" s="55"/>
      <c r="Q261" s="50"/>
      <c r="R261" s="50"/>
      <c r="S261" s="50"/>
      <c r="T261" s="50">
        <v>18472853.78</v>
      </c>
      <c r="U261" s="50">
        <v>20022376.73</v>
      </c>
      <c r="V261" s="29">
        <f>V259+V260</f>
        <v>18699615</v>
      </c>
      <c r="W261" s="29">
        <f>+U261-T261</f>
        <v>1549522.95</v>
      </c>
      <c r="X261" s="29">
        <f>V261-T261</f>
        <v>226761.22</v>
      </c>
      <c r="Y261" s="29">
        <f>V261-U261</f>
        <v>-1322761.73</v>
      </c>
      <c r="Z261" s="59"/>
      <c r="AA261" s="60"/>
      <c r="AB261" s="7"/>
      <c r="AC261" s="1"/>
      <c r="AD261" s="1"/>
      <c r="AE261" s="1"/>
      <c r="AF261" s="1"/>
      <c r="AG261" s="1"/>
      <c r="AH261" s="1"/>
      <c r="AI261" s="1"/>
    </row>
    <row r="262" s="13" customFormat="1" ht="20" customHeight="1" spans="1:35">
      <c r="A262" s="5"/>
      <c r="B262" s="5"/>
      <c r="C262" s="5"/>
      <c r="D262" s="5"/>
      <c r="E262" s="5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5"/>
      <c r="AA262" s="1"/>
      <c r="AB262" s="1"/>
      <c r="AC262" s="1"/>
      <c r="AD262" s="1"/>
      <c r="AE262" s="1"/>
      <c r="AF262" s="1"/>
      <c r="AG262" s="1"/>
      <c r="AH262" s="1"/>
      <c r="AI262" s="1"/>
    </row>
    <row r="263" s="14" customFormat="1" ht="20" customHeight="1" spans="1:35">
      <c r="A263" s="5"/>
      <c r="B263" s="5"/>
      <c r="C263" s="5"/>
      <c r="D263" s="5"/>
      <c r="E263" s="5"/>
      <c r="F263" s="6"/>
      <c r="G263" s="6"/>
      <c r="H263" s="29">
        <f>8676-3554.49</f>
        <v>5121.51</v>
      </c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5"/>
      <c r="AA263" s="1"/>
      <c r="AB263" s="1"/>
      <c r="AC263" s="1"/>
      <c r="AD263" s="1"/>
      <c r="AE263" s="1"/>
      <c r="AF263" s="1"/>
      <c r="AG263" s="1"/>
      <c r="AH263" s="1"/>
      <c r="AI263" s="1"/>
    </row>
    <row r="264" ht="20" customHeight="1" spans="1:35">
      <c r="A264" s="5"/>
      <c r="B264" s="5"/>
      <c r="C264" s="5"/>
      <c r="D264" s="5"/>
      <c r="E264" s="5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5"/>
      <c r="AA264" s="1"/>
      <c r="AB264" s="1"/>
      <c r="AC264" s="1"/>
      <c r="AD264" s="1"/>
      <c r="AE264" s="1"/>
      <c r="AF264" s="1"/>
      <c r="AG264" s="1"/>
      <c r="AH264" s="1"/>
      <c r="AI264" s="1"/>
    </row>
    <row r="265" ht="20" customHeight="1" spans="1:35">
      <c r="A265" s="5"/>
      <c r="B265" s="5"/>
      <c r="C265" s="5"/>
      <c r="D265" s="5"/>
      <c r="E265" s="5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5"/>
      <c r="AA265" s="1"/>
      <c r="AB265" s="1"/>
      <c r="AC265" s="1"/>
      <c r="AD265" s="1"/>
      <c r="AE265" s="1"/>
      <c r="AF265" s="1"/>
      <c r="AG265" s="1"/>
      <c r="AH265" s="1"/>
      <c r="AI265" s="1"/>
    </row>
    <row r="266" ht="20" customHeight="1" spans="1:35">
      <c r="A266" s="5"/>
      <c r="B266" s="5"/>
      <c r="C266" s="5"/>
      <c r="D266" s="5"/>
      <c r="E266" s="5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6">
        <f>Y261/U261</f>
        <v>-0.0661</v>
      </c>
      <c r="Z266" s="5"/>
      <c r="AA266" s="1"/>
      <c r="AB266" s="1"/>
      <c r="AC266" s="1"/>
      <c r="AD266" s="1"/>
      <c r="AE266" s="1"/>
      <c r="AF266" s="1"/>
      <c r="AG266" s="1"/>
      <c r="AH266" s="1"/>
      <c r="AI266" s="1"/>
    </row>
  </sheetData>
  <autoFilter xmlns:etc="http://www.wps.cn/officeDocument/2017/etCustomData" ref="A3:AI261" etc:filterBottomFollowUsedRange="0">
    <extLst/>
  </autoFilter>
  <mergeCells count="3">
    <mergeCell ref="A1:Z1"/>
    <mergeCell ref="A2:D2"/>
    <mergeCell ref="N2:Z2"/>
  </mergeCells>
  <printOptions horizontalCentered="1"/>
  <pageMargins left="0.118055555555556" right="0.118055555555556" top="0.594444444444444" bottom="0" header="0.594444444444444" footer="0"/>
  <pageSetup paperSize="9" scale="32" fitToHeight="0" orientation="portrait" horizontalDpi="600"/>
  <headerFooter>
    <oddFooter>&amp;C第 &amp;P 页，共 &amp;N 页</oddFooter>
  </headerFooter>
  <rowBreaks count="2" manualBreakCount="2">
    <brk id="234" max="25" man="1"/>
    <brk id="263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47"/>
  <sheetViews>
    <sheetView zoomScale="85" zoomScaleNormal="85" topLeftCell="A198" workbookViewId="0">
      <selection activeCell="X221" sqref="X221"/>
    </sheetView>
  </sheetViews>
  <sheetFormatPr defaultColWidth="10.5" defaultRowHeight="11.25"/>
  <cols>
    <col min="1" max="1" width="5" style="7" customWidth="1"/>
    <col min="2" max="2" width="15.8222222222222" style="7" customWidth="1"/>
    <col min="3" max="3" width="17.3" style="7" customWidth="1"/>
    <col min="4" max="4" width="29.5555555555556" style="7" customWidth="1"/>
    <col min="5" max="5" width="6.22222222222222" style="7" customWidth="1"/>
    <col min="6" max="6" width="11.8333333333333" style="15" customWidth="1"/>
    <col min="7" max="7" width="12" style="15" customWidth="1"/>
    <col min="8" max="8" width="13.8333333333333" style="16" customWidth="1"/>
    <col min="9" max="9" width="12.6444444444444" style="15" customWidth="1" outlineLevel="1"/>
    <col min="10" max="10" width="12.6444444444444" style="15" customWidth="1"/>
    <col min="11" max="11" width="12.6444444444444" style="15" customWidth="1" outlineLevel="1"/>
    <col min="12" max="12" width="11.9777777777778" style="15" customWidth="1"/>
    <col min="13" max="15" width="11.2777777777778" style="15" customWidth="1"/>
    <col min="16" max="16" width="14.3888888888889" style="15" customWidth="1"/>
    <col min="17" max="17" width="15.1666666666667" style="15" customWidth="1"/>
    <col min="18" max="18" width="11.2777777777778" style="15" customWidth="1"/>
    <col min="19" max="19" width="21" style="15" customWidth="1"/>
    <col min="20" max="20" width="22.8333333333333" style="15" customWidth="1"/>
    <col min="21" max="21" width="18.8333333333333" style="17" customWidth="1"/>
    <col min="22" max="22" width="16.7111111111111" style="18" customWidth="1"/>
    <col min="23" max="23" width="17.1666666666667" style="17" customWidth="1"/>
    <col min="24" max="24" width="18.1666666666667" style="19" customWidth="1" outlineLevel="1"/>
    <col min="25" max="25" width="14.1666666666667" style="15" customWidth="1"/>
    <col min="26" max="26" width="15" style="7" customWidth="1"/>
    <col min="27" max="16384" width="10.5" style="7" customWidth="1"/>
  </cols>
  <sheetData>
    <row r="1" s="7" customFormat="1" ht="32" customHeight="1" spans="1:27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3"/>
      <c r="Z1" s="1"/>
      <c r="AA1" s="1"/>
    </row>
    <row r="2" s="7" customFormat="1" ht="16" customHeight="1" spans="1:27">
      <c r="A2" s="22" t="s">
        <v>691</v>
      </c>
      <c r="B2" s="21"/>
      <c r="C2" s="21"/>
      <c r="D2" s="23"/>
      <c r="E2" s="22"/>
      <c r="F2" s="23"/>
      <c r="G2" s="22"/>
      <c r="H2" s="24"/>
      <c r="I2" s="22"/>
      <c r="J2" s="22"/>
      <c r="K2" s="22"/>
      <c r="L2" s="22"/>
      <c r="M2" s="22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3"/>
      <c r="Z2" s="1"/>
      <c r="AA2" s="1"/>
    </row>
    <row r="3" s="7" customFormat="1" ht="99" spans="1:27">
      <c r="A3" s="25" t="s">
        <v>2</v>
      </c>
      <c r="B3" s="25" t="s">
        <v>3</v>
      </c>
      <c r="C3" s="25" t="s">
        <v>4</v>
      </c>
      <c r="D3" s="25" t="s">
        <v>5</v>
      </c>
      <c r="E3" s="25" t="s">
        <v>6</v>
      </c>
      <c r="F3" s="25" t="s">
        <v>7</v>
      </c>
      <c r="G3" s="2" t="s">
        <v>8</v>
      </c>
      <c r="H3" s="2" t="s">
        <v>9</v>
      </c>
      <c r="I3" s="2" t="s">
        <v>11</v>
      </c>
      <c r="J3" s="2" t="s">
        <v>12</v>
      </c>
      <c r="K3" s="2" t="s">
        <v>13</v>
      </c>
      <c r="L3" s="2" t="s">
        <v>14</v>
      </c>
      <c r="M3" s="25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5" t="s">
        <v>21</v>
      </c>
      <c r="T3" s="2" t="s">
        <v>22</v>
      </c>
      <c r="U3" s="2" t="s">
        <v>23</v>
      </c>
      <c r="V3" s="40" t="s">
        <v>24</v>
      </c>
      <c r="W3" s="40" t="s">
        <v>25</v>
      </c>
      <c r="X3" s="40" t="s">
        <v>26</v>
      </c>
      <c r="Y3" s="25" t="s">
        <v>27</v>
      </c>
      <c r="Z3" s="42"/>
      <c r="AA3" s="42"/>
    </row>
    <row r="4" s="7" customFormat="1" ht="20" customHeight="1" spans="1:27">
      <c r="A4" s="26"/>
      <c r="B4" s="26"/>
      <c r="C4" s="26" t="s">
        <v>28</v>
      </c>
      <c r="D4" s="26"/>
      <c r="E4" s="26"/>
      <c r="F4" s="27"/>
      <c r="G4" s="27"/>
      <c r="H4" s="28"/>
      <c r="I4" s="27"/>
      <c r="J4" s="27"/>
      <c r="K4" s="27"/>
      <c r="L4" s="27"/>
      <c r="M4" s="27"/>
      <c r="N4" s="27"/>
      <c r="O4" s="27"/>
      <c r="P4" s="27"/>
      <c r="Q4" s="27"/>
      <c r="R4" s="27"/>
      <c r="S4" s="27">
        <v>45309.76</v>
      </c>
      <c r="T4" s="29">
        <f>+SUM(T5:T9)</f>
        <v>45309.76</v>
      </c>
      <c r="U4" s="30">
        <f>+SUM(U5:U9)</f>
        <v>45309.76</v>
      </c>
      <c r="V4" s="29"/>
      <c r="W4" s="30"/>
      <c r="X4" s="41">
        <f>U4-T4</f>
        <v>0</v>
      </c>
      <c r="Y4" s="26"/>
      <c r="Z4" s="1"/>
      <c r="AA4" s="1"/>
    </row>
    <row r="5" s="7" customFormat="1" ht="20" customHeight="1" spans="1:27">
      <c r="A5" s="26">
        <v>1</v>
      </c>
      <c r="B5" s="26" t="s">
        <v>29</v>
      </c>
      <c r="C5" s="26" t="s">
        <v>30</v>
      </c>
      <c r="D5" s="26" t="s">
        <v>31</v>
      </c>
      <c r="E5" s="26" t="s">
        <v>32</v>
      </c>
      <c r="F5" s="27">
        <v>1860.25</v>
      </c>
      <c r="G5" s="29">
        <v>1860.25</v>
      </c>
      <c r="H5" s="30">
        <v>1860.25</v>
      </c>
      <c r="I5" s="29">
        <f>G5-F5</f>
        <v>0</v>
      </c>
      <c r="J5" s="29">
        <f>H5-F5</f>
        <v>0</v>
      </c>
      <c r="K5" s="29">
        <f>+H5-G5</f>
        <v>0</v>
      </c>
      <c r="L5" s="37">
        <f>J5/F5</f>
        <v>0</v>
      </c>
      <c r="M5" s="27">
        <v>2.32</v>
      </c>
      <c r="N5" s="27">
        <v>2.49</v>
      </c>
      <c r="O5" s="37">
        <f>(M5-N5)/N5</f>
        <v>-0.0683</v>
      </c>
      <c r="P5" s="29">
        <f>N5*0.9056*0.85</f>
        <v>1.92</v>
      </c>
      <c r="Q5" s="29">
        <f>N5*1.15</f>
        <v>2.86</v>
      </c>
      <c r="R5" s="29">
        <f>IF(M5&lt;N5*0.9056*0.85,N5*0.9056*0.85,IF(M5&gt;N5*1.15,N5*1.15,M5))</f>
        <v>2.32</v>
      </c>
      <c r="S5" s="27">
        <f>+F5*M5</f>
        <v>4315.78</v>
      </c>
      <c r="T5" s="29">
        <f>S5+R5*I5</f>
        <v>4315.78</v>
      </c>
      <c r="U5" s="30">
        <f>S5+R5*J5</f>
        <v>4315.78</v>
      </c>
      <c r="V5" s="29">
        <f t="shared" ref="V5:V68" si="0">U5-S5</f>
        <v>0</v>
      </c>
      <c r="W5" s="30">
        <f t="shared" ref="W5:W68" si="1">+U5-T5</f>
        <v>0</v>
      </c>
      <c r="X5" s="41">
        <f>+U5-T5</f>
        <v>0</v>
      </c>
      <c r="Y5" s="26" t="s">
        <v>33</v>
      </c>
      <c r="Z5" s="1"/>
      <c r="AA5" s="1"/>
    </row>
    <row r="6" s="7" customFormat="1" ht="20" customHeight="1" spans="1:27">
      <c r="A6" s="26">
        <v>2</v>
      </c>
      <c r="B6" s="26" t="s">
        <v>38</v>
      </c>
      <c r="C6" s="26" t="s">
        <v>39</v>
      </c>
      <c r="D6" s="26" t="s">
        <v>40</v>
      </c>
      <c r="E6" s="26" t="s">
        <v>37</v>
      </c>
      <c r="F6" s="27">
        <v>371.95</v>
      </c>
      <c r="G6" s="29">
        <v>371.95</v>
      </c>
      <c r="H6" s="30">
        <v>371.95</v>
      </c>
      <c r="I6" s="29">
        <f>G6-F6</f>
        <v>0</v>
      </c>
      <c r="J6" s="29">
        <f>H6-F6</f>
        <v>0</v>
      </c>
      <c r="K6" s="29">
        <f>+H6-G6</f>
        <v>0</v>
      </c>
      <c r="L6" s="37">
        <f>J6/F6</f>
        <v>0</v>
      </c>
      <c r="M6" s="27">
        <v>9.86</v>
      </c>
      <c r="N6" s="27">
        <v>9.32</v>
      </c>
      <c r="O6" s="37">
        <f>(M6-N6)/N6</f>
        <v>0.0579</v>
      </c>
      <c r="P6" s="29">
        <f>N6*0.9056*0.85</f>
        <v>7.17</v>
      </c>
      <c r="Q6" s="29">
        <f>N6*1.15</f>
        <v>10.72</v>
      </c>
      <c r="R6" s="29">
        <f>IF(M6&lt;N6*0.9056*0.85,N6*0.9056*0.85,IF(M6&gt;N6*1.15,N6*1.15,M6))</f>
        <v>9.86</v>
      </c>
      <c r="S6" s="27">
        <v>3667.43</v>
      </c>
      <c r="T6" s="29">
        <f>S6+R6*I6</f>
        <v>3667.43</v>
      </c>
      <c r="U6" s="30">
        <f>S6+R6*J6</f>
        <v>3667.43</v>
      </c>
      <c r="V6" s="29">
        <f t="shared" si="0"/>
        <v>0</v>
      </c>
      <c r="W6" s="30">
        <f t="shared" si="1"/>
        <v>0</v>
      </c>
      <c r="X6" s="41">
        <f>+U6-T6</f>
        <v>0</v>
      </c>
      <c r="Y6" s="5" t="s">
        <v>33</v>
      </c>
      <c r="Z6" s="1"/>
      <c r="AA6" s="1"/>
    </row>
    <row r="7" s="7" customFormat="1" ht="20" customHeight="1" spans="1:27">
      <c r="A7" s="26">
        <v>3</v>
      </c>
      <c r="B7" s="26" t="s">
        <v>692</v>
      </c>
      <c r="C7" s="26" t="s">
        <v>42</v>
      </c>
      <c r="D7" s="26" t="s">
        <v>40</v>
      </c>
      <c r="E7" s="26" t="s">
        <v>37</v>
      </c>
      <c r="F7" s="27">
        <v>872.09</v>
      </c>
      <c r="G7" s="29">
        <v>872.09</v>
      </c>
      <c r="H7" s="30">
        <v>872.09</v>
      </c>
      <c r="I7" s="29">
        <f>G7-F7</f>
        <v>0</v>
      </c>
      <c r="J7" s="29">
        <f>H7-F7</f>
        <v>0</v>
      </c>
      <c r="K7" s="29">
        <f>+H7-G7</f>
        <v>0</v>
      </c>
      <c r="L7" s="37">
        <f>J7/F7</f>
        <v>0</v>
      </c>
      <c r="M7" s="27">
        <v>8.25</v>
      </c>
      <c r="N7" s="27">
        <v>9.45</v>
      </c>
      <c r="O7" s="37">
        <f>(M7-N7)/N7</f>
        <v>-0.127</v>
      </c>
      <c r="P7" s="29">
        <f>N7*0.9056*0.85</f>
        <v>7.27</v>
      </c>
      <c r="Q7" s="29">
        <f>N7*1.15</f>
        <v>10.87</v>
      </c>
      <c r="R7" s="29">
        <f>IF(M7&lt;N7*0.9056*0.85,N7*0.9056*0.85,IF(M7&gt;N7*1.15,N7*1.15,M7))</f>
        <v>8.25</v>
      </c>
      <c r="S7" s="27">
        <v>7194.74</v>
      </c>
      <c r="T7" s="29">
        <f>S7+R7*I7</f>
        <v>7194.74</v>
      </c>
      <c r="U7" s="30">
        <f>S7+R7*J7</f>
        <v>7194.74</v>
      </c>
      <c r="V7" s="29">
        <f t="shared" si="0"/>
        <v>0</v>
      </c>
      <c r="W7" s="30">
        <f t="shared" si="1"/>
        <v>0</v>
      </c>
      <c r="X7" s="41">
        <f>+U7-T7</f>
        <v>0</v>
      </c>
      <c r="Y7" s="5" t="s">
        <v>33</v>
      </c>
      <c r="Z7" s="1"/>
      <c r="AA7" s="1"/>
    </row>
    <row r="8" s="7" customFormat="1" ht="20" customHeight="1" spans="1:27">
      <c r="A8" s="26">
        <v>4</v>
      </c>
      <c r="B8" s="26" t="s">
        <v>43</v>
      </c>
      <c r="C8" s="26" t="s">
        <v>44</v>
      </c>
      <c r="D8" s="26" t="s">
        <v>45</v>
      </c>
      <c r="E8" s="26" t="s">
        <v>37</v>
      </c>
      <c r="F8" s="27">
        <v>851.99</v>
      </c>
      <c r="G8" s="29">
        <v>851.99</v>
      </c>
      <c r="H8" s="30">
        <v>851.99</v>
      </c>
      <c r="I8" s="29">
        <f>G8-F8</f>
        <v>0</v>
      </c>
      <c r="J8" s="29">
        <f>H8-F8</f>
        <v>0</v>
      </c>
      <c r="K8" s="29">
        <f>+H8-G8</f>
        <v>0</v>
      </c>
      <c r="L8" s="37">
        <f>J8/F8</f>
        <v>0</v>
      </c>
      <c r="M8" s="27">
        <v>17.92</v>
      </c>
      <c r="N8" s="27">
        <v>19.89</v>
      </c>
      <c r="O8" s="37">
        <f>(M8-N8)/N8</f>
        <v>-0.099</v>
      </c>
      <c r="P8" s="29">
        <f>N8*0.9056*0.85</f>
        <v>15.31</v>
      </c>
      <c r="Q8" s="29">
        <f>N8*1.15</f>
        <v>22.87</v>
      </c>
      <c r="R8" s="29">
        <f>IF(M8&lt;N8*0.9056*0.85,N8*0.9056*0.85,IF(M8&gt;N8*1.15,N8*1.15,M8))</f>
        <v>17.92</v>
      </c>
      <c r="S8" s="27">
        <v>15267.66</v>
      </c>
      <c r="T8" s="29">
        <f>S8+R8*I8</f>
        <v>15267.66</v>
      </c>
      <c r="U8" s="30">
        <f>S8+R8*J8</f>
        <v>15267.66</v>
      </c>
      <c r="V8" s="29">
        <f t="shared" si="0"/>
        <v>0</v>
      </c>
      <c r="W8" s="30">
        <f t="shared" si="1"/>
        <v>0</v>
      </c>
      <c r="X8" s="41">
        <f>+U8-T8</f>
        <v>0</v>
      </c>
      <c r="Y8" s="5" t="s">
        <v>33</v>
      </c>
      <c r="Z8" s="1"/>
      <c r="AA8" s="1"/>
    </row>
    <row r="9" s="7" customFormat="1" ht="20" customHeight="1" spans="1:27">
      <c r="A9" s="26">
        <v>5</v>
      </c>
      <c r="B9" s="26" t="s">
        <v>693</v>
      </c>
      <c r="C9" s="26" t="s">
        <v>47</v>
      </c>
      <c r="D9" s="26" t="s">
        <v>694</v>
      </c>
      <c r="E9" s="26" t="s">
        <v>37</v>
      </c>
      <c r="F9" s="27">
        <v>264.2515</v>
      </c>
      <c r="G9" s="29">
        <v>264.25</v>
      </c>
      <c r="H9" s="30">
        <v>264.25</v>
      </c>
      <c r="I9" s="29">
        <f>G9-F9</f>
        <v>0</v>
      </c>
      <c r="J9" s="29">
        <f>H9-F9</f>
        <v>0</v>
      </c>
      <c r="K9" s="29">
        <f>+H9-G9</f>
        <v>0</v>
      </c>
      <c r="L9" s="37">
        <f>J9/F9</f>
        <v>0</v>
      </c>
      <c r="M9" s="27">
        <v>56.25</v>
      </c>
      <c r="N9" s="27">
        <v>59.2</v>
      </c>
      <c r="O9" s="37">
        <f>(M9-N9)/N9</f>
        <v>-0.0498</v>
      </c>
      <c r="P9" s="29">
        <f>N9*0.9056*0.85</f>
        <v>45.57</v>
      </c>
      <c r="Q9" s="29">
        <f>N9*1.15</f>
        <v>68.08</v>
      </c>
      <c r="R9" s="29">
        <f>IF(M9&lt;N9*0.9056*0.85,N9*0.9056*0.85,IF(M9&gt;N9*1.15,N9*1.15,M9))</f>
        <v>56.25</v>
      </c>
      <c r="S9" s="27">
        <v>14864.15</v>
      </c>
      <c r="T9" s="29">
        <f>S9+R9*I9</f>
        <v>14864.15</v>
      </c>
      <c r="U9" s="30">
        <f>S9+R9*J9</f>
        <v>14864.15</v>
      </c>
      <c r="V9" s="29">
        <f t="shared" si="0"/>
        <v>0</v>
      </c>
      <c r="W9" s="30">
        <f t="shared" si="1"/>
        <v>0</v>
      </c>
      <c r="X9" s="41">
        <f>+U9-T9</f>
        <v>0</v>
      </c>
      <c r="Y9" s="5" t="s">
        <v>33</v>
      </c>
      <c r="Z9" s="1"/>
      <c r="AA9" s="1"/>
    </row>
    <row r="10" s="7" customFormat="1" ht="20" customHeight="1" spans="1:27">
      <c r="A10" s="26"/>
      <c r="B10" s="26"/>
      <c r="C10" s="26" t="s">
        <v>49</v>
      </c>
      <c r="D10" s="26"/>
      <c r="E10" s="26"/>
      <c r="F10" s="27"/>
      <c r="G10" s="29"/>
      <c r="H10" s="28"/>
      <c r="I10" s="29"/>
      <c r="J10" s="29"/>
      <c r="K10" s="29"/>
      <c r="L10" s="37"/>
      <c r="M10" s="27"/>
      <c r="N10" s="27"/>
      <c r="O10" s="27"/>
      <c r="P10" s="27"/>
      <c r="Q10" s="27"/>
      <c r="R10" s="29"/>
      <c r="S10" s="29">
        <f>+SUM(S11:S16)</f>
        <v>1270323.36</v>
      </c>
      <c r="T10" s="29">
        <f>+SUM(T11:T16)</f>
        <v>1250967.64</v>
      </c>
      <c r="U10" s="30">
        <f>SUM(U11:U16)</f>
        <v>1185228.29</v>
      </c>
      <c r="V10" s="29">
        <f t="shared" si="0"/>
        <v>-85095.07</v>
      </c>
      <c r="W10" s="30">
        <f t="shared" si="1"/>
        <v>-65739.35</v>
      </c>
      <c r="X10" s="41">
        <f>U10-T10</f>
        <v>-65739.35</v>
      </c>
      <c r="Y10" s="26"/>
      <c r="Z10" s="1"/>
      <c r="AA10" s="1"/>
    </row>
    <row r="11" s="7" customFormat="1" ht="20" customHeight="1" spans="1:27">
      <c r="A11" s="26">
        <v>6</v>
      </c>
      <c r="B11" s="26" t="s">
        <v>57</v>
      </c>
      <c r="C11" s="26" t="s">
        <v>51</v>
      </c>
      <c r="D11" s="26" t="s">
        <v>695</v>
      </c>
      <c r="E11" s="26" t="s">
        <v>53</v>
      </c>
      <c r="F11" s="29">
        <v>4149.5</v>
      </c>
      <c r="G11" s="29">
        <v>4342.6</v>
      </c>
      <c r="H11" s="30">
        <v>4099.4</v>
      </c>
      <c r="I11" s="29">
        <f t="shared" ref="I11:I16" si="2">G11-F11</f>
        <v>193.1</v>
      </c>
      <c r="J11" s="29">
        <f t="shared" ref="J11:J16" si="3">H11-F11</f>
        <v>-50.1</v>
      </c>
      <c r="K11" s="29">
        <f t="shared" ref="K11:K16" si="4">+H11-G11</f>
        <v>-243.2</v>
      </c>
      <c r="L11" s="37">
        <f t="shared" ref="L11:L16" si="5">I11/F11</f>
        <v>0.0465</v>
      </c>
      <c r="M11" s="27">
        <v>270.2</v>
      </c>
      <c r="N11" s="27">
        <v>319.38</v>
      </c>
      <c r="O11" s="37">
        <f t="shared" ref="O11:O16" si="6">(M11-N11)/N11</f>
        <v>-0.154</v>
      </c>
      <c r="P11" s="29">
        <f t="shared" ref="P11:P16" si="7">N11*0.9056*0.85</f>
        <v>245.85</v>
      </c>
      <c r="Q11" s="29">
        <f t="shared" ref="Q11:Q16" si="8">N11*1.15</f>
        <v>367.29</v>
      </c>
      <c r="R11" s="29">
        <f t="shared" ref="R11:R16" si="9">IF(M11&lt;N11*0.9056*0.85,N11*0.9056*0.85,IF(M11&gt;N11*1.15,N11*1.15,M11))</f>
        <v>270.2</v>
      </c>
      <c r="S11" s="27">
        <f t="shared" ref="S11:S16" si="10">+F11*M11</f>
        <v>1121194.9</v>
      </c>
      <c r="T11" s="29">
        <f t="shared" ref="T11:T16" si="11">S11+R11*I11</f>
        <v>1173370.52</v>
      </c>
      <c r="U11" s="30">
        <f t="shared" ref="U11:U16" si="12">S11+R11*J11</f>
        <v>1107657.88</v>
      </c>
      <c r="V11" s="29">
        <f t="shared" si="0"/>
        <v>-13537.02</v>
      </c>
      <c r="W11" s="30">
        <f t="shared" si="1"/>
        <v>-65712.64</v>
      </c>
      <c r="X11" s="41">
        <f t="shared" ref="X11:X16" si="13">+U11-T11</f>
        <v>-65712.64</v>
      </c>
      <c r="Y11" s="26"/>
      <c r="Z11" s="1"/>
      <c r="AA11" s="1"/>
    </row>
    <row r="12" s="7" customFormat="1" ht="20" customHeight="1" spans="1:27">
      <c r="A12" s="26">
        <v>7</v>
      </c>
      <c r="B12" s="26" t="s">
        <v>696</v>
      </c>
      <c r="C12" s="26" t="s">
        <v>55</v>
      </c>
      <c r="D12" s="26" t="s">
        <v>697</v>
      </c>
      <c r="E12" s="26" t="s">
        <v>53</v>
      </c>
      <c r="F12" s="29">
        <v>107.5</v>
      </c>
      <c r="G12" s="29">
        <v>0</v>
      </c>
      <c r="H12" s="30">
        <v>0</v>
      </c>
      <c r="I12" s="29">
        <f t="shared" si="2"/>
        <v>-107.5</v>
      </c>
      <c r="J12" s="29">
        <f t="shared" si="3"/>
        <v>-107.5</v>
      </c>
      <c r="K12" s="29">
        <f t="shared" si="4"/>
        <v>0</v>
      </c>
      <c r="L12" s="37">
        <f t="shared" si="5"/>
        <v>-1</v>
      </c>
      <c r="M12" s="27">
        <v>314.72</v>
      </c>
      <c r="N12" s="27">
        <v>356.32</v>
      </c>
      <c r="O12" s="37">
        <f t="shared" si="6"/>
        <v>-0.1167</v>
      </c>
      <c r="P12" s="29">
        <f t="shared" si="7"/>
        <v>274.28</v>
      </c>
      <c r="Q12" s="29">
        <f t="shared" si="8"/>
        <v>409.77</v>
      </c>
      <c r="R12" s="29">
        <f t="shared" si="9"/>
        <v>314.72</v>
      </c>
      <c r="S12" s="27">
        <f t="shared" si="10"/>
        <v>33832.4</v>
      </c>
      <c r="T12" s="29">
        <f t="shared" si="11"/>
        <v>0</v>
      </c>
      <c r="U12" s="30">
        <f t="shared" si="12"/>
        <v>0</v>
      </c>
      <c r="V12" s="29">
        <f t="shared" si="0"/>
        <v>-33832.4</v>
      </c>
      <c r="W12" s="30">
        <f t="shared" si="1"/>
        <v>0</v>
      </c>
      <c r="X12" s="41">
        <f t="shared" si="13"/>
        <v>0</v>
      </c>
      <c r="Y12" s="26"/>
      <c r="Z12" s="1"/>
      <c r="AA12" s="1"/>
    </row>
    <row r="13" s="7" customFormat="1" ht="20" customHeight="1" spans="1:27">
      <c r="A13" s="26">
        <v>8</v>
      </c>
      <c r="B13" s="26" t="s">
        <v>698</v>
      </c>
      <c r="C13" s="26" t="s">
        <v>58</v>
      </c>
      <c r="D13" s="26" t="s">
        <v>59</v>
      </c>
      <c r="E13" s="26" t="s">
        <v>53</v>
      </c>
      <c r="F13" s="29">
        <v>396</v>
      </c>
      <c r="G13" s="29">
        <v>113.5</v>
      </c>
      <c r="H13" s="30">
        <v>113.5</v>
      </c>
      <c r="I13" s="29">
        <f t="shared" si="2"/>
        <v>-282.5</v>
      </c>
      <c r="J13" s="29">
        <f t="shared" si="3"/>
        <v>-282.5</v>
      </c>
      <c r="K13" s="29">
        <f t="shared" si="4"/>
        <v>0</v>
      </c>
      <c r="L13" s="37">
        <f t="shared" si="5"/>
        <v>-0.7134</v>
      </c>
      <c r="M13" s="27">
        <v>56.37</v>
      </c>
      <c r="N13" s="27">
        <v>58.71</v>
      </c>
      <c r="O13" s="37">
        <f t="shared" si="6"/>
        <v>-0.0399</v>
      </c>
      <c r="P13" s="29">
        <f t="shared" si="7"/>
        <v>45.19</v>
      </c>
      <c r="Q13" s="29">
        <f t="shared" si="8"/>
        <v>67.52</v>
      </c>
      <c r="R13" s="29">
        <f t="shared" si="9"/>
        <v>56.37</v>
      </c>
      <c r="S13" s="27">
        <f t="shared" si="10"/>
        <v>22322.52</v>
      </c>
      <c r="T13" s="29">
        <f t="shared" si="11"/>
        <v>6398</v>
      </c>
      <c r="U13" s="30">
        <f t="shared" si="12"/>
        <v>6398</v>
      </c>
      <c r="V13" s="29">
        <f t="shared" si="0"/>
        <v>-15924.52</v>
      </c>
      <c r="W13" s="30">
        <f t="shared" si="1"/>
        <v>0</v>
      </c>
      <c r="X13" s="41">
        <f t="shared" si="13"/>
        <v>0</v>
      </c>
      <c r="Y13" s="26"/>
      <c r="Z13" s="1"/>
      <c r="AA13" s="1"/>
    </row>
    <row r="14" s="7" customFormat="1" ht="20" customHeight="1" spans="1:27">
      <c r="A14" s="26">
        <v>9</v>
      </c>
      <c r="B14" s="26" t="s">
        <v>60</v>
      </c>
      <c r="C14" s="26" t="s">
        <v>61</v>
      </c>
      <c r="D14" s="26" t="s">
        <v>62</v>
      </c>
      <c r="E14" s="26" t="s">
        <v>63</v>
      </c>
      <c r="F14" s="31">
        <v>198</v>
      </c>
      <c r="G14" s="31">
        <v>191</v>
      </c>
      <c r="H14" s="32">
        <v>191</v>
      </c>
      <c r="I14" s="31">
        <f t="shared" si="2"/>
        <v>-7</v>
      </c>
      <c r="J14" s="31">
        <f t="shared" si="3"/>
        <v>-7</v>
      </c>
      <c r="K14" s="31">
        <f t="shared" si="4"/>
        <v>0</v>
      </c>
      <c r="L14" s="37">
        <f t="shared" si="5"/>
        <v>-0.0354</v>
      </c>
      <c r="M14" s="27">
        <v>78.16</v>
      </c>
      <c r="N14" s="27">
        <v>95.36</v>
      </c>
      <c r="O14" s="37">
        <f t="shared" si="6"/>
        <v>-0.1804</v>
      </c>
      <c r="P14" s="29">
        <f t="shared" si="7"/>
        <v>73.4</v>
      </c>
      <c r="Q14" s="29">
        <f t="shared" si="8"/>
        <v>109.66</v>
      </c>
      <c r="R14" s="29">
        <f t="shared" si="9"/>
        <v>78.16</v>
      </c>
      <c r="S14" s="27">
        <f t="shared" si="10"/>
        <v>15475.68</v>
      </c>
      <c r="T14" s="29">
        <f t="shared" si="11"/>
        <v>14928.56</v>
      </c>
      <c r="U14" s="30">
        <f t="shared" si="12"/>
        <v>14928.56</v>
      </c>
      <c r="V14" s="29">
        <f t="shared" si="0"/>
        <v>-547.12</v>
      </c>
      <c r="W14" s="30">
        <f t="shared" si="1"/>
        <v>0</v>
      </c>
      <c r="X14" s="41">
        <f t="shared" si="13"/>
        <v>0</v>
      </c>
      <c r="Y14" s="26"/>
      <c r="Z14" s="1"/>
      <c r="AA14" s="1"/>
    </row>
    <row r="15" s="7" customFormat="1" ht="20" customHeight="1" spans="1:27">
      <c r="A15" s="26">
        <v>10</v>
      </c>
      <c r="B15" s="26" t="s">
        <v>64</v>
      </c>
      <c r="C15" s="26" t="s">
        <v>65</v>
      </c>
      <c r="D15" s="26" t="s">
        <v>66</v>
      </c>
      <c r="E15" s="26" t="s">
        <v>67</v>
      </c>
      <c r="F15" s="27">
        <v>198</v>
      </c>
      <c r="G15" s="29">
        <v>191</v>
      </c>
      <c r="H15" s="28">
        <v>191</v>
      </c>
      <c r="I15" s="31">
        <f t="shared" si="2"/>
        <v>-7</v>
      </c>
      <c r="J15" s="31">
        <f t="shared" si="3"/>
        <v>-7</v>
      </c>
      <c r="K15" s="31">
        <f t="shared" si="4"/>
        <v>0</v>
      </c>
      <c r="L15" s="37">
        <f t="shared" si="5"/>
        <v>-0.0354</v>
      </c>
      <c r="M15" s="27">
        <v>268.05</v>
      </c>
      <c r="N15" s="27">
        <v>259.06</v>
      </c>
      <c r="O15" s="37">
        <f t="shared" si="6"/>
        <v>0.0347</v>
      </c>
      <c r="P15" s="29">
        <f t="shared" si="7"/>
        <v>199.41</v>
      </c>
      <c r="Q15" s="29">
        <f t="shared" si="8"/>
        <v>297.92</v>
      </c>
      <c r="R15" s="29">
        <f t="shared" si="9"/>
        <v>268.05</v>
      </c>
      <c r="S15" s="27">
        <f t="shared" si="10"/>
        <v>53073.9</v>
      </c>
      <c r="T15" s="29">
        <f t="shared" si="11"/>
        <v>51197.55</v>
      </c>
      <c r="U15" s="30">
        <f t="shared" si="12"/>
        <v>51197.55</v>
      </c>
      <c r="V15" s="29">
        <f t="shared" si="0"/>
        <v>-1876.35</v>
      </c>
      <c r="W15" s="30">
        <f t="shared" si="1"/>
        <v>0</v>
      </c>
      <c r="X15" s="41">
        <f t="shared" si="13"/>
        <v>0</v>
      </c>
      <c r="Y15" s="26"/>
      <c r="Z15" s="1"/>
      <c r="AA15" s="1"/>
    </row>
    <row r="16" s="7" customFormat="1" ht="20" customHeight="1" spans="1:27">
      <c r="A16" s="26">
        <v>11</v>
      </c>
      <c r="B16" s="26" t="s">
        <v>699</v>
      </c>
      <c r="C16" s="26" t="s">
        <v>69</v>
      </c>
      <c r="D16" s="26" t="s">
        <v>70</v>
      </c>
      <c r="E16" s="26" t="s">
        <v>71</v>
      </c>
      <c r="F16" s="27">
        <v>4.5728</v>
      </c>
      <c r="G16" s="29">
        <v>0.95</v>
      </c>
      <c r="H16" s="33">
        <v>0.945</v>
      </c>
      <c r="I16" s="38">
        <f t="shared" si="2"/>
        <v>-3.623</v>
      </c>
      <c r="J16" s="38">
        <f t="shared" si="3"/>
        <v>-3.628</v>
      </c>
      <c r="K16" s="29">
        <f t="shared" si="4"/>
        <v>-0.01</v>
      </c>
      <c r="L16" s="37">
        <f t="shared" si="5"/>
        <v>-0.7923</v>
      </c>
      <c r="M16" s="27">
        <v>5341.14</v>
      </c>
      <c r="N16" s="27">
        <v>6492.43</v>
      </c>
      <c r="O16" s="37">
        <f t="shared" si="6"/>
        <v>-0.1773</v>
      </c>
      <c r="P16" s="29">
        <f t="shared" si="7"/>
        <v>4997.61</v>
      </c>
      <c r="Q16" s="29">
        <f t="shared" si="8"/>
        <v>7466.29</v>
      </c>
      <c r="R16" s="29">
        <f t="shared" si="9"/>
        <v>5341.14</v>
      </c>
      <c r="S16" s="29">
        <f t="shared" si="10"/>
        <v>24423.96</v>
      </c>
      <c r="T16" s="29">
        <f t="shared" si="11"/>
        <v>5073.01</v>
      </c>
      <c r="U16" s="30">
        <f t="shared" si="12"/>
        <v>5046.3</v>
      </c>
      <c r="V16" s="29">
        <f t="shared" si="0"/>
        <v>-19377.66</v>
      </c>
      <c r="W16" s="30">
        <f t="shared" si="1"/>
        <v>-26.71</v>
      </c>
      <c r="X16" s="41">
        <f t="shared" si="13"/>
        <v>-26.71</v>
      </c>
      <c r="Y16" s="26"/>
      <c r="Z16" s="1"/>
      <c r="AA16" s="1"/>
    </row>
    <row r="17" s="7" customFormat="1" ht="20" customHeight="1" spans="1:27">
      <c r="A17" s="26"/>
      <c r="B17" s="26"/>
      <c r="C17" s="26" t="s">
        <v>72</v>
      </c>
      <c r="D17" s="26"/>
      <c r="E17" s="26"/>
      <c r="F17" s="27"/>
      <c r="G17" s="29"/>
      <c r="H17" s="28"/>
      <c r="I17" s="29"/>
      <c r="J17" s="29"/>
      <c r="K17" s="29"/>
      <c r="L17" s="37"/>
      <c r="M17" s="27"/>
      <c r="N17" s="27"/>
      <c r="O17" s="27"/>
      <c r="P17" s="27"/>
      <c r="Q17" s="27"/>
      <c r="R17" s="29"/>
      <c r="S17" s="29">
        <f>+SUM(S18:S26)</f>
        <v>1054990.57</v>
      </c>
      <c r="T17" s="29">
        <f>+SUM(T18:T26)</f>
        <v>1173095.5</v>
      </c>
      <c r="U17" s="30">
        <f>SUM(U18:U26)</f>
        <v>1045419.68</v>
      </c>
      <c r="V17" s="29">
        <f t="shared" si="0"/>
        <v>-9570.89</v>
      </c>
      <c r="W17" s="30">
        <f t="shared" si="1"/>
        <v>-127675.82</v>
      </c>
      <c r="X17" s="41">
        <f>U17-T17</f>
        <v>-127675.82</v>
      </c>
      <c r="Y17" s="26"/>
      <c r="Z17" s="1"/>
      <c r="AA17" s="1"/>
    </row>
    <row r="18" s="7" customFormat="1" ht="20" customHeight="1" spans="1:27">
      <c r="A18" s="34">
        <v>12</v>
      </c>
      <c r="B18" s="34" t="s">
        <v>73</v>
      </c>
      <c r="C18" s="34" t="s">
        <v>44</v>
      </c>
      <c r="D18" s="34" t="s">
        <v>74</v>
      </c>
      <c r="E18" s="34" t="s">
        <v>37</v>
      </c>
      <c r="F18" s="35">
        <v>197.372</v>
      </c>
      <c r="G18" s="36">
        <v>286.11</v>
      </c>
      <c r="H18" s="30">
        <v>230.85</v>
      </c>
      <c r="I18" s="36">
        <f t="shared" ref="I18:I26" si="14">G18-F18</f>
        <v>88.74</v>
      </c>
      <c r="J18" s="36">
        <f t="shared" ref="J18:J26" si="15">H18-F18</f>
        <v>33.48</v>
      </c>
      <c r="K18" s="36">
        <f t="shared" ref="K18:K26" si="16">+H18-G18</f>
        <v>-55.26</v>
      </c>
      <c r="L18" s="39">
        <f t="shared" ref="L18:L26" si="17">I18/F18</f>
        <v>0.4496</v>
      </c>
      <c r="M18" s="35">
        <v>793.81</v>
      </c>
      <c r="N18" s="35">
        <v>754.16</v>
      </c>
      <c r="O18" s="39">
        <f t="shared" ref="O18:O26" si="18">(M18-N18)/N18</f>
        <v>0.0526</v>
      </c>
      <c r="P18" s="36">
        <f t="shared" ref="P18:P26" si="19">N18*0.9056*0.85</f>
        <v>580.52</v>
      </c>
      <c r="Q18" s="36">
        <f t="shared" ref="Q18:Q26" si="20">N18*1.15</f>
        <v>867.28</v>
      </c>
      <c r="R18" s="36">
        <f t="shared" ref="R18:R26" si="21">IF(M18&lt;N18*0.9056*0.85,N18*0.9056*0.85,IF(M18&gt;N18*1.15,N18*1.15,M18))</f>
        <v>793.81</v>
      </c>
      <c r="S18" s="36">
        <f t="shared" ref="S18:S26" si="22">+F18*M18</f>
        <v>156675.87</v>
      </c>
      <c r="T18" s="36">
        <f t="shared" ref="T18:T26" si="23">S18+R18*I18</f>
        <v>227118.57</v>
      </c>
      <c r="U18" s="30">
        <f t="shared" ref="U18:U26" si="24">S18+R18*J18</f>
        <v>183252.63</v>
      </c>
      <c r="V18" s="29">
        <f t="shared" si="0"/>
        <v>26576.76</v>
      </c>
      <c r="W18" s="30">
        <f t="shared" si="1"/>
        <v>-43865.94</v>
      </c>
      <c r="X18" s="41">
        <f t="shared" ref="X18:X26" si="25">+U18-T18</f>
        <v>-43865.94</v>
      </c>
      <c r="Y18" s="34"/>
      <c r="Z18" s="42"/>
      <c r="AA18" s="1"/>
    </row>
    <row r="19" s="7" customFormat="1" ht="20" customHeight="1" spans="1:27">
      <c r="A19" s="26">
        <v>13</v>
      </c>
      <c r="B19" s="26" t="s">
        <v>78</v>
      </c>
      <c r="C19" s="26" t="s">
        <v>76</v>
      </c>
      <c r="D19" s="26" t="s">
        <v>77</v>
      </c>
      <c r="E19" s="26" t="s">
        <v>37</v>
      </c>
      <c r="F19" s="27">
        <v>1133.36</v>
      </c>
      <c r="G19" s="29">
        <v>1141.36</v>
      </c>
      <c r="H19" s="30">
        <v>1015.03</v>
      </c>
      <c r="I19" s="29">
        <f t="shared" si="14"/>
        <v>8</v>
      </c>
      <c r="J19" s="29">
        <f t="shared" si="15"/>
        <v>-118.33</v>
      </c>
      <c r="K19" s="29">
        <f t="shared" si="16"/>
        <v>-126.33</v>
      </c>
      <c r="L19" s="37">
        <f t="shared" si="17"/>
        <v>0.0071</v>
      </c>
      <c r="M19" s="27">
        <v>589.41</v>
      </c>
      <c r="N19" s="27">
        <v>676.12</v>
      </c>
      <c r="O19" s="37">
        <f t="shared" si="18"/>
        <v>-0.1282</v>
      </c>
      <c r="P19" s="29">
        <f t="shared" si="19"/>
        <v>520.45</v>
      </c>
      <c r="Q19" s="29">
        <f t="shared" si="20"/>
        <v>777.54</v>
      </c>
      <c r="R19" s="29">
        <f t="shared" si="21"/>
        <v>589.41</v>
      </c>
      <c r="S19" s="29">
        <f t="shared" si="22"/>
        <v>668013.72</v>
      </c>
      <c r="T19" s="29">
        <f t="shared" si="23"/>
        <v>672729</v>
      </c>
      <c r="U19" s="30">
        <f t="shared" si="24"/>
        <v>598268.83</v>
      </c>
      <c r="V19" s="29">
        <f t="shared" si="0"/>
        <v>-69744.89</v>
      </c>
      <c r="W19" s="30">
        <f t="shared" si="1"/>
        <v>-74460.17</v>
      </c>
      <c r="X19" s="41">
        <f t="shared" si="25"/>
        <v>-74460.17</v>
      </c>
      <c r="Y19" s="26"/>
      <c r="Z19" s="1"/>
      <c r="AA19" s="1"/>
    </row>
    <row r="20" s="8" customFormat="1" ht="20" customHeight="1" spans="1:27">
      <c r="A20" s="26">
        <v>14</v>
      </c>
      <c r="B20" s="26" t="s">
        <v>700</v>
      </c>
      <c r="C20" s="26" t="s">
        <v>76</v>
      </c>
      <c r="D20" s="26" t="s">
        <v>79</v>
      </c>
      <c r="E20" s="26" t="s">
        <v>37</v>
      </c>
      <c r="F20" s="27">
        <v>284.54</v>
      </c>
      <c r="G20" s="29">
        <v>307.27</v>
      </c>
      <c r="H20" s="30">
        <v>307.27</v>
      </c>
      <c r="I20" s="29">
        <f t="shared" si="14"/>
        <v>22.73</v>
      </c>
      <c r="J20" s="29">
        <f t="shared" si="15"/>
        <v>22.73</v>
      </c>
      <c r="K20" s="29">
        <f t="shared" si="16"/>
        <v>0</v>
      </c>
      <c r="L20" s="37">
        <f t="shared" si="17"/>
        <v>0.0799</v>
      </c>
      <c r="M20" s="27">
        <v>576.98</v>
      </c>
      <c r="N20" s="27">
        <v>661.47</v>
      </c>
      <c r="O20" s="37">
        <f t="shared" si="18"/>
        <v>-0.1277</v>
      </c>
      <c r="P20" s="29">
        <f t="shared" si="19"/>
        <v>509.17</v>
      </c>
      <c r="Q20" s="29">
        <f t="shared" si="20"/>
        <v>760.69</v>
      </c>
      <c r="R20" s="29">
        <f t="shared" si="21"/>
        <v>576.98</v>
      </c>
      <c r="S20" s="29">
        <f t="shared" si="22"/>
        <v>164173.89</v>
      </c>
      <c r="T20" s="29">
        <f t="shared" si="23"/>
        <v>177288.65</v>
      </c>
      <c r="U20" s="30">
        <f t="shared" si="24"/>
        <v>177288.65</v>
      </c>
      <c r="V20" s="29">
        <f t="shared" si="0"/>
        <v>13114.76</v>
      </c>
      <c r="W20" s="30">
        <f t="shared" si="1"/>
        <v>0</v>
      </c>
      <c r="X20" s="41">
        <f t="shared" si="25"/>
        <v>0</v>
      </c>
      <c r="Y20" s="26"/>
      <c r="Z20" s="1"/>
      <c r="AA20" s="1"/>
    </row>
    <row r="21" s="7" customFormat="1" ht="20" customHeight="1" spans="1:27">
      <c r="A21" s="26">
        <v>15</v>
      </c>
      <c r="B21" s="26" t="s">
        <v>80</v>
      </c>
      <c r="C21" s="26" t="s">
        <v>76</v>
      </c>
      <c r="D21" s="26" t="s">
        <v>81</v>
      </c>
      <c r="E21" s="26" t="s">
        <v>37</v>
      </c>
      <c r="F21" s="27">
        <v>9.087</v>
      </c>
      <c r="G21" s="29">
        <v>12.09</v>
      </c>
      <c r="H21" s="30">
        <v>12.09</v>
      </c>
      <c r="I21" s="29">
        <f t="shared" si="14"/>
        <v>3</v>
      </c>
      <c r="J21" s="29">
        <f t="shared" si="15"/>
        <v>3</v>
      </c>
      <c r="K21" s="29">
        <f t="shared" si="16"/>
        <v>0</v>
      </c>
      <c r="L21" s="37">
        <f t="shared" si="17"/>
        <v>0.3301</v>
      </c>
      <c r="M21" s="27">
        <v>599.54</v>
      </c>
      <c r="N21" s="27">
        <v>686.9</v>
      </c>
      <c r="O21" s="37">
        <f t="shared" si="18"/>
        <v>-0.1272</v>
      </c>
      <c r="P21" s="29">
        <f t="shared" si="19"/>
        <v>528.75</v>
      </c>
      <c r="Q21" s="29">
        <f t="shared" si="20"/>
        <v>789.94</v>
      </c>
      <c r="R21" s="29">
        <f t="shared" si="21"/>
        <v>599.54</v>
      </c>
      <c r="S21" s="29">
        <f t="shared" si="22"/>
        <v>5448.02</v>
      </c>
      <c r="T21" s="29">
        <f t="shared" si="23"/>
        <v>7246.64</v>
      </c>
      <c r="U21" s="30">
        <f t="shared" si="24"/>
        <v>7246.64</v>
      </c>
      <c r="V21" s="29">
        <f t="shared" si="0"/>
        <v>1798.62</v>
      </c>
      <c r="W21" s="30">
        <f t="shared" si="1"/>
        <v>0</v>
      </c>
      <c r="X21" s="41">
        <f t="shared" si="25"/>
        <v>0</v>
      </c>
      <c r="Y21" s="26"/>
      <c r="Z21" s="1"/>
      <c r="AA21" s="1"/>
    </row>
    <row r="22" s="7" customFormat="1" ht="20" customHeight="1" spans="1:27">
      <c r="A22" s="26">
        <v>16</v>
      </c>
      <c r="B22" s="26" t="s">
        <v>86</v>
      </c>
      <c r="C22" s="26" t="s">
        <v>76</v>
      </c>
      <c r="D22" s="26" t="s">
        <v>83</v>
      </c>
      <c r="E22" s="26" t="s">
        <v>37</v>
      </c>
      <c r="F22" s="27">
        <v>45.56</v>
      </c>
      <c r="G22" s="29">
        <v>83.18</v>
      </c>
      <c r="H22" s="30">
        <v>83.18</v>
      </c>
      <c r="I22" s="29">
        <f t="shared" si="14"/>
        <v>37.62</v>
      </c>
      <c r="J22" s="29">
        <f t="shared" si="15"/>
        <v>37.62</v>
      </c>
      <c r="K22" s="29">
        <f t="shared" si="16"/>
        <v>0</v>
      </c>
      <c r="L22" s="37">
        <f t="shared" si="17"/>
        <v>0.8257</v>
      </c>
      <c r="M22" s="27">
        <v>599.53</v>
      </c>
      <c r="N22" s="27">
        <v>686.9</v>
      </c>
      <c r="O22" s="37">
        <f t="shared" si="18"/>
        <v>-0.1272</v>
      </c>
      <c r="P22" s="29">
        <f t="shared" si="19"/>
        <v>528.75</v>
      </c>
      <c r="Q22" s="29">
        <f t="shared" si="20"/>
        <v>789.94</v>
      </c>
      <c r="R22" s="29">
        <f t="shared" si="21"/>
        <v>599.53</v>
      </c>
      <c r="S22" s="29">
        <f t="shared" si="22"/>
        <v>27314.59</v>
      </c>
      <c r="T22" s="29">
        <f t="shared" si="23"/>
        <v>49868.91</v>
      </c>
      <c r="U22" s="30">
        <f t="shared" si="24"/>
        <v>49868.91</v>
      </c>
      <c r="V22" s="29">
        <f t="shared" si="0"/>
        <v>22554.32</v>
      </c>
      <c r="W22" s="30">
        <f t="shared" si="1"/>
        <v>0</v>
      </c>
      <c r="X22" s="41">
        <f t="shared" si="25"/>
        <v>0</v>
      </c>
      <c r="Y22" s="26"/>
      <c r="Z22" s="1"/>
      <c r="AA22" s="1"/>
    </row>
    <row r="23" s="7" customFormat="1" ht="20" customHeight="1" spans="1:27">
      <c r="A23" s="26">
        <v>17</v>
      </c>
      <c r="B23" s="26" t="s">
        <v>84</v>
      </c>
      <c r="C23" s="26" t="s">
        <v>76</v>
      </c>
      <c r="D23" s="26" t="s">
        <v>701</v>
      </c>
      <c r="E23" s="26" t="s">
        <v>37</v>
      </c>
      <c r="F23" s="27">
        <v>23.9</v>
      </c>
      <c r="G23" s="29">
        <v>28.9</v>
      </c>
      <c r="H23" s="30">
        <v>19.78</v>
      </c>
      <c r="I23" s="29">
        <f t="shared" si="14"/>
        <v>5</v>
      </c>
      <c r="J23" s="29">
        <f t="shared" si="15"/>
        <v>-4.12</v>
      </c>
      <c r="K23" s="29">
        <f t="shared" si="16"/>
        <v>-9.12</v>
      </c>
      <c r="L23" s="37">
        <f t="shared" si="17"/>
        <v>0.2092</v>
      </c>
      <c r="M23" s="27">
        <v>591.21</v>
      </c>
      <c r="N23" s="27">
        <v>677</v>
      </c>
      <c r="O23" s="37">
        <f t="shared" si="18"/>
        <v>-0.1267</v>
      </c>
      <c r="P23" s="29">
        <f t="shared" si="19"/>
        <v>521.13</v>
      </c>
      <c r="Q23" s="29">
        <f t="shared" si="20"/>
        <v>778.55</v>
      </c>
      <c r="R23" s="29">
        <f t="shared" si="21"/>
        <v>591.21</v>
      </c>
      <c r="S23" s="29">
        <f t="shared" si="22"/>
        <v>14129.92</v>
      </c>
      <c r="T23" s="29">
        <f t="shared" si="23"/>
        <v>17085.97</v>
      </c>
      <c r="U23" s="30">
        <f t="shared" si="24"/>
        <v>11694.13</v>
      </c>
      <c r="V23" s="29">
        <f t="shared" si="0"/>
        <v>-2435.79</v>
      </c>
      <c r="W23" s="30">
        <f t="shared" si="1"/>
        <v>-5391.84</v>
      </c>
      <c r="X23" s="41">
        <f t="shared" si="25"/>
        <v>-5391.84</v>
      </c>
      <c r="Y23" s="26"/>
      <c r="Z23" s="1"/>
      <c r="AA23" s="1"/>
    </row>
    <row r="24" s="7" customFormat="1" ht="20" customHeight="1" spans="1:27">
      <c r="A24" s="26">
        <v>18</v>
      </c>
      <c r="B24" s="26" t="s">
        <v>702</v>
      </c>
      <c r="C24" s="26" t="s">
        <v>89</v>
      </c>
      <c r="D24" s="26" t="s">
        <v>703</v>
      </c>
      <c r="E24" s="26" t="s">
        <v>32</v>
      </c>
      <c r="F24" s="27">
        <v>22.87</v>
      </c>
      <c r="G24" s="29">
        <v>22.87</v>
      </c>
      <c r="H24" s="30">
        <v>13.34</v>
      </c>
      <c r="I24" s="29">
        <f t="shared" si="14"/>
        <v>0</v>
      </c>
      <c r="J24" s="29">
        <f t="shared" si="15"/>
        <v>-9.53</v>
      </c>
      <c r="K24" s="29">
        <f t="shared" si="16"/>
        <v>-9.53</v>
      </c>
      <c r="L24" s="37">
        <f t="shared" si="17"/>
        <v>0</v>
      </c>
      <c r="M24" s="27">
        <v>159.51</v>
      </c>
      <c r="N24" s="27">
        <v>189.88</v>
      </c>
      <c r="O24" s="37">
        <f t="shared" si="18"/>
        <v>-0.1599</v>
      </c>
      <c r="P24" s="29">
        <f t="shared" si="19"/>
        <v>146.16</v>
      </c>
      <c r="Q24" s="29">
        <f t="shared" si="20"/>
        <v>218.36</v>
      </c>
      <c r="R24" s="29">
        <f t="shared" si="21"/>
        <v>159.51</v>
      </c>
      <c r="S24" s="29">
        <f t="shared" si="22"/>
        <v>3647.99</v>
      </c>
      <c r="T24" s="29">
        <f t="shared" si="23"/>
        <v>3647.99</v>
      </c>
      <c r="U24" s="30">
        <f t="shared" si="24"/>
        <v>2127.86</v>
      </c>
      <c r="V24" s="29">
        <f t="shared" si="0"/>
        <v>-1520.13</v>
      </c>
      <c r="W24" s="30">
        <f t="shared" si="1"/>
        <v>-1520.13</v>
      </c>
      <c r="X24" s="41">
        <f t="shared" si="25"/>
        <v>-1520.13</v>
      </c>
      <c r="Y24" s="26"/>
      <c r="Z24" s="1"/>
      <c r="AA24" s="1"/>
    </row>
    <row r="25" s="7" customFormat="1" ht="20" customHeight="1" spans="1:27">
      <c r="A25" s="34">
        <v>19</v>
      </c>
      <c r="B25" s="34" t="s">
        <v>704</v>
      </c>
      <c r="C25" s="34" t="s">
        <v>89</v>
      </c>
      <c r="D25" s="34" t="s">
        <v>705</v>
      </c>
      <c r="E25" s="34" t="s">
        <v>37</v>
      </c>
      <c r="F25" s="35">
        <v>17.01</v>
      </c>
      <c r="G25" s="36">
        <v>20.5</v>
      </c>
      <c r="H25" s="30">
        <v>18.49</v>
      </c>
      <c r="I25" s="36">
        <f t="shared" si="14"/>
        <v>3.49</v>
      </c>
      <c r="J25" s="36">
        <f t="shared" si="15"/>
        <v>1.48</v>
      </c>
      <c r="K25" s="36">
        <f t="shared" si="16"/>
        <v>-2.01</v>
      </c>
      <c r="L25" s="39">
        <f t="shared" si="17"/>
        <v>0.2052</v>
      </c>
      <c r="M25" s="35">
        <v>722.98</v>
      </c>
      <c r="N25" s="35">
        <v>864.65</v>
      </c>
      <c r="O25" s="39">
        <f t="shared" si="18"/>
        <v>-0.1638</v>
      </c>
      <c r="P25" s="36">
        <f t="shared" si="19"/>
        <v>665.57</v>
      </c>
      <c r="Q25" s="36">
        <f t="shared" si="20"/>
        <v>994.35</v>
      </c>
      <c r="R25" s="36">
        <f t="shared" si="21"/>
        <v>722.98</v>
      </c>
      <c r="S25" s="36">
        <f t="shared" si="22"/>
        <v>12297.89</v>
      </c>
      <c r="T25" s="36">
        <f t="shared" si="23"/>
        <v>14821.09</v>
      </c>
      <c r="U25" s="30">
        <f t="shared" si="24"/>
        <v>13367.9</v>
      </c>
      <c r="V25" s="29">
        <f t="shared" si="0"/>
        <v>1070.01</v>
      </c>
      <c r="W25" s="30">
        <f t="shared" si="1"/>
        <v>-1453.19</v>
      </c>
      <c r="X25" s="41">
        <f t="shared" si="25"/>
        <v>-1453.19</v>
      </c>
      <c r="Y25" s="34"/>
      <c r="Z25" s="1"/>
      <c r="AA25" s="1"/>
    </row>
    <row r="26" s="7" customFormat="1" ht="20" customHeight="1" spans="1:27">
      <c r="A26" s="26">
        <v>20</v>
      </c>
      <c r="B26" s="26" t="s">
        <v>706</v>
      </c>
      <c r="C26" s="26" t="s">
        <v>707</v>
      </c>
      <c r="D26" s="26" t="s">
        <v>708</v>
      </c>
      <c r="E26" s="26" t="s">
        <v>37</v>
      </c>
      <c r="F26" s="27">
        <v>5.6117</v>
      </c>
      <c r="G26" s="29">
        <v>5.61</v>
      </c>
      <c r="H26" s="30">
        <v>3.93</v>
      </c>
      <c r="I26" s="29">
        <f t="shared" si="14"/>
        <v>0</v>
      </c>
      <c r="J26" s="29">
        <f t="shared" si="15"/>
        <v>-1.68</v>
      </c>
      <c r="K26" s="29">
        <f t="shared" si="16"/>
        <v>-1.68</v>
      </c>
      <c r="L26" s="37">
        <f t="shared" si="17"/>
        <v>0</v>
      </c>
      <c r="M26" s="27">
        <v>586.04</v>
      </c>
      <c r="N26" s="27">
        <v>735.46</v>
      </c>
      <c r="O26" s="37">
        <f t="shared" si="18"/>
        <v>-0.2032</v>
      </c>
      <c r="P26" s="29">
        <f t="shared" si="19"/>
        <v>566.13</v>
      </c>
      <c r="Q26" s="29">
        <f t="shared" si="20"/>
        <v>845.78</v>
      </c>
      <c r="R26" s="29">
        <f t="shared" si="21"/>
        <v>586.04</v>
      </c>
      <c r="S26" s="29">
        <f t="shared" si="22"/>
        <v>3288.68</v>
      </c>
      <c r="T26" s="29">
        <f t="shared" si="23"/>
        <v>3288.68</v>
      </c>
      <c r="U26" s="30">
        <f t="shared" si="24"/>
        <v>2304.13</v>
      </c>
      <c r="V26" s="29">
        <f t="shared" si="0"/>
        <v>-984.55</v>
      </c>
      <c r="W26" s="30">
        <f t="shared" si="1"/>
        <v>-984.55</v>
      </c>
      <c r="X26" s="41">
        <f t="shared" si="25"/>
        <v>-984.55</v>
      </c>
      <c r="Y26" s="26"/>
      <c r="Z26" s="1"/>
      <c r="AA26" s="1"/>
    </row>
    <row r="27" s="8" customFormat="1" ht="20" customHeight="1" spans="1:27">
      <c r="A27" s="26"/>
      <c r="B27" s="26"/>
      <c r="C27" s="26" t="s">
        <v>93</v>
      </c>
      <c r="D27" s="26"/>
      <c r="E27" s="26"/>
      <c r="F27" s="27"/>
      <c r="G27" s="29"/>
      <c r="H27" s="28"/>
      <c r="I27" s="29"/>
      <c r="J27" s="29"/>
      <c r="K27" s="29"/>
      <c r="L27" s="37"/>
      <c r="M27" s="27"/>
      <c r="N27" s="27"/>
      <c r="O27" s="27"/>
      <c r="P27" s="27"/>
      <c r="Q27" s="27"/>
      <c r="R27" s="29"/>
      <c r="S27" s="29">
        <f>+SUM(S28:S58)</f>
        <v>6193085.44</v>
      </c>
      <c r="T27" s="29">
        <f>+SUM(T28:T58)</f>
        <v>6338969.59</v>
      </c>
      <c r="U27" s="30">
        <f>SUM(U28:U58)</f>
        <v>6176896.79</v>
      </c>
      <c r="V27" s="29">
        <f t="shared" si="0"/>
        <v>-16188.65</v>
      </c>
      <c r="W27" s="30">
        <f t="shared" si="1"/>
        <v>-162072.8</v>
      </c>
      <c r="X27" s="41">
        <f>U27-T27</f>
        <v>-162072.8</v>
      </c>
      <c r="Y27" s="26"/>
      <c r="Z27" s="1"/>
      <c r="AA27" s="1"/>
    </row>
    <row r="28" s="7" customFormat="1" ht="20" customHeight="1" spans="1:27">
      <c r="A28" s="34">
        <v>21</v>
      </c>
      <c r="B28" s="34" t="s">
        <v>709</v>
      </c>
      <c r="C28" s="34" t="s">
        <v>95</v>
      </c>
      <c r="D28" s="34" t="s">
        <v>96</v>
      </c>
      <c r="E28" s="34" t="s">
        <v>37</v>
      </c>
      <c r="F28" s="35">
        <v>214.32</v>
      </c>
      <c r="G28" s="36">
        <v>218.67</v>
      </c>
      <c r="H28" s="30">
        <v>218.67</v>
      </c>
      <c r="I28" s="36">
        <f t="shared" ref="I28:I58" si="26">G28-F28</f>
        <v>4.35</v>
      </c>
      <c r="J28" s="36">
        <f t="shared" ref="J28:J58" si="27">H28-F28</f>
        <v>4.35</v>
      </c>
      <c r="K28" s="36">
        <f t="shared" ref="K28:K58" si="28">+H28-G28</f>
        <v>0</v>
      </c>
      <c r="L28" s="39">
        <f t="shared" ref="L28:L58" si="29">I28/F28</f>
        <v>0.0203</v>
      </c>
      <c r="M28" s="35">
        <v>626.18</v>
      </c>
      <c r="N28" s="35">
        <v>830</v>
      </c>
      <c r="O28" s="39">
        <f t="shared" ref="O28:O58" si="30">(M28-N28)/N28</f>
        <v>-0.2456</v>
      </c>
      <c r="P28" s="36">
        <f t="shared" ref="P28:P58" si="31">N28*0.9056*0.85</f>
        <v>638.9</v>
      </c>
      <c r="Q28" s="36">
        <f t="shared" ref="Q28:Q58" si="32">N28*1.15</f>
        <v>954.5</v>
      </c>
      <c r="R28" s="36">
        <f t="shared" ref="R28:R58" si="33">IF(M28&lt;N28*0.9056*0.85,N28*0.9056*0.85,IF(M28&gt;N28*1.15,N28*1.15,M28))</f>
        <v>638.9</v>
      </c>
      <c r="S28" s="36">
        <f t="shared" ref="S28:S58" si="34">+F28*M28</f>
        <v>134202.9</v>
      </c>
      <c r="T28" s="36">
        <f t="shared" ref="T28:T58" si="35">S28+R28*I28</f>
        <v>136982.12</v>
      </c>
      <c r="U28" s="30">
        <f t="shared" ref="U28:U58" si="36">S28+R28*J28</f>
        <v>136982.12</v>
      </c>
      <c r="V28" s="29">
        <f t="shared" si="0"/>
        <v>2779.22</v>
      </c>
      <c r="W28" s="30">
        <f t="shared" si="1"/>
        <v>0</v>
      </c>
      <c r="X28" s="41">
        <f t="shared" ref="X28:X58" si="37">+U28-T28</f>
        <v>0</v>
      </c>
      <c r="Y28" s="34"/>
      <c r="Z28" s="1"/>
      <c r="AA28" s="1"/>
    </row>
    <row r="29" s="7" customFormat="1" ht="20" customHeight="1" spans="1:27">
      <c r="A29" s="34">
        <v>22</v>
      </c>
      <c r="B29" s="34" t="s">
        <v>98</v>
      </c>
      <c r="C29" s="34" t="s">
        <v>99</v>
      </c>
      <c r="D29" s="34" t="s">
        <v>710</v>
      </c>
      <c r="E29" s="34" t="s">
        <v>37</v>
      </c>
      <c r="F29" s="35">
        <v>207.67</v>
      </c>
      <c r="G29" s="36">
        <v>302.65</v>
      </c>
      <c r="H29" s="30">
        <f>202.46+85.77</f>
        <v>288.23</v>
      </c>
      <c r="I29" s="36">
        <f t="shared" si="26"/>
        <v>94.98</v>
      </c>
      <c r="J29" s="36">
        <f t="shared" si="27"/>
        <v>80.56</v>
      </c>
      <c r="K29" s="36">
        <f t="shared" si="28"/>
        <v>-14.42</v>
      </c>
      <c r="L29" s="39">
        <f t="shared" si="29"/>
        <v>0.4574</v>
      </c>
      <c r="M29" s="35">
        <v>687.16</v>
      </c>
      <c r="N29" s="35">
        <v>861.01</v>
      </c>
      <c r="O29" s="39">
        <f t="shared" si="30"/>
        <v>-0.2019</v>
      </c>
      <c r="P29" s="36">
        <f t="shared" si="31"/>
        <v>662.77</v>
      </c>
      <c r="Q29" s="36">
        <f t="shared" si="32"/>
        <v>990.16</v>
      </c>
      <c r="R29" s="36">
        <f t="shared" si="33"/>
        <v>687.16</v>
      </c>
      <c r="S29" s="36">
        <f t="shared" si="34"/>
        <v>142702.52</v>
      </c>
      <c r="T29" s="36">
        <f t="shared" si="35"/>
        <v>207968.98</v>
      </c>
      <c r="U29" s="30">
        <f t="shared" si="36"/>
        <v>198060.13</v>
      </c>
      <c r="V29" s="29">
        <f t="shared" si="0"/>
        <v>55357.61</v>
      </c>
      <c r="W29" s="30">
        <f t="shared" si="1"/>
        <v>-9908.85</v>
      </c>
      <c r="X29" s="41">
        <f t="shared" si="37"/>
        <v>-9908.85</v>
      </c>
      <c r="Y29" s="34"/>
      <c r="Z29" s="1"/>
      <c r="AA29" s="1"/>
    </row>
    <row r="30" s="8" customFormat="1" ht="20" customHeight="1" spans="1:27">
      <c r="A30" s="26">
        <v>23</v>
      </c>
      <c r="B30" s="26" t="s">
        <v>101</v>
      </c>
      <c r="C30" s="26" t="s">
        <v>102</v>
      </c>
      <c r="D30" s="26" t="s">
        <v>711</v>
      </c>
      <c r="E30" s="26" t="s">
        <v>37</v>
      </c>
      <c r="F30" s="27">
        <v>147.955</v>
      </c>
      <c r="G30" s="29">
        <v>129.16</v>
      </c>
      <c r="H30" s="30">
        <v>129.16</v>
      </c>
      <c r="I30" s="29">
        <f t="shared" si="26"/>
        <v>-18.8</v>
      </c>
      <c r="J30" s="29">
        <f t="shared" si="27"/>
        <v>-18.8</v>
      </c>
      <c r="K30" s="29">
        <f t="shared" si="28"/>
        <v>0</v>
      </c>
      <c r="L30" s="37">
        <f t="shared" si="29"/>
        <v>-0.1271</v>
      </c>
      <c r="M30" s="27">
        <v>679.67</v>
      </c>
      <c r="N30" s="27">
        <v>853.69</v>
      </c>
      <c r="O30" s="37">
        <f t="shared" si="30"/>
        <v>-0.2038</v>
      </c>
      <c r="P30" s="29">
        <f t="shared" si="31"/>
        <v>657.14</v>
      </c>
      <c r="Q30" s="29">
        <f t="shared" si="32"/>
        <v>981.74</v>
      </c>
      <c r="R30" s="29">
        <f t="shared" si="33"/>
        <v>679.67</v>
      </c>
      <c r="S30" s="29">
        <f t="shared" si="34"/>
        <v>100560.57</v>
      </c>
      <c r="T30" s="29">
        <f t="shared" si="35"/>
        <v>87782.77</v>
      </c>
      <c r="U30" s="30">
        <f t="shared" si="36"/>
        <v>87782.77</v>
      </c>
      <c r="V30" s="29">
        <f t="shared" si="0"/>
        <v>-12777.8</v>
      </c>
      <c r="W30" s="30">
        <f t="shared" si="1"/>
        <v>0</v>
      </c>
      <c r="X30" s="41">
        <f t="shared" si="37"/>
        <v>0</v>
      </c>
      <c r="Y30" s="26"/>
      <c r="Z30" s="1"/>
      <c r="AA30" s="1"/>
    </row>
    <row r="31" s="8" customFormat="1" ht="20" customHeight="1" spans="1:27">
      <c r="A31" s="26">
        <v>24</v>
      </c>
      <c r="B31" s="26" t="s">
        <v>712</v>
      </c>
      <c r="C31" s="26" t="s">
        <v>105</v>
      </c>
      <c r="D31" s="26" t="s">
        <v>713</v>
      </c>
      <c r="E31" s="26" t="s">
        <v>37</v>
      </c>
      <c r="F31" s="27">
        <v>190.44</v>
      </c>
      <c r="G31" s="29">
        <v>218.73</v>
      </c>
      <c r="H31" s="30">
        <v>208.31</v>
      </c>
      <c r="I31" s="29">
        <f t="shared" si="26"/>
        <v>28.29</v>
      </c>
      <c r="J31" s="29">
        <f t="shared" si="27"/>
        <v>17.87</v>
      </c>
      <c r="K31" s="29">
        <f t="shared" si="28"/>
        <v>-10.42</v>
      </c>
      <c r="L31" s="37">
        <f t="shared" si="29"/>
        <v>0.1486</v>
      </c>
      <c r="M31" s="27">
        <v>686.38</v>
      </c>
      <c r="N31" s="27">
        <v>909.17</v>
      </c>
      <c r="O31" s="37">
        <f t="shared" si="30"/>
        <v>-0.245</v>
      </c>
      <c r="P31" s="29">
        <f t="shared" si="31"/>
        <v>699.84</v>
      </c>
      <c r="Q31" s="29">
        <f t="shared" si="32"/>
        <v>1045.55</v>
      </c>
      <c r="R31" s="29">
        <f t="shared" si="33"/>
        <v>699.84</v>
      </c>
      <c r="S31" s="29">
        <f t="shared" si="34"/>
        <v>130714.21</v>
      </c>
      <c r="T31" s="29">
        <f t="shared" si="35"/>
        <v>150512.68</v>
      </c>
      <c r="U31" s="30">
        <f t="shared" si="36"/>
        <v>143220.35</v>
      </c>
      <c r="V31" s="29">
        <f t="shared" si="0"/>
        <v>12506.14</v>
      </c>
      <c r="W31" s="30">
        <f t="shared" si="1"/>
        <v>-7292.33</v>
      </c>
      <c r="X31" s="41">
        <f t="shared" si="37"/>
        <v>-7292.33</v>
      </c>
      <c r="Y31" s="26"/>
      <c r="Z31" s="1"/>
      <c r="AA31" s="1"/>
    </row>
    <row r="32" s="7" customFormat="1" ht="20" customHeight="1" spans="1:27">
      <c r="A32" s="26">
        <v>25</v>
      </c>
      <c r="B32" s="26" t="s">
        <v>714</v>
      </c>
      <c r="C32" s="26" t="s">
        <v>557</v>
      </c>
      <c r="D32" s="26" t="s">
        <v>715</v>
      </c>
      <c r="E32" s="26" t="s">
        <v>37</v>
      </c>
      <c r="F32" s="27">
        <v>191.488</v>
      </c>
      <c r="G32" s="29">
        <v>184.33</v>
      </c>
      <c r="H32" s="30">
        <v>175.55</v>
      </c>
      <c r="I32" s="29">
        <f t="shared" si="26"/>
        <v>-7.16</v>
      </c>
      <c r="J32" s="29">
        <f t="shared" si="27"/>
        <v>-15.94</v>
      </c>
      <c r="K32" s="29">
        <f t="shared" si="28"/>
        <v>-8.78</v>
      </c>
      <c r="L32" s="37">
        <f t="shared" si="29"/>
        <v>-0.0374</v>
      </c>
      <c r="M32" s="27">
        <v>787.99</v>
      </c>
      <c r="N32" s="27">
        <v>990.83</v>
      </c>
      <c r="O32" s="37">
        <f t="shared" si="30"/>
        <v>-0.2047</v>
      </c>
      <c r="P32" s="29">
        <f t="shared" si="31"/>
        <v>762.7</v>
      </c>
      <c r="Q32" s="29">
        <f t="shared" si="32"/>
        <v>1139.45</v>
      </c>
      <c r="R32" s="29">
        <f t="shared" si="33"/>
        <v>787.99</v>
      </c>
      <c r="S32" s="29">
        <f t="shared" si="34"/>
        <v>150890.63</v>
      </c>
      <c r="T32" s="29">
        <f t="shared" si="35"/>
        <v>145248.62</v>
      </c>
      <c r="U32" s="30">
        <f t="shared" si="36"/>
        <v>138330.07</v>
      </c>
      <c r="V32" s="29">
        <f t="shared" si="0"/>
        <v>-12560.56</v>
      </c>
      <c r="W32" s="30">
        <f t="shared" si="1"/>
        <v>-6918.55</v>
      </c>
      <c r="X32" s="41">
        <f t="shared" si="37"/>
        <v>-6918.55</v>
      </c>
      <c r="Y32" s="26"/>
      <c r="Z32" s="1"/>
      <c r="AA32" s="1"/>
    </row>
    <row r="33" s="7" customFormat="1" ht="20" customHeight="1" spans="1:27">
      <c r="A33" s="26">
        <v>26</v>
      </c>
      <c r="B33" s="26" t="s">
        <v>716</v>
      </c>
      <c r="C33" s="26" t="s">
        <v>557</v>
      </c>
      <c r="D33" s="26" t="s">
        <v>717</v>
      </c>
      <c r="E33" s="26" t="s">
        <v>37</v>
      </c>
      <c r="F33" s="27">
        <v>133.32</v>
      </c>
      <c r="G33" s="29">
        <v>140.88</v>
      </c>
      <c r="H33" s="30">
        <v>134.17</v>
      </c>
      <c r="I33" s="29">
        <f t="shared" si="26"/>
        <v>7.56</v>
      </c>
      <c r="J33" s="29">
        <f t="shared" si="27"/>
        <v>0.85</v>
      </c>
      <c r="K33" s="29">
        <f t="shared" si="28"/>
        <v>-6.71</v>
      </c>
      <c r="L33" s="37">
        <f t="shared" si="29"/>
        <v>0.0567</v>
      </c>
      <c r="M33" s="27">
        <v>777.84</v>
      </c>
      <c r="N33" s="27">
        <v>975.54</v>
      </c>
      <c r="O33" s="37">
        <f t="shared" si="30"/>
        <v>-0.2027</v>
      </c>
      <c r="P33" s="29">
        <f t="shared" si="31"/>
        <v>750.93</v>
      </c>
      <c r="Q33" s="29">
        <f t="shared" si="32"/>
        <v>1121.87</v>
      </c>
      <c r="R33" s="29">
        <f t="shared" si="33"/>
        <v>777.84</v>
      </c>
      <c r="S33" s="29">
        <f t="shared" si="34"/>
        <v>103701.63</v>
      </c>
      <c r="T33" s="29">
        <f t="shared" si="35"/>
        <v>109582.1</v>
      </c>
      <c r="U33" s="30">
        <f t="shared" si="36"/>
        <v>104362.79</v>
      </c>
      <c r="V33" s="29">
        <f t="shared" si="0"/>
        <v>661.16</v>
      </c>
      <c r="W33" s="30">
        <f t="shared" si="1"/>
        <v>-5219.31</v>
      </c>
      <c r="X33" s="41">
        <f t="shared" si="37"/>
        <v>-5219.31</v>
      </c>
      <c r="Y33" s="26"/>
      <c r="Z33" s="1"/>
      <c r="AA33" s="1"/>
    </row>
    <row r="34" s="7" customFormat="1" ht="20" customHeight="1" spans="1:27">
      <c r="A34" s="34">
        <v>27</v>
      </c>
      <c r="B34" s="34" t="s">
        <v>718</v>
      </c>
      <c r="C34" s="34" t="s">
        <v>557</v>
      </c>
      <c r="D34" s="34" t="s">
        <v>719</v>
      </c>
      <c r="E34" s="34" t="s">
        <v>37</v>
      </c>
      <c r="F34" s="35">
        <v>167.06</v>
      </c>
      <c r="G34" s="36">
        <v>195.11</v>
      </c>
      <c r="H34" s="30">
        <v>185.82</v>
      </c>
      <c r="I34" s="36">
        <f t="shared" si="26"/>
        <v>28.05</v>
      </c>
      <c r="J34" s="36">
        <f t="shared" si="27"/>
        <v>18.76</v>
      </c>
      <c r="K34" s="36">
        <f t="shared" si="28"/>
        <v>-9.29</v>
      </c>
      <c r="L34" s="39">
        <f t="shared" si="29"/>
        <v>0.1679</v>
      </c>
      <c r="M34" s="35">
        <v>767.69</v>
      </c>
      <c r="N34" s="35">
        <v>959.74</v>
      </c>
      <c r="O34" s="39">
        <f t="shared" si="30"/>
        <v>-0.2001</v>
      </c>
      <c r="P34" s="36">
        <f t="shared" si="31"/>
        <v>738.77</v>
      </c>
      <c r="Q34" s="36">
        <f t="shared" si="32"/>
        <v>1103.7</v>
      </c>
      <c r="R34" s="36">
        <f t="shared" si="33"/>
        <v>767.69</v>
      </c>
      <c r="S34" s="36">
        <f t="shared" si="34"/>
        <v>128250.29</v>
      </c>
      <c r="T34" s="36">
        <f t="shared" si="35"/>
        <v>149783.99</v>
      </c>
      <c r="U34" s="30">
        <f t="shared" si="36"/>
        <v>142652.15</v>
      </c>
      <c r="V34" s="29">
        <f t="shared" si="0"/>
        <v>14401.86</v>
      </c>
      <c r="W34" s="30">
        <f t="shared" si="1"/>
        <v>-7131.84</v>
      </c>
      <c r="X34" s="41">
        <f t="shared" si="37"/>
        <v>-7131.84</v>
      </c>
      <c r="Y34" s="34"/>
      <c r="Z34" s="1"/>
      <c r="AA34" s="1"/>
    </row>
    <row r="35" s="7" customFormat="1" ht="20" customHeight="1" spans="1:27">
      <c r="A35" s="26">
        <v>28</v>
      </c>
      <c r="B35" s="26" t="s">
        <v>720</v>
      </c>
      <c r="C35" s="26" t="s">
        <v>588</v>
      </c>
      <c r="D35" s="26" t="s">
        <v>721</v>
      </c>
      <c r="E35" s="26" t="s">
        <v>37</v>
      </c>
      <c r="F35" s="27">
        <v>43.022</v>
      </c>
      <c r="G35" s="29">
        <v>57.83</v>
      </c>
      <c r="H35" s="30">
        <v>57.83</v>
      </c>
      <c r="I35" s="29">
        <f t="shared" si="26"/>
        <v>14.81</v>
      </c>
      <c r="J35" s="29">
        <f t="shared" si="27"/>
        <v>14.81</v>
      </c>
      <c r="K35" s="29">
        <f t="shared" si="28"/>
        <v>0</v>
      </c>
      <c r="L35" s="37">
        <f t="shared" si="29"/>
        <v>0.3442</v>
      </c>
      <c r="M35" s="27">
        <v>787.99</v>
      </c>
      <c r="N35" s="27">
        <v>990.83</v>
      </c>
      <c r="O35" s="37">
        <f t="shared" si="30"/>
        <v>-0.2047</v>
      </c>
      <c r="P35" s="29">
        <f t="shared" si="31"/>
        <v>762.7</v>
      </c>
      <c r="Q35" s="29">
        <f t="shared" si="32"/>
        <v>1139.45</v>
      </c>
      <c r="R35" s="29">
        <f t="shared" si="33"/>
        <v>787.99</v>
      </c>
      <c r="S35" s="29">
        <f t="shared" si="34"/>
        <v>33900.91</v>
      </c>
      <c r="T35" s="29">
        <f t="shared" si="35"/>
        <v>45571.04</v>
      </c>
      <c r="U35" s="30">
        <f t="shared" si="36"/>
        <v>45571.04</v>
      </c>
      <c r="V35" s="29">
        <f t="shared" si="0"/>
        <v>11670.13</v>
      </c>
      <c r="W35" s="30">
        <f t="shared" si="1"/>
        <v>0</v>
      </c>
      <c r="X35" s="41">
        <f t="shared" si="37"/>
        <v>0</v>
      </c>
      <c r="Y35" s="26"/>
      <c r="Z35" s="1"/>
      <c r="AA35" s="1"/>
    </row>
    <row r="36" s="8" customFormat="1" ht="20" customHeight="1" spans="1:27">
      <c r="A36" s="26">
        <v>29</v>
      </c>
      <c r="B36" s="26" t="s">
        <v>722</v>
      </c>
      <c r="C36" s="26" t="s">
        <v>588</v>
      </c>
      <c r="D36" s="26" t="s">
        <v>723</v>
      </c>
      <c r="E36" s="26" t="s">
        <v>37</v>
      </c>
      <c r="F36" s="27">
        <v>18.55</v>
      </c>
      <c r="G36" s="29">
        <v>12.89</v>
      </c>
      <c r="H36" s="30">
        <v>12.89</v>
      </c>
      <c r="I36" s="29">
        <f t="shared" si="26"/>
        <v>-5.66</v>
      </c>
      <c r="J36" s="29">
        <f t="shared" si="27"/>
        <v>-5.66</v>
      </c>
      <c r="K36" s="29">
        <f t="shared" si="28"/>
        <v>0</v>
      </c>
      <c r="L36" s="37">
        <f t="shared" si="29"/>
        <v>-0.3051</v>
      </c>
      <c r="M36" s="27">
        <v>777.84</v>
      </c>
      <c r="N36" s="27">
        <v>975.54</v>
      </c>
      <c r="O36" s="37">
        <f t="shared" si="30"/>
        <v>-0.2027</v>
      </c>
      <c r="P36" s="29">
        <f t="shared" si="31"/>
        <v>750.93</v>
      </c>
      <c r="Q36" s="29">
        <f t="shared" si="32"/>
        <v>1121.87</v>
      </c>
      <c r="R36" s="29">
        <f t="shared" si="33"/>
        <v>777.84</v>
      </c>
      <c r="S36" s="29">
        <f t="shared" si="34"/>
        <v>14428.93</v>
      </c>
      <c r="T36" s="29">
        <f t="shared" si="35"/>
        <v>10026.36</v>
      </c>
      <c r="U36" s="30">
        <f t="shared" si="36"/>
        <v>10026.36</v>
      </c>
      <c r="V36" s="29">
        <f t="shared" si="0"/>
        <v>-4402.57</v>
      </c>
      <c r="W36" s="30">
        <f t="shared" si="1"/>
        <v>0</v>
      </c>
      <c r="X36" s="41">
        <f t="shared" si="37"/>
        <v>0</v>
      </c>
      <c r="Y36" s="26"/>
      <c r="Z36" s="1"/>
      <c r="AA36" s="1"/>
    </row>
    <row r="37" s="7" customFormat="1" ht="20" customHeight="1" spans="1:25">
      <c r="A37" s="26">
        <v>30</v>
      </c>
      <c r="B37" s="26" t="s">
        <v>111</v>
      </c>
      <c r="C37" s="26" t="s">
        <v>112</v>
      </c>
      <c r="D37" s="26" t="s">
        <v>113</v>
      </c>
      <c r="E37" s="26" t="s">
        <v>37</v>
      </c>
      <c r="F37" s="27">
        <v>142.86</v>
      </c>
      <c r="G37" s="29">
        <v>142.86</v>
      </c>
      <c r="H37" s="30">
        <v>130.02</v>
      </c>
      <c r="I37" s="29">
        <f t="shared" si="26"/>
        <v>0</v>
      </c>
      <c r="J37" s="29">
        <f t="shared" si="27"/>
        <v>-12.84</v>
      </c>
      <c r="K37" s="29">
        <f t="shared" si="28"/>
        <v>-12.84</v>
      </c>
      <c r="L37" s="37">
        <f t="shared" si="29"/>
        <v>0</v>
      </c>
      <c r="M37" s="27">
        <v>820.94</v>
      </c>
      <c r="N37" s="27">
        <v>1006.12</v>
      </c>
      <c r="O37" s="37">
        <f t="shared" si="30"/>
        <v>-0.1841</v>
      </c>
      <c r="P37" s="29">
        <f t="shared" si="31"/>
        <v>774.47</v>
      </c>
      <c r="Q37" s="29">
        <f t="shared" si="32"/>
        <v>1157.04</v>
      </c>
      <c r="R37" s="29">
        <f t="shared" si="33"/>
        <v>820.94</v>
      </c>
      <c r="S37" s="29">
        <f t="shared" si="34"/>
        <v>117279.49</v>
      </c>
      <c r="T37" s="29">
        <f t="shared" si="35"/>
        <v>117279.49</v>
      </c>
      <c r="U37" s="30">
        <f t="shared" si="36"/>
        <v>106738.62</v>
      </c>
      <c r="V37" s="29">
        <f t="shared" si="0"/>
        <v>-10540.87</v>
      </c>
      <c r="W37" s="30">
        <f t="shared" si="1"/>
        <v>-10540.87</v>
      </c>
      <c r="X37" s="41">
        <f t="shared" si="37"/>
        <v>-10540.87</v>
      </c>
      <c r="Y37" s="26"/>
    </row>
    <row r="38" s="7" customFormat="1" ht="20" customHeight="1" spans="1:27">
      <c r="A38" s="26">
        <v>31</v>
      </c>
      <c r="B38" s="26" t="s">
        <v>724</v>
      </c>
      <c r="C38" s="26" t="s">
        <v>120</v>
      </c>
      <c r="D38" s="26" t="s">
        <v>725</v>
      </c>
      <c r="E38" s="26" t="s">
        <v>37</v>
      </c>
      <c r="F38" s="27">
        <v>112.42</v>
      </c>
      <c r="G38" s="29">
        <v>116.14</v>
      </c>
      <c r="H38" s="30">
        <v>116.14</v>
      </c>
      <c r="I38" s="29">
        <f t="shared" si="26"/>
        <v>3.72</v>
      </c>
      <c r="J38" s="29">
        <f t="shared" si="27"/>
        <v>3.72</v>
      </c>
      <c r="K38" s="29">
        <f t="shared" si="28"/>
        <v>0</v>
      </c>
      <c r="L38" s="37">
        <f t="shared" si="29"/>
        <v>0.0331</v>
      </c>
      <c r="M38" s="27">
        <v>688.86</v>
      </c>
      <c r="N38" s="27">
        <v>830.73</v>
      </c>
      <c r="O38" s="37">
        <f t="shared" si="30"/>
        <v>-0.1708</v>
      </c>
      <c r="P38" s="29">
        <f t="shared" si="31"/>
        <v>639.46</v>
      </c>
      <c r="Q38" s="29">
        <f t="shared" si="32"/>
        <v>955.34</v>
      </c>
      <c r="R38" s="29">
        <f t="shared" si="33"/>
        <v>688.86</v>
      </c>
      <c r="S38" s="29">
        <f t="shared" si="34"/>
        <v>77441.64</v>
      </c>
      <c r="T38" s="29">
        <f t="shared" si="35"/>
        <v>80004.2</v>
      </c>
      <c r="U38" s="30">
        <f t="shared" si="36"/>
        <v>80004.2</v>
      </c>
      <c r="V38" s="29">
        <f t="shared" si="0"/>
        <v>2562.56</v>
      </c>
      <c r="W38" s="30">
        <f t="shared" si="1"/>
        <v>0</v>
      </c>
      <c r="X38" s="41">
        <f t="shared" si="37"/>
        <v>0</v>
      </c>
      <c r="Y38" s="26"/>
      <c r="Z38" s="1"/>
      <c r="AA38" s="1"/>
    </row>
    <row r="39" s="9" customFormat="1" ht="20" customHeight="1" spans="1:27">
      <c r="A39" s="26">
        <v>32</v>
      </c>
      <c r="B39" s="26" t="s">
        <v>726</v>
      </c>
      <c r="C39" s="26" t="s">
        <v>120</v>
      </c>
      <c r="D39" s="26" t="s">
        <v>727</v>
      </c>
      <c r="E39" s="26" t="s">
        <v>37</v>
      </c>
      <c r="F39" s="27">
        <v>1.118</v>
      </c>
      <c r="G39" s="29">
        <v>2.43</v>
      </c>
      <c r="H39" s="30">
        <v>2.31</v>
      </c>
      <c r="I39" s="29">
        <f t="shared" si="26"/>
        <v>1.31</v>
      </c>
      <c r="J39" s="29">
        <f t="shared" si="27"/>
        <v>1.19</v>
      </c>
      <c r="K39" s="29">
        <f t="shared" si="28"/>
        <v>-0.12</v>
      </c>
      <c r="L39" s="37">
        <f t="shared" si="29"/>
        <v>1.1717</v>
      </c>
      <c r="M39" s="27">
        <v>699.01</v>
      </c>
      <c r="N39" s="27">
        <v>882.44</v>
      </c>
      <c r="O39" s="37">
        <f t="shared" si="30"/>
        <v>-0.2079</v>
      </c>
      <c r="P39" s="29">
        <f t="shared" si="31"/>
        <v>679.27</v>
      </c>
      <c r="Q39" s="29">
        <f t="shared" si="32"/>
        <v>1014.81</v>
      </c>
      <c r="R39" s="29">
        <f t="shared" si="33"/>
        <v>699.01</v>
      </c>
      <c r="S39" s="29">
        <f t="shared" si="34"/>
        <v>781.49</v>
      </c>
      <c r="T39" s="29">
        <f t="shared" si="35"/>
        <v>1697.19</v>
      </c>
      <c r="U39" s="30">
        <f t="shared" si="36"/>
        <v>1613.31</v>
      </c>
      <c r="V39" s="29">
        <f t="shared" si="0"/>
        <v>831.82</v>
      </c>
      <c r="W39" s="30">
        <f t="shared" si="1"/>
        <v>-83.88</v>
      </c>
      <c r="X39" s="41">
        <f t="shared" si="37"/>
        <v>-83.88</v>
      </c>
      <c r="Y39" s="26"/>
      <c r="Z39" s="1"/>
      <c r="AA39" s="1"/>
    </row>
    <row r="40" s="7" customFormat="1" ht="20" customHeight="1" spans="1:27">
      <c r="A40" s="26">
        <v>33</v>
      </c>
      <c r="B40" s="26" t="s">
        <v>114</v>
      </c>
      <c r="C40" s="26" t="s">
        <v>115</v>
      </c>
      <c r="D40" s="26" t="s">
        <v>116</v>
      </c>
      <c r="E40" s="26" t="s">
        <v>37</v>
      </c>
      <c r="F40" s="27">
        <v>1987.3127</v>
      </c>
      <c r="G40" s="29">
        <v>2199.78</v>
      </c>
      <c r="H40" s="30">
        <f>2342.86-H41</f>
        <v>2070.23</v>
      </c>
      <c r="I40" s="29">
        <f t="shared" si="26"/>
        <v>212.47</v>
      </c>
      <c r="J40" s="29">
        <f t="shared" si="27"/>
        <v>82.92</v>
      </c>
      <c r="K40" s="29">
        <f t="shared" si="28"/>
        <v>-129.55</v>
      </c>
      <c r="L40" s="37">
        <f t="shared" si="29"/>
        <v>0.1069</v>
      </c>
      <c r="M40" s="27">
        <v>674.8</v>
      </c>
      <c r="N40" s="27">
        <v>855.35</v>
      </c>
      <c r="O40" s="37">
        <f t="shared" si="30"/>
        <v>-0.2111</v>
      </c>
      <c r="P40" s="29">
        <f t="shared" si="31"/>
        <v>658.41</v>
      </c>
      <c r="Q40" s="29">
        <f t="shared" si="32"/>
        <v>983.65</v>
      </c>
      <c r="R40" s="29">
        <f t="shared" si="33"/>
        <v>674.8</v>
      </c>
      <c r="S40" s="29">
        <f t="shared" si="34"/>
        <v>1341038.61</v>
      </c>
      <c r="T40" s="29">
        <f t="shared" si="35"/>
        <v>1484413.37</v>
      </c>
      <c r="U40" s="30">
        <f t="shared" si="36"/>
        <v>1396993.03</v>
      </c>
      <c r="V40" s="29">
        <f t="shared" si="0"/>
        <v>55954.42</v>
      </c>
      <c r="W40" s="30">
        <f t="shared" si="1"/>
        <v>-87420.34</v>
      </c>
      <c r="X40" s="41">
        <f t="shared" si="37"/>
        <v>-87420.34</v>
      </c>
      <c r="Y40" s="26"/>
      <c r="Z40" s="1"/>
      <c r="AA40" s="1"/>
    </row>
    <row r="41" s="7" customFormat="1" ht="20" customHeight="1" spans="1:27">
      <c r="A41" s="26">
        <v>34</v>
      </c>
      <c r="B41" s="26" t="s">
        <v>728</v>
      </c>
      <c r="C41" s="26" t="s">
        <v>118</v>
      </c>
      <c r="D41" s="26" t="s">
        <v>116</v>
      </c>
      <c r="E41" s="26" t="s">
        <v>37</v>
      </c>
      <c r="F41" s="27">
        <v>325.8433</v>
      </c>
      <c r="G41" s="29">
        <v>272.63</v>
      </c>
      <c r="H41" s="30">
        <v>272.63</v>
      </c>
      <c r="I41" s="29">
        <f t="shared" si="26"/>
        <v>-53.21</v>
      </c>
      <c r="J41" s="29">
        <f t="shared" si="27"/>
        <v>-53.21</v>
      </c>
      <c r="K41" s="29">
        <f t="shared" si="28"/>
        <v>0</v>
      </c>
      <c r="L41" s="37">
        <f t="shared" si="29"/>
        <v>-0.1633</v>
      </c>
      <c r="M41" s="27">
        <v>674.8</v>
      </c>
      <c r="N41" s="27">
        <v>869.35</v>
      </c>
      <c r="O41" s="37">
        <f t="shared" si="30"/>
        <v>-0.2238</v>
      </c>
      <c r="P41" s="29">
        <f t="shared" si="31"/>
        <v>669.19</v>
      </c>
      <c r="Q41" s="29">
        <f t="shared" si="32"/>
        <v>999.75</v>
      </c>
      <c r="R41" s="29">
        <f t="shared" si="33"/>
        <v>674.8</v>
      </c>
      <c r="S41" s="29">
        <f t="shared" si="34"/>
        <v>219879.06</v>
      </c>
      <c r="T41" s="29">
        <f t="shared" si="35"/>
        <v>183972.95</v>
      </c>
      <c r="U41" s="30">
        <f t="shared" si="36"/>
        <v>183972.95</v>
      </c>
      <c r="V41" s="29">
        <f t="shared" si="0"/>
        <v>-35906.11</v>
      </c>
      <c r="W41" s="30">
        <f t="shared" si="1"/>
        <v>0</v>
      </c>
      <c r="X41" s="41">
        <f t="shared" si="37"/>
        <v>0</v>
      </c>
      <c r="Y41" s="26"/>
      <c r="Z41" s="1"/>
      <c r="AA41" s="1"/>
    </row>
    <row r="42" s="7" customFormat="1" ht="20" customHeight="1" spans="1:27">
      <c r="A42" s="26">
        <v>35</v>
      </c>
      <c r="B42" s="26" t="s">
        <v>729</v>
      </c>
      <c r="C42" s="26" t="s">
        <v>126</v>
      </c>
      <c r="D42" s="26" t="s">
        <v>730</v>
      </c>
      <c r="E42" s="26" t="s">
        <v>37</v>
      </c>
      <c r="F42" s="27">
        <v>134.61</v>
      </c>
      <c r="G42" s="29">
        <v>110.91</v>
      </c>
      <c r="H42" s="30">
        <f>7.58+79.07+18.96</f>
        <v>105.61</v>
      </c>
      <c r="I42" s="29">
        <f t="shared" si="26"/>
        <v>-23.7</v>
      </c>
      <c r="J42" s="29">
        <f t="shared" si="27"/>
        <v>-29</v>
      </c>
      <c r="K42" s="29">
        <f t="shared" si="28"/>
        <v>-5.3</v>
      </c>
      <c r="L42" s="37">
        <f t="shared" si="29"/>
        <v>-0.1761</v>
      </c>
      <c r="M42" s="27">
        <v>838.64</v>
      </c>
      <c r="N42" s="27">
        <v>1007.51</v>
      </c>
      <c r="O42" s="37">
        <f t="shared" si="30"/>
        <v>-0.1676</v>
      </c>
      <c r="P42" s="29">
        <f t="shared" si="31"/>
        <v>775.54</v>
      </c>
      <c r="Q42" s="29">
        <f t="shared" si="32"/>
        <v>1158.64</v>
      </c>
      <c r="R42" s="29">
        <f t="shared" si="33"/>
        <v>838.64</v>
      </c>
      <c r="S42" s="29">
        <f t="shared" si="34"/>
        <v>112889.33</v>
      </c>
      <c r="T42" s="29">
        <f t="shared" si="35"/>
        <v>93013.56</v>
      </c>
      <c r="U42" s="30">
        <f t="shared" si="36"/>
        <v>88568.77</v>
      </c>
      <c r="V42" s="29">
        <f t="shared" si="0"/>
        <v>-24320.56</v>
      </c>
      <c r="W42" s="30">
        <f t="shared" si="1"/>
        <v>-4444.79</v>
      </c>
      <c r="X42" s="41">
        <f t="shared" si="37"/>
        <v>-4444.79</v>
      </c>
      <c r="Y42" s="26"/>
      <c r="Z42" s="1"/>
      <c r="AA42" s="1"/>
    </row>
    <row r="43" s="7" customFormat="1" ht="20" customHeight="1" spans="1:27">
      <c r="A43" s="26">
        <v>36</v>
      </c>
      <c r="B43" s="26" t="s">
        <v>731</v>
      </c>
      <c r="C43" s="26" t="s">
        <v>141</v>
      </c>
      <c r="D43" s="26" t="s">
        <v>732</v>
      </c>
      <c r="E43" s="26" t="s">
        <v>37</v>
      </c>
      <c r="F43" s="27">
        <v>28.37</v>
      </c>
      <c r="G43" s="29">
        <v>2.89</v>
      </c>
      <c r="H43" s="30">
        <v>2.89</v>
      </c>
      <c r="I43" s="29">
        <f t="shared" si="26"/>
        <v>-25.48</v>
      </c>
      <c r="J43" s="29">
        <f t="shared" si="27"/>
        <v>-25.48</v>
      </c>
      <c r="K43" s="29">
        <f t="shared" si="28"/>
        <v>0</v>
      </c>
      <c r="L43" s="37">
        <f t="shared" si="29"/>
        <v>-0.8981</v>
      </c>
      <c r="M43" s="27">
        <v>826.88</v>
      </c>
      <c r="N43" s="27">
        <v>982.99</v>
      </c>
      <c r="O43" s="37">
        <f t="shared" si="30"/>
        <v>-0.1588</v>
      </c>
      <c r="P43" s="29">
        <f t="shared" si="31"/>
        <v>756.67</v>
      </c>
      <c r="Q43" s="29">
        <f t="shared" si="32"/>
        <v>1130.44</v>
      </c>
      <c r="R43" s="29">
        <f t="shared" si="33"/>
        <v>826.88</v>
      </c>
      <c r="S43" s="29">
        <f t="shared" si="34"/>
        <v>23458.59</v>
      </c>
      <c r="T43" s="29">
        <f t="shared" si="35"/>
        <v>2389.69</v>
      </c>
      <c r="U43" s="30">
        <f t="shared" si="36"/>
        <v>2389.69</v>
      </c>
      <c r="V43" s="29">
        <f t="shared" si="0"/>
        <v>-21068.9</v>
      </c>
      <c r="W43" s="30">
        <f t="shared" si="1"/>
        <v>0</v>
      </c>
      <c r="X43" s="41">
        <f t="shared" si="37"/>
        <v>0</v>
      </c>
      <c r="Y43" s="26"/>
      <c r="Z43" s="1"/>
      <c r="AA43" s="1"/>
    </row>
    <row r="44" s="7" customFormat="1" ht="20" customHeight="1" spans="1:25">
      <c r="A44" s="26">
        <v>37</v>
      </c>
      <c r="B44" s="26" t="s">
        <v>733</v>
      </c>
      <c r="C44" s="26" t="s">
        <v>734</v>
      </c>
      <c r="D44" s="26" t="s">
        <v>735</v>
      </c>
      <c r="E44" s="26" t="s">
        <v>37</v>
      </c>
      <c r="F44" s="27">
        <v>44.62</v>
      </c>
      <c r="G44" s="29">
        <v>44.62</v>
      </c>
      <c r="H44" s="30">
        <v>44.62</v>
      </c>
      <c r="I44" s="29">
        <f t="shared" si="26"/>
        <v>0</v>
      </c>
      <c r="J44" s="29">
        <f t="shared" si="27"/>
        <v>0</v>
      </c>
      <c r="K44" s="29">
        <f t="shared" si="28"/>
        <v>0</v>
      </c>
      <c r="L44" s="37">
        <f t="shared" si="29"/>
        <v>0</v>
      </c>
      <c r="M44" s="27">
        <v>730.1</v>
      </c>
      <c r="N44" s="27">
        <v>906.2</v>
      </c>
      <c r="O44" s="37">
        <f t="shared" si="30"/>
        <v>-0.1943</v>
      </c>
      <c r="P44" s="29">
        <f t="shared" si="31"/>
        <v>697.56</v>
      </c>
      <c r="Q44" s="29">
        <f t="shared" si="32"/>
        <v>1042.13</v>
      </c>
      <c r="R44" s="29">
        <f t="shared" si="33"/>
        <v>730.1</v>
      </c>
      <c r="S44" s="29">
        <f t="shared" si="34"/>
        <v>32577.06</v>
      </c>
      <c r="T44" s="29">
        <f t="shared" si="35"/>
        <v>32577.06</v>
      </c>
      <c r="U44" s="30">
        <f t="shared" si="36"/>
        <v>32577.06</v>
      </c>
      <c r="V44" s="29">
        <f t="shared" si="0"/>
        <v>0</v>
      </c>
      <c r="W44" s="30">
        <f t="shared" si="1"/>
        <v>0</v>
      </c>
      <c r="X44" s="41">
        <f t="shared" si="37"/>
        <v>0</v>
      </c>
      <c r="Y44" s="26"/>
    </row>
    <row r="45" s="7" customFormat="1" ht="20" customHeight="1" spans="1:27">
      <c r="A45" s="26">
        <v>38</v>
      </c>
      <c r="B45" s="26" t="s">
        <v>736</v>
      </c>
      <c r="C45" s="26" t="s">
        <v>138</v>
      </c>
      <c r="D45" s="26" t="s">
        <v>139</v>
      </c>
      <c r="E45" s="26" t="s">
        <v>37</v>
      </c>
      <c r="F45" s="27">
        <v>10.13</v>
      </c>
      <c r="G45" s="29">
        <v>10.13</v>
      </c>
      <c r="H45" s="30">
        <v>10.13</v>
      </c>
      <c r="I45" s="29">
        <f t="shared" si="26"/>
        <v>0</v>
      </c>
      <c r="J45" s="29">
        <f t="shared" si="27"/>
        <v>0</v>
      </c>
      <c r="K45" s="29">
        <f t="shared" si="28"/>
        <v>0</v>
      </c>
      <c r="L45" s="37">
        <f t="shared" si="29"/>
        <v>0</v>
      </c>
      <c r="M45" s="27">
        <v>730.1</v>
      </c>
      <c r="N45" s="27">
        <v>906.2</v>
      </c>
      <c r="O45" s="37">
        <f t="shared" si="30"/>
        <v>-0.1943</v>
      </c>
      <c r="P45" s="29">
        <f t="shared" si="31"/>
        <v>697.56</v>
      </c>
      <c r="Q45" s="29">
        <f t="shared" si="32"/>
        <v>1042.13</v>
      </c>
      <c r="R45" s="29">
        <f t="shared" si="33"/>
        <v>730.1</v>
      </c>
      <c r="S45" s="29">
        <f t="shared" si="34"/>
        <v>7395.91</v>
      </c>
      <c r="T45" s="29">
        <f t="shared" si="35"/>
        <v>7395.91</v>
      </c>
      <c r="U45" s="30">
        <f t="shared" si="36"/>
        <v>7395.91</v>
      </c>
      <c r="V45" s="29">
        <f t="shared" si="0"/>
        <v>0</v>
      </c>
      <c r="W45" s="30">
        <f t="shared" si="1"/>
        <v>0</v>
      </c>
      <c r="X45" s="41">
        <f t="shared" si="37"/>
        <v>0</v>
      </c>
      <c r="Y45" s="26"/>
      <c r="Z45" s="1"/>
      <c r="AA45" s="1"/>
    </row>
    <row r="46" s="9" customFormat="1" ht="20" customHeight="1" spans="1:27">
      <c r="A46" s="26">
        <v>39</v>
      </c>
      <c r="B46" s="26" t="s">
        <v>737</v>
      </c>
      <c r="C46" s="26" t="s">
        <v>130</v>
      </c>
      <c r="D46" s="26" t="s">
        <v>738</v>
      </c>
      <c r="E46" s="26" t="s">
        <v>37</v>
      </c>
      <c r="F46" s="27">
        <v>18.106</v>
      </c>
      <c r="G46" s="29">
        <v>0</v>
      </c>
      <c r="H46" s="30">
        <v>0</v>
      </c>
      <c r="I46" s="29">
        <f t="shared" si="26"/>
        <v>-18.11</v>
      </c>
      <c r="J46" s="29">
        <f t="shared" si="27"/>
        <v>-18.11</v>
      </c>
      <c r="K46" s="29">
        <f t="shared" si="28"/>
        <v>0</v>
      </c>
      <c r="L46" s="37">
        <f t="shared" si="29"/>
        <v>-1.0002</v>
      </c>
      <c r="M46" s="27">
        <v>957.9</v>
      </c>
      <c r="N46" s="27">
        <v>1157.57</v>
      </c>
      <c r="O46" s="37">
        <f t="shared" si="30"/>
        <v>-0.1725</v>
      </c>
      <c r="P46" s="29">
        <f t="shared" si="31"/>
        <v>891.05</v>
      </c>
      <c r="Q46" s="29">
        <f t="shared" si="32"/>
        <v>1331.21</v>
      </c>
      <c r="R46" s="29">
        <f t="shared" si="33"/>
        <v>957.9</v>
      </c>
      <c r="S46" s="29">
        <f t="shared" si="34"/>
        <v>17343.74</v>
      </c>
      <c r="T46" s="29">
        <f t="shared" si="35"/>
        <v>-3.83</v>
      </c>
      <c r="U46" s="30">
        <f t="shared" si="36"/>
        <v>-3.83</v>
      </c>
      <c r="V46" s="29">
        <f t="shared" si="0"/>
        <v>-17347.57</v>
      </c>
      <c r="W46" s="30">
        <f t="shared" si="1"/>
        <v>0</v>
      </c>
      <c r="X46" s="41">
        <f t="shared" si="37"/>
        <v>0</v>
      </c>
      <c r="Y46" s="26"/>
      <c r="Z46" s="1"/>
      <c r="AA46" s="1"/>
    </row>
    <row r="47" s="7" customFormat="1" ht="20" customHeight="1" spans="1:27">
      <c r="A47" s="26">
        <v>40</v>
      </c>
      <c r="B47" s="26" t="s">
        <v>739</v>
      </c>
      <c r="C47" s="26" t="s">
        <v>123</v>
      </c>
      <c r="D47" s="26" t="s">
        <v>124</v>
      </c>
      <c r="E47" s="26" t="s">
        <v>37</v>
      </c>
      <c r="F47" s="27">
        <v>102.36</v>
      </c>
      <c r="G47" s="29">
        <v>113.33</v>
      </c>
      <c r="H47" s="30">
        <v>107.93</v>
      </c>
      <c r="I47" s="29">
        <f t="shared" si="26"/>
        <v>10.97</v>
      </c>
      <c r="J47" s="29">
        <f t="shared" si="27"/>
        <v>5.57</v>
      </c>
      <c r="K47" s="29">
        <f t="shared" si="28"/>
        <v>-5.4</v>
      </c>
      <c r="L47" s="37">
        <f t="shared" si="29"/>
        <v>0.1072</v>
      </c>
      <c r="M47" s="27">
        <v>726.66</v>
      </c>
      <c r="N47" s="27">
        <v>913.95</v>
      </c>
      <c r="O47" s="37">
        <f t="shared" si="30"/>
        <v>-0.2049</v>
      </c>
      <c r="P47" s="29">
        <f t="shared" si="31"/>
        <v>703.52</v>
      </c>
      <c r="Q47" s="29">
        <f t="shared" si="32"/>
        <v>1051.04</v>
      </c>
      <c r="R47" s="29">
        <f t="shared" si="33"/>
        <v>726.66</v>
      </c>
      <c r="S47" s="29">
        <f t="shared" si="34"/>
        <v>74380.92</v>
      </c>
      <c r="T47" s="29">
        <f t="shared" si="35"/>
        <v>82352.38</v>
      </c>
      <c r="U47" s="30">
        <f t="shared" si="36"/>
        <v>78428.42</v>
      </c>
      <c r="V47" s="29">
        <f t="shared" si="0"/>
        <v>4047.5</v>
      </c>
      <c r="W47" s="30">
        <f t="shared" si="1"/>
        <v>-3923.96</v>
      </c>
      <c r="X47" s="41">
        <f t="shared" si="37"/>
        <v>-3923.96</v>
      </c>
      <c r="Y47" s="26"/>
      <c r="Z47" s="1"/>
      <c r="AA47" s="1"/>
    </row>
    <row r="48" s="7" customFormat="1" ht="20" customHeight="1" spans="1:27">
      <c r="A48" s="34">
        <v>41</v>
      </c>
      <c r="B48" s="34" t="s">
        <v>740</v>
      </c>
      <c r="C48" s="34" t="s">
        <v>144</v>
      </c>
      <c r="D48" s="34" t="s">
        <v>145</v>
      </c>
      <c r="E48" s="34" t="s">
        <v>32</v>
      </c>
      <c r="F48" s="35">
        <v>141.6688</v>
      </c>
      <c r="G48" s="36">
        <v>239.87</v>
      </c>
      <c r="H48" s="30">
        <v>0</v>
      </c>
      <c r="I48" s="36">
        <f t="shared" si="26"/>
        <v>98.2</v>
      </c>
      <c r="J48" s="36">
        <f t="shared" si="27"/>
        <v>-141.67</v>
      </c>
      <c r="K48" s="36">
        <f t="shared" si="28"/>
        <v>-239.87</v>
      </c>
      <c r="L48" s="39">
        <f t="shared" si="29"/>
        <v>0.6932</v>
      </c>
      <c r="M48" s="35">
        <v>80.24</v>
      </c>
      <c r="N48" s="35">
        <v>95.34</v>
      </c>
      <c r="O48" s="39">
        <f t="shared" si="30"/>
        <v>-0.1584</v>
      </c>
      <c r="P48" s="36">
        <f t="shared" si="31"/>
        <v>73.39</v>
      </c>
      <c r="Q48" s="36">
        <f t="shared" si="32"/>
        <v>109.64</v>
      </c>
      <c r="R48" s="36">
        <f t="shared" si="33"/>
        <v>80.24</v>
      </c>
      <c r="S48" s="36">
        <f t="shared" si="34"/>
        <v>11367.5</v>
      </c>
      <c r="T48" s="36">
        <f t="shared" si="35"/>
        <v>19247.07</v>
      </c>
      <c r="U48" s="30">
        <f t="shared" si="36"/>
        <v>-0.1</v>
      </c>
      <c r="V48" s="29">
        <f t="shared" si="0"/>
        <v>-11367.6</v>
      </c>
      <c r="W48" s="30">
        <f t="shared" si="1"/>
        <v>-19247.17</v>
      </c>
      <c r="X48" s="41">
        <f t="shared" si="37"/>
        <v>-19247.17</v>
      </c>
      <c r="Y48" s="34"/>
      <c r="Z48" s="43"/>
      <c r="AA48" s="1"/>
    </row>
    <row r="49" s="7" customFormat="1" ht="20" customHeight="1" spans="1:27">
      <c r="A49" s="26">
        <v>42</v>
      </c>
      <c r="B49" s="26" t="s">
        <v>741</v>
      </c>
      <c r="C49" s="26" t="s">
        <v>69</v>
      </c>
      <c r="D49" s="26" t="s">
        <v>148</v>
      </c>
      <c r="E49" s="26" t="s">
        <v>71</v>
      </c>
      <c r="F49" s="27">
        <v>178.2</v>
      </c>
      <c r="G49" s="29">
        <v>163.8</v>
      </c>
      <c r="H49" s="33">
        <v>163.799</v>
      </c>
      <c r="I49" s="29">
        <f t="shared" si="26"/>
        <v>-14.4</v>
      </c>
      <c r="J49" s="29">
        <f t="shared" si="27"/>
        <v>-14.4</v>
      </c>
      <c r="K49" s="29">
        <f t="shared" si="28"/>
        <v>0</v>
      </c>
      <c r="L49" s="37">
        <f t="shared" si="29"/>
        <v>-0.0808</v>
      </c>
      <c r="M49" s="27">
        <v>5708.81</v>
      </c>
      <c r="N49" s="27">
        <v>6995.45</v>
      </c>
      <c r="O49" s="37">
        <f t="shared" si="30"/>
        <v>-0.1839</v>
      </c>
      <c r="P49" s="29">
        <f t="shared" si="31"/>
        <v>5384.82</v>
      </c>
      <c r="Q49" s="29">
        <f t="shared" si="32"/>
        <v>8044.77</v>
      </c>
      <c r="R49" s="29">
        <f t="shared" si="33"/>
        <v>5708.81</v>
      </c>
      <c r="S49" s="29">
        <f t="shared" si="34"/>
        <v>1017309.94</v>
      </c>
      <c r="T49" s="29">
        <f t="shared" si="35"/>
        <v>935103.08</v>
      </c>
      <c r="U49" s="30">
        <f t="shared" si="36"/>
        <v>935103.08</v>
      </c>
      <c r="V49" s="29">
        <f t="shared" si="0"/>
        <v>-82206.86</v>
      </c>
      <c r="W49" s="30">
        <f t="shared" si="1"/>
        <v>0</v>
      </c>
      <c r="X49" s="41">
        <f t="shared" si="37"/>
        <v>0</v>
      </c>
      <c r="Y49" s="26"/>
      <c r="Z49" s="42"/>
      <c r="AA49" s="1"/>
    </row>
    <row r="50" s="8" customFormat="1" ht="20" customHeight="1" spans="1:27">
      <c r="A50" s="26">
        <v>43</v>
      </c>
      <c r="B50" s="26" t="s">
        <v>742</v>
      </c>
      <c r="C50" s="26" t="s">
        <v>69</v>
      </c>
      <c r="D50" s="26" t="s">
        <v>150</v>
      </c>
      <c r="E50" s="26" t="s">
        <v>71</v>
      </c>
      <c r="F50" s="27">
        <v>6.982</v>
      </c>
      <c r="G50" s="29">
        <v>11.74</v>
      </c>
      <c r="H50" s="33">
        <v>11.744</v>
      </c>
      <c r="I50" s="29">
        <f t="shared" si="26"/>
        <v>4.76</v>
      </c>
      <c r="J50" s="29">
        <f t="shared" si="27"/>
        <v>4.76</v>
      </c>
      <c r="K50" s="29">
        <f t="shared" si="28"/>
        <v>0</v>
      </c>
      <c r="L50" s="37">
        <f t="shared" si="29"/>
        <v>0.6818</v>
      </c>
      <c r="M50" s="27">
        <v>5708.81</v>
      </c>
      <c r="N50" s="27">
        <v>7085.72</v>
      </c>
      <c r="O50" s="37">
        <f t="shared" si="30"/>
        <v>-0.1943</v>
      </c>
      <c r="P50" s="29">
        <f t="shared" si="31"/>
        <v>5454.3</v>
      </c>
      <c r="Q50" s="29">
        <f t="shared" si="32"/>
        <v>8148.58</v>
      </c>
      <c r="R50" s="29">
        <f t="shared" si="33"/>
        <v>5708.81</v>
      </c>
      <c r="S50" s="29">
        <f t="shared" si="34"/>
        <v>39858.91</v>
      </c>
      <c r="T50" s="29">
        <f t="shared" si="35"/>
        <v>67032.85</v>
      </c>
      <c r="U50" s="30">
        <f t="shared" si="36"/>
        <v>67032.85</v>
      </c>
      <c r="V50" s="29">
        <f t="shared" si="0"/>
        <v>27173.94</v>
      </c>
      <c r="W50" s="30">
        <f t="shared" si="1"/>
        <v>0</v>
      </c>
      <c r="X50" s="41">
        <f t="shared" si="37"/>
        <v>0</v>
      </c>
      <c r="Y50" s="26"/>
      <c r="Z50" s="42"/>
      <c r="AA50" s="1"/>
    </row>
    <row r="51" s="7" customFormat="1" ht="20" customHeight="1" spans="1:27">
      <c r="A51" s="26">
        <v>44</v>
      </c>
      <c r="B51" s="26" t="s">
        <v>743</v>
      </c>
      <c r="C51" s="26" t="s">
        <v>69</v>
      </c>
      <c r="D51" s="26" t="s">
        <v>152</v>
      </c>
      <c r="E51" s="26" t="s">
        <v>71</v>
      </c>
      <c r="F51" s="27">
        <v>30.489</v>
      </c>
      <c r="G51" s="29">
        <v>65.32</v>
      </c>
      <c r="H51" s="33">
        <v>65.324</v>
      </c>
      <c r="I51" s="29">
        <f t="shared" si="26"/>
        <v>34.83</v>
      </c>
      <c r="J51" s="29">
        <f t="shared" si="27"/>
        <v>34.84</v>
      </c>
      <c r="K51" s="29">
        <f t="shared" si="28"/>
        <v>0</v>
      </c>
      <c r="L51" s="37">
        <f t="shared" si="29"/>
        <v>1.1424</v>
      </c>
      <c r="M51" s="27">
        <v>5570.86</v>
      </c>
      <c r="N51" s="27">
        <v>6793.55</v>
      </c>
      <c r="O51" s="37">
        <f t="shared" si="30"/>
        <v>-0.18</v>
      </c>
      <c r="P51" s="29">
        <f t="shared" si="31"/>
        <v>5229.4</v>
      </c>
      <c r="Q51" s="29">
        <f t="shared" si="32"/>
        <v>7812.58</v>
      </c>
      <c r="R51" s="29">
        <f t="shared" si="33"/>
        <v>5570.86</v>
      </c>
      <c r="S51" s="29">
        <f t="shared" si="34"/>
        <v>169849.95</v>
      </c>
      <c r="T51" s="29">
        <f t="shared" si="35"/>
        <v>363883</v>
      </c>
      <c r="U51" s="30">
        <f t="shared" si="36"/>
        <v>363938.71</v>
      </c>
      <c r="V51" s="29">
        <f t="shared" si="0"/>
        <v>194088.76</v>
      </c>
      <c r="W51" s="30">
        <f t="shared" si="1"/>
        <v>55.71</v>
      </c>
      <c r="X51" s="41">
        <f t="shared" si="37"/>
        <v>55.71</v>
      </c>
      <c r="Y51" s="26"/>
      <c r="Z51" s="42"/>
      <c r="AA51" s="1"/>
    </row>
    <row r="52" s="7" customFormat="1" ht="20" customHeight="1" spans="1:27">
      <c r="A52" s="26">
        <v>45</v>
      </c>
      <c r="B52" s="26" t="s">
        <v>744</v>
      </c>
      <c r="C52" s="26" t="s">
        <v>69</v>
      </c>
      <c r="D52" s="26" t="s">
        <v>154</v>
      </c>
      <c r="E52" s="26" t="s">
        <v>71</v>
      </c>
      <c r="F52" s="27">
        <v>205.801</v>
      </c>
      <c r="G52" s="29">
        <v>180.93</v>
      </c>
      <c r="H52" s="33">
        <v>180.929</v>
      </c>
      <c r="I52" s="29">
        <f t="shared" si="26"/>
        <v>-24.87</v>
      </c>
      <c r="J52" s="29">
        <f t="shared" si="27"/>
        <v>-24.87</v>
      </c>
      <c r="K52" s="29">
        <f t="shared" si="28"/>
        <v>0</v>
      </c>
      <c r="L52" s="37">
        <f t="shared" si="29"/>
        <v>-0.1208</v>
      </c>
      <c r="M52" s="27">
        <v>5570.86</v>
      </c>
      <c r="N52" s="27">
        <v>6884.26</v>
      </c>
      <c r="O52" s="37">
        <f t="shared" si="30"/>
        <v>-0.1908</v>
      </c>
      <c r="P52" s="29">
        <f t="shared" si="31"/>
        <v>5299.23</v>
      </c>
      <c r="Q52" s="29">
        <f t="shared" si="32"/>
        <v>7916.9</v>
      </c>
      <c r="R52" s="29">
        <f t="shared" si="33"/>
        <v>5570.86</v>
      </c>
      <c r="S52" s="29">
        <f t="shared" si="34"/>
        <v>1146488.56</v>
      </c>
      <c r="T52" s="29">
        <f t="shared" si="35"/>
        <v>1007941.27</v>
      </c>
      <c r="U52" s="30">
        <f t="shared" si="36"/>
        <v>1007941.27</v>
      </c>
      <c r="V52" s="29">
        <f t="shared" si="0"/>
        <v>-138547.29</v>
      </c>
      <c r="W52" s="30">
        <f t="shared" si="1"/>
        <v>0</v>
      </c>
      <c r="X52" s="41">
        <f t="shared" si="37"/>
        <v>0</v>
      </c>
      <c r="Y52" s="26"/>
      <c r="Z52" s="42"/>
      <c r="AA52" s="1"/>
    </row>
    <row r="53" s="7" customFormat="1" ht="20" customHeight="1" spans="1:27">
      <c r="A53" s="26">
        <v>46</v>
      </c>
      <c r="B53" s="26" t="s">
        <v>745</v>
      </c>
      <c r="C53" s="26" t="s">
        <v>69</v>
      </c>
      <c r="D53" s="26" t="s">
        <v>156</v>
      </c>
      <c r="E53" s="26" t="s">
        <v>71</v>
      </c>
      <c r="F53" s="27">
        <v>9.881</v>
      </c>
      <c r="G53" s="29">
        <v>8.13</v>
      </c>
      <c r="H53" s="33">
        <v>8.126</v>
      </c>
      <c r="I53" s="29">
        <f t="shared" si="26"/>
        <v>-1.75</v>
      </c>
      <c r="J53" s="29">
        <f t="shared" si="27"/>
        <v>-1.76</v>
      </c>
      <c r="K53" s="29">
        <f t="shared" si="28"/>
        <v>0</v>
      </c>
      <c r="L53" s="37">
        <f t="shared" si="29"/>
        <v>-0.1771</v>
      </c>
      <c r="M53" s="27">
        <v>5507.01</v>
      </c>
      <c r="N53" s="27">
        <v>6766.86</v>
      </c>
      <c r="O53" s="37">
        <f t="shared" si="30"/>
        <v>-0.1862</v>
      </c>
      <c r="P53" s="29">
        <f t="shared" si="31"/>
        <v>5208.86</v>
      </c>
      <c r="Q53" s="29">
        <f t="shared" si="32"/>
        <v>7781.89</v>
      </c>
      <c r="R53" s="29">
        <f t="shared" si="33"/>
        <v>5507.01</v>
      </c>
      <c r="S53" s="29">
        <f t="shared" si="34"/>
        <v>54414.77</v>
      </c>
      <c r="T53" s="29">
        <f t="shared" si="35"/>
        <v>44777.5</v>
      </c>
      <c r="U53" s="30">
        <f t="shared" si="36"/>
        <v>44722.43</v>
      </c>
      <c r="V53" s="29">
        <f t="shared" si="0"/>
        <v>-9692.34</v>
      </c>
      <c r="W53" s="30">
        <f t="shared" si="1"/>
        <v>-55.07</v>
      </c>
      <c r="X53" s="41">
        <f t="shared" si="37"/>
        <v>-55.07</v>
      </c>
      <c r="Y53" s="26"/>
      <c r="Z53" s="42"/>
      <c r="AA53" s="1"/>
    </row>
    <row r="54" s="7" customFormat="1" ht="20" customHeight="1" spans="1:27">
      <c r="A54" s="26">
        <v>47</v>
      </c>
      <c r="B54" s="26" t="s">
        <v>746</v>
      </c>
      <c r="C54" s="26" t="s">
        <v>69</v>
      </c>
      <c r="D54" s="26" t="s">
        <v>158</v>
      </c>
      <c r="E54" s="26" t="s">
        <v>71</v>
      </c>
      <c r="F54" s="27">
        <v>97.663</v>
      </c>
      <c r="G54" s="29">
        <v>109.47</v>
      </c>
      <c r="H54" s="33">
        <v>109.473</v>
      </c>
      <c r="I54" s="29">
        <f t="shared" si="26"/>
        <v>11.81</v>
      </c>
      <c r="J54" s="29">
        <f t="shared" si="27"/>
        <v>11.81</v>
      </c>
      <c r="K54" s="29">
        <f t="shared" si="28"/>
        <v>0</v>
      </c>
      <c r="L54" s="37">
        <f t="shared" si="29"/>
        <v>0.1209</v>
      </c>
      <c r="M54" s="27">
        <v>6837.26</v>
      </c>
      <c r="N54" s="27">
        <v>8255.91</v>
      </c>
      <c r="O54" s="37">
        <f t="shared" si="30"/>
        <v>-0.1718</v>
      </c>
      <c r="P54" s="29">
        <f t="shared" si="31"/>
        <v>6355.07</v>
      </c>
      <c r="Q54" s="29">
        <f t="shared" si="32"/>
        <v>9494.3</v>
      </c>
      <c r="R54" s="29">
        <f t="shared" si="33"/>
        <v>6837.26</v>
      </c>
      <c r="S54" s="29">
        <f t="shared" si="34"/>
        <v>667747.32</v>
      </c>
      <c r="T54" s="29">
        <f t="shared" si="35"/>
        <v>748495.36</v>
      </c>
      <c r="U54" s="30">
        <f t="shared" si="36"/>
        <v>748495.36</v>
      </c>
      <c r="V54" s="29">
        <f t="shared" si="0"/>
        <v>80748.04</v>
      </c>
      <c r="W54" s="30">
        <f t="shared" si="1"/>
        <v>0</v>
      </c>
      <c r="X54" s="41">
        <f t="shared" si="37"/>
        <v>0</v>
      </c>
      <c r="Y54" s="26"/>
      <c r="Z54" s="42"/>
      <c r="AA54" s="1"/>
    </row>
    <row r="55" s="7" customFormat="1" ht="20" customHeight="1" spans="1:27">
      <c r="A55" s="26">
        <v>48</v>
      </c>
      <c r="B55" s="26" t="s">
        <v>747</v>
      </c>
      <c r="C55" s="26" t="s">
        <v>69</v>
      </c>
      <c r="D55" s="26" t="s">
        <v>748</v>
      </c>
      <c r="E55" s="26" t="s">
        <v>71</v>
      </c>
      <c r="F55" s="27">
        <v>3.526</v>
      </c>
      <c r="G55" s="29">
        <v>4.1</v>
      </c>
      <c r="H55" s="33">
        <v>4.104</v>
      </c>
      <c r="I55" s="29">
        <f t="shared" si="26"/>
        <v>0.57</v>
      </c>
      <c r="J55" s="29">
        <f t="shared" si="27"/>
        <v>0.58</v>
      </c>
      <c r="K55" s="29">
        <f t="shared" si="28"/>
        <v>0</v>
      </c>
      <c r="L55" s="37">
        <f t="shared" si="29"/>
        <v>0.1617</v>
      </c>
      <c r="M55" s="27">
        <v>5844.44</v>
      </c>
      <c r="N55" s="27">
        <v>7106.92</v>
      </c>
      <c r="O55" s="37">
        <f t="shared" si="30"/>
        <v>-0.1776</v>
      </c>
      <c r="P55" s="29">
        <f t="shared" si="31"/>
        <v>5470.62</v>
      </c>
      <c r="Q55" s="29">
        <f t="shared" si="32"/>
        <v>8172.96</v>
      </c>
      <c r="R55" s="29">
        <f t="shared" si="33"/>
        <v>5844.44</v>
      </c>
      <c r="S55" s="29">
        <f t="shared" si="34"/>
        <v>20607.5</v>
      </c>
      <c r="T55" s="29">
        <f t="shared" si="35"/>
        <v>23938.83</v>
      </c>
      <c r="U55" s="30">
        <f t="shared" si="36"/>
        <v>23997.28</v>
      </c>
      <c r="V55" s="29">
        <f t="shared" si="0"/>
        <v>3389.78</v>
      </c>
      <c r="W55" s="30">
        <f t="shared" si="1"/>
        <v>58.45</v>
      </c>
      <c r="X55" s="41">
        <f t="shared" si="37"/>
        <v>58.45</v>
      </c>
      <c r="Y55" s="26"/>
      <c r="Z55" s="42"/>
      <c r="AA55" s="1"/>
    </row>
    <row r="56" s="7" customFormat="1" ht="20" customHeight="1" spans="1:27">
      <c r="A56" s="26">
        <v>49</v>
      </c>
      <c r="B56" s="26" t="s">
        <v>159</v>
      </c>
      <c r="C56" s="26" t="s">
        <v>160</v>
      </c>
      <c r="D56" s="26" t="s">
        <v>161</v>
      </c>
      <c r="E56" s="26" t="s">
        <v>67</v>
      </c>
      <c r="F56" s="27">
        <v>2456</v>
      </c>
      <c r="G56" s="29">
        <v>0</v>
      </c>
      <c r="H56" s="32">
        <v>0</v>
      </c>
      <c r="I56" s="29">
        <f t="shared" si="26"/>
        <v>-2456</v>
      </c>
      <c r="J56" s="29">
        <f t="shared" si="27"/>
        <v>-2456</v>
      </c>
      <c r="K56" s="29">
        <f t="shared" si="28"/>
        <v>0</v>
      </c>
      <c r="L56" s="37">
        <f t="shared" si="29"/>
        <v>-1</v>
      </c>
      <c r="M56" s="27">
        <v>7.47</v>
      </c>
      <c r="N56" s="27">
        <v>8.25</v>
      </c>
      <c r="O56" s="37">
        <f t="shared" si="30"/>
        <v>-0.0945</v>
      </c>
      <c r="P56" s="29">
        <f t="shared" si="31"/>
        <v>6.35</v>
      </c>
      <c r="Q56" s="29">
        <f t="shared" si="32"/>
        <v>9.49</v>
      </c>
      <c r="R56" s="29">
        <f t="shared" si="33"/>
        <v>7.47</v>
      </c>
      <c r="S56" s="29">
        <f t="shared" si="34"/>
        <v>18346.32</v>
      </c>
      <c r="T56" s="29">
        <f t="shared" si="35"/>
        <v>0</v>
      </c>
      <c r="U56" s="30">
        <f t="shared" si="36"/>
        <v>0</v>
      </c>
      <c r="V56" s="29">
        <f t="shared" si="0"/>
        <v>-18346.32</v>
      </c>
      <c r="W56" s="30">
        <f t="shared" si="1"/>
        <v>0</v>
      </c>
      <c r="X56" s="41">
        <f t="shared" si="37"/>
        <v>0</v>
      </c>
      <c r="Y56" s="26"/>
      <c r="Z56" s="1"/>
      <c r="AA56" s="1"/>
    </row>
    <row r="57" s="7" customFormat="1" ht="20" customHeight="1" spans="1:27">
      <c r="A57" s="26">
        <v>50</v>
      </c>
      <c r="B57" s="26" t="s">
        <v>162</v>
      </c>
      <c r="C57" s="26" t="s">
        <v>160</v>
      </c>
      <c r="D57" s="26" t="s">
        <v>163</v>
      </c>
      <c r="E57" s="26" t="s">
        <v>67</v>
      </c>
      <c r="F57" s="27">
        <v>2572</v>
      </c>
      <c r="G57" s="29">
        <v>0</v>
      </c>
      <c r="H57" s="32">
        <v>0</v>
      </c>
      <c r="I57" s="29">
        <f t="shared" si="26"/>
        <v>-2572</v>
      </c>
      <c r="J57" s="29">
        <f t="shared" si="27"/>
        <v>-2572</v>
      </c>
      <c r="K57" s="29">
        <f t="shared" si="28"/>
        <v>0</v>
      </c>
      <c r="L57" s="37">
        <f t="shared" si="29"/>
        <v>-1</v>
      </c>
      <c r="M57" s="27">
        <v>9.46</v>
      </c>
      <c r="N57" s="27">
        <v>10.44</v>
      </c>
      <c r="O57" s="37">
        <f t="shared" si="30"/>
        <v>-0.0939</v>
      </c>
      <c r="P57" s="29">
        <f t="shared" si="31"/>
        <v>8.04</v>
      </c>
      <c r="Q57" s="29">
        <f t="shared" si="32"/>
        <v>12.01</v>
      </c>
      <c r="R57" s="29">
        <f t="shared" si="33"/>
        <v>9.46</v>
      </c>
      <c r="S57" s="29">
        <f t="shared" si="34"/>
        <v>24331.12</v>
      </c>
      <c r="T57" s="29">
        <f t="shared" si="35"/>
        <v>0</v>
      </c>
      <c r="U57" s="30">
        <f t="shared" si="36"/>
        <v>0</v>
      </c>
      <c r="V57" s="29">
        <f t="shared" si="0"/>
        <v>-24331.12</v>
      </c>
      <c r="W57" s="30">
        <f t="shared" si="1"/>
        <v>0</v>
      </c>
      <c r="X57" s="41">
        <f t="shared" si="37"/>
        <v>0</v>
      </c>
      <c r="Y57" s="26"/>
      <c r="Z57" s="1"/>
      <c r="AA57" s="1"/>
    </row>
    <row r="58" s="7" customFormat="1" ht="20" customHeight="1" spans="1:27">
      <c r="A58" s="26">
        <v>51</v>
      </c>
      <c r="B58" s="26" t="s">
        <v>164</v>
      </c>
      <c r="C58" s="26" t="s">
        <v>165</v>
      </c>
      <c r="D58" s="26" t="s">
        <v>166</v>
      </c>
      <c r="E58" s="26" t="s">
        <v>67</v>
      </c>
      <c r="F58" s="27">
        <v>3536</v>
      </c>
      <c r="G58" s="29">
        <v>0</v>
      </c>
      <c r="H58" s="32">
        <v>0</v>
      </c>
      <c r="I58" s="29">
        <f t="shared" si="26"/>
        <v>-3536</v>
      </c>
      <c r="J58" s="29">
        <f t="shared" si="27"/>
        <v>-3536</v>
      </c>
      <c r="K58" s="29">
        <f t="shared" si="28"/>
        <v>0</v>
      </c>
      <c r="L58" s="37">
        <f t="shared" si="29"/>
        <v>-1</v>
      </c>
      <c r="M58" s="27">
        <v>16.67</v>
      </c>
      <c r="N58" s="27">
        <v>21.53</v>
      </c>
      <c r="O58" s="37">
        <f t="shared" si="30"/>
        <v>-0.2257</v>
      </c>
      <c r="P58" s="29">
        <f t="shared" si="31"/>
        <v>16.57</v>
      </c>
      <c r="Q58" s="29">
        <f t="shared" si="32"/>
        <v>24.76</v>
      </c>
      <c r="R58" s="29">
        <f t="shared" si="33"/>
        <v>16.67</v>
      </c>
      <c r="S58" s="29">
        <f t="shared" si="34"/>
        <v>58945.12</v>
      </c>
      <c r="T58" s="29">
        <f t="shared" si="35"/>
        <v>0</v>
      </c>
      <c r="U58" s="30">
        <f t="shared" si="36"/>
        <v>0</v>
      </c>
      <c r="V58" s="29">
        <f t="shared" si="0"/>
        <v>-58945.12</v>
      </c>
      <c r="W58" s="30">
        <f t="shared" si="1"/>
        <v>0</v>
      </c>
      <c r="X58" s="41">
        <f t="shared" si="37"/>
        <v>0</v>
      </c>
      <c r="Y58" s="26"/>
      <c r="Z58" s="1"/>
      <c r="AA58" s="1"/>
    </row>
    <row r="59" s="7" customFormat="1" ht="20" customHeight="1" spans="1:27">
      <c r="A59" s="26"/>
      <c r="B59" s="26"/>
      <c r="C59" s="26" t="s">
        <v>167</v>
      </c>
      <c r="D59" s="26"/>
      <c r="E59" s="26"/>
      <c r="F59" s="27"/>
      <c r="G59" s="29"/>
      <c r="H59" s="28"/>
      <c r="I59" s="29"/>
      <c r="J59" s="29"/>
      <c r="K59" s="29"/>
      <c r="L59" s="37"/>
      <c r="M59" s="27"/>
      <c r="N59" s="27"/>
      <c r="O59" s="27"/>
      <c r="P59" s="27"/>
      <c r="Q59" s="27"/>
      <c r="R59" s="29"/>
      <c r="S59" s="29">
        <f>+SUM(S60:S62)</f>
        <v>113499.53</v>
      </c>
      <c r="T59" s="29">
        <f>+SUM(T60:T62)</f>
        <v>59633.26</v>
      </c>
      <c r="U59" s="30">
        <f>SUM(U60:U62)</f>
        <v>59633.26</v>
      </c>
      <c r="V59" s="29">
        <f t="shared" si="0"/>
        <v>-53866.27</v>
      </c>
      <c r="W59" s="30">
        <f t="shared" si="1"/>
        <v>0</v>
      </c>
      <c r="X59" s="41">
        <f>U59-T59</f>
        <v>0</v>
      </c>
      <c r="Y59" s="26"/>
      <c r="Z59" s="1"/>
      <c r="AA59" s="1"/>
    </row>
    <row r="60" s="7" customFormat="1" ht="20" customHeight="1" spans="1:27">
      <c r="A60" s="26">
        <v>52</v>
      </c>
      <c r="B60" s="26" t="s">
        <v>168</v>
      </c>
      <c r="C60" s="26" t="s">
        <v>169</v>
      </c>
      <c r="D60" s="26" t="s">
        <v>170</v>
      </c>
      <c r="E60" s="26" t="s">
        <v>32</v>
      </c>
      <c r="F60" s="27">
        <v>13762.06</v>
      </c>
      <c r="G60" s="29">
        <v>10786.52</v>
      </c>
      <c r="H60" s="30">
        <v>10786.52</v>
      </c>
      <c r="I60" s="29">
        <f>G60-F60</f>
        <v>-2975.54</v>
      </c>
      <c r="J60" s="29">
        <f>H60-F60</f>
        <v>-2975.54</v>
      </c>
      <c r="K60" s="29">
        <f>+H60-G60</f>
        <v>0</v>
      </c>
      <c r="L60" s="37">
        <f>I60/F60</f>
        <v>-0.2162</v>
      </c>
      <c r="M60" s="27">
        <v>6.91</v>
      </c>
      <c r="N60" s="27">
        <v>16.21</v>
      </c>
      <c r="O60" s="37">
        <f>(M60-N60)/N60</f>
        <v>-0.5737</v>
      </c>
      <c r="P60" s="29">
        <f>N60*0.9056*0.85</f>
        <v>12.48</v>
      </c>
      <c r="Q60" s="29">
        <f>N60*1.15</f>
        <v>18.64</v>
      </c>
      <c r="R60" s="29">
        <f>IF(M60&lt;N60*0.9056*0.85,N60*0.9056*0.85,IF(M60&gt;N60*1.15,N60*1.15,M60))</f>
        <v>12.48</v>
      </c>
      <c r="S60" s="29">
        <f>+F60*M60</f>
        <v>95095.83</v>
      </c>
      <c r="T60" s="29">
        <f>S60+R60*I60</f>
        <v>57961.09</v>
      </c>
      <c r="U60" s="30">
        <f>S60+R60*J60</f>
        <v>57961.09</v>
      </c>
      <c r="V60" s="29">
        <f t="shared" si="0"/>
        <v>-37134.74</v>
      </c>
      <c r="W60" s="30">
        <f t="shared" si="1"/>
        <v>0</v>
      </c>
      <c r="X60" s="41">
        <f>+U60-T60</f>
        <v>0</v>
      </c>
      <c r="Y60" s="26"/>
      <c r="Z60" s="1"/>
      <c r="AA60" s="1"/>
    </row>
    <row r="61" s="7" customFormat="1" ht="20" customHeight="1" spans="1:27">
      <c r="A61" s="26">
        <v>53</v>
      </c>
      <c r="B61" s="26" t="s">
        <v>171</v>
      </c>
      <c r="C61" s="26" t="s">
        <v>169</v>
      </c>
      <c r="D61" s="26" t="s">
        <v>172</v>
      </c>
      <c r="E61" s="26" t="s">
        <v>32</v>
      </c>
      <c r="F61" s="27">
        <v>3398.102</v>
      </c>
      <c r="G61" s="29">
        <v>1581.43</v>
      </c>
      <c r="H61" s="30">
        <v>1581.43</v>
      </c>
      <c r="I61" s="29">
        <f>G61-F61</f>
        <v>-1816.67</v>
      </c>
      <c r="J61" s="29">
        <f>H61-F61</f>
        <v>-1816.67</v>
      </c>
      <c r="K61" s="29">
        <f>+H61-G61</f>
        <v>0</v>
      </c>
      <c r="L61" s="37">
        <f>I61/F61</f>
        <v>-0.5346</v>
      </c>
      <c r="M61" s="27">
        <v>4.58</v>
      </c>
      <c r="N61" s="27">
        <v>11.97</v>
      </c>
      <c r="O61" s="37">
        <f>(M61-N61)/N61</f>
        <v>-0.6174</v>
      </c>
      <c r="P61" s="29">
        <f>N61*0.9056*0.85</f>
        <v>9.21</v>
      </c>
      <c r="Q61" s="29">
        <f>N61*1.15</f>
        <v>13.77</v>
      </c>
      <c r="R61" s="29">
        <f>IF(M61&lt;N61*0.9056*0.85,N61*0.9056*0.85,IF(M61&gt;N61*1.15,N61*1.15,M61))</f>
        <v>9.21</v>
      </c>
      <c r="S61" s="29">
        <f>+F61*M61</f>
        <v>15563.31</v>
      </c>
      <c r="T61" s="29">
        <f>S61+R61*I61</f>
        <v>-1168.22</v>
      </c>
      <c r="U61" s="30">
        <f>S61+R61*J61</f>
        <v>-1168.22</v>
      </c>
      <c r="V61" s="29">
        <f t="shared" si="0"/>
        <v>-16731.53</v>
      </c>
      <c r="W61" s="30">
        <f t="shared" si="1"/>
        <v>0</v>
      </c>
      <c r="X61" s="41">
        <f>+U61-T61</f>
        <v>0</v>
      </c>
      <c r="Y61" s="26"/>
      <c r="Z61" s="1"/>
      <c r="AA61" s="1"/>
    </row>
    <row r="62" s="7" customFormat="1" ht="20" customHeight="1" spans="1:27">
      <c r="A62" s="26">
        <v>54</v>
      </c>
      <c r="B62" s="26" t="s">
        <v>749</v>
      </c>
      <c r="C62" s="26" t="s">
        <v>750</v>
      </c>
      <c r="D62" s="26" t="s">
        <v>751</v>
      </c>
      <c r="E62" s="26" t="s">
        <v>71</v>
      </c>
      <c r="F62" s="27">
        <v>0.25</v>
      </c>
      <c r="G62" s="29">
        <v>0.25</v>
      </c>
      <c r="H62" s="30">
        <v>0.25</v>
      </c>
      <c r="I62" s="29">
        <f>G62-F62</f>
        <v>0</v>
      </c>
      <c r="J62" s="29">
        <f>H62-F62</f>
        <v>0</v>
      </c>
      <c r="K62" s="29">
        <f>+H62-G62</f>
        <v>0</v>
      </c>
      <c r="L62" s="37">
        <f>I62/F62</f>
        <v>0</v>
      </c>
      <c r="M62" s="27">
        <v>11361.56</v>
      </c>
      <c r="N62" s="27">
        <v>9563.91</v>
      </c>
      <c r="O62" s="37">
        <f>(M62-N62)/N62</f>
        <v>0.188</v>
      </c>
      <c r="P62" s="29">
        <f>N62*0.9056*0.85</f>
        <v>7361.92</v>
      </c>
      <c r="Q62" s="29">
        <f>N62*1.15</f>
        <v>10998.5</v>
      </c>
      <c r="R62" s="29">
        <f>IF(M62&lt;N62*0.9056*0.85,N62*0.9056*0.85,IF(M62&gt;N62*1.15,N62*1.15,M62))</f>
        <v>10998.5</v>
      </c>
      <c r="S62" s="29">
        <f>+F62*M62</f>
        <v>2840.39</v>
      </c>
      <c r="T62" s="29">
        <f>S62+R62*I62</f>
        <v>2840.39</v>
      </c>
      <c r="U62" s="30">
        <f>S62+R62*J62</f>
        <v>2840.39</v>
      </c>
      <c r="V62" s="29">
        <f t="shared" si="0"/>
        <v>0</v>
      </c>
      <c r="W62" s="30">
        <f t="shared" si="1"/>
        <v>0</v>
      </c>
      <c r="X62" s="41">
        <f>+U62-T62</f>
        <v>0</v>
      </c>
      <c r="Y62" s="26"/>
      <c r="Z62" s="1"/>
      <c r="AA62" s="1"/>
    </row>
    <row r="63" s="7" customFormat="1" ht="20" customHeight="1" spans="1:27">
      <c r="A63" s="26"/>
      <c r="B63" s="26"/>
      <c r="C63" s="26" t="s">
        <v>213</v>
      </c>
      <c r="D63" s="26"/>
      <c r="E63" s="26"/>
      <c r="F63" s="27"/>
      <c r="G63" s="29"/>
      <c r="H63" s="28"/>
      <c r="I63" s="29"/>
      <c r="J63" s="29"/>
      <c r="K63" s="29"/>
      <c r="L63" s="37"/>
      <c r="M63" s="27"/>
      <c r="N63" s="27"/>
      <c r="O63" s="27"/>
      <c r="P63" s="27"/>
      <c r="Q63" s="27"/>
      <c r="R63" s="29"/>
      <c r="S63" s="29">
        <f>+SUM(S64:S76)</f>
        <v>1561385.05</v>
      </c>
      <c r="T63" s="29">
        <f>+SUM(T64:T76)</f>
        <v>1859587.72</v>
      </c>
      <c r="U63" s="30">
        <f>SUM(U64:U76)</f>
        <v>1579018.71</v>
      </c>
      <c r="V63" s="29">
        <f t="shared" si="0"/>
        <v>17633.66</v>
      </c>
      <c r="W63" s="30">
        <f t="shared" si="1"/>
        <v>-280569.01</v>
      </c>
      <c r="X63" s="41">
        <f>U63-T63</f>
        <v>-280569.01</v>
      </c>
      <c r="Y63" s="26"/>
      <c r="Z63" s="1"/>
      <c r="AA63" s="1"/>
    </row>
    <row r="64" s="7" customFormat="1" ht="20" customHeight="1" spans="1:27">
      <c r="A64" s="26">
        <v>55</v>
      </c>
      <c r="B64" s="26" t="s">
        <v>752</v>
      </c>
      <c r="C64" s="26" t="s">
        <v>215</v>
      </c>
      <c r="D64" s="26" t="s">
        <v>753</v>
      </c>
      <c r="E64" s="26" t="s">
        <v>32</v>
      </c>
      <c r="F64" s="27">
        <v>30.24</v>
      </c>
      <c r="G64" s="29">
        <v>30.24</v>
      </c>
      <c r="H64" s="30">
        <v>30.24</v>
      </c>
      <c r="I64" s="29">
        <f t="shared" ref="I64:I76" si="38">G64-F64</f>
        <v>0</v>
      </c>
      <c r="J64" s="29">
        <f t="shared" ref="J64:J76" si="39">H64-F64</f>
        <v>0</v>
      </c>
      <c r="K64" s="29">
        <f t="shared" ref="K64:K76" si="40">+H64-G64</f>
        <v>0</v>
      </c>
      <c r="L64" s="37">
        <f t="shared" ref="L64:L76" si="41">I64/F64</f>
        <v>0</v>
      </c>
      <c r="M64" s="27">
        <v>545.42</v>
      </c>
      <c r="N64" s="27">
        <v>575.79</v>
      </c>
      <c r="O64" s="37">
        <f t="shared" ref="O64:O76" si="42">(M64-N64)/N64</f>
        <v>-0.0527</v>
      </c>
      <c r="P64" s="29">
        <f t="shared" ref="P64:P76" si="43">N64*0.9056*0.85</f>
        <v>443.22</v>
      </c>
      <c r="Q64" s="29">
        <f t="shared" ref="Q64:Q76" si="44">N64*1.15</f>
        <v>662.16</v>
      </c>
      <c r="R64" s="29">
        <f t="shared" ref="R64:R76" si="45">IF(M64&lt;N64*0.9056*0.85,N64*0.9056*0.85,IF(M64&gt;N64*1.15,N64*1.15,M64))</f>
        <v>545.42</v>
      </c>
      <c r="S64" s="29">
        <f t="shared" ref="S64:S76" si="46">+F64*M64</f>
        <v>16493.5</v>
      </c>
      <c r="T64" s="29">
        <f t="shared" ref="T64:T76" si="47">S64+R64*I64</f>
        <v>16493.5</v>
      </c>
      <c r="U64" s="30">
        <f t="shared" ref="U64:U76" si="48">S64+R64*J64</f>
        <v>16493.5</v>
      </c>
      <c r="V64" s="29">
        <f t="shared" si="0"/>
        <v>0</v>
      </c>
      <c r="W64" s="30">
        <f t="shared" si="1"/>
        <v>0</v>
      </c>
      <c r="X64" s="41">
        <f t="shared" ref="X64:X76" si="49">+U64-T64</f>
        <v>0</v>
      </c>
      <c r="Y64" s="26"/>
      <c r="Z64" s="1"/>
      <c r="AA64" s="1"/>
    </row>
    <row r="65" s="7" customFormat="1" ht="20" customHeight="1" spans="1:27">
      <c r="A65" s="26">
        <v>56</v>
      </c>
      <c r="B65" s="26" t="s">
        <v>754</v>
      </c>
      <c r="C65" s="26" t="s">
        <v>215</v>
      </c>
      <c r="D65" s="26" t="s">
        <v>216</v>
      </c>
      <c r="E65" s="26" t="s">
        <v>32</v>
      </c>
      <c r="F65" s="27">
        <v>15.35</v>
      </c>
      <c r="G65" s="29">
        <v>16.97</v>
      </c>
      <c r="H65" s="30">
        <v>16.97</v>
      </c>
      <c r="I65" s="29">
        <f t="shared" si="38"/>
        <v>1.62</v>
      </c>
      <c r="J65" s="29">
        <f t="shared" si="39"/>
        <v>1.62</v>
      </c>
      <c r="K65" s="29">
        <f t="shared" si="40"/>
        <v>0</v>
      </c>
      <c r="L65" s="37">
        <f t="shared" si="41"/>
        <v>0.1055</v>
      </c>
      <c r="M65" s="27">
        <v>559.82</v>
      </c>
      <c r="N65" s="27">
        <v>644.14</v>
      </c>
      <c r="O65" s="37">
        <f t="shared" si="42"/>
        <v>-0.1309</v>
      </c>
      <c r="P65" s="29">
        <f t="shared" si="43"/>
        <v>495.83</v>
      </c>
      <c r="Q65" s="29">
        <f t="shared" si="44"/>
        <v>740.76</v>
      </c>
      <c r="R65" s="29">
        <f t="shared" si="45"/>
        <v>559.82</v>
      </c>
      <c r="S65" s="29">
        <f t="shared" si="46"/>
        <v>8593.24</v>
      </c>
      <c r="T65" s="29">
        <f t="shared" si="47"/>
        <v>9500.15</v>
      </c>
      <c r="U65" s="30">
        <f t="shared" si="48"/>
        <v>9500.15</v>
      </c>
      <c r="V65" s="29">
        <f t="shared" si="0"/>
        <v>906.91</v>
      </c>
      <c r="W65" s="30">
        <f t="shared" si="1"/>
        <v>0</v>
      </c>
      <c r="X65" s="41">
        <f t="shared" si="49"/>
        <v>0</v>
      </c>
      <c r="Y65" s="26"/>
      <c r="Z65" s="1"/>
      <c r="AA65" s="1"/>
    </row>
    <row r="66" s="7" customFormat="1" ht="20" customHeight="1" spans="1:27">
      <c r="A66" s="26">
        <v>57</v>
      </c>
      <c r="B66" s="26" t="s">
        <v>755</v>
      </c>
      <c r="C66" s="26" t="s">
        <v>215</v>
      </c>
      <c r="D66" s="26" t="s">
        <v>224</v>
      </c>
      <c r="E66" s="26" t="s">
        <v>32</v>
      </c>
      <c r="F66" s="27">
        <v>48.3</v>
      </c>
      <c r="G66" s="29">
        <v>48.3</v>
      </c>
      <c r="H66" s="30">
        <v>48.3</v>
      </c>
      <c r="I66" s="29">
        <f t="shared" si="38"/>
        <v>0</v>
      </c>
      <c r="J66" s="29">
        <f t="shared" si="39"/>
        <v>0</v>
      </c>
      <c r="K66" s="29">
        <f t="shared" si="40"/>
        <v>0</v>
      </c>
      <c r="L66" s="37">
        <f t="shared" si="41"/>
        <v>0</v>
      </c>
      <c r="M66" s="27">
        <v>547.91</v>
      </c>
      <c r="N66" s="27">
        <v>612.94</v>
      </c>
      <c r="O66" s="37">
        <f t="shared" si="42"/>
        <v>-0.1061</v>
      </c>
      <c r="P66" s="29">
        <f t="shared" si="43"/>
        <v>471.82</v>
      </c>
      <c r="Q66" s="29">
        <f t="shared" si="44"/>
        <v>704.88</v>
      </c>
      <c r="R66" s="29">
        <f t="shared" si="45"/>
        <v>547.91</v>
      </c>
      <c r="S66" s="29">
        <f t="shared" si="46"/>
        <v>26464.05</v>
      </c>
      <c r="T66" s="29">
        <f t="shared" si="47"/>
        <v>26464.05</v>
      </c>
      <c r="U66" s="30">
        <f t="shared" si="48"/>
        <v>26464.05</v>
      </c>
      <c r="V66" s="29">
        <f t="shared" si="0"/>
        <v>0</v>
      </c>
      <c r="W66" s="30">
        <f t="shared" si="1"/>
        <v>0</v>
      </c>
      <c r="X66" s="41">
        <f t="shared" si="49"/>
        <v>0</v>
      </c>
      <c r="Y66" s="26"/>
      <c r="Z66" s="1"/>
      <c r="AA66" s="1"/>
    </row>
    <row r="67" s="7" customFormat="1" ht="20" customHeight="1" spans="1:27">
      <c r="A67" s="26">
        <v>58</v>
      </c>
      <c r="B67" s="26" t="s">
        <v>756</v>
      </c>
      <c r="C67" s="26" t="s">
        <v>215</v>
      </c>
      <c r="D67" s="26" t="s">
        <v>218</v>
      </c>
      <c r="E67" s="26" t="s">
        <v>32</v>
      </c>
      <c r="F67" s="27">
        <v>2.415</v>
      </c>
      <c r="G67" s="29">
        <v>2.42</v>
      </c>
      <c r="H67" s="30">
        <v>2.42</v>
      </c>
      <c r="I67" s="29">
        <f t="shared" si="38"/>
        <v>0</v>
      </c>
      <c r="J67" s="29">
        <f t="shared" si="39"/>
        <v>0</v>
      </c>
      <c r="K67" s="29">
        <f t="shared" si="40"/>
        <v>0</v>
      </c>
      <c r="L67" s="37">
        <f t="shared" si="41"/>
        <v>0</v>
      </c>
      <c r="M67" s="27">
        <v>547.91</v>
      </c>
      <c r="N67" s="27">
        <v>616.58</v>
      </c>
      <c r="O67" s="37">
        <f t="shared" si="42"/>
        <v>-0.1114</v>
      </c>
      <c r="P67" s="29">
        <f t="shared" si="43"/>
        <v>474.62</v>
      </c>
      <c r="Q67" s="29">
        <f t="shared" si="44"/>
        <v>709.07</v>
      </c>
      <c r="R67" s="29">
        <f t="shared" si="45"/>
        <v>547.91</v>
      </c>
      <c r="S67" s="29">
        <f t="shared" si="46"/>
        <v>1323.2</v>
      </c>
      <c r="T67" s="29">
        <f t="shared" si="47"/>
        <v>1323.2</v>
      </c>
      <c r="U67" s="30">
        <f t="shared" si="48"/>
        <v>1323.2</v>
      </c>
      <c r="V67" s="29">
        <f t="shared" si="0"/>
        <v>0</v>
      </c>
      <c r="W67" s="30">
        <f t="shared" si="1"/>
        <v>0</v>
      </c>
      <c r="X67" s="41">
        <f t="shared" si="49"/>
        <v>0</v>
      </c>
      <c r="Y67" s="26"/>
      <c r="Z67" s="1"/>
      <c r="AA67" s="1"/>
    </row>
    <row r="68" s="7" customFormat="1" ht="20" customHeight="1" spans="1:27">
      <c r="A68" s="26">
        <v>59</v>
      </c>
      <c r="B68" s="26" t="s">
        <v>230</v>
      </c>
      <c r="C68" s="26" t="s">
        <v>228</v>
      </c>
      <c r="D68" s="26" t="s">
        <v>757</v>
      </c>
      <c r="E68" s="26" t="s">
        <v>32</v>
      </c>
      <c r="F68" s="27">
        <v>5.865</v>
      </c>
      <c r="G68" s="29">
        <v>7.49</v>
      </c>
      <c r="H68" s="30">
        <v>7.49</v>
      </c>
      <c r="I68" s="29">
        <f t="shared" si="38"/>
        <v>1.63</v>
      </c>
      <c r="J68" s="29">
        <f t="shared" si="39"/>
        <v>1.63</v>
      </c>
      <c r="K68" s="29">
        <f t="shared" si="40"/>
        <v>0</v>
      </c>
      <c r="L68" s="37">
        <f t="shared" si="41"/>
        <v>0.2779</v>
      </c>
      <c r="M68" s="27">
        <v>777.73</v>
      </c>
      <c r="N68" s="27">
        <v>700.9</v>
      </c>
      <c r="O68" s="37">
        <f t="shared" si="42"/>
        <v>0.1096</v>
      </c>
      <c r="P68" s="29">
        <f t="shared" si="43"/>
        <v>539.52</v>
      </c>
      <c r="Q68" s="29">
        <f t="shared" si="44"/>
        <v>806.04</v>
      </c>
      <c r="R68" s="29">
        <f t="shared" si="45"/>
        <v>777.73</v>
      </c>
      <c r="S68" s="29">
        <f t="shared" si="46"/>
        <v>4561.39</v>
      </c>
      <c r="T68" s="29">
        <f t="shared" si="47"/>
        <v>5829.09</v>
      </c>
      <c r="U68" s="30">
        <f t="shared" si="48"/>
        <v>5829.09</v>
      </c>
      <c r="V68" s="29">
        <f t="shared" si="0"/>
        <v>1267.7</v>
      </c>
      <c r="W68" s="30">
        <f t="shared" si="1"/>
        <v>0</v>
      </c>
      <c r="X68" s="41">
        <f t="shared" si="49"/>
        <v>0</v>
      </c>
      <c r="Y68" s="26"/>
      <c r="Z68" s="1"/>
      <c r="AA68" s="1"/>
    </row>
    <row r="69" s="7" customFormat="1" ht="20" customHeight="1" spans="1:27">
      <c r="A69" s="26">
        <v>60</v>
      </c>
      <c r="B69" s="26" t="s">
        <v>232</v>
      </c>
      <c r="C69" s="26" t="s">
        <v>228</v>
      </c>
      <c r="D69" s="26" t="s">
        <v>758</v>
      </c>
      <c r="E69" s="26" t="s">
        <v>32</v>
      </c>
      <c r="F69" s="27">
        <v>337.84</v>
      </c>
      <c r="G69" s="29">
        <v>337.84</v>
      </c>
      <c r="H69" s="30">
        <v>337.84</v>
      </c>
      <c r="I69" s="29">
        <f t="shared" si="38"/>
        <v>0</v>
      </c>
      <c r="J69" s="29">
        <f t="shared" si="39"/>
        <v>0</v>
      </c>
      <c r="K69" s="29">
        <f t="shared" si="40"/>
        <v>0</v>
      </c>
      <c r="L69" s="37">
        <f t="shared" si="41"/>
        <v>0</v>
      </c>
      <c r="M69" s="27">
        <v>746.49</v>
      </c>
      <c r="N69" s="27">
        <v>662.8</v>
      </c>
      <c r="O69" s="37">
        <f t="shared" si="42"/>
        <v>0.1263</v>
      </c>
      <c r="P69" s="29">
        <f t="shared" si="43"/>
        <v>510.2</v>
      </c>
      <c r="Q69" s="29">
        <f t="shared" si="44"/>
        <v>762.22</v>
      </c>
      <c r="R69" s="29">
        <f t="shared" si="45"/>
        <v>746.49</v>
      </c>
      <c r="S69" s="29">
        <f t="shared" si="46"/>
        <v>252194.18</v>
      </c>
      <c r="T69" s="29">
        <f t="shared" si="47"/>
        <v>252194.18</v>
      </c>
      <c r="U69" s="30">
        <f t="shared" si="48"/>
        <v>252194.18</v>
      </c>
      <c r="V69" s="29">
        <f t="shared" ref="V69:V132" si="50">U69-S69</f>
        <v>0</v>
      </c>
      <c r="W69" s="30">
        <f t="shared" ref="W69:W132" si="51">+U69-T69</f>
        <v>0</v>
      </c>
      <c r="X69" s="41">
        <f t="shared" si="49"/>
        <v>0</v>
      </c>
      <c r="Y69" s="26"/>
      <c r="Z69" s="1"/>
      <c r="AA69" s="1"/>
    </row>
    <row r="70" s="7" customFormat="1" ht="20" customHeight="1" spans="1:27">
      <c r="A70" s="26">
        <v>61</v>
      </c>
      <c r="B70" s="26" t="s">
        <v>759</v>
      </c>
      <c r="C70" s="26" t="s">
        <v>241</v>
      </c>
      <c r="D70" s="26" t="s">
        <v>760</v>
      </c>
      <c r="E70" s="26" t="s">
        <v>32</v>
      </c>
      <c r="F70" s="27">
        <v>1315.21</v>
      </c>
      <c r="G70" s="29">
        <v>1315.21</v>
      </c>
      <c r="H70" s="30">
        <v>819.47</v>
      </c>
      <c r="I70" s="29">
        <f t="shared" si="38"/>
        <v>0</v>
      </c>
      <c r="J70" s="29">
        <f t="shared" si="39"/>
        <v>-495.74</v>
      </c>
      <c r="K70" s="29">
        <f t="shared" si="40"/>
        <v>-495.74</v>
      </c>
      <c r="L70" s="37">
        <f t="shared" si="41"/>
        <v>0</v>
      </c>
      <c r="M70" s="27">
        <v>565.96</v>
      </c>
      <c r="N70" s="27">
        <v>605.7</v>
      </c>
      <c r="O70" s="37">
        <f t="shared" si="42"/>
        <v>-0.0656</v>
      </c>
      <c r="P70" s="29">
        <f t="shared" si="43"/>
        <v>466.24</v>
      </c>
      <c r="Q70" s="29">
        <f t="shared" si="44"/>
        <v>696.56</v>
      </c>
      <c r="R70" s="29">
        <f t="shared" si="45"/>
        <v>565.96</v>
      </c>
      <c r="S70" s="29">
        <f t="shared" si="46"/>
        <v>744356.25</v>
      </c>
      <c r="T70" s="29">
        <f t="shared" si="47"/>
        <v>744356.25</v>
      </c>
      <c r="U70" s="30">
        <f t="shared" si="48"/>
        <v>463787.24</v>
      </c>
      <c r="V70" s="29">
        <f t="shared" si="50"/>
        <v>-280569.01</v>
      </c>
      <c r="W70" s="30">
        <f t="shared" si="51"/>
        <v>-280569.01</v>
      </c>
      <c r="X70" s="41">
        <f t="shared" si="49"/>
        <v>-280569.01</v>
      </c>
      <c r="Y70" s="26"/>
      <c r="Z70" s="1"/>
      <c r="AA70" s="1"/>
    </row>
    <row r="71" s="7" customFormat="1" ht="20" customHeight="1" spans="1:27">
      <c r="A71" s="26">
        <v>62</v>
      </c>
      <c r="B71" s="26" t="s">
        <v>761</v>
      </c>
      <c r="C71" s="26" t="s">
        <v>241</v>
      </c>
      <c r="D71" s="26" t="s">
        <v>248</v>
      </c>
      <c r="E71" s="26" t="s">
        <v>32</v>
      </c>
      <c r="F71" s="27">
        <v>15.075</v>
      </c>
      <c r="G71" s="29">
        <v>15.08</v>
      </c>
      <c r="H71" s="30">
        <v>15.08</v>
      </c>
      <c r="I71" s="29">
        <f t="shared" si="38"/>
        <v>0.01</v>
      </c>
      <c r="J71" s="29">
        <f t="shared" si="39"/>
        <v>0.01</v>
      </c>
      <c r="K71" s="29">
        <f t="shared" si="40"/>
        <v>0</v>
      </c>
      <c r="L71" s="37">
        <f t="shared" si="41"/>
        <v>0.0007</v>
      </c>
      <c r="M71" s="27">
        <v>657.93</v>
      </c>
      <c r="N71" s="27">
        <v>568.34</v>
      </c>
      <c r="O71" s="37">
        <f t="shared" si="42"/>
        <v>0.1576</v>
      </c>
      <c r="P71" s="29">
        <f t="shared" si="43"/>
        <v>437.49</v>
      </c>
      <c r="Q71" s="29">
        <f t="shared" si="44"/>
        <v>653.59</v>
      </c>
      <c r="R71" s="29">
        <f t="shared" si="45"/>
        <v>653.59</v>
      </c>
      <c r="S71" s="29">
        <f t="shared" si="46"/>
        <v>9918.29</v>
      </c>
      <c r="T71" s="29">
        <f t="shared" si="47"/>
        <v>9924.83</v>
      </c>
      <c r="U71" s="30">
        <f t="shared" si="48"/>
        <v>9924.83</v>
      </c>
      <c r="V71" s="29">
        <f t="shared" si="50"/>
        <v>6.54</v>
      </c>
      <c r="W71" s="30">
        <f t="shared" si="51"/>
        <v>0</v>
      </c>
      <c r="X71" s="41">
        <f t="shared" si="49"/>
        <v>0</v>
      </c>
      <c r="Y71" s="26"/>
      <c r="Z71" s="1"/>
      <c r="AA71" s="1"/>
    </row>
    <row r="72" s="7" customFormat="1" ht="20" customHeight="1" spans="1:27">
      <c r="A72" s="26">
        <v>63</v>
      </c>
      <c r="B72" s="26" t="s">
        <v>762</v>
      </c>
      <c r="C72" s="26" t="s">
        <v>241</v>
      </c>
      <c r="D72" s="26" t="s">
        <v>250</v>
      </c>
      <c r="E72" s="26" t="s">
        <v>32</v>
      </c>
      <c r="F72" s="27">
        <v>310.21</v>
      </c>
      <c r="G72" s="29">
        <v>828.54</v>
      </c>
      <c r="H72" s="30">
        <v>828.54</v>
      </c>
      <c r="I72" s="29">
        <f t="shared" si="38"/>
        <v>518.33</v>
      </c>
      <c r="J72" s="29">
        <f t="shared" si="39"/>
        <v>518.33</v>
      </c>
      <c r="K72" s="29">
        <f t="shared" si="40"/>
        <v>0</v>
      </c>
      <c r="L72" s="37">
        <f t="shared" si="41"/>
        <v>1.6709</v>
      </c>
      <c r="M72" s="27">
        <v>568.25</v>
      </c>
      <c r="N72" s="27">
        <v>534.64</v>
      </c>
      <c r="O72" s="37">
        <f t="shared" si="42"/>
        <v>0.0629</v>
      </c>
      <c r="P72" s="29">
        <f t="shared" si="43"/>
        <v>411.54</v>
      </c>
      <c r="Q72" s="29">
        <f t="shared" si="44"/>
        <v>614.84</v>
      </c>
      <c r="R72" s="29">
        <f t="shared" si="45"/>
        <v>568.25</v>
      </c>
      <c r="S72" s="29">
        <f t="shared" si="46"/>
        <v>176276.83</v>
      </c>
      <c r="T72" s="29">
        <f t="shared" si="47"/>
        <v>470817.85</v>
      </c>
      <c r="U72" s="30">
        <f t="shared" si="48"/>
        <v>470817.85</v>
      </c>
      <c r="V72" s="29">
        <f t="shared" si="50"/>
        <v>294541.02</v>
      </c>
      <c r="W72" s="30">
        <f t="shared" si="51"/>
        <v>0</v>
      </c>
      <c r="X72" s="41">
        <f t="shared" si="49"/>
        <v>0</v>
      </c>
      <c r="Y72" s="26"/>
      <c r="Z72" s="1"/>
      <c r="AA72" s="1"/>
    </row>
    <row r="73" s="7" customFormat="1" ht="20" customHeight="1" spans="1:27">
      <c r="A73" s="26">
        <v>64</v>
      </c>
      <c r="B73" s="26" t="s">
        <v>763</v>
      </c>
      <c r="C73" s="26" t="s">
        <v>764</v>
      </c>
      <c r="D73" s="26" t="s">
        <v>765</v>
      </c>
      <c r="E73" s="26" t="s">
        <v>32</v>
      </c>
      <c r="F73" s="27">
        <v>4.88</v>
      </c>
      <c r="G73" s="29">
        <v>4.88</v>
      </c>
      <c r="H73" s="30">
        <v>4.88</v>
      </c>
      <c r="I73" s="29">
        <f t="shared" si="38"/>
        <v>0</v>
      </c>
      <c r="J73" s="29">
        <f t="shared" si="39"/>
        <v>0</v>
      </c>
      <c r="K73" s="29">
        <f t="shared" si="40"/>
        <v>0</v>
      </c>
      <c r="L73" s="37">
        <f t="shared" si="41"/>
        <v>0</v>
      </c>
      <c r="M73" s="27">
        <v>537.53</v>
      </c>
      <c r="N73" s="27">
        <v>665.09</v>
      </c>
      <c r="O73" s="37">
        <f t="shared" si="42"/>
        <v>-0.1918</v>
      </c>
      <c r="P73" s="29">
        <f t="shared" si="43"/>
        <v>511.96</v>
      </c>
      <c r="Q73" s="29">
        <f t="shared" si="44"/>
        <v>764.85</v>
      </c>
      <c r="R73" s="29">
        <f t="shared" si="45"/>
        <v>537.53</v>
      </c>
      <c r="S73" s="29">
        <f t="shared" si="46"/>
        <v>2623.15</v>
      </c>
      <c r="T73" s="29">
        <f t="shared" si="47"/>
        <v>2623.15</v>
      </c>
      <c r="U73" s="30">
        <f t="shared" si="48"/>
        <v>2623.15</v>
      </c>
      <c r="V73" s="29">
        <f t="shared" si="50"/>
        <v>0</v>
      </c>
      <c r="W73" s="30">
        <f t="shared" si="51"/>
        <v>0</v>
      </c>
      <c r="X73" s="41">
        <f t="shared" si="49"/>
        <v>0</v>
      </c>
      <c r="Y73" s="26"/>
      <c r="Z73" s="1"/>
      <c r="AA73" s="1"/>
    </row>
    <row r="74" s="7" customFormat="1" ht="20" customHeight="1" spans="1:27">
      <c r="A74" s="26">
        <v>65</v>
      </c>
      <c r="B74" s="26" t="s">
        <v>766</v>
      </c>
      <c r="C74" s="26" t="s">
        <v>252</v>
      </c>
      <c r="D74" s="26" t="s">
        <v>253</v>
      </c>
      <c r="E74" s="26" t="s">
        <v>32</v>
      </c>
      <c r="F74" s="27">
        <v>10.7</v>
      </c>
      <c r="G74" s="29">
        <v>10.7</v>
      </c>
      <c r="H74" s="30">
        <v>10.7</v>
      </c>
      <c r="I74" s="29">
        <f t="shared" si="38"/>
        <v>0</v>
      </c>
      <c r="J74" s="29">
        <f t="shared" si="39"/>
        <v>0</v>
      </c>
      <c r="K74" s="29">
        <f t="shared" si="40"/>
        <v>0</v>
      </c>
      <c r="L74" s="37">
        <f t="shared" si="41"/>
        <v>0</v>
      </c>
      <c r="M74" s="27">
        <v>301.24</v>
      </c>
      <c r="N74" s="27">
        <v>404.84</v>
      </c>
      <c r="O74" s="37">
        <f t="shared" si="42"/>
        <v>-0.2559</v>
      </c>
      <c r="P74" s="29">
        <f t="shared" si="43"/>
        <v>311.63</v>
      </c>
      <c r="Q74" s="29">
        <f t="shared" si="44"/>
        <v>465.57</v>
      </c>
      <c r="R74" s="29">
        <f t="shared" si="45"/>
        <v>311.63</v>
      </c>
      <c r="S74" s="29">
        <f t="shared" si="46"/>
        <v>3223.27</v>
      </c>
      <c r="T74" s="29">
        <f t="shared" si="47"/>
        <v>3223.27</v>
      </c>
      <c r="U74" s="30">
        <f t="shared" si="48"/>
        <v>3223.27</v>
      </c>
      <c r="V74" s="29">
        <f t="shared" si="50"/>
        <v>0</v>
      </c>
      <c r="W74" s="30">
        <f t="shared" si="51"/>
        <v>0</v>
      </c>
      <c r="X74" s="41">
        <f t="shared" si="49"/>
        <v>0</v>
      </c>
      <c r="Y74" s="26"/>
      <c r="Z74" s="1"/>
      <c r="AA74" s="1"/>
    </row>
    <row r="75" s="7" customFormat="1" ht="20" customHeight="1" spans="1:27">
      <c r="A75" s="26">
        <v>66</v>
      </c>
      <c r="B75" s="26" t="s">
        <v>254</v>
      </c>
      <c r="C75" s="26" t="s">
        <v>252</v>
      </c>
      <c r="D75" s="26" t="s">
        <v>255</v>
      </c>
      <c r="E75" s="26" t="s">
        <v>32</v>
      </c>
      <c r="F75" s="27">
        <v>321.13</v>
      </c>
      <c r="G75" s="29">
        <v>321.13</v>
      </c>
      <c r="H75" s="30">
        <v>321.13</v>
      </c>
      <c r="I75" s="29">
        <f t="shared" si="38"/>
        <v>0</v>
      </c>
      <c r="J75" s="29">
        <f t="shared" si="39"/>
        <v>0</v>
      </c>
      <c r="K75" s="29">
        <f t="shared" si="40"/>
        <v>0</v>
      </c>
      <c r="L75" s="37">
        <f t="shared" si="41"/>
        <v>0</v>
      </c>
      <c r="M75" s="27">
        <v>301.24</v>
      </c>
      <c r="N75" s="27">
        <v>428.94</v>
      </c>
      <c r="O75" s="37">
        <f t="shared" si="42"/>
        <v>-0.2977</v>
      </c>
      <c r="P75" s="29">
        <f t="shared" si="43"/>
        <v>330.18</v>
      </c>
      <c r="Q75" s="29">
        <f t="shared" si="44"/>
        <v>493.28</v>
      </c>
      <c r="R75" s="29">
        <f t="shared" si="45"/>
        <v>330.18</v>
      </c>
      <c r="S75" s="29">
        <f t="shared" si="46"/>
        <v>96737.2</v>
      </c>
      <c r="T75" s="29">
        <f t="shared" si="47"/>
        <v>96737.2</v>
      </c>
      <c r="U75" s="30">
        <f t="shared" si="48"/>
        <v>96737.2</v>
      </c>
      <c r="V75" s="29">
        <f t="shared" si="50"/>
        <v>0</v>
      </c>
      <c r="W75" s="30">
        <f t="shared" si="51"/>
        <v>0</v>
      </c>
      <c r="X75" s="41">
        <f t="shared" si="49"/>
        <v>0</v>
      </c>
      <c r="Y75" s="26"/>
      <c r="Z75" s="1"/>
      <c r="AA75" s="1"/>
    </row>
    <row r="76" s="7" customFormat="1" ht="20" customHeight="1" spans="1:27">
      <c r="A76" s="26">
        <v>67</v>
      </c>
      <c r="B76" s="26" t="s">
        <v>256</v>
      </c>
      <c r="C76" s="26" t="s">
        <v>767</v>
      </c>
      <c r="D76" s="26" t="s">
        <v>768</v>
      </c>
      <c r="E76" s="26" t="s">
        <v>53</v>
      </c>
      <c r="F76" s="27">
        <v>664.5</v>
      </c>
      <c r="G76" s="29">
        <v>669</v>
      </c>
      <c r="H76" s="30">
        <v>669</v>
      </c>
      <c r="I76" s="29">
        <f t="shared" si="38"/>
        <v>4.5</v>
      </c>
      <c r="J76" s="29">
        <f t="shared" si="39"/>
        <v>4.5</v>
      </c>
      <c r="K76" s="29">
        <f t="shared" si="40"/>
        <v>0</v>
      </c>
      <c r="L76" s="37">
        <f t="shared" si="41"/>
        <v>0.0068</v>
      </c>
      <c r="M76" s="27">
        <v>329</v>
      </c>
      <c r="N76" s="27">
        <v>380</v>
      </c>
      <c r="O76" s="37">
        <f t="shared" si="42"/>
        <v>-0.1342</v>
      </c>
      <c r="P76" s="29">
        <f t="shared" si="43"/>
        <v>292.51</v>
      </c>
      <c r="Q76" s="29">
        <f t="shared" si="44"/>
        <v>437</v>
      </c>
      <c r="R76" s="29">
        <f t="shared" si="45"/>
        <v>329</v>
      </c>
      <c r="S76" s="29">
        <f t="shared" si="46"/>
        <v>218620.5</v>
      </c>
      <c r="T76" s="29">
        <f t="shared" si="47"/>
        <v>220101</v>
      </c>
      <c r="U76" s="30">
        <f t="shared" si="48"/>
        <v>220101</v>
      </c>
      <c r="V76" s="29">
        <f t="shared" si="50"/>
        <v>1480.5</v>
      </c>
      <c r="W76" s="30">
        <f t="shared" si="51"/>
        <v>0</v>
      </c>
      <c r="X76" s="41">
        <f t="shared" si="49"/>
        <v>0</v>
      </c>
      <c r="Y76" s="26"/>
      <c r="Z76" s="1"/>
      <c r="AA76" s="1"/>
    </row>
    <row r="77" s="7" customFormat="1" ht="20" customHeight="1" spans="1:27">
      <c r="A77" s="26"/>
      <c r="B77" s="26"/>
      <c r="C77" s="26" t="s">
        <v>266</v>
      </c>
      <c r="D77" s="26"/>
      <c r="E77" s="26"/>
      <c r="F77" s="27"/>
      <c r="G77" s="29"/>
      <c r="H77" s="28"/>
      <c r="I77" s="29"/>
      <c r="J77" s="29"/>
      <c r="K77" s="29"/>
      <c r="L77" s="37"/>
      <c r="M77" s="27"/>
      <c r="N77" s="27"/>
      <c r="O77" s="27"/>
      <c r="P77" s="27"/>
      <c r="Q77" s="27"/>
      <c r="R77" s="29"/>
      <c r="S77" s="29">
        <f>+SUM(S78:S91)</f>
        <v>893089.83</v>
      </c>
      <c r="T77" s="29">
        <f>+SUM(T78:T91)</f>
        <v>814011.8</v>
      </c>
      <c r="U77" s="30">
        <f>SUM(U78:U91)</f>
        <v>814011.8</v>
      </c>
      <c r="V77" s="29">
        <f t="shared" si="50"/>
        <v>-79078.03</v>
      </c>
      <c r="W77" s="30">
        <f t="shared" si="51"/>
        <v>0</v>
      </c>
      <c r="X77" s="41">
        <f>U77-T77</f>
        <v>0</v>
      </c>
      <c r="Y77" s="26"/>
      <c r="Z77" s="1"/>
      <c r="AA77" s="1"/>
    </row>
    <row r="78" s="7" customFormat="1" ht="20" customHeight="1" spans="1:27">
      <c r="A78" s="26">
        <v>68</v>
      </c>
      <c r="B78" s="26" t="s">
        <v>769</v>
      </c>
      <c r="C78" s="26" t="s">
        <v>279</v>
      </c>
      <c r="D78" s="26" t="s">
        <v>280</v>
      </c>
      <c r="E78" s="26" t="s">
        <v>32</v>
      </c>
      <c r="F78" s="27">
        <v>127.5</v>
      </c>
      <c r="G78" s="29">
        <v>127.5</v>
      </c>
      <c r="H78" s="30">
        <v>127.5</v>
      </c>
      <c r="I78" s="29">
        <f t="shared" ref="I78:I91" si="52">G78-F78</f>
        <v>0</v>
      </c>
      <c r="J78" s="29">
        <f t="shared" ref="J78:J91" si="53">H78-F78</f>
        <v>0</v>
      </c>
      <c r="K78" s="29">
        <f t="shared" ref="K78:K91" si="54">+H78-G78</f>
        <v>0</v>
      </c>
      <c r="L78" s="37">
        <f t="shared" ref="L78:L91" si="55">I78/F78</f>
        <v>0</v>
      </c>
      <c r="M78" s="27">
        <v>116.74</v>
      </c>
      <c r="N78" s="27">
        <v>116.28</v>
      </c>
      <c r="O78" s="37">
        <f t="shared" ref="O78:O91" si="56">(M78-N78)/N78</f>
        <v>0.004</v>
      </c>
      <c r="P78" s="29">
        <f t="shared" ref="P78:P91" si="57">N78*0.9056*0.85</f>
        <v>89.51</v>
      </c>
      <c r="Q78" s="29">
        <f t="shared" ref="Q78:Q91" si="58">N78*1.15</f>
        <v>133.72</v>
      </c>
      <c r="R78" s="29">
        <f t="shared" ref="R78:R91" si="59">IF(M78&lt;N78*0.9056*0.85,N78*0.9056*0.85,IF(M78&gt;N78*1.15,N78*1.15,M78))</f>
        <v>116.74</v>
      </c>
      <c r="S78" s="29">
        <f t="shared" ref="S78:S91" si="60">+F78*M78</f>
        <v>14884.35</v>
      </c>
      <c r="T78" s="29">
        <f t="shared" ref="T78:T91" si="61">S78+R78*I78</f>
        <v>14884.35</v>
      </c>
      <c r="U78" s="30">
        <f t="shared" ref="U78:U91" si="62">S78+R78*J78</f>
        <v>14884.35</v>
      </c>
      <c r="V78" s="29">
        <f t="shared" si="50"/>
        <v>0</v>
      </c>
      <c r="W78" s="30">
        <f t="shared" si="51"/>
        <v>0</v>
      </c>
      <c r="X78" s="41">
        <f t="shared" ref="X78:X91" si="63">+U78-T78</f>
        <v>0</v>
      </c>
      <c r="Y78" s="26"/>
      <c r="Z78" s="1"/>
      <c r="AA78" s="1"/>
    </row>
    <row r="79" s="7" customFormat="1" ht="20" customHeight="1" spans="1:27">
      <c r="A79" s="26">
        <v>69</v>
      </c>
      <c r="B79" s="26" t="s">
        <v>770</v>
      </c>
      <c r="C79" s="26" t="s">
        <v>282</v>
      </c>
      <c r="D79" s="26" t="s">
        <v>283</v>
      </c>
      <c r="E79" s="26" t="s">
        <v>32</v>
      </c>
      <c r="F79" s="27">
        <v>285.67</v>
      </c>
      <c r="G79" s="29">
        <v>418.55</v>
      </c>
      <c r="H79" s="30">
        <f>418.545</f>
        <v>418.55</v>
      </c>
      <c r="I79" s="29">
        <f t="shared" si="52"/>
        <v>132.88</v>
      </c>
      <c r="J79" s="29">
        <f t="shared" si="53"/>
        <v>132.88</v>
      </c>
      <c r="K79" s="29">
        <f t="shared" si="54"/>
        <v>0</v>
      </c>
      <c r="L79" s="37">
        <f t="shared" si="55"/>
        <v>0.4652</v>
      </c>
      <c r="M79" s="27">
        <v>59.04</v>
      </c>
      <c r="N79" s="27">
        <v>56.42</v>
      </c>
      <c r="O79" s="37">
        <f t="shared" si="56"/>
        <v>0.0464</v>
      </c>
      <c r="P79" s="29">
        <f t="shared" si="57"/>
        <v>43.43</v>
      </c>
      <c r="Q79" s="29">
        <f t="shared" si="58"/>
        <v>64.88</v>
      </c>
      <c r="R79" s="29">
        <f t="shared" si="59"/>
        <v>59.04</v>
      </c>
      <c r="S79" s="29">
        <f t="shared" si="60"/>
        <v>16865.96</v>
      </c>
      <c r="T79" s="29">
        <f t="shared" si="61"/>
        <v>24711.2</v>
      </c>
      <c r="U79" s="30">
        <f t="shared" si="62"/>
        <v>24711.2</v>
      </c>
      <c r="V79" s="29">
        <f t="shared" si="50"/>
        <v>7845.24</v>
      </c>
      <c r="W79" s="30">
        <f t="shared" si="51"/>
        <v>0</v>
      </c>
      <c r="X79" s="41">
        <f t="shared" si="63"/>
        <v>0</v>
      </c>
      <c r="Y79" s="26"/>
      <c r="Z79" s="1"/>
      <c r="AA79" s="1"/>
    </row>
    <row r="80" s="7" customFormat="1" ht="20" customHeight="1" spans="1:27">
      <c r="A80" s="26">
        <v>70</v>
      </c>
      <c r="B80" s="26" t="s">
        <v>771</v>
      </c>
      <c r="C80" s="26" t="s">
        <v>772</v>
      </c>
      <c r="D80" s="26" t="s">
        <v>286</v>
      </c>
      <c r="E80" s="26" t="s">
        <v>32</v>
      </c>
      <c r="F80" s="27">
        <v>2127.181</v>
      </c>
      <c r="G80" s="29">
        <v>2760.03</v>
      </c>
      <c r="H80" s="30">
        <f>2760.0325</f>
        <v>2760.03</v>
      </c>
      <c r="I80" s="29">
        <f t="shared" si="52"/>
        <v>632.85</v>
      </c>
      <c r="J80" s="29">
        <f t="shared" si="53"/>
        <v>632.85</v>
      </c>
      <c r="K80" s="29">
        <f t="shared" si="54"/>
        <v>0</v>
      </c>
      <c r="L80" s="37">
        <f t="shared" si="55"/>
        <v>0.2975</v>
      </c>
      <c r="M80" s="27">
        <v>38.75</v>
      </c>
      <c r="N80" s="27">
        <v>31.86</v>
      </c>
      <c r="O80" s="37">
        <f t="shared" si="56"/>
        <v>0.2163</v>
      </c>
      <c r="P80" s="29">
        <f t="shared" si="57"/>
        <v>24.52</v>
      </c>
      <c r="Q80" s="29">
        <f t="shared" si="58"/>
        <v>36.64</v>
      </c>
      <c r="R80" s="29">
        <f t="shared" si="59"/>
        <v>36.64</v>
      </c>
      <c r="S80" s="29">
        <f t="shared" si="60"/>
        <v>82428.26</v>
      </c>
      <c r="T80" s="29">
        <f t="shared" si="61"/>
        <v>105615.88</v>
      </c>
      <c r="U80" s="30">
        <f t="shared" si="62"/>
        <v>105615.88</v>
      </c>
      <c r="V80" s="29">
        <f t="shared" si="50"/>
        <v>23187.62</v>
      </c>
      <c r="W80" s="30">
        <f t="shared" si="51"/>
        <v>0</v>
      </c>
      <c r="X80" s="41">
        <f t="shared" si="63"/>
        <v>0</v>
      </c>
      <c r="Y80" s="26"/>
      <c r="Z80" s="1"/>
      <c r="AA80" s="1"/>
    </row>
    <row r="81" s="7" customFormat="1" ht="20" customHeight="1" spans="1:27">
      <c r="A81" s="26">
        <v>71</v>
      </c>
      <c r="B81" s="26" t="s">
        <v>773</v>
      </c>
      <c r="C81" s="26" t="s">
        <v>282</v>
      </c>
      <c r="D81" s="26" t="s">
        <v>288</v>
      </c>
      <c r="E81" s="26" t="s">
        <v>32</v>
      </c>
      <c r="F81" s="27">
        <v>301.37</v>
      </c>
      <c r="G81" s="29">
        <v>425.93</v>
      </c>
      <c r="H81" s="30">
        <f>425.925</f>
        <v>425.93</v>
      </c>
      <c r="I81" s="29">
        <f t="shared" si="52"/>
        <v>124.56</v>
      </c>
      <c r="J81" s="29">
        <f t="shared" si="53"/>
        <v>124.56</v>
      </c>
      <c r="K81" s="29">
        <f t="shared" si="54"/>
        <v>0</v>
      </c>
      <c r="L81" s="37">
        <f t="shared" si="55"/>
        <v>0.4133</v>
      </c>
      <c r="M81" s="27">
        <v>37.14</v>
      </c>
      <c r="N81" s="27">
        <v>55.94</v>
      </c>
      <c r="O81" s="37">
        <f t="shared" si="56"/>
        <v>-0.3361</v>
      </c>
      <c r="P81" s="29">
        <f t="shared" si="57"/>
        <v>43.06</v>
      </c>
      <c r="Q81" s="29">
        <f t="shared" si="58"/>
        <v>64.33</v>
      </c>
      <c r="R81" s="29">
        <f t="shared" si="59"/>
        <v>43.06</v>
      </c>
      <c r="S81" s="29">
        <f t="shared" si="60"/>
        <v>11192.88</v>
      </c>
      <c r="T81" s="29">
        <f t="shared" si="61"/>
        <v>16556.43</v>
      </c>
      <c r="U81" s="30">
        <f t="shared" si="62"/>
        <v>16556.43</v>
      </c>
      <c r="V81" s="29">
        <f t="shared" si="50"/>
        <v>5363.55</v>
      </c>
      <c r="W81" s="30">
        <f t="shared" si="51"/>
        <v>0</v>
      </c>
      <c r="X81" s="41">
        <f t="shared" si="63"/>
        <v>0</v>
      </c>
      <c r="Y81" s="26"/>
      <c r="Z81" s="1"/>
      <c r="AA81" s="1"/>
    </row>
    <row r="82" s="7" customFormat="1" ht="20" customHeight="1" spans="1:27">
      <c r="A82" s="26">
        <v>72</v>
      </c>
      <c r="B82" s="26" t="s">
        <v>774</v>
      </c>
      <c r="C82" s="26" t="s">
        <v>775</v>
      </c>
      <c r="D82" s="26" t="s">
        <v>291</v>
      </c>
      <c r="E82" s="26" t="s">
        <v>32</v>
      </c>
      <c r="F82" s="27">
        <v>2127.181</v>
      </c>
      <c r="G82" s="29">
        <v>2760.03</v>
      </c>
      <c r="H82" s="30">
        <f>2760.0325</f>
        <v>2760.03</v>
      </c>
      <c r="I82" s="29">
        <f t="shared" si="52"/>
        <v>632.85</v>
      </c>
      <c r="J82" s="29">
        <f t="shared" si="53"/>
        <v>632.85</v>
      </c>
      <c r="K82" s="29">
        <f t="shared" si="54"/>
        <v>0</v>
      </c>
      <c r="L82" s="37">
        <f t="shared" si="55"/>
        <v>0.2975</v>
      </c>
      <c r="M82" s="27">
        <v>33.79</v>
      </c>
      <c r="N82" s="27">
        <v>31.82</v>
      </c>
      <c r="O82" s="37">
        <f t="shared" si="56"/>
        <v>0.0619</v>
      </c>
      <c r="P82" s="29">
        <f t="shared" si="57"/>
        <v>24.49</v>
      </c>
      <c r="Q82" s="29">
        <f t="shared" si="58"/>
        <v>36.59</v>
      </c>
      <c r="R82" s="29">
        <f t="shared" si="59"/>
        <v>33.79</v>
      </c>
      <c r="S82" s="29">
        <f t="shared" si="60"/>
        <v>71877.45</v>
      </c>
      <c r="T82" s="29">
        <f t="shared" si="61"/>
        <v>93261.45</v>
      </c>
      <c r="U82" s="30">
        <f t="shared" si="62"/>
        <v>93261.45</v>
      </c>
      <c r="V82" s="29">
        <f t="shared" si="50"/>
        <v>21384</v>
      </c>
      <c r="W82" s="30">
        <f t="shared" si="51"/>
        <v>0</v>
      </c>
      <c r="X82" s="41">
        <f t="shared" si="63"/>
        <v>0</v>
      </c>
      <c r="Y82" s="26"/>
      <c r="Z82" s="1"/>
      <c r="AA82" s="1"/>
    </row>
    <row r="83" s="7" customFormat="1" ht="20" customHeight="1" spans="1:27">
      <c r="A83" s="26">
        <v>73</v>
      </c>
      <c r="B83" s="26" t="s">
        <v>776</v>
      </c>
      <c r="C83" s="26" t="s">
        <v>777</v>
      </c>
      <c r="D83" s="26" t="s">
        <v>778</v>
      </c>
      <c r="E83" s="26" t="s">
        <v>32</v>
      </c>
      <c r="F83" s="27">
        <v>197.7197</v>
      </c>
      <c r="G83" s="29">
        <v>198.38</v>
      </c>
      <c r="H83" s="30">
        <v>198.38</v>
      </c>
      <c r="I83" s="29">
        <f t="shared" si="52"/>
        <v>0.66</v>
      </c>
      <c r="J83" s="29">
        <f t="shared" si="53"/>
        <v>0.66</v>
      </c>
      <c r="K83" s="29">
        <f t="shared" si="54"/>
        <v>0</v>
      </c>
      <c r="L83" s="37">
        <f t="shared" si="55"/>
        <v>0.0033</v>
      </c>
      <c r="M83" s="27">
        <v>63.61</v>
      </c>
      <c r="N83" s="27">
        <v>122.57</v>
      </c>
      <c r="O83" s="37">
        <f t="shared" si="56"/>
        <v>-0.481</v>
      </c>
      <c r="P83" s="29">
        <f t="shared" si="57"/>
        <v>94.35</v>
      </c>
      <c r="Q83" s="29">
        <f t="shared" si="58"/>
        <v>140.96</v>
      </c>
      <c r="R83" s="29">
        <f t="shared" si="59"/>
        <v>94.35</v>
      </c>
      <c r="S83" s="29">
        <f t="shared" si="60"/>
        <v>12576.95</v>
      </c>
      <c r="T83" s="29">
        <f t="shared" si="61"/>
        <v>12639.22</v>
      </c>
      <c r="U83" s="30">
        <f t="shared" si="62"/>
        <v>12639.22</v>
      </c>
      <c r="V83" s="29">
        <f t="shared" si="50"/>
        <v>62.27</v>
      </c>
      <c r="W83" s="30">
        <f t="shared" si="51"/>
        <v>0</v>
      </c>
      <c r="X83" s="41">
        <f t="shared" si="63"/>
        <v>0</v>
      </c>
      <c r="Y83" s="26"/>
      <c r="Z83" s="1"/>
      <c r="AA83" s="1"/>
    </row>
    <row r="84" s="7" customFormat="1" ht="20" customHeight="1" spans="1:27">
      <c r="A84" s="26">
        <v>74</v>
      </c>
      <c r="B84" s="26" t="s">
        <v>779</v>
      </c>
      <c r="C84" s="26" t="s">
        <v>780</v>
      </c>
      <c r="D84" s="26" t="s">
        <v>781</v>
      </c>
      <c r="E84" s="26" t="s">
        <v>32</v>
      </c>
      <c r="F84" s="27">
        <v>197.7197</v>
      </c>
      <c r="G84" s="29">
        <v>198.38</v>
      </c>
      <c r="H84" s="30">
        <v>198.38</v>
      </c>
      <c r="I84" s="29">
        <f t="shared" si="52"/>
        <v>0.66</v>
      </c>
      <c r="J84" s="29">
        <f t="shared" si="53"/>
        <v>0.66</v>
      </c>
      <c r="K84" s="29">
        <f t="shared" si="54"/>
        <v>0</v>
      </c>
      <c r="L84" s="37">
        <f t="shared" si="55"/>
        <v>0.0033</v>
      </c>
      <c r="M84" s="27">
        <v>44.88</v>
      </c>
      <c r="N84" s="27">
        <v>42.2</v>
      </c>
      <c r="O84" s="37">
        <f t="shared" si="56"/>
        <v>0.0635</v>
      </c>
      <c r="P84" s="29">
        <f t="shared" si="57"/>
        <v>32.48</v>
      </c>
      <c r="Q84" s="29">
        <f t="shared" si="58"/>
        <v>48.53</v>
      </c>
      <c r="R84" s="29">
        <f t="shared" si="59"/>
        <v>44.88</v>
      </c>
      <c r="S84" s="29">
        <f t="shared" si="60"/>
        <v>8873.66</v>
      </c>
      <c r="T84" s="29">
        <f t="shared" si="61"/>
        <v>8903.28</v>
      </c>
      <c r="U84" s="30">
        <f t="shared" si="62"/>
        <v>8903.28</v>
      </c>
      <c r="V84" s="29">
        <f t="shared" si="50"/>
        <v>29.62</v>
      </c>
      <c r="W84" s="30">
        <f t="shared" si="51"/>
        <v>0</v>
      </c>
      <c r="X84" s="41">
        <f t="shared" si="63"/>
        <v>0</v>
      </c>
      <c r="Y84" s="26"/>
      <c r="Z84" s="1"/>
      <c r="AA84" s="1"/>
    </row>
    <row r="85" s="7" customFormat="1" ht="20" customHeight="1" spans="1:27">
      <c r="A85" s="26">
        <v>75</v>
      </c>
      <c r="B85" s="26" t="s">
        <v>782</v>
      </c>
      <c r="C85" s="26" t="s">
        <v>783</v>
      </c>
      <c r="D85" s="26" t="s">
        <v>295</v>
      </c>
      <c r="E85" s="26" t="s">
        <v>32</v>
      </c>
      <c r="F85" s="27">
        <v>174.74</v>
      </c>
      <c r="G85" s="29">
        <v>155.36</v>
      </c>
      <c r="H85" s="30">
        <v>155.36</v>
      </c>
      <c r="I85" s="29">
        <f t="shared" si="52"/>
        <v>-19.38</v>
      </c>
      <c r="J85" s="29">
        <f t="shared" si="53"/>
        <v>-19.38</v>
      </c>
      <c r="K85" s="29">
        <f t="shared" si="54"/>
        <v>0</v>
      </c>
      <c r="L85" s="37">
        <f t="shared" si="55"/>
        <v>-0.1109</v>
      </c>
      <c r="M85" s="27">
        <v>28.13</v>
      </c>
      <c r="N85" s="27">
        <v>21.75</v>
      </c>
      <c r="O85" s="37">
        <f t="shared" si="56"/>
        <v>0.2933</v>
      </c>
      <c r="P85" s="29">
        <f t="shared" si="57"/>
        <v>16.74</v>
      </c>
      <c r="Q85" s="29">
        <f t="shared" si="58"/>
        <v>25.01</v>
      </c>
      <c r="R85" s="29">
        <f t="shared" si="59"/>
        <v>25.01</v>
      </c>
      <c r="S85" s="29">
        <f t="shared" si="60"/>
        <v>4915.44</v>
      </c>
      <c r="T85" s="29">
        <f t="shared" si="61"/>
        <v>4430.75</v>
      </c>
      <c r="U85" s="30">
        <f t="shared" si="62"/>
        <v>4430.75</v>
      </c>
      <c r="V85" s="29">
        <f t="shared" si="50"/>
        <v>-484.69</v>
      </c>
      <c r="W85" s="30">
        <f t="shared" si="51"/>
        <v>0</v>
      </c>
      <c r="X85" s="41">
        <f t="shared" si="63"/>
        <v>0</v>
      </c>
      <c r="Y85" s="26"/>
      <c r="Z85" s="1"/>
      <c r="AA85" s="1"/>
    </row>
    <row r="86" s="7" customFormat="1" ht="20" customHeight="1" spans="1:27">
      <c r="A86" s="26">
        <v>76</v>
      </c>
      <c r="B86" s="26" t="s">
        <v>784</v>
      </c>
      <c r="C86" s="26" t="s">
        <v>783</v>
      </c>
      <c r="D86" s="26" t="s">
        <v>297</v>
      </c>
      <c r="E86" s="26" t="s">
        <v>32</v>
      </c>
      <c r="F86" s="27">
        <v>174.74</v>
      </c>
      <c r="G86" s="29">
        <v>354.61</v>
      </c>
      <c r="H86" s="30">
        <v>354.61</v>
      </c>
      <c r="I86" s="29">
        <f t="shared" si="52"/>
        <v>179.87</v>
      </c>
      <c r="J86" s="29">
        <f t="shared" si="53"/>
        <v>179.87</v>
      </c>
      <c r="K86" s="29">
        <f t="shared" si="54"/>
        <v>0</v>
      </c>
      <c r="L86" s="37">
        <f t="shared" si="55"/>
        <v>1.0294</v>
      </c>
      <c r="M86" s="27">
        <v>25.06</v>
      </c>
      <c r="N86" s="27">
        <v>21.76</v>
      </c>
      <c r="O86" s="37">
        <f t="shared" si="56"/>
        <v>0.1517</v>
      </c>
      <c r="P86" s="29">
        <f t="shared" si="57"/>
        <v>16.75</v>
      </c>
      <c r="Q86" s="29">
        <f t="shared" si="58"/>
        <v>25.02</v>
      </c>
      <c r="R86" s="29">
        <f t="shared" si="59"/>
        <v>25.02</v>
      </c>
      <c r="S86" s="29">
        <f t="shared" si="60"/>
        <v>4378.98</v>
      </c>
      <c r="T86" s="29">
        <f t="shared" si="61"/>
        <v>8879.33</v>
      </c>
      <c r="U86" s="30">
        <f t="shared" si="62"/>
        <v>8879.33</v>
      </c>
      <c r="V86" s="29">
        <f t="shared" si="50"/>
        <v>4500.35</v>
      </c>
      <c r="W86" s="30">
        <f t="shared" si="51"/>
        <v>0</v>
      </c>
      <c r="X86" s="41">
        <f t="shared" si="63"/>
        <v>0</v>
      </c>
      <c r="Y86" s="26"/>
      <c r="Z86" s="1"/>
      <c r="AA86" s="1"/>
    </row>
    <row r="87" s="7" customFormat="1" ht="20" customHeight="1" spans="1:27">
      <c r="A87" s="26">
        <v>77</v>
      </c>
      <c r="B87" s="26" t="s">
        <v>785</v>
      </c>
      <c r="C87" s="26" t="s">
        <v>299</v>
      </c>
      <c r="D87" s="26" t="s">
        <v>300</v>
      </c>
      <c r="E87" s="26" t="s">
        <v>32</v>
      </c>
      <c r="F87" s="27">
        <v>1772.31</v>
      </c>
      <c r="G87" s="29">
        <v>2238.69</v>
      </c>
      <c r="H87" s="30">
        <v>2238.69</v>
      </c>
      <c r="I87" s="29">
        <f t="shared" si="52"/>
        <v>466.38</v>
      </c>
      <c r="J87" s="29">
        <f t="shared" si="53"/>
        <v>466.38</v>
      </c>
      <c r="K87" s="29">
        <f t="shared" si="54"/>
        <v>0</v>
      </c>
      <c r="L87" s="37">
        <f t="shared" si="55"/>
        <v>0.2631</v>
      </c>
      <c r="M87" s="27">
        <v>24.44</v>
      </c>
      <c r="N87" s="27">
        <v>22.51</v>
      </c>
      <c r="O87" s="37">
        <f t="shared" si="56"/>
        <v>0.0857</v>
      </c>
      <c r="P87" s="29">
        <f t="shared" si="57"/>
        <v>17.33</v>
      </c>
      <c r="Q87" s="29">
        <f t="shared" si="58"/>
        <v>25.89</v>
      </c>
      <c r="R87" s="29">
        <f t="shared" si="59"/>
        <v>24.44</v>
      </c>
      <c r="S87" s="29">
        <f t="shared" si="60"/>
        <v>43315.26</v>
      </c>
      <c r="T87" s="29">
        <f t="shared" si="61"/>
        <v>54713.59</v>
      </c>
      <c r="U87" s="30">
        <f t="shared" si="62"/>
        <v>54713.59</v>
      </c>
      <c r="V87" s="29">
        <f t="shared" si="50"/>
        <v>11398.33</v>
      </c>
      <c r="W87" s="30">
        <f t="shared" si="51"/>
        <v>0</v>
      </c>
      <c r="X87" s="41">
        <f t="shared" si="63"/>
        <v>0</v>
      </c>
      <c r="Y87" s="26"/>
      <c r="Z87" s="1"/>
      <c r="AA87" s="1"/>
    </row>
    <row r="88" s="7" customFormat="1" ht="20" customHeight="1" spans="1:27">
      <c r="A88" s="26">
        <v>78</v>
      </c>
      <c r="B88" s="26" t="s">
        <v>301</v>
      </c>
      <c r="C88" s="26" t="s">
        <v>302</v>
      </c>
      <c r="D88" s="26" t="s">
        <v>303</v>
      </c>
      <c r="E88" s="26" t="s">
        <v>32</v>
      </c>
      <c r="F88" s="27">
        <v>1772.31</v>
      </c>
      <c r="G88" s="29">
        <v>1774.67</v>
      </c>
      <c r="H88" s="30">
        <v>1774.67</v>
      </c>
      <c r="I88" s="29">
        <f t="shared" si="52"/>
        <v>2.36</v>
      </c>
      <c r="J88" s="29">
        <f t="shared" si="53"/>
        <v>2.36</v>
      </c>
      <c r="K88" s="29">
        <f t="shared" si="54"/>
        <v>0</v>
      </c>
      <c r="L88" s="37">
        <f t="shared" si="55"/>
        <v>0.0013</v>
      </c>
      <c r="M88" s="27">
        <v>240.86</v>
      </c>
      <c r="N88" s="27">
        <v>182.42</v>
      </c>
      <c r="O88" s="37">
        <f t="shared" si="56"/>
        <v>0.3204</v>
      </c>
      <c r="P88" s="29">
        <f t="shared" si="57"/>
        <v>140.42</v>
      </c>
      <c r="Q88" s="29">
        <f t="shared" si="58"/>
        <v>209.78</v>
      </c>
      <c r="R88" s="29">
        <f t="shared" si="59"/>
        <v>209.78</v>
      </c>
      <c r="S88" s="29">
        <f t="shared" si="60"/>
        <v>426878.59</v>
      </c>
      <c r="T88" s="29">
        <f t="shared" si="61"/>
        <v>427373.67</v>
      </c>
      <c r="U88" s="30">
        <f t="shared" si="62"/>
        <v>427373.67</v>
      </c>
      <c r="V88" s="29">
        <f t="shared" si="50"/>
        <v>495.08</v>
      </c>
      <c r="W88" s="30">
        <f t="shared" si="51"/>
        <v>0</v>
      </c>
      <c r="X88" s="41">
        <f t="shared" si="63"/>
        <v>0</v>
      </c>
      <c r="Y88" s="26"/>
      <c r="Z88" s="1"/>
      <c r="AA88" s="1"/>
    </row>
    <row r="89" s="7" customFormat="1" ht="20" customHeight="1" spans="1:27">
      <c r="A89" s="44">
        <v>79</v>
      </c>
      <c r="B89" s="44" t="s">
        <v>786</v>
      </c>
      <c r="C89" s="44" t="s">
        <v>271</v>
      </c>
      <c r="D89" s="44" t="s">
        <v>787</v>
      </c>
      <c r="E89" s="44" t="s">
        <v>32</v>
      </c>
      <c r="F89" s="45">
        <v>657.43</v>
      </c>
      <c r="G89" s="46">
        <v>657.43</v>
      </c>
      <c r="H89" s="30">
        <v>657.43</v>
      </c>
      <c r="I89" s="46">
        <f t="shared" si="52"/>
        <v>0</v>
      </c>
      <c r="J89" s="46">
        <f t="shared" si="53"/>
        <v>0</v>
      </c>
      <c r="K89" s="46">
        <f t="shared" si="54"/>
        <v>0</v>
      </c>
      <c r="L89" s="47">
        <f t="shared" si="55"/>
        <v>0</v>
      </c>
      <c r="M89" s="45">
        <v>63.95</v>
      </c>
      <c r="N89" s="45">
        <v>70.44</v>
      </c>
      <c r="O89" s="47">
        <f t="shared" si="56"/>
        <v>-0.0921</v>
      </c>
      <c r="P89" s="46">
        <f t="shared" si="57"/>
        <v>54.22</v>
      </c>
      <c r="Q89" s="46">
        <f t="shared" si="58"/>
        <v>81.01</v>
      </c>
      <c r="R89" s="46">
        <f t="shared" si="59"/>
        <v>63.95</v>
      </c>
      <c r="S89" s="46">
        <f t="shared" si="60"/>
        <v>42042.65</v>
      </c>
      <c r="T89" s="46">
        <f t="shared" si="61"/>
        <v>42042.65</v>
      </c>
      <c r="U89" s="30">
        <f t="shared" si="62"/>
        <v>42042.65</v>
      </c>
      <c r="V89" s="29">
        <f t="shared" si="50"/>
        <v>0</v>
      </c>
      <c r="W89" s="30">
        <f t="shared" si="51"/>
        <v>0</v>
      </c>
      <c r="X89" s="41">
        <f t="shared" si="63"/>
        <v>0</v>
      </c>
      <c r="Y89" s="44"/>
      <c r="Z89" s="1"/>
      <c r="AA89" s="1"/>
    </row>
    <row r="90" s="7" customFormat="1" ht="20" customHeight="1" spans="1:27">
      <c r="A90" s="26">
        <v>80</v>
      </c>
      <c r="B90" s="26" t="s">
        <v>273</v>
      </c>
      <c r="C90" s="26" t="s">
        <v>274</v>
      </c>
      <c r="D90" s="26" t="s">
        <v>788</v>
      </c>
      <c r="E90" s="26" t="s">
        <v>32</v>
      </c>
      <c r="F90" s="27">
        <v>493.43</v>
      </c>
      <c r="G90" s="29">
        <v>0</v>
      </c>
      <c r="H90" s="30">
        <v>0</v>
      </c>
      <c r="I90" s="29">
        <f t="shared" si="52"/>
        <v>-493.43</v>
      </c>
      <c r="J90" s="29">
        <f t="shared" si="53"/>
        <v>-493.43</v>
      </c>
      <c r="K90" s="29">
        <f t="shared" si="54"/>
        <v>0</v>
      </c>
      <c r="L90" s="37">
        <f t="shared" si="55"/>
        <v>-1</v>
      </c>
      <c r="M90" s="27">
        <v>42.91</v>
      </c>
      <c r="N90" s="27">
        <v>46.07</v>
      </c>
      <c r="O90" s="37">
        <f t="shared" si="56"/>
        <v>-0.0686</v>
      </c>
      <c r="P90" s="29">
        <f t="shared" si="57"/>
        <v>35.46</v>
      </c>
      <c r="Q90" s="29">
        <f t="shared" si="58"/>
        <v>52.98</v>
      </c>
      <c r="R90" s="29">
        <f t="shared" si="59"/>
        <v>42.91</v>
      </c>
      <c r="S90" s="29">
        <f t="shared" si="60"/>
        <v>21173.08</v>
      </c>
      <c r="T90" s="29">
        <f t="shared" si="61"/>
        <v>0</v>
      </c>
      <c r="U90" s="30">
        <f t="shared" si="62"/>
        <v>0</v>
      </c>
      <c r="V90" s="29">
        <f t="shared" si="50"/>
        <v>-21173.08</v>
      </c>
      <c r="W90" s="30">
        <f t="shared" si="51"/>
        <v>0</v>
      </c>
      <c r="X90" s="41">
        <f t="shared" si="63"/>
        <v>0</v>
      </c>
      <c r="Y90" s="26"/>
      <c r="Z90" s="1"/>
      <c r="AA90" s="1"/>
    </row>
    <row r="91" s="10" customFormat="1" ht="20" customHeight="1" spans="1:27">
      <c r="A91" s="26">
        <v>81</v>
      </c>
      <c r="B91" s="26" t="s">
        <v>789</v>
      </c>
      <c r="C91" s="26" t="s">
        <v>790</v>
      </c>
      <c r="D91" s="26" t="s">
        <v>791</v>
      </c>
      <c r="E91" s="26" t="s">
        <v>32</v>
      </c>
      <c r="F91" s="27">
        <v>1721.84</v>
      </c>
      <c r="G91" s="29">
        <v>0</v>
      </c>
      <c r="H91" s="30">
        <v>0</v>
      </c>
      <c r="I91" s="29">
        <f t="shared" si="52"/>
        <v>-1721.84</v>
      </c>
      <c r="J91" s="29">
        <f t="shared" si="53"/>
        <v>-1721.84</v>
      </c>
      <c r="K91" s="29">
        <f t="shared" si="54"/>
        <v>0</v>
      </c>
      <c r="L91" s="37">
        <f t="shared" si="55"/>
        <v>-1</v>
      </c>
      <c r="M91" s="27">
        <v>76.48</v>
      </c>
      <c r="N91" s="27">
        <v>80.23</v>
      </c>
      <c r="O91" s="37">
        <f t="shared" si="56"/>
        <v>-0.0467</v>
      </c>
      <c r="P91" s="29">
        <f t="shared" si="57"/>
        <v>61.76</v>
      </c>
      <c r="Q91" s="29">
        <f t="shared" si="58"/>
        <v>92.26</v>
      </c>
      <c r="R91" s="29">
        <f t="shared" si="59"/>
        <v>76.48</v>
      </c>
      <c r="S91" s="29">
        <f t="shared" si="60"/>
        <v>131686.32</v>
      </c>
      <c r="T91" s="29">
        <f t="shared" si="61"/>
        <v>0</v>
      </c>
      <c r="U91" s="30">
        <f t="shared" si="62"/>
        <v>0</v>
      </c>
      <c r="V91" s="29">
        <f t="shared" si="50"/>
        <v>-131686.32</v>
      </c>
      <c r="W91" s="30">
        <f t="shared" si="51"/>
        <v>0</v>
      </c>
      <c r="X91" s="41">
        <f t="shared" si="63"/>
        <v>0</v>
      </c>
      <c r="Y91" s="26"/>
      <c r="Z91" s="1"/>
      <c r="AA91" s="1"/>
    </row>
    <row r="92" s="7" customFormat="1" ht="20" customHeight="1" spans="1:27">
      <c r="A92" s="26"/>
      <c r="B92" s="26"/>
      <c r="C92" s="26" t="s">
        <v>304</v>
      </c>
      <c r="D92" s="26"/>
      <c r="E92" s="26"/>
      <c r="F92" s="27"/>
      <c r="G92" s="29"/>
      <c r="H92" s="28"/>
      <c r="I92" s="29"/>
      <c r="J92" s="29"/>
      <c r="K92" s="29"/>
      <c r="L92" s="37"/>
      <c r="M92" s="27"/>
      <c r="N92" s="27"/>
      <c r="O92" s="27"/>
      <c r="P92" s="27"/>
      <c r="Q92" s="27"/>
      <c r="R92" s="29"/>
      <c r="S92" s="29">
        <f>+SUM(S93:S98)</f>
        <v>131717.9</v>
      </c>
      <c r="T92" s="29">
        <f>+SUM(T93:T98)</f>
        <v>123490.23</v>
      </c>
      <c r="U92" s="30">
        <f>SUM(U93:U98)</f>
        <v>116776.87</v>
      </c>
      <c r="V92" s="29">
        <f t="shared" si="50"/>
        <v>-14941.03</v>
      </c>
      <c r="W92" s="30">
        <f t="shared" si="51"/>
        <v>-6713.36</v>
      </c>
      <c r="X92" s="41"/>
      <c r="Y92" s="26"/>
      <c r="Z92" s="1"/>
      <c r="AA92" s="1"/>
    </row>
    <row r="93" s="7" customFormat="1" ht="20" customHeight="1" spans="1:27">
      <c r="A93" s="26">
        <v>82</v>
      </c>
      <c r="B93" s="26" t="s">
        <v>315</v>
      </c>
      <c r="C93" s="26" t="s">
        <v>792</v>
      </c>
      <c r="D93" s="26" t="s">
        <v>793</v>
      </c>
      <c r="E93" s="26" t="s">
        <v>32</v>
      </c>
      <c r="F93" s="27">
        <v>285.67</v>
      </c>
      <c r="G93" s="29">
        <v>285.67</v>
      </c>
      <c r="H93" s="30">
        <v>124.33</v>
      </c>
      <c r="I93" s="29">
        <f t="shared" ref="I93:I98" si="64">G93-F93</f>
        <v>0</v>
      </c>
      <c r="J93" s="29">
        <f t="shared" ref="J93:J98" si="65">H93-F93</f>
        <v>-161.34</v>
      </c>
      <c r="K93" s="29">
        <f t="shared" ref="K93:K98" si="66">+H93-G93</f>
        <v>-161.34</v>
      </c>
      <c r="L93" s="37">
        <f t="shared" ref="L93:L98" si="67">I93/F93</f>
        <v>0</v>
      </c>
      <c r="M93" s="27">
        <v>30.02</v>
      </c>
      <c r="N93" s="27">
        <v>54.05</v>
      </c>
      <c r="O93" s="37">
        <f t="shared" ref="O93:O98" si="68">(M93-N93)/N93</f>
        <v>-0.4446</v>
      </c>
      <c r="P93" s="29">
        <f t="shared" ref="P93:P98" si="69">N93*0.9056*0.85</f>
        <v>41.61</v>
      </c>
      <c r="Q93" s="29">
        <f t="shared" ref="Q93:Q98" si="70">N93*1.15</f>
        <v>62.16</v>
      </c>
      <c r="R93" s="29">
        <f t="shared" ref="R93:R98" si="71">IF(M93&lt;N93*0.9056*0.85,N93*0.9056*0.85,IF(M93&gt;N93*1.15,N93*1.15,M93))</f>
        <v>41.61</v>
      </c>
      <c r="S93" s="29">
        <f t="shared" ref="S93:S98" si="72">+F93*M93</f>
        <v>8575.81</v>
      </c>
      <c r="T93" s="29">
        <f t="shared" ref="T93:T98" si="73">S93+R93*I93</f>
        <v>8575.81</v>
      </c>
      <c r="U93" s="30">
        <f t="shared" ref="U93:U98" si="74">S93+R93*J93</f>
        <v>1862.45</v>
      </c>
      <c r="V93" s="29">
        <f t="shared" si="50"/>
        <v>-6713.36</v>
      </c>
      <c r="W93" s="30">
        <f t="shared" si="51"/>
        <v>-6713.36</v>
      </c>
      <c r="X93" s="41">
        <f t="shared" ref="X93:X98" si="75">+U93-T93</f>
        <v>-6713.36</v>
      </c>
      <c r="Y93" s="26"/>
      <c r="Z93" s="1"/>
      <c r="AA93" s="1"/>
    </row>
    <row r="94" s="7" customFormat="1" ht="20" customHeight="1" spans="1:27">
      <c r="A94" s="26">
        <v>83</v>
      </c>
      <c r="B94" s="26" t="s">
        <v>794</v>
      </c>
      <c r="C94" s="26" t="s">
        <v>795</v>
      </c>
      <c r="D94" s="26" t="s">
        <v>796</v>
      </c>
      <c r="E94" s="26" t="s">
        <v>32</v>
      </c>
      <c r="F94" s="27">
        <v>174.74</v>
      </c>
      <c r="G94" s="29">
        <v>174.74</v>
      </c>
      <c r="H94" s="30">
        <v>174.74</v>
      </c>
      <c r="I94" s="29">
        <f t="shared" si="64"/>
        <v>0</v>
      </c>
      <c r="J94" s="29">
        <f t="shared" si="65"/>
        <v>0</v>
      </c>
      <c r="K94" s="29">
        <f t="shared" si="66"/>
        <v>0</v>
      </c>
      <c r="L94" s="37">
        <f t="shared" si="67"/>
        <v>0</v>
      </c>
      <c r="M94" s="27">
        <v>14.58</v>
      </c>
      <c r="N94" s="27">
        <v>23.14</v>
      </c>
      <c r="O94" s="37">
        <f t="shared" si="68"/>
        <v>-0.3699</v>
      </c>
      <c r="P94" s="29">
        <f t="shared" si="69"/>
        <v>17.81</v>
      </c>
      <c r="Q94" s="29">
        <f t="shared" si="70"/>
        <v>26.61</v>
      </c>
      <c r="R94" s="29">
        <f t="shared" si="71"/>
        <v>17.81</v>
      </c>
      <c r="S94" s="29">
        <f t="shared" si="72"/>
        <v>2547.71</v>
      </c>
      <c r="T94" s="29">
        <f t="shared" si="73"/>
        <v>2547.71</v>
      </c>
      <c r="U94" s="30">
        <f t="shared" si="74"/>
        <v>2547.71</v>
      </c>
      <c r="V94" s="29">
        <f t="shared" si="50"/>
        <v>0</v>
      </c>
      <c r="W94" s="30">
        <f t="shared" si="51"/>
        <v>0</v>
      </c>
      <c r="X94" s="41">
        <f t="shared" si="75"/>
        <v>0</v>
      </c>
      <c r="Y94" s="26"/>
      <c r="Z94" s="1"/>
      <c r="AA94" s="1"/>
    </row>
    <row r="95" s="7" customFormat="1" ht="20" customHeight="1" spans="1:27">
      <c r="A95" s="26">
        <v>84</v>
      </c>
      <c r="B95" s="26" t="s">
        <v>797</v>
      </c>
      <c r="C95" s="26" t="s">
        <v>798</v>
      </c>
      <c r="D95" s="26" t="s">
        <v>799</v>
      </c>
      <c r="E95" s="26" t="s">
        <v>32</v>
      </c>
      <c r="F95" s="27">
        <v>174.74</v>
      </c>
      <c r="G95" s="29">
        <v>174.74</v>
      </c>
      <c r="H95" s="30">
        <v>174.74</v>
      </c>
      <c r="I95" s="29">
        <f t="shared" si="64"/>
        <v>0</v>
      </c>
      <c r="J95" s="29">
        <f t="shared" si="65"/>
        <v>0</v>
      </c>
      <c r="K95" s="29">
        <f t="shared" si="66"/>
        <v>0</v>
      </c>
      <c r="L95" s="37">
        <f t="shared" si="67"/>
        <v>0</v>
      </c>
      <c r="M95" s="27">
        <v>29</v>
      </c>
      <c r="N95" s="27">
        <v>29.53</v>
      </c>
      <c r="O95" s="37">
        <f t="shared" si="68"/>
        <v>-0.0179</v>
      </c>
      <c r="P95" s="29">
        <f t="shared" si="69"/>
        <v>22.73</v>
      </c>
      <c r="Q95" s="29">
        <f t="shared" si="70"/>
        <v>33.96</v>
      </c>
      <c r="R95" s="29">
        <f t="shared" si="71"/>
        <v>29</v>
      </c>
      <c r="S95" s="29">
        <f t="shared" si="72"/>
        <v>5067.46</v>
      </c>
      <c r="T95" s="29">
        <f t="shared" si="73"/>
        <v>5067.46</v>
      </c>
      <c r="U95" s="30">
        <f t="shared" si="74"/>
        <v>5067.46</v>
      </c>
      <c r="V95" s="29">
        <f t="shared" si="50"/>
        <v>0</v>
      </c>
      <c r="W95" s="30">
        <f t="shared" si="51"/>
        <v>0</v>
      </c>
      <c r="X95" s="41">
        <f t="shared" si="75"/>
        <v>0</v>
      </c>
      <c r="Y95" s="26"/>
      <c r="Z95" s="1"/>
      <c r="AA95" s="1"/>
    </row>
    <row r="96" s="7" customFormat="1" ht="20" customHeight="1" spans="1:27">
      <c r="A96" s="34">
        <v>85</v>
      </c>
      <c r="B96" s="34" t="s">
        <v>312</v>
      </c>
      <c r="C96" s="34" t="s">
        <v>313</v>
      </c>
      <c r="D96" s="34" t="s">
        <v>314</v>
      </c>
      <c r="E96" s="34" t="s">
        <v>32</v>
      </c>
      <c r="F96" s="35">
        <v>2232.72</v>
      </c>
      <c r="G96" s="36">
        <v>2927.74</v>
      </c>
      <c r="H96" s="36">
        <f>2927.7425</f>
        <v>2927.74</v>
      </c>
      <c r="I96" s="36">
        <f t="shared" si="64"/>
        <v>695.02</v>
      </c>
      <c r="J96" s="36">
        <f t="shared" si="65"/>
        <v>695.02</v>
      </c>
      <c r="K96" s="36">
        <f t="shared" si="66"/>
        <v>0</v>
      </c>
      <c r="L96" s="39">
        <f t="shared" si="67"/>
        <v>0.3113</v>
      </c>
      <c r="M96" s="35">
        <v>4.06</v>
      </c>
      <c r="N96" s="35">
        <v>7.24</v>
      </c>
      <c r="O96" s="39">
        <f t="shared" si="68"/>
        <v>-0.4392</v>
      </c>
      <c r="P96" s="36">
        <f t="shared" si="69"/>
        <v>5.57</v>
      </c>
      <c r="Q96" s="36">
        <f t="shared" si="70"/>
        <v>8.33</v>
      </c>
      <c r="R96" s="36">
        <f t="shared" si="71"/>
        <v>5.57</v>
      </c>
      <c r="S96" s="36">
        <f t="shared" si="72"/>
        <v>9064.84</v>
      </c>
      <c r="T96" s="36">
        <f t="shared" si="73"/>
        <v>12936.1</v>
      </c>
      <c r="U96" s="36">
        <f t="shared" si="74"/>
        <v>12936.1</v>
      </c>
      <c r="V96" s="29">
        <f t="shared" si="50"/>
        <v>3871.26</v>
      </c>
      <c r="W96" s="30">
        <f t="shared" si="51"/>
        <v>0</v>
      </c>
      <c r="X96" s="36">
        <f t="shared" si="75"/>
        <v>0</v>
      </c>
      <c r="Y96" s="34"/>
      <c r="Z96" s="1"/>
      <c r="AA96" s="1"/>
    </row>
    <row r="97" s="7" customFormat="1" ht="20" customHeight="1" spans="1:27">
      <c r="A97" s="26">
        <v>86</v>
      </c>
      <c r="B97" s="26" t="s">
        <v>800</v>
      </c>
      <c r="C97" s="26" t="s">
        <v>316</v>
      </c>
      <c r="D97" s="26" t="s">
        <v>317</v>
      </c>
      <c r="E97" s="26" t="s">
        <v>32</v>
      </c>
      <c r="F97" s="27">
        <v>1772.31</v>
      </c>
      <c r="G97" s="29">
        <v>1774.67</v>
      </c>
      <c r="H97" s="30">
        <v>1774.67</v>
      </c>
      <c r="I97" s="29">
        <f t="shared" si="64"/>
        <v>2.36</v>
      </c>
      <c r="J97" s="29">
        <f t="shared" si="65"/>
        <v>2.36</v>
      </c>
      <c r="K97" s="29">
        <f t="shared" si="66"/>
        <v>0</v>
      </c>
      <c r="L97" s="37">
        <f t="shared" si="67"/>
        <v>0.0013</v>
      </c>
      <c r="M97" s="27">
        <v>30.02</v>
      </c>
      <c r="N97" s="27">
        <v>49.93</v>
      </c>
      <c r="O97" s="37">
        <f t="shared" si="68"/>
        <v>-0.3988</v>
      </c>
      <c r="P97" s="29">
        <f t="shared" si="69"/>
        <v>38.43</v>
      </c>
      <c r="Q97" s="29">
        <f t="shared" si="70"/>
        <v>57.42</v>
      </c>
      <c r="R97" s="29">
        <f t="shared" si="71"/>
        <v>38.43</v>
      </c>
      <c r="S97" s="29">
        <f t="shared" si="72"/>
        <v>53204.75</v>
      </c>
      <c r="T97" s="29">
        <f t="shared" si="73"/>
        <v>53295.44</v>
      </c>
      <c r="U97" s="30">
        <f t="shared" si="74"/>
        <v>53295.44</v>
      </c>
      <c r="V97" s="29">
        <f t="shared" si="50"/>
        <v>90.69</v>
      </c>
      <c r="W97" s="30">
        <f t="shared" si="51"/>
        <v>0</v>
      </c>
      <c r="X97" s="41">
        <f t="shared" si="75"/>
        <v>0</v>
      </c>
      <c r="Y97" s="26"/>
      <c r="Z97" s="1"/>
      <c r="AA97" s="1"/>
    </row>
    <row r="98" s="8" customFormat="1" ht="20" customHeight="1" spans="1:27">
      <c r="A98" s="26">
        <v>87</v>
      </c>
      <c r="B98" s="26" t="s">
        <v>801</v>
      </c>
      <c r="C98" s="26" t="s">
        <v>306</v>
      </c>
      <c r="D98" s="26" t="s">
        <v>802</v>
      </c>
      <c r="E98" s="26" t="s">
        <v>32</v>
      </c>
      <c r="F98" s="27">
        <v>625.6</v>
      </c>
      <c r="G98" s="29">
        <v>463.18</v>
      </c>
      <c r="H98" s="30">
        <v>463.18</v>
      </c>
      <c r="I98" s="29">
        <f t="shared" si="64"/>
        <v>-162.42</v>
      </c>
      <c r="J98" s="29">
        <f t="shared" si="65"/>
        <v>-162.42</v>
      </c>
      <c r="K98" s="29">
        <f t="shared" si="66"/>
        <v>0</v>
      </c>
      <c r="L98" s="37">
        <f t="shared" si="67"/>
        <v>-0.2596</v>
      </c>
      <c r="M98" s="27">
        <v>85.13</v>
      </c>
      <c r="N98" s="27">
        <v>65.26</v>
      </c>
      <c r="O98" s="37">
        <f t="shared" si="68"/>
        <v>0.3045</v>
      </c>
      <c r="P98" s="29">
        <f t="shared" si="69"/>
        <v>50.23</v>
      </c>
      <c r="Q98" s="29">
        <f t="shared" si="70"/>
        <v>75.05</v>
      </c>
      <c r="R98" s="29">
        <f t="shared" si="71"/>
        <v>75.05</v>
      </c>
      <c r="S98" s="29">
        <f t="shared" si="72"/>
        <v>53257.33</v>
      </c>
      <c r="T98" s="29">
        <f t="shared" si="73"/>
        <v>41067.71</v>
      </c>
      <c r="U98" s="30">
        <f t="shared" si="74"/>
        <v>41067.71</v>
      </c>
      <c r="V98" s="29">
        <f t="shared" si="50"/>
        <v>-12189.62</v>
      </c>
      <c r="W98" s="30">
        <f t="shared" si="51"/>
        <v>0</v>
      </c>
      <c r="X98" s="41">
        <f t="shared" si="75"/>
        <v>0</v>
      </c>
      <c r="Y98" s="26"/>
      <c r="Z98" s="1"/>
      <c r="AA98" s="1"/>
    </row>
    <row r="99" s="7" customFormat="1" ht="20" customHeight="1" spans="1:27">
      <c r="A99" s="26"/>
      <c r="B99" s="26"/>
      <c r="C99" s="26" t="s">
        <v>318</v>
      </c>
      <c r="D99" s="26"/>
      <c r="E99" s="26"/>
      <c r="F99" s="27"/>
      <c r="G99" s="29"/>
      <c r="H99" s="28"/>
      <c r="I99" s="29"/>
      <c r="J99" s="29"/>
      <c r="K99" s="29"/>
      <c r="L99" s="37"/>
      <c r="M99" s="27"/>
      <c r="N99" s="27"/>
      <c r="O99" s="27"/>
      <c r="P99" s="27"/>
      <c r="Q99" s="27"/>
      <c r="R99" s="29"/>
      <c r="S99" s="29">
        <f>+SUM(S100:S114)</f>
        <v>1453710.51</v>
      </c>
      <c r="T99" s="29">
        <f>+SUM(T100:T114)</f>
        <v>1373707.65</v>
      </c>
      <c r="U99" s="30">
        <f>SUM(U100:U114)</f>
        <v>1373707.65</v>
      </c>
      <c r="V99" s="29">
        <f t="shared" si="50"/>
        <v>-80002.86</v>
      </c>
      <c r="W99" s="30">
        <f t="shared" si="51"/>
        <v>0</v>
      </c>
      <c r="X99" s="41">
        <f>U99-T99</f>
        <v>0</v>
      </c>
      <c r="Y99" s="26"/>
      <c r="Z99" s="1"/>
      <c r="AA99" s="1"/>
    </row>
    <row r="100" s="7" customFormat="1" ht="20" customHeight="1" spans="1:27">
      <c r="A100" s="26">
        <v>88</v>
      </c>
      <c r="B100" s="26" t="s">
        <v>803</v>
      </c>
      <c r="C100" s="26" t="s">
        <v>323</v>
      </c>
      <c r="D100" s="26" t="s">
        <v>324</v>
      </c>
      <c r="E100" s="26" t="s">
        <v>32</v>
      </c>
      <c r="F100" s="27">
        <v>70.27</v>
      </c>
      <c r="G100" s="29">
        <v>124.44</v>
      </c>
      <c r="H100" s="30">
        <v>124.44</v>
      </c>
      <c r="I100" s="29">
        <f t="shared" ref="I100:I114" si="76">G100-F100</f>
        <v>54.17</v>
      </c>
      <c r="J100" s="29">
        <f t="shared" ref="J100:J114" si="77">H100-F100</f>
        <v>54.17</v>
      </c>
      <c r="K100" s="29">
        <f t="shared" ref="K100:K114" si="78">+H100-G100</f>
        <v>0</v>
      </c>
      <c r="L100" s="37">
        <f t="shared" ref="L100:L114" si="79">I100/F100</f>
        <v>0.7709</v>
      </c>
      <c r="M100" s="27">
        <v>29.28</v>
      </c>
      <c r="N100" s="27">
        <v>24.37</v>
      </c>
      <c r="O100" s="37">
        <f t="shared" ref="O100:O114" si="80">(M100-N100)/N100</f>
        <v>0.2015</v>
      </c>
      <c r="P100" s="29">
        <f t="shared" ref="P100:P114" si="81">N100*0.9056*0.85</f>
        <v>18.76</v>
      </c>
      <c r="Q100" s="29">
        <f t="shared" ref="Q100:Q114" si="82">N100*1.15</f>
        <v>28.03</v>
      </c>
      <c r="R100" s="29">
        <f t="shared" ref="R100:R114" si="83">IF(M100&lt;N100*0.9056*0.85,N100*0.9056*0.85,IF(M100&gt;N100*1.15,N100*1.15,M100))</f>
        <v>28.03</v>
      </c>
      <c r="S100" s="29">
        <f t="shared" ref="S100:S114" si="84">+F100*M100</f>
        <v>2057.51</v>
      </c>
      <c r="T100" s="29">
        <f t="shared" ref="T100:T114" si="85">S100+R100*I100</f>
        <v>3575.9</v>
      </c>
      <c r="U100" s="30">
        <f t="shared" ref="U100:U114" si="86">S100+R100*J100</f>
        <v>3575.9</v>
      </c>
      <c r="V100" s="29">
        <f t="shared" si="50"/>
        <v>1518.39</v>
      </c>
      <c r="W100" s="30">
        <f t="shared" si="51"/>
        <v>0</v>
      </c>
      <c r="X100" s="41">
        <f t="shared" ref="X100:X114" si="87">+U100-T100</f>
        <v>0</v>
      </c>
      <c r="Y100" s="26"/>
      <c r="Z100" s="1"/>
      <c r="AA100" s="1"/>
    </row>
    <row r="101" s="7" customFormat="1" ht="20" customHeight="1" spans="1:27">
      <c r="A101" s="26">
        <v>89</v>
      </c>
      <c r="B101" s="26" t="s">
        <v>804</v>
      </c>
      <c r="C101" s="26" t="s">
        <v>326</v>
      </c>
      <c r="D101" s="26" t="s">
        <v>327</v>
      </c>
      <c r="E101" s="26" t="s">
        <v>32</v>
      </c>
      <c r="F101" s="27">
        <v>522.17</v>
      </c>
      <c r="G101" s="29">
        <v>520.82</v>
      </c>
      <c r="H101" s="30">
        <v>520.82</v>
      </c>
      <c r="I101" s="29">
        <f t="shared" si="76"/>
        <v>-1.35</v>
      </c>
      <c r="J101" s="29">
        <f t="shared" si="77"/>
        <v>-1.35</v>
      </c>
      <c r="K101" s="29">
        <f t="shared" si="78"/>
        <v>0</v>
      </c>
      <c r="L101" s="37">
        <f t="shared" si="79"/>
        <v>-0.0026</v>
      </c>
      <c r="M101" s="27">
        <v>112.13</v>
      </c>
      <c r="N101" s="27">
        <v>74.24</v>
      </c>
      <c r="O101" s="37">
        <f t="shared" si="80"/>
        <v>0.5104</v>
      </c>
      <c r="P101" s="29">
        <f t="shared" si="81"/>
        <v>57.15</v>
      </c>
      <c r="Q101" s="29">
        <f t="shared" si="82"/>
        <v>85.38</v>
      </c>
      <c r="R101" s="29">
        <f t="shared" si="83"/>
        <v>85.38</v>
      </c>
      <c r="S101" s="29">
        <f t="shared" si="84"/>
        <v>58550.92</v>
      </c>
      <c r="T101" s="29">
        <f t="shared" si="85"/>
        <v>58435.66</v>
      </c>
      <c r="U101" s="30">
        <f t="shared" si="86"/>
        <v>58435.66</v>
      </c>
      <c r="V101" s="29">
        <f t="shared" si="50"/>
        <v>-115.26</v>
      </c>
      <c r="W101" s="30">
        <f t="shared" si="51"/>
        <v>0</v>
      </c>
      <c r="X101" s="41">
        <f t="shared" si="87"/>
        <v>0</v>
      </c>
      <c r="Y101" s="26"/>
      <c r="Z101" s="1"/>
      <c r="AA101" s="1"/>
    </row>
    <row r="102" s="7" customFormat="1" ht="20" customHeight="1" spans="1:27">
      <c r="A102" s="26">
        <v>90</v>
      </c>
      <c r="B102" s="26" t="s">
        <v>328</v>
      </c>
      <c r="C102" s="26" t="s">
        <v>805</v>
      </c>
      <c r="D102" s="26" t="s">
        <v>806</v>
      </c>
      <c r="E102" s="26" t="s">
        <v>32</v>
      </c>
      <c r="F102" s="27">
        <v>149.22</v>
      </c>
      <c r="G102" s="29">
        <v>148.09</v>
      </c>
      <c r="H102" s="30">
        <v>148.09</v>
      </c>
      <c r="I102" s="29">
        <f t="shared" si="76"/>
        <v>-1.13</v>
      </c>
      <c r="J102" s="29">
        <f t="shared" si="77"/>
        <v>-1.13</v>
      </c>
      <c r="K102" s="29">
        <f t="shared" si="78"/>
        <v>0</v>
      </c>
      <c r="L102" s="37">
        <f t="shared" si="79"/>
        <v>-0.0076</v>
      </c>
      <c r="M102" s="27">
        <v>142.46</v>
      </c>
      <c r="N102" s="27">
        <v>223.87</v>
      </c>
      <c r="O102" s="37">
        <f t="shared" si="80"/>
        <v>-0.3636</v>
      </c>
      <c r="P102" s="29">
        <f t="shared" si="81"/>
        <v>172.33</v>
      </c>
      <c r="Q102" s="29">
        <f t="shared" si="82"/>
        <v>257.45</v>
      </c>
      <c r="R102" s="29">
        <f t="shared" si="83"/>
        <v>172.33</v>
      </c>
      <c r="S102" s="29">
        <f t="shared" si="84"/>
        <v>21257.88</v>
      </c>
      <c r="T102" s="29">
        <f t="shared" si="85"/>
        <v>21063.15</v>
      </c>
      <c r="U102" s="30">
        <f t="shared" si="86"/>
        <v>21063.15</v>
      </c>
      <c r="V102" s="29">
        <f t="shared" si="50"/>
        <v>-194.73</v>
      </c>
      <c r="W102" s="30">
        <f t="shared" si="51"/>
        <v>0</v>
      </c>
      <c r="X102" s="41">
        <f t="shared" si="87"/>
        <v>0</v>
      </c>
      <c r="Y102" s="26"/>
      <c r="Z102" s="1"/>
      <c r="AA102" s="1"/>
    </row>
    <row r="103" s="7" customFormat="1" ht="20" customHeight="1" spans="1:27">
      <c r="A103" s="26">
        <v>91</v>
      </c>
      <c r="B103" s="26" t="s">
        <v>338</v>
      </c>
      <c r="C103" s="26" t="s">
        <v>807</v>
      </c>
      <c r="D103" s="26" t="s">
        <v>808</v>
      </c>
      <c r="E103" s="26" t="s">
        <v>32</v>
      </c>
      <c r="F103" s="27">
        <v>8.99</v>
      </c>
      <c r="G103" s="29">
        <v>8.86</v>
      </c>
      <c r="H103" s="30">
        <v>8.86</v>
      </c>
      <c r="I103" s="29">
        <f t="shared" si="76"/>
        <v>-0.13</v>
      </c>
      <c r="J103" s="29">
        <f t="shared" si="77"/>
        <v>-0.13</v>
      </c>
      <c r="K103" s="29">
        <f t="shared" si="78"/>
        <v>0</v>
      </c>
      <c r="L103" s="37">
        <f t="shared" si="79"/>
        <v>-0.0145</v>
      </c>
      <c r="M103" s="27">
        <v>275.97</v>
      </c>
      <c r="N103" s="27">
        <v>451.48</v>
      </c>
      <c r="O103" s="37">
        <f t="shared" si="80"/>
        <v>-0.3887</v>
      </c>
      <c r="P103" s="29">
        <f t="shared" si="81"/>
        <v>347.53</v>
      </c>
      <c r="Q103" s="29">
        <f t="shared" si="82"/>
        <v>519.2</v>
      </c>
      <c r="R103" s="29">
        <f t="shared" si="83"/>
        <v>347.53</v>
      </c>
      <c r="S103" s="29">
        <f t="shared" si="84"/>
        <v>2480.97</v>
      </c>
      <c r="T103" s="29">
        <f t="shared" si="85"/>
        <v>2435.79</v>
      </c>
      <c r="U103" s="30">
        <f t="shared" si="86"/>
        <v>2435.79</v>
      </c>
      <c r="V103" s="29">
        <f t="shared" si="50"/>
        <v>-45.18</v>
      </c>
      <c r="W103" s="30">
        <f t="shared" si="51"/>
        <v>0</v>
      </c>
      <c r="X103" s="41">
        <f t="shared" si="87"/>
        <v>0</v>
      </c>
      <c r="Y103" s="26"/>
      <c r="Z103" s="1"/>
      <c r="AA103" s="1"/>
    </row>
    <row r="104" s="7" customFormat="1" ht="20" customHeight="1" spans="1:27">
      <c r="A104" s="26">
        <v>92</v>
      </c>
      <c r="B104" s="26" t="s">
        <v>809</v>
      </c>
      <c r="C104" s="26" t="s">
        <v>810</v>
      </c>
      <c r="D104" s="26" t="s">
        <v>811</v>
      </c>
      <c r="E104" s="26" t="s">
        <v>32</v>
      </c>
      <c r="F104" s="27">
        <v>111.87</v>
      </c>
      <c r="G104" s="29">
        <v>96.72</v>
      </c>
      <c r="H104" s="30">
        <v>96.72</v>
      </c>
      <c r="I104" s="29">
        <f t="shared" si="76"/>
        <v>-15.15</v>
      </c>
      <c r="J104" s="29">
        <f t="shared" si="77"/>
        <v>-15.15</v>
      </c>
      <c r="K104" s="29">
        <f t="shared" si="78"/>
        <v>0</v>
      </c>
      <c r="L104" s="37">
        <f t="shared" si="79"/>
        <v>-0.1354</v>
      </c>
      <c r="M104" s="27">
        <v>37.28</v>
      </c>
      <c r="N104" s="27">
        <v>45.52</v>
      </c>
      <c r="O104" s="37">
        <f t="shared" si="80"/>
        <v>-0.181</v>
      </c>
      <c r="P104" s="29">
        <f t="shared" si="81"/>
        <v>35.04</v>
      </c>
      <c r="Q104" s="29">
        <f t="shared" si="82"/>
        <v>52.35</v>
      </c>
      <c r="R104" s="29">
        <f t="shared" si="83"/>
        <v>37.28</v>
      </c>
      <c r="S104" s="29">
        <f t="shared" si="84"/>
        <v>4170.51</v>
      </c>
      <c r="T104" s="29">
        <f t="shared" si="85"/>
        <v>3605.72</v>
      </c>
      <c r="U104" s="30">
        <f t="shared" si="86"/>
        <v>3605.72</v>
      </c>
      <c r="V104" s="29">
        <f t="shared" si="50"/>
        <v>-564.79</v>
      </c>
      <c r="W104" s="30">
        <f t="shared" si="51"/>
        <v>0</v>
      </c>
      <c r="X104" s="41">
        <f t="shared" si="87"/>
        <v>0</v>
      </c>
      <c r="Y104" s="26"/>
      <c r="Z104" s="1"/>
      <c r="AA104" s="1"/>
    </row>
    <row r="105" s="7" customFormat="1" ht="20" customHeight="1" spans="1:27">
      <c r="A105" s="26">
        <v>93</v>
      </c>
      <c r="B105" s="26" t="s">
        <v>812</v>
      </c>
      <c r="C105" s="26" t="s">
        <v>813</v>
      </c>
      <c r="D105" s="26" t="s">
        <v>814</v>
      </c>
      <c r="E105" s="26" t="s">
        <v>32</v>
      </c>
      <c r="F105" s="27">
        <v>28.42</v>
      </c>
      <c r="G105" s="29">
        <v>28.35</v>
      </c>
      <c r="H105" s="30">
        <v>28.35</v>
      </c>
      <c r="I105" s="29">
        <f t="shared" si="76"/>
        <v>-0.07</v>
      </c>
      <c r="J105" s="29">
        <f t="shared" si="77"/>
        <v>-0.07</v>
      </c>
      <c r="K105" s="29">
        <f t="shared" si="78"/>
        <v>0</v>
      </c>
      <c r="L105" s="37">
        <f t="shared" si="79"/>
        <v>-0.0025</v>
      </c>
      <c r="M105" s="27">
        <v>371.27</v>
      </c>
      <c r="N105" s="27">
        <v>486.78</v>
      </c>
      <c r="O105" s="37">
        <f t="shared" si="80"/>
        <v>-0.2373</v>
      </c>
      <c r="P105" s="29">
        <f t="shared" si="81"/>
        <v>374.7</v>
      </c>
      <c r="Q105" s="29">
        <f t="shared" si="82"/>
        <v>559.8</v>
      </c>
      <c r="R105" s="29">
        <f t="shared" si="83"/>
        <v>374.7</v>
      </c>
      <c r="S105" s="29">
        <f t="shared" si="84"/>
        <v>10551.49</v>
      </c>
      <c r="T105" s="29">
        <f t="shared" si="85"/>
        <v>10525.26</v>
      </c>
      <c r="U105" s="30">
        <f t="shared" si="86"/>
        <v>10525.26</v>
      </c>
      <c r="V105" s="29">
        <f t="shared" si="50"/>
        <v>-26.23</v>
      </c>
      <c r="W105" s="30">
        <f t="shared" si="51"/>
        <v>0</v>
      </c>
      <c r="X105" s="41">
        <f t="shared" si="87"/>
        <v>0</v>
      </c>
      <c r="Y105" s="26"/>
      <c r="Z105" s="1"/>
      <c r="AA105" s="1"/>
    </row>
    <row r="106" s="7" customFormat="1" ht="20" customHeight="1" spans="1:27">
      <c r="A106" s="26">
        <v>94</v>
      </c>
      <c r="B106" s="26" t="s">
        <v>334</v>
      </c>
      <c r="C106" s="26" t="s">
        <v>807</v>
      </c>
      <c r="D106" s="26" t="s">
        <v>815</v>
      </c>
      <c r="E106" s="26" t="s">
        <v>32</v>
      </c>
      <c r="F106" s="27">
        <v>183.197</v>
      </c>
      <c r="G106" s="29">
        <v>182.5</v>
      </c>
      <c r="H106" s="30">
        <v>182.5</v>
      </c>
      <c r="I106" s="29">
        <f t="shared" si="76"/>
        <v>-0.7</v>
      </c>
      <c r="J106" s="29">
        <f t="shared" si="77"/>
        <v>-0.7</v>
      </c>
      <c r="K106" s="29">
        <f t="shared" si="78"/>
        <v>0</v>
      </c>
      <c r="L106" s="37">
        <f t="shared" si="79"/>
        <v>-0.0038</v>
      </c>
      <c r="M106" s="27">
        <v>309.33</v>
      </c>
      <c r="N106" s="27">
        <v>499.73</v>
      </c>
      <c r="O106" s="37">
        <f t="shared" si="80"/>
        <v>-0.381</v>
      </c>
      <c r="P106" s="29">
        <f t="shared" si="81"/>
        <v>384.67</v>
      </c>
      <c r="Q106" s="29">
        <f t="shared" si="82"/>
        <v>574.69</v>
      </c>
      <c r="R106" s="29">
        <f t="shared" si="83"/>
        <v>384.67</v>
      </c>
      <c r="S106" s="29">
        <f t="shared" si="84"/>
        <v>56668.33</v>
      </c>
      <c r="T106" s="29">
        <f t="shared" si="85"/>
        <v>56399.06</v>
      </c>
      <c r="U106" s="30">
        <f t="shared" si="86"/>
        <v>56399.06</v>
      </c>
      <c r="V106" s="29">
        <f t="shared" si="50"/>
        <v>-269.27</v>
      </c>
      <c r="W106" s="30">
        <f t="shared" si="51"/>
        <v>0</v>
      </c>
      <c r="X106" s="41">
        <f t="shared" si="87"/>
        <v>0</v>
      </c>
      <c r="Y106" s="26"/>
      <c r="Z106" s="1"/>
      <c r="AA106" s="1"/>
    </row>
    <row r="107" s="7" customFormat="1" ht="20" customHeight="1" spans="1:27">
      <c r="A107" s="26">
        <v>95</v>
      </c>
      <c r="B107" s="26" t="s">
        <v>816</v>
      </c>
      <c r="C107" s="26" t="s">
        <v>342</v>
      </c>
      <c r="D107" s="26" t="s">
        <v>817</v>
      </c>
      <c r="E107" s="26" t="s">
        <v>32</v>
      </c>
      <c r="F107" s="27">
        <v>3115.37</v>
      </c>
      <c r="G107" s="29">
        <v>3127.6</v>
      </c>
      <c r="H107" s="30">
        <v>3127.6</v>
      </c>
      <c r="I107" s="29">
        <f t="shared" si="76"/>
        <v>12.23</v>
      </c>
      <c r="J107" s="29">
        <f t="shared" si="77"/>
        <v>12.23</v>
      </c>
      <c r="K107" s="29">
        <f t="shared" si="78"/>
        <v>0</v>
      </c>
      <c r="L107" s="37">
        <f t="shared" si="79"/>
        <v>0.0039</v>
      </c>
      <c r="M107" s="27">
        <v>162.27</v>
      </c>
      <c r="N107" s="27">
        <v>181.82</v>
      </c>
      <c r="O107" s="37">
        <f t="shared" si="80"/>
        <v>-0.1075</v>
      </c>
      <c r="P107" s="29">
        <f t="shared" si="81"/>
        <v>139.96</v>
      </c>
      <c r="Q107" s="29">
        <f t="shared" si="82"/>
        <v>209.09</v>
      </c>
      <c r="R107" s="29">
        <f t="shared" si="83"/>
        <v>162.27</v>
      </c>
      <c r="S107" s="29">
        <f t="shared" si="84"/>
        <v>505531.09</v>
      </c>
      <c r="T107" s="29">
        <f t="shared" si="85"/>
        <v>507515.65</v>
      </c>
      <c r="U107" s="30">
        <f t="shared" si="86"/>
        <v>507515.65</v>
      </c>
      <c r="V107" s="29">
        <f t="shared" si="50"/>
        <v>1984.56</v>
      </c>
      <c r="W107" s="30">
        <f t="shared" si="51"/>
        <v>0</v>
      </c>
      <c r="X107" s="41">
        <f t="shared" si="87"/>
        <v>0</v>
      </c>
      <c r="Y107" s="26"/>
      <c r="Z107" s="1"/>
      <c r="AA107" s="1"/>
    </row>
    <row r="108" s="7" customFormat="1" ht="20" customHeight="1" spans="1:27">
      <c r="A108" s="26">
        <v>96</v>
      </c>
      <c r="B108" s="26" t="s">
        <v>818</v>
      </c>
      <c r="C108" s="26" t="s">
        <v>345</v>
      </c>
      <c r="D108" s="26" t="s">
        <v>348</v>
      </c>
      <c r="E108" s="26" t="s">
        <v>32</v>
      </c>
      <c r="F108" s="27">
        <v>293.97</v>
      </c>
      <c r="G108" s="29">
        <v>282.62</v>
      </c>
      <c r="H108" s="30">
        <v>282.62</v>
      </c>
      <c r="I108" s="29">
        <f t="shared" si="76"/>
        <v>-11.35</v>
      </c>
      <c r="J108" s="29">
        <f t="shared" si="77"/>
        <v>-11.35</v>
      </c>
      <c r="K108" s="29">
        <f t="shared" si="78"/>
        <v>0</v>
      </c>
      <c r="L108" s="37">
        <f t="shared" si="79"/>
        <v>-0.0386</v>
      </c>
      <c r="M108" s="27">
        <v>160.56</v>
      </c>
      <c r="N108" s="27">
        <v>162.88</v>
      </c>
      <c r="O108" s="37">
        <f t="shared" si="80"/>
        <v>-0.0142</v>
      </c>
      <c r="P108" s="29">
        <f t="shared" si="81"/>
        <v>125.38</v>
      </c>
      <c r="Q108" s="29">
        <f t="shared" si="82"/>
        <v>187.31</v>
      </c>
      <c r="R108" s="29">
        <f t="shared" si="83"/>
        <v>160.56</v>
      </c>
      <c r="S108" s="29">
        <f t="shared" si="84"/>
        <v>47199.82</v>
      </c>
      <c r="T108" s="29">
        <f t="shared" si="85"/>
        <v>45377.46</v>
      </c>
      <c r="U108" s="30">
        <f t="shared" si="86"/>
        <v>45377.46</v>
      </c>
      <c r="V108" s="29">
        <f t="shared" si="50"/>
        <v>-1822.36</v>
      </c>
      <c r="W108" s="30">
        <f t="shared" si="51"/>
        <v>0</v>
      </c>
      <c r="X108" s="41">
        <f t="shared" si="87"/>
        <v>0</v>
      </c>
      <c r="Y108" s="26"/>
      <c r="Z108" s="1"/>
      <c r="AA108" s="1"/>
    </row>
    <row r="109" s="7" customFormat="1" ht="20" customHeight="1" spans="1:27">
      <c r="A109" s="26">
        <v>97</v>
      </c>
      <c r="B109" s="26" t="s">
        <v>819</v>
      </c>
      <c r="C109" s="26" t="s">
        <v>345</v>
      </c>
      <c r="D109" s="26" t="s">
        <v>820</v>
      </c>
      <c r="E109" s="26" t="s">
        <v>32</v>
      </c>
      <c r="F109" s="27">
        <v>86.1</v>
      </c>
      <c r="G109" s="29">
        <v>85.15</v>
      </c>
      <c r="H109" s="30">
        <v>85.15</v>
      </c>
      <c r="I109" s="29">
        <f t="shared" si="76"/>
        <v>-0.95</v>
      </c>
      <c r="J109" s="29">
        <f t="shared" si="77"/>
        <v>-0.95</v>
      </c>
      <c r="K109" s="29">
        <f t="shared" si="78"/>
        <v>0</v>
      </c>
      <c r="L109" s="37">
        <f t="shared" si="79"/>
        <v>-0.011</v>
      </c>
      <c r="M109" s="27">
        <v>160.56</v>
      </c>
      <c r="N109" s="27">
        <v>197.61</v>
      </c>
      <c r="O109" s="37">
        <f t="shared" si="80"/>
        <v>-0.1875</v>
      </c>
      <c r="P109" s="29">
        <f t="shared" si="81"/>
        <v>152.11</v>
      </c>
      <c r="Q109" s="29">
        <f t="shared" si="82"/>
        <v>227.25</v>
      </c>
      <c r="R109" s="29">
        <f t="shared" si="83"/>
        <v>160.56</v>
      </c>
      <c r="S109" s="29">
        <f t="shared" si="84"/>
        <v>13824.22</v>
      </c>
      <c r="T109" s="29">
        <f t="shared" si="85"/>
        <v>13671.69</v>
      </c>
      <c r="U109" s="30">
        <f t="shared" si="86"/>
        <v>13671.69</v>
      </c>
      <c r="V109" s="29">
        <f t="shared" si="50"/>
        <v>-152.53</v>
      </c>
      <c r="W109" s="30">
        <f t="shared" si="51"/>
        <v>0</v>
      </c>
      <c r="X109" s="41">
        <f t="shared" si="87"/>
        <v>0</v>
      </c>
      <c r="Y109" s="26"/>
      <c r="Z109" s="1"/>
      <c r="AA109" s="1"/>
    </row>
    <row r="110" s="7" customFormat="1" ht="20" customHeight="1" spans="1:27">
      <c r="A110" s="26">
        <v>98</v>
      </c>
      <c r="B110" s="26" t="s">
        <v>821</v>
      </c>
      <c r="C110" s="26" t="s">
        <v>350</v>
      </c>
      <c r="D110" s="26" t="s">
        <v>351</v>
      </c>
      <c r="E110" s="26" t="s">
        <v>32</v>
      </c>
      <c r="F110" s="27">
        <v>3705.78</v>
      </c>
      <c r="G110" s="29">
        <v>3908.85</v>
      </c>
      <c r="H110" s="30">
        <v>3908.85</v>
      </c>
      <c r="I110" s="29">
        <f t="shared" si="76"/>
        <v>203.07</v>
      </c>
      <c r="J110" s="29">
        <f t="shared" si="77"/>
        <v>203.07</v>
      </c>
      <c r="K110" s="29">
        <f t="shared" si="78"/>
        <v>0</v>
      </c>
      <c r="L110" s="37">
        <f t="shared" si="79"/>
        <v>0.0548</v>
      </c>
      <c r="M110" s="27">
        <v>129.21</v>
      </c>
      <c r="N110" s="27">
        <v>90.73</v>
      </c>
      <c r="O110" s="37">
        <f t="shared" si="80"/>
        <v>0.4241</v>
      </c>
      <c r="P110" s="29">
        <f t="shared" si="81"/>
        <v>69.84</v>
      </c>
      <c r="Q110" s="29">
        <f t="shared" si="82"/>
        <v>104.34</v>
      </c>
      <c r="R110" s="29">
        <f t="shared" si="83"/>
        <v>104.34</v>
      </c>
      <c r="S110" s="29">
        <f t="shared" si="84"/>
        <v>478823.83</v>
      </c>
      <c r="T110" s="29">
        <f t="shared" si="85"/>
        <v>500012.15</v>
      </c>
      <c r="U110" s="30">
        <f t="shared" si="86"/>
        <v>500012.15</v>
      </c>
      <c r="V110" s="29">
        <f t="shared" si="50"/>
        <v>21188.32</v>
      </c>
      <c r="W110" s="30">
        <f t="shared" si="51"/>
        <v>0</v>
      </c>
      <c r="X110" s="41">
        <f t="shared" si="87"/>
        <v>0</v>
      </c>
      <c r="Y110" s="26"/>
      <c r="Z110" s="1"/>
      <c r="AA110" s="1"/>
    </row>
    <row r="111" s="7" customFormat="1" ht="20" customHeight="1" spans="1:27">
      <c r="A111" s="26">
        <v>99</v>
      </c>
      <c r="B111" s="26" t="s">
        <v>352</v>
      </c>
      <c r="C111" s="26" t="s">
        <v>353</v>
      </c>
      <c r="D111" s="26" t="s">
        <v>354</v>
      </c>
      <c r="E111" s="26" t="s">
        <v>32</v>
      </c>
      <c r="F111" s="27">
        <v>721.18</v>
      </c>
      <c r="G111" s="29">
        <v>437.63</v>
      </c>
      <c r="H111" s="30">
        <v>437.63</v>
      </c>
      <c r="I111" s="29">
        <f t="shared" si="76"/>
        <v>-283.55</v>
      </c>
      <c r="J111" s="29">
        <f t="shared" si="77"/>
        <v>-283.55</v>
      </c>
      <c r="K111" s="29">
        <f t="shared" si="78"/>
        <v>0</v>
      </c>
      <c r="L111" s="37">
        <f t="shared" si="79"/>
        <v>-0.3932</v>
      </c>
      <c r="M111" s="27">
        <v>256.98</v>
      </c>
      <c r="N111" s="27">
        <v>212.4</v>
      </c>
      <c r="O111" s="37">
        <f t="shared" si="80"/>
        <v>0.2099</v>
      </c>
      <c r="P111" s="29">
        <f t="shared" si="81"/>
        <v>163.5</v>
      </c>
      <c r="Q111" s="29">
        <f t="shared" si="82"/>
        <v>244.26</v>
      </c>
      <c r="R111" s="29">
        <f t="shared" si="83"/>
        <v>244.26</v>
      </c>
      <c r="S111" s="29">
        <f t="shared" si="84"/>
        <v>185328.84</v>
      </c>
      <c r="T111" s="29">
        <f t="shared" si="85"/>
        <v>116068.92</v>
      </c>
      <c r="U111" s="30">
        <f t="shared" si="86"/>
        <v>116068.92</v>
      </c>
      <c r="V111" s="29">
        <f t="shared" si="50"/>
        <v>-69259.92</v>
      </c>
      <c r="W111" s="30">
        <f t="shared" si="51"/>
        <v>0</v>
      </c>
      <c r="X111" s="41">
        <f t="shared" si="87"/>
        <v>0</v>
      </c>
      <c r="Y111" s="26"/>
      <c r="Z111" s="1"/>
      <c r="AA111" s="1"/>
    </row>
    <row r="112" s="7" customFormat="1" ht="20" customHeight="1" spans="1:27">
      <c r="A112" s="26">
        <v>100</v>
      </c>
      <c r="B112" s="26" t="s">
        <v>822</v>
      </c>
      <c r="C112" s="26" t="s">
        <v>823</v>
      </c>
      <c r="D112" s="26" t="s">
        <v>824</v>
      </c>
      <c r="E112" s="26" t="s">
        <v>32</v>
      </c>
      <c r="F112" s="27">
        <v>11.6</v>
      </c>
      <c r="G112" s="29">
        <v>14.37</v>
      </c>
      <c r="H112" s="30">
        <v>14.37</v>
      </c>
      <c r="I112" s="29">
        <f t="shared" si="76"/>
        <v>2.77</v>
      </c>
      <c r="J112" s="29">
        <f t="shared" si="77"/>
        <v>2.77</v>
      </c>
      <c r="K112" s="29">
        <f t="shared" si="78"/>
        <v>0</v>
      </c>
      <c r="L112" s="37">
        <f t="shared" si="79"/>
        <v>0.2388</v>
      </c>
      <c r="M112" s="27">
        <v>61.3</v>
      </c>
      <c r="N112" s="27">
        <v>41.42</v>
      </c>
      <c r="O112" s="37">
        <f t="shared" si="80"/>
        <v>0.48</v>
      </c>
      <c r="P112" s="29">
        <f t="shared" si="81"/>
        <v>31.88</v>
      </c>
      <c r="Q112" s="29">
        <f t="shared" si="82"/>
        <v>47.63</v>
      </c>
      <c r="R112" s="29">
        <f t="shared" si="83"/>
        <v>47.63</v>
      </c>
      <c r="S112" s="29">
        <f t="shared" si="84"/>
        <v>711.08</v>
      </c>
      <c r="T112" s="29">
        <f t="shared" si="85"/>
        <v>843.02</v>
      </c>
      <c r="U112" s="30">
        <f t="shared" si="86"/>
        <v>843.02</v>
      </c>
      <c r="V112" s="29">
        <f t="shared" si="50"/>
        <v>131.94</v>
      </c>
      <c r="W112" s="30">
        <f t="shared" si="51"/>
        <v>0</v>
      </c>
      <c r="X112" s="41">
        <f t="shared" si="87"/>
        <v>0</v>
      </c>
      <c r="Y112" s="26"/>
      <c r="Z112" s="1"/>
      <c r="AA112" s="1"/>
    </row>
    <row r="113" s="7" customFormat="1" ht="20" customHeight="1" spans="1:27">
      <c r="A113" s="26">
        <v>101</v>
      </c>
      <c r="B113" s="26" t="s">
        <v>355</v>
      </c>
      <c r="C113" s="26" t="s">
        <v>356</v>
      </c>
      <c r="D113" s="26" t="s">
        <v>825</v>
      </c>
      <c r="E113" s="26" t="s">
        <v>32</v>
      </c>
      <c r="F113" s="27">
        <v>299.7787</v>
      </c>
      <c r="G113" s="29">
        <v>99.41</v>
      </c>
      <c r="H113" s="30">
        <v>99.41</v>
      </c>
      <c r="I113" s="29">
        <f t="shared" si="76"/>
        <v>-200.37</v>
      </c>
      <c r="J113" s="29">
        <f t="shared" si="77"/>
        <v>-200.37</v>
      </c>
      <c r="K113" s="29">
        <f t="shared" si="78"/>
        <v>0</v>
      </c>
      <c r="L113" s="37">
        <f t="shared" si="79"/>
        <v>-0.6684</v>
      </c>
      <c r="M113" s="27">
        <v>192.09</v>
      </c>
      <c r="N113" s="27">
        <v>190.61</v>
      </c>
      <c r="O113" s="37">
        <f t="shared" si="80"/>
        <v>0.0078</v>
      </c>
      <c r="P113" s="29">
        <f t="shared" si="81"/>
        <v>146.72</v>
      </c>
      <c r="Q113" s="29">
        <f t="shared" si="82"/>
        <v>219.2</v>
      </c>
      <c r="R113" s="29">
        <f t="shared" si="83"/>
        <v>192.09</v>
      </c>
      <c r="S113" s="29">
        <f t="shared" si="84"/>
        <v>57584.49</v>
      </c>
      <c r="T113" s="29">
        <f t="shared" si="85"/>
        <v>19095.42</v>
      </c>
      <c r="U113" s="30">
        <f t="shared" si="86"/>
        <v>19095.42</v>
      </c>
      <c r="V113" s="29">
        <f t="shared" si="50"/>
        <v>-38489.07</v>
      </c>
      <c r="W113" s="30">
        <f t="shared" si="51"/>
        <v>0</v>
      </c>
      <c r="X113" s="41">
        <f t="shared" si="87"/>
        <v>0</v>
      </c>
      <c r="Y113" s="26"/>
      <c r="Z113" s="1"/>
      <c r="AA113" s="1"/>
    </row>
    <row r="114" s="7" customFormat="1" ht="20" customHeight="1" spans="1:27">
      <c r="A114" s="26">
        <v>102</v>
      </c>
      <c r="B114" s="26" t="s">
        <v>826</v>
      </c>
      <c r="C114" s="26" t="s">
        <v>827</v>
      </c>
      <c r="D114" s="26" t="s">
        <v>828</v>
      </c>
      <c r="E114" s="26" t="s">
        <v>53</v>
      </c>
      <c r="F114" s="27">
        <v>37.3</v>
      </c>
      <c r="G114" s="29">
        <v>59.05</v>
      </c>
      <c r="H114" s="30">
        <v>59.05</v>
      </c>
      <c r="I114" s="29">
        <f t="shared" si="76"/>
        <v>21.75</v>
      </c>
      <c r="J114" s="29">
        <f t="shared" si="77"/>
        <v>21.75</v>
      </c>
      <c r="K114" s="29">
        <f t="shared" si="78"/>
        <v>0</v>
      </c>
      <c r="L114" s="37">
        <f t="shared" si="79"/>
        <v>0.5831</v>
      </c>
      <c r="M114" s="27">
        <v>240.47</v>
      </c>
      <c r="N114" s="27">
        <v>365.14</v>
      </c>
      <c r="O114" s="37">
        <f t="shared" si="80"/>
        <v>-0.3414</v>
      </c>
      <c r="P114" s="29">
        <f t="shared" si="81"/>
        <v>281.07</v>
      </c>
      <c r="Q114" s="29">
        <f t="shared" si="82"/>
        <v>419.91</v>
      </c>
      <c r="R114" s="29">
        <f t="shared" si="83"/>
        <v>281.07</v>
      </c>
      <c r="S114" s="29">
        <f t="shared" si="84"/>
        <v>8969.53</v>
      </c>
      <c r="T114" s="29">
        <f t="shared" si="85"/>
        <v>15082.8</v>
      </c>
      <c r="U114" s="30">
        <f t="shared" si="86"/>
        <v>15082.8</v>
      </c>
      <c r="V114" s="29">
        <f t="shared" si="50"/>
        <v>6113.27</v>
      </c>
      <c r="W114" s="30">
        <f t="shared" si="51"/>
        <v>0</v>
      </c>
      <c r="X114" s="41">
        <f t="shared" si="87"/>
        <v>0</v>
      </c>
      <c r="Y114" s="26"/>
      <c r="Z114" s="1"/>
      <c r="AA114" s="1"/>
    </row>
    <row r="115" s="7" customFormat="1" ht="20" customHeight="1" spans="1:27">
      <c r="A115" s="26"/>
      <c r="B115" s="26"/>
      <c r="C115" s="26" t="s">
        <v>368</v>
      </c>
      <c r="D115" s="26"/>
      <c r="E115" s="26"/>
      <c r="F115" s="27"/>
      <c r="G115" s="29"/>
      <c r="H115" s="28"/>
      <c r="I115" s="29"/>
      <c r="J115" s="29"/>
      <c r="K115" s="29"/>
      <c r="L115" s="37"/>
      <c r="M115" s="27"/>
      <c r="N115" s="27"/>
      <c r="O115" s="27"/>
      <c r="P115" s="27"/>
      <c r="Q115" s="27"/>
      <c r="R115" s="29"/>
      <c r="S115" s="29">
        <f>+SUM(S116:S138)</f>
        <v>3131958.7</v>
      </c>
      <c r="T115" s="29">
        <f>+SUM(T116:T138)</f>
        <v>3345340.85</v>
      </c>
      <c r="U115" s="30">
        <f>SUM(U116:U138)</f>
        <v>3202244.7</v>
      </c>
      <c r="V115" s="29">
        <f t="shared" si="50"/>
        <v>70286</v>
      </c>
      <c r="W115" s="30">
        <f t="shared" si="51"/>
        <v>-143096.15</v>
      </c>
      <c r="X115" s="41">
        <f>U115-T115</f>
        <v>-143096.15</v>
      </c>
      <c r="Y115" s="26"/>
      <c r="Z115" s="1"/>
      <c r="AA115" s="1"/>
    </row>
    <row r="116" s="7" customFormat="1" ht="20" customHeight="1" spans="1:27">
      <c r="A116" s="26">
        <v>103</v>
      </c>
      <c r="B116" s="26" t="s">
        <v>369</v>
      </c>
      <c r="C116" s="26" t="s">
        <v>370</v>
      </c>
      <c r="D116" s="26" t="s">
        <v>371</v>
      </c>
      <c r="E116" s="26" t="s">
        <v>32</v>
      </c>
      <c r="F116" s="27">
        <v>4800.62</v>
      </c>
      <c r="G116" s="29">
        <v>5727.72</v>
      </c>
      <c r="H116" s="30">
        <v>5727.72</v>
      </c>
      <c r="I116" s="29">
        <f t="shared" ref="I116:I138" si="88">G116-F116</f>
        <v>927.1</v>
      </c>
      <c r="J116" s="29">
        <f t="shared" ref="J116:J138" si="89">H116-F116</f>
        <v>927.1</v>
      </c>
      <c r="K116" s="29">
        <f t="shared" ref="K116:K138" si="90">+H116-G116</f>
        <v>0</v>
      </c>
      <c r="L116" s="37">
        <f t="shared" ref="L116:L138" si="91">I116/F116</f>
        <v>0.1931</v>
      </c>
      <c r="M116" s="27">
        <v>188.2</v>
      </c>
      <c r="N116" s="27">
        <v>140.67</v>
      </c>
      <c r="O116" s="37">
        <f t="shared" ref="O116:O138" si="92">(M116-N116)/N116</f>
        <v>0.3379</v>
      </c>
      <c r="P116" s="29">
        <f t="shared" ref="P116:P138" si="93">N116*0.9056*0.85</f>
        <v>108.28</v>
      </c>
      <c r="Q116" s="29">
        <f t="shared" ref="Q116:Q138" si="94">N116*1.15</f>
        <v>161.77</v>
      </c>
      <c r="R116" s="29">
        <f t="shared" ref="R116:R138" si="95">IF(M116&lt;N116*0.9056*0.85,N116*0.9056*0.85,IF(M116&gt;N116*1.15,N116*1.15,M116))</f>
        <v>161.77</v>
      </c>
      <c r="S116" s="29">
        <f t="shared" ref="S116:S138" si="96">+F116*M116</f>
        <v>903476.68</v>
      </c>
      <c r="T116" s="29">
        <f t="shared" ref="T116:T138" si="97">S116+R116*I116</f>
        <v>1053453.65</v>
      </c>
      <c r="U116" s="30">
        <f t="shared" ref="U116:U138" si="98">S116+R116*J116</f>
        <v>1053453.65</v>
      </c>
      <c r="V116" s="29">
        <f t="shared" si="50"/>
        <v>149976.97</v>
      </c>
      <c r="W116" s="30">
        <f t="shared" si="51"/>
        <v>0</v>
      </c>
      <c r="X116" s="41">
        <f t="shared" ref="X116:X138" si="99">+U116-T116</f>
        <v>0</v>
      </c>
      <c r="Y116" s="26"/>
      <c r="Z116" s="1"/>
      <c r="AA116" s="1"/>
    </row>
    <row r="117" s="7" customFormat="1" ht="20" customHeight="1" spans="1:27">
      <c r="A117" s="26">
        <v>104</v>
      </c>
      <c r="B117" s="26" t="s">
        <v>372</v>
      </c>
      <c r="C117" s="26" t="s">
        <v>373</v>
      </c>
      <c r="D117" s="26" t="s">
        <v>374</v>
      </c>
      <c r="E117" s="26" t="s">
        <v>32</v>
      </c>
      <c r="F117" s="27">
        <v>4141.885</v>
      </c>
      <c r="G117" s="29">
        <v>4617.49</v>
      </c>
      <c r="H117" s="30">
        <v>4617.49</v>
      </c>
      <c r="I117" s="29">
        <f t="shared" si="88"/>
        <v>475.61</v>
      </c>
      <c r="J117" s="29">
        <f t="shared" si="89"/>
        <v>475.61</v>
      </c>
      <c r="K117" s="29">
        <f t="shared" si="90"/>
        <v>0</v>
      </c>
      <c r="L117" s="37">
        <f t="shared" si="91"/>
        <v>0.1148</v>
      </c>
      <c r="M117" s="27">
        <v>133.2</v>
      </c>
      <c r="N117" s="27">
        <v>98.47</v>
      </c>
      <c r="O117" s="37">
        <f t="shared" si="92"/>
        <v>0.3527</v>
      </c>
      <c r="P117" s="29">
        <f t="shared" si="93"/>
        <v>75.8</v>
      </c>
      <c r="Q117" s="29">
        <f t="shared" si="94"/>
        <v>113.24</v>
      </c>
      <c r="R117" s="29">
        <f t="shared" si="95"/>
        <v>113.24</v>
      </c>
      <c r="S117" s="29">
        <f t="shared" si="96"/>
        <v>551699.08</v>
      </c>
      <c r="T117" s="29">
        <f t="shared" si="97"/>
        <v>605557.16</v>
      </c>
      <c r="U117" s="30">
        <f t="shared" si="98"/>
        <v>605557.16</v>
      </c>
      <c r="V117" s="29">
        <f t="shared" si="50"/>
        <v>53858.08</v>
      </c>
      <c r="W117" s="30">
        <f t="shared" si="51"/>
        <v>0</v>
      </c>
      <c r="X117" s="41">
        <f t="shared" si="99"/>
        <v>0</v>
      </c>
      <c r="Y117" s="26"/>
      <c r="Z117" s="1"/>
      <c r="AA117" s="1"/>
    </row>
    <row r="118" s="7" customFormat="1" ht="20" customHeight="1" spans="1:27">
      <c r="A118" s="26">
        <v>105</v>
      </c>
      <c r="B118" s="26" t="s">
        <v>829</v>
      </c>
      <c r="C118" s="26" t="s">
        <v>378</v>
      </c>
      <c r="D118" s="26" t="s">
        <v>379</v>
      </c>
      <c r="E118" s="26" t="s">
        <v>32</v>
      </c>
      <c r="F118" s="27">
        <v>860.21</v>
      </c>
      <c r="G118" s="29">
        <v>1062.87</v>
      </c>
      <c r="H118" s="30">
        <v>1062.87</v>
      </c>
      <c r="I118" s="29">
        <f t="shared" si="88"/>
        <v>202.66</v>
      </c>
      <c r="J118" s="29">
        <f t="shared" si="89"/>
        <v>202.66</v>
      </c>
      <c r="K118" s="29">
        <f t="shared" si="90"/>
        <v>0</v>
      </c>
      <c r="L118" s="37">
        <f t="shared" si="91"/>
        <v>0.2356</v>
      </c>
      <c r="M118" s="27">
        <v>30.33</v>
      </c>
      <c r="N118" s="27">
        <v>31.52</v>
      </c>
      <c r="O118" s="37">
        <f t="shared" si="92"/>
        <v>-0.0378</v>
      </c>
      <c r="P118" s="29">
        <f t="shared" si="93"/>
        <v>24.26</v>
      </c>
      <c r="Q118" s="29">
        <f t="shared" si="94"/>
        <v>36.25</v>
      </c>
      <c r="R118" s="29">
        <f t="shared" si="95"/>
        <v>30.33</v>
      </c>
      <c r="S118" s="29">
        <f t="shared" si="96"/>
        <v>26090.17</v>
      </c>
      <c r="T118" s="29">
        <f t="shared" si="97"/>
        <v>32236.85</v>
      </c>
      <c r="U118" s="30">
        <f t="shared" si="98"/>
        <v>32236.85</v>
      </c>
      <c r="V118" s="29">
        <f t="shared" si="50"/>
        <v>6146.68</v>
      </c>
      <c r="W118" s="30">
        <f t="shared" si="51"/>
        <v>0</v>
      </c>
      <c r="X118" s="41">
        <f t="shared" si="99"/>
        <v>0</v>
      </c>
      <c r="Y118" s="26"/>
      <c r="Z118" s="1"/>
      <c r="AA118" s="1"/>
    </row>
    <row r="119" s="7" customFormat="1" ht="20" customHeight="1" spans="1:27">
      <c r="A119" s="26">
        <v>106</v>
      </c>
      <c r="B119" s="26" t="s">
        <v>408</v>
      </c>
      <c r="C119" s="26" t="s">
        <v>830</v>
      </c>
      <c r="D119" s="26" t="s">
        <v>831</v>
      </c>
      <c r="E119" s="26" t="s">
        <v>32</v>
      </c>
      <c r="F119" s="27">
        <v>1005.89</v>
      </c>
      <c r="G119" s="29">
        <v>942.12</v>
      </c>
      <c r="H119" s="30">
        <v>942.12</v>
      </c>
      <c r="I119" s="29">
        <f t="shared" si="88"/>
        <v>-63.77</v>
      </c>
      <c r="J119" s="29">
        <f t="shared" si="89"/>
        <v>-63.77</v>
      </c>
      <c r="K119" s="29">
        <f t="shared" si="90"/>
        <v>0</v>
      </c>
      <c r="L119" s="37">
        <f t="shared" si="91"/>
        <v>-0.0634</v>
      </c>
      <c r="M119" s="27">
        <v>334.46</v>
      </c>
      <c r="N119" s="27">
        <v>371.67</v>
      </c>
      <c r="O119" s="37">
        <f t="shared" si="92"/>
        <v>-0.1001</v>
      </c>
      <c r="P119" s="29">
        <f t="shared" si="93"/>
        <v>286.1</v>
      </c>
      <c r="Q119" s="29">
        <f t="shared" si="94"/>
        <v>427.42</v>
      </c>
      <c r="R119" s="29">
        <f t="shared" si="95"/>
        <v>334.46</v>
      </c>
      <c r="S119" s="29">
        <f t="shared" si="96"/>
        <v>336429.97</v>
      </c>
      <c r="T119" s="29">
        <f t="shared" si="97"/>
        <v>315101.46</v>
      </c>
      <c r="U119" s="30">
        <f t="shared" si="98"/>
        <v>315101.46</v>
      </c>
      <c r="V119" s="29">
        <f t="shared" si="50"/>
        <v>-21328.51</v>
      </c>
      <c r="W119" s="30">
        <f t="shared" si="51"/>
        <v>0</v>
      </c>
      <c r="X119" s="41">
        <f t="shared" si="99"/>
        <v>0</v>
      </c>
      <c r="Y119" s="26"/>
      <c r="Z119" s="1"/>
      <c r="AA119" s="1"/>
    </row>
    <row r="120" s="7" customFormat="1" ht="20" customHeight="1" spans="1:27">
      <c r="A120" s="26">
        <v>107</v>
      </c>
      <c r="B120" s="26" t="s">
        <v>832</v>
      </c>
      <c r="C120" s="26" t="s">
        <v>387</v>
      </c>
      <c r="D120" s="26" t="s">
        <v>388</v>
      </c>
      <c r="E120" s="26" t="s">
        <v>32</v>
      </c>
      <c r="F120" s="27">
        <v>7636.76</v>
      </c>
      <c r="G120" s="29">
        <v>7636.76</v>
      </c>
      <c r="H120" s="30">
        <f>7215.09+29.99</f>
        <v>7245.08</v>
      </c>
      <c r="I120" s="29">
        <f t="shared" si="88"/>
        <v>0</v>
      </c>
      <c r="J120" s="29">
        <f t="shared" si="89"/>
        <v>-391.68</v>
      </c>
      <c r="K120" s="29">
        <f t="shared" si="90"/>
        <v>-391.68</v>
      </c>
      <c r="L120" s="37">
        <f t="shared" si="91"/>
        <v>0</v>
      </c>
      <c r="M120" s="27">
        <v>36.95</v>
      </c>
      <c r="N120" s="27">
        <v>50.6</v>
      </c>
      <c r="O120" s="37">
        <f t="shared" si="92"/>
        <v>-0.2698</v>
      </c>
      <c r="P120" s="29">
        <f t="shared" si="93"/>
        <v>38.95</v>
      </c>
      <c r="Q120" s="29">
        <f t="shared" si="94"/>
        <v>58.19</v>
      </c>
      <c r="R120" s="29">
        <f t="shared" si="95"/>
        <v>38.95</v>
      </c>
      <c r="S120" s="29">
        <f t="shared" si="96"/>
        <v>282178.28</v>
      </c>
      <c r="T120" s="29">
        <f t="shared" si="97"/>
        <v>282178.28</v>
      </c>
      <c r="U120" s="30">
        <f t="shared" si="98"/>
        <v>266922.34</v>
      </c>
      <c r="V120" s="29">
        <f t="shared" si="50"/>
        <v>-15255.94</v>
      </c>
      <c r="W120" s="30">
        <f t="shared" si="51"/>
        <v>-15255.94</v>
      </c>
      <c r="X120" s="41">
        <f t="shared" si="99"/>
        <v>-15255.94</v>
      </c>
      <c r="Y120" s="26"/>
      <c r="Z120" s="1"/>
      <c r="AA120" s="1"/>
    </row>
    <row r="121" s="7" customFormat="1" ht="20" customHeight="1" spans="1:27">
      <c r="A121" s="26">
        <v>108</v>
      </c>
      <c r="B121" s="26" t="s">
        <v>833</v>
      </c>
      <c r="C121" s="26" t="s">
        <v>384</v>
      </c>
      <c r="D121" s="26" t="s">
        <v>385</v>
      </c>
      <c r="E121" s="26" t="s">
        <v>32</v>
      </c>
      <c r="F121" s="27">
        <v>1721.84</v>
      </c>
      <c r="G121" s="29">
        <v>1721.84</v>
      </c>
      <c r="H121" s="30">
        <v>1516.95</v>
      </c>
      <c r="I121" s="29">
        <f t="shared" si="88"/>
        <v>0</v>
      </c>
      <c r="J121" s="29">
        <f t="shared" si="89"/>
        <v>-204.89</v>
      </c>
      <c r="K121" s="29">
        <f t="shared" si="90"/>
        <v>-204.89</v>
      </c>
      <c r="L121" s="37">
        <f t="shared" si="91"/>
        <v>0</v>
      </c>
      <c r="M121" s="27">
        <v>148.21</v>
      </c>
      <c r="N121" s="27">
        <v>117.46</v>
      </c>
      <c r="O121" s="37">
        <f t="shared" si="92"/>
        <v>0.2618</v>
      </c>
      <c r="P121" s="29">
        <f t="shared" si="93"/>
        <v>90.42</v>
      </c>
      <c r="Q121" s="29">
        <f t="shared" si="94"/>
        <v>135.08</v>
      </c>
      <c r="R121" s="29">
        <f t="shared" si="95"/>
        <v>135.08</v>
      </c>
      <c r="S121" s="29">
        <f t="shared" si="96"/>
        <v>255193.91</v>
      </c>
      <c r="T121" s="29">
        <f t="shared" si="97"/>
        <v>255193.91</v>
      </c>
      <c r="U121" s="30">
        <f t="shared" si="98"/>
        <v>227517.37</v>
      </c>
      <c r="V121" s="29">
        <f t="shared" si="50"/>
        <v>-27676.54</v>
      </c>
      <c r="W121" s="30">
        <f t="shared" si="51"/>
        <v>-27676.54</v>
      </c>
      <c r="X121" s="41">
        <f t="shared" si="99"/>
        <v>-27676.54</v>
      </c>
      <c r="Y121" s="26"/>
      <c r="Z121" s="1"/>
      <c r="AA121" s="1"/>
    </row>
    <row r="122" s="7" customFormat="1" ht="20" customHeight="1" spans="1:27">
      <c r="A122" s="26">
        <v>109</v>
      </c>
      <c r="B122" s="26" t="s">
        <v>834</v>
      </c>
      <c r="C122" s="26" t="s">
        <v>381</v>
      </c>
      <c r="D122" s="26" t="s">
        <v>835</v>
      </c>
      <c r="E122" s="26" t="s">
        <v>32</v>
      </c>
      <c r="F122" s="27">
        <v>9577.91</v>
      </c>
      <c r="G122" s="29">
        <v>9577.91</v>
      </c>
      <c r="H122" s="30">
        <v>8407.99</v>
      </c>
      <c r="I122" s="29">
        <f t="shared" si="88"/>
        <v>0</v>
      </c>
      <c r="J122" s="29">
        <f t="shared" si="89"/>
        <v>-1169.92</v>
      </c>
      <c r="K122" s="29">
        <f t="shared" si="90"/>
        <v>-1169.92</v>
      </c>
      <c r="L122" s="37">
        <f t="shared" si="91"/>
        <v>0</v>
      </c>
      <c r="M122" s="27">
        <v>22.12</v>
      </c>
      <c r="N122" s="27">
        <v>24.38</v>
      </c>
      <c r="O122" s="37">
        <f t="shared" si="92"/>
        <v>-0.0927</v>
      </c>
      <c r="P122" s="29">
        <f t="shared" si="93"/>
        <v>18.77</v>
      </c>
      <c r="Q122" s="29">
        <f t="shared" si="94"/>
        <v>28.04</v>
      </c>
      <c r="R122" s="29">
        <f t="shared" si="95"/>
        <v>22.12</v>
      </c>
      <c r="S122" s="29">
        <f t="shared" si="96"/>
        <v>211863.37</v>
      </c>
      <c r="T122" s="29">
        <f t="shared" si="97"/>
        <v>211863.37</v>
      </c>
      <c r="U122" s="30">
        <f t="shared" si="98"/>
        <v>185984.74</v>
      </c>
      <c r="V122" s="29">
        <f t="shared" si="50"/>
        <v>-25878.63</v>
      </c>
      <c r="W122" s="30">
        <f t="shared" si="51"/>
        <v>-25878.63</v>
      </c>
      <c r="X122" s="41">
        <f t="shared" si="99"/>
        <v>-25878.63</v>
      </c>
      <c r="Y122" s="26"/>
      <c r="Z122" s="1"/>
      <c r="AA122" s="1"/>
    </row>
    <row r="123" s="7" customFormat="1" ht="20" customHeight="1" spans="1:27">
      <c r="A123" s="26">
        <v>110</v>
      </c>
      <c r="B123" s="26" t="s">
        <v>836</v>
      </c>
      <c r="C123" s="26" t="s">
        <v>390</v>
      </c>
      <c r="D123" s="26" t="s">
        <v>391</v>
      </c>
      <c r="E123" s="26" t="s">
        <v>32</v>
      </c>
      <c r="F123" s="27">
        <v>439.79</v>
      </c>
      <c r="G123" s="29">
        <v>670.37</v>
      </c>
      <c r="H123" s="30">
        <v>670.37</v>
      </c>
      <c r="I123" s="29">
        <f t="shared" si="88"/>
        <v>230.58</v>
      </c>
      <c r="J123" s="29">
        <f t="shared" si="89"/>
        <v>230.58</v>
      </c>
      <c r="K123" s="29">
        <f t="shared" si="90"/>
        <v>0</v>
      </c>
      <c r="L123" s="37">
        <f t="shared" si="91"/>
        <v>0.5243</v>
      </c>
      <c r="M123" s="27">
        <v>17.13</v>
      </c>
      <c r="N123" s="27">
        <v>18.67</v>
      </c>
      <c r="O123" s="37">
        <f t="shared" si="92"/>
        <v>-0.0825</v>
      </c>
      <c r="P123" s="29">
        <f t="shared" si="93"/>
        <v>14.37</v>
      </c>
      <c r="Q123" s="29">
        <f t="shared" si="94"/>
        <v>21.47</v>
      </c>
      <c r="R123" s="29">
        <f t="shared" si="95"/>
        <v>17.13</v>
      </c>
      <c r="S123" s="29">
        <f t="shared" si="96"/>
        <v>7533.6</v>
      </c>
      <c r="T123" s="29">
        <f t="shared" si="97"/>
        <v>11483.44</v>
      </c>
      <c r="U123" s="30">
        <f t="shared" si="98"/>
        <v>11483.44</v>
      </c>
      <c r="V123" s="29">
        <f t="shared" si="50"/>
        <v>3949.84</v>
      </c>
      <c r="W123" s="30">
        <f t="shared" si="51"/>
        <v>0</v>
      </c>
      <c r="X123" s="41">
        <f t="shared" si="99"/>
        <v>0</v>
      </c>
      <c r="Y123" s="26"/>
      <c r="Z123" s="1"/>
      <c r="AA123" s="1"/>
    </row>
    <row r="124" s="7" customFormat="1" ht="20" customHeight="1" spans="1:27">
      <c r="A124" s="26">
        <v>111</v>
      </c>
      <c r="B124" s="26" t="s">
        <v>837</v>
      </c>
      <c r="C124" s="26" t="s">
        <v>394</v>
      </c>
      <c r="D124" s="26" t="s">
        <v>395</v>
      </c>
      <c r="E124" s="26" t="s">
        <v>32</v>
      </c>
      <c r="F124" s="27">
        <v>1696.13</v>
      </c>
      <c r="G124" s="29">
        <v>1696.13</v>
      </c>
      <c r="H124" s="30">
        <v>1350.87</v>
      </c>
      <c r="I124" s="29">
        <f t="shared" si="88"/>
        <v>0</v>
      </c>
      <c r="J124" s="29">
        <f t="shared" si="89"/>
        <v>-345.26</v>
      </c>
      <c r="K124" s="29">
        <f t="shared" si="90"/>
        <v>-345.26</v>
      </c>
      <c r="L124" s="37">
        <f t="shared" si="91"/>
        <v>0</v>
      </c>
      <c r="M124" s="27">
        <v>162.51</v>
      </c>
      <c r="N124" s="27">
        <v>147.48</v>
      </c>
      <c r="O124" s="37">
        <f t="shared" si="92"/>
        <v>0.1019</v>
      </c>
      <c r="P124" s="29">
        <f t="shared" si="93"/>
        <v>113.52</v>
      </c>
      <c r="Q124" s="29">
        <f t="shared" si="94"/>
        <v>169.6</v>
      </c>
      <c r="R124" s="29">
        <f t="shared" si="95"/>
        <v>162.51</v>
      </c>
      <c r="S124" s="29">
        <f t="shared" si="96"/>
        <v>275638.09</v>
      </c>
      <c r="T124" s="29">
        <f t="shared" si="97"/>
        <v>275638.09</v>
      </c>
      <c r="U124" s="30">
        <f t="shared" si="98"/>
        <v>219529.89</v>
      </c>
      <c r="V124" s="29">
        <f t="shared" si="50"/>
        <v>-56108.2</v>
      </c>
      <c r="W124" s="30">
        <f t="shared" si="51"/>
        <v>-56108.2</v>
      </c>
      <c r="X124" s="41">
        <f t="shared" si="99"/>
        <v>-56108.2</v>
      </c>
      <c r="Y124" s="26"/>
      <c r="Z124" s="1"/>
      <c r="AA124" s="1"/>
    </row>
    <row r="125" s="7" customFormat="1" ht="20" customHeight="1" spans="1:27">
      <c r="A125" s="26">
        <v>112</v>
      </c>
      <c r="B125" s="26" t="s">
        <v>838</v>
      </c>
      <c r="C125" s="26" t="s">
        <v>839</v>
      </c>
      <c r="D125" s="26" t="s">
        <v>840</v>
      </c>
      <c r="E125" s="26" t="s">
        <v>32</v>
      </c>
      <c r="F125" s="27">
        <v>24.54</v>
      </c>
      <c r="G125" s="29">
        <v>24.54</v>
      </c>
      <c r="H125" s="30">
        <v>12.26</v>
      </c>
      <c r="I125" s="29">
        <f t="shared" si="88"/>
        <v>0</v>
      </c>
      <c r="J125" s="29">
        <f t="shared" si="89"/>
        <v>-12.28</v>
      </c>
      <c r="K125" s="29">
        <f t="shared" si="90"/>
        <v>-12.28</v>
      </c>
      <c r="L125" s="37">
        <f t="shared" si="91"/>
        <v>0</v>
      </c>
      <c r="M125" s="27">
        <v>139.68</v>
      </c>
      <c r="N125" s="27">
        <v>141.12</v>
      </c>
      <c r="O125" s="37">
        <f t="shared" si="92"/>
        <v>-0.0102</v>
      </c>
      <c r="P125" s="29">
        <f t="shared" si="93"/>
        <v>108.63</v>
      </c>
      <c r="Q125" s="29">
        <f t="shared" si="94"/>
        <v>162.29</v>
      </c>
      <c r="R125" s="29">
        <f t="shared" si="95"/>
        <v>139.68</v>
      </c>
      <c r="S125" s="29">
        <f t="shared" si="96"/>
        <v>3427.75</v>
      </c>
      <c r="T125" s="29">
        <f t="shared" si="97"/>
        <v>3427.75</v>
      </c>
      <c r="U125" s="30">
        <f t="shared" si="98"/>
        <v>1712.48</v>
      </c>
      <c r="V125" s="29">
        <f t="shared" si="50"/>
        <v>-1715.27</v>
      </c>
      <c r="W125" s="30">
        <f t="shared" si="51"/>
        <v>-1715.27</v>
      </c>
      <c r="X125" s="41">
        <f t="shared" si="99"/>
        <v>-1715.27</v>
      </c>
      <c r="Y125" s="26"/>
      <c r="Z125" s="1"/>
      <c r="AA125" s="1"/>
    </row>
    <row r="126" s="7" customFormat="1" ht="20" customHeight="1" spans="1:27">
      <c r="A126" s="34">
        <v>113</v>
      </c>
      <c r="B126" s="34" t="s">
        <v>396</v>
      </c>
      <c r="C126" s="34" t="s">
        <v>397</v>
      </c>
      <c r="D126" s="34" t="s">
        <v>841</v>
      </c>
      <c r="E126" s="34" t="s">
        <v>32</v>
      </c>
      <c r="F126" s="35">
        <v>259.648</v>
      </c>
      <c r="G126" s="36">
        <v>281.42</v>
      </c>
      <c r="H126" s="36">
        <v>281.42</v>
      </c>
      <c r="I126" s="36">
        <f t="shared" si="88"/>
        <v>21.77</v>
      </c>
      <c r="J126" s="36">
        <f t="shared" si="89"/>
        <v>21.77</v>
      </c>
      <c r="K126" s="36">
        <f t="shared" si="90"/>
        <v>0</v>
      </c>
      <c r="L126" s="39">
        <f t="shared" si="91"/>
        <v>0.0838</v>
      </c>
      <c r="M126" s="35">
        <v>666.31</v>
      </c>
      <c r="N126" s="35">
        <v>453.37</v>
      </c>
      <c r="O126" s="39">
        <f t="shared" si="92"/>
        <v>0.4697</v>
      </c>
      <c r="P126" s="36">
        <f t="shared" si="93"/>
        <v>348.99</v>
      </c>
      <c r="Q126" s="36">
        <f t="shared" si="94"/>
        <v>521.38</v>
      </c>
      <c r="R126" s="36">
        <f t="shared" si="95"/>
        <v>521.38</v>
      </c>
      <c r="S126" s="36">
        <f t="shared" si="96"/>
        <v>173006.06</v>
      </c>
      <c r="T126" s="36">
        <f t="shared" si="97"/>
        <v>184356.5</v>
      </c>
      <c r="U126" s="36">
        <f t="shared" si="98"/>
        <v>184356.5</v>
      </c>
      <c r="V126" s="29">
        <f t="shared" si="50"/>
        <v>11350.44</v>
      </c>
      <c r="W126" s="30">
        <f t="shared" si="51"/>
        <v>0</v>
      </c>
      <c r="X126" s="36">
        <f t="shared" si="99"/>
        <v>0</v>
      </c>
      <c r="Y126" s="34"/>
      <c r="Z126" s="48"/>
      <c r="AA126" s="1"/>
    </row>
    <row r="127" s="7" customFormat="1" ht="20" customHeight="1" spans="1:27">
      <c r="A127" s="26">
        <v>114</v>
      </c>
      <c r="B127" s="26" t="s">
        <v>428</v>
      </c>
      <c r="C127" s="26" t="s">
        <v>429</v>
      </c>
      <c r="D127" s="26" t="s">
        <v>842</v>
      </c>
      <c r="E127" s="26" t="s">
        <v>32</v>
      </c>
      <c r="F127" s="27">
        <v>16.8156</v>
      </c>
      <c r="G127" s="29">
        <v>16.82</v>
      </c>
      <c r="H127" s="30">
        <v>6.73</v>
      </c>
      <c r="I127" s="29">
        <f t="shared" si="88"/>
        <v>0</v>
      </c>
      <c r="J127" s="29">
        <f t="shared" si="89"/>
        <v>-10.09</v>
      </c>
      <c r="K127" s="29">
        <f t="shared" si="90"/>
        <v>-10.09</v>
      </c>
      <c r="L127" s="37">
        <f t="shared" si="91"/>
        <v>0</v>
      </c>
      <c r="M127" s="27">
        <v>532.56</v>
      </c>
      <c r="N127" s="27">
        <v>490.86</v>
      </c>
      <c r="O127" s="37">
        <f t="shared" si="92"/>
        <v>0.085</v>
      </c>
      <c r="P127" s="29">
        <f t="shared" si="93"/>
        <v>377.84</v>
      </c>
      <c r="Q127" s="29">
        <f t="shared" si="94"/>
        <v>564.49</v>
      </c>
      <c r="R127" s="29">
        <f t="shared" si="95"/>
        <v>532.56</v>
      </c>
      <c r="S127" s="29">
        <f t="shared" si="96"/>
        <v>8955.32</v>
      </c>
      <c r="T127" s="29">
        <f t="shared" si="97"/>
        <v>8955.32</v>
      </c>
      <c r="U127" s="30">
        <f t="shared" si="98"/>
        <v>3581.79</v>
      </c>
      <c r="V127" s="29">
        <f t="shared" si="50"/>
        <v>-5373.53</v>
      </c>
      <c r="W127" s="30">
        <f t="shared" si="51"/>
        <v>-5373.53</v>
      </c>
      <c r="X127" s="41">
        <f t="shared" si="99"/>
        <v>-5373.53</v>
      </c>
      <c r="Y127" s="26"/>
      <c r="Z127" s="1"/>
      <c r="AA127" s="1"/>
    </row>
    <row r="128" s="8" customFormat="1" ht="20" customHeight="1" spans="1:27">
      <c r="A128" s="26">
        <v>115</v>
      </c>
      <c r="B128" s="26" t="s">
        <v>410</v>
      </c>
      <c r="C128" s="26" t="s">
        <v>406</v>
      </c>
      <c r="D128" s="26" t="s">
        <v>843</v>
      </c>
      <c r="E128" s="26" t="s">
        <v>32</v>
      </c>
      <c r="F128" s="27">
        <v>129.335</v>
      </c>
      <c r="G128" s="29">
        <v>136.49</v>
      </c>
      <c r="H128" s="30">
        <v>136.49</v>
      </c>
      <c r="I128" s="29">
        <f t="shared" si="88"/>
        <v>7.16</v>
      </c>
      <c r="J128" s="29">
        <f t="shared" si="89"/>
        <v>7.16</v>
      </c>
      <c r="K128" s="29">
        <f t="shared" si="90"/>
        <v>0</v>
      </c>
      <c r="L128" s="37">
        <f t="shared" si="91"/>
        <v>0.0554</v>
      </c>
      <c r="M128" s="27">
        <v>314.41</v>
      </c>
      <c r="N128" s="27">
        <v>271.64</v>
      </c>
      <c r="O128" s="37">
        <f t="shared" si="92"/>
        <v>0.1575</v>
      </c>
      <c r="P128" s="29">
        <f t="shared" si="93"/>
        <v>209.1</v>
      </c>
      <c r="Q128" s="29">
        <f t="shared" si="94"/>
        <v>312.39</v>
      </c>
      <c r="R128" s="29">
        <f t="shared" si="95"/>
        <v>312.39</v>
      </c>
      <c r="S128" s="29">
        <f t="shared" si="96"/>
        <v>40664.22</v>
      </c>
      <c r="T128" s="29">
        <f t="shared" si="97"/>
        <v>42900.93</v>
      </c>
      <c r="U128" s="30">
        <f t="shared" si="98"/>
        <v>42900.93</v>
      </c>
      <c r="V128" s="29">
        <f t="shared" si="50"/>
        <v>2236.71</v>
      </c>
      <c r="W128" s="30">
        <f t="shared" si="51"/>
        <v>0</v>
      </c>
      <c r="X128" s="41">
        <f t="shared" si="99"/>
        <v>0</v>
      </c>
      <c r="Y128" s="26"/>
      <c r="Z128" s="1"/>
      <c r="AA128" s="1"/>
    </row>
    <row r="129" s="7" customFormat="1" ht="20" customHeight="1" spans="1:27">
      <c r="A129" s="26">
        <v>116</v>
      </c>
      <c r="B129" s="26" t="s">
        <v>412</v>
      </c>
      <c r="C129" s="26" t="s">
        <v>406</v>
      </c>
      <c r="D129" s="26" t="s">
        <v>844</v>
      </c>
      <c r="E129" s="26" t="s">
        <v>32</v>
      </c>
      <c r="F129" s="27">
        <v>56.123</v>
      </c>
      <c r="G129" s="29">
        <v>70.04</v>
      </c>
      <c r="H129" s="30">
        <v>14.82</v>
      </c>
      <c r="I129" s="29">
        <f t="shared" si="88"/>
        <v>13.92</v>
      </c>
      <c r="J129" s="29">
        <f t="shared" si="89"/>
        <v>-41.3</v>
      </c>
      <c r="K129" s="29">
        <f t="shared" si="90"/>
        <v>-55.22</v>
      </c>
      <c r="L129" s="37">
        <f t="shared" si="91"/>
        <v>0.248</v>
      </c>
      <c r="M129" s="27">
        <v>341.48</v>
      </c>
      <c r="N129" s="27">
        <v>151.55</v>
      </c>
      <c r="O129" s="37">
        <f t="shared" si="92"/>
        <v>1.2532</v>
      </c>
      <c r="P129" s="29">
        <f t="shared" si="93"/>
        <v>116.66</v>
      </c>
      <c r="Q129" s="29">
        <f t="shared" si="94"/>
        <v>174.28</v>
      </c>
      <c r="R129" s="29">
        <f t="shared" si="95"/>
        <v>174.28</v>
      </c>
      <c r="S129" s="29">
        <f t="shared" si="96"/>
        <v>19164.88</v>
      </c>
      <c r="T129" s="29">
        <f t="shared" si="97"/>
        <v>21590.86</v>
      </c>
      <c r="U129" s="30">
        <f t="shared" si="98"/>
        <v>11967.12</v>
      </c>
      <c r="V129" s="29">
        <f t="shared" si="50"/>
        <v>-7197.76</v>
      </c>
      <c r="W129" s="30">
        <f t="shared" si="51"/>
        <v>-9623.74</v>
      </c>
      <c r="X129" s="41">
        <f t="shared" si="99"/>
        <v>-9623.74</v>
      </c>
      <c r="Y129" s="26"/>
      <c r="Z129" s="1"/>
      <c r="AA129" s="1"/>
    </row>
    <row r="130" s="7" customFormat="1" ht="20" customHeight="1" spans="1:27">
      <c r="A130" s="26">
        <v>117</v>
      </c>
      <c r="B130" s="26" t="s">
        <v>420</v>
      </c>
      <c r="C130" s="26" t="s">
        <v>406</v>
      </c>
      <c r="D130" s="26" t="s">
        <v>845</v>
      </c>
      <c r="E130" s="26" t="s">
        <v>32</v>
      </c>
      <c r="F130" s="27">
        <v>31.04</v>
      </c>
      <c r="G130" s="29">
        <v>32.05</v>
      </c>
      <c r="H130" s="30">
        <v>32.05</v>
      </c>
      <c r="I130" s="29">
        <f t="shared" si="88"/>
        <v>1.01</v>
      </c>
      <c r="J130" s="29">
        <f t="shared" si="89"/>
        <v>1.01</v>
      </c>
      <c r="K130" s="29">
        <f t="shared" si="90"/>
        <v>0</v>
      </c>
      <c r="L130" s="37">
        <f t="shared" si="91"/>
        <v>0.0325</v>
      </c>
      <c r="M130" s="27">
        <v>437.33</v>
      </c>
      <c r="N130" s="27">
        <v>228.53</v>
      </c>
      <c r="O130" s="37">
        <f t="shared" si="92"/>
        <v>0.9137</v>
      </c>
      <c r="P130" s="29">
        <f t="shared" si="93"/>
        <v>175.91</v>
      </c>
      <c r="Q130" s="29">
        <f t="shared" si="94"/>
        <v>262.81</v>
      </c>
      <c r="R130" s="29">
        <f t="shared" si="95"/>
        <v>262.81</v>
      </c>
      <c r="S130" s="29">
        <f t="shared" si="96"/>
        <v>13574.72</v>
      </c>
      <c r="T130" s="29">
        <f t="shared" si="97"/>
        <v>13840.16</v>
      </c>
      <c r="U130" s="30">
        <f t="shared" si="98"/>
        <v>13840.16</v>
      </c>
      <c r="V130" s="29">
        <f t="shared" si="50"/>
        <v>265.44</v>
      </c>
      <c r="W130" s="30">
        <f t="shared" si="51"/>
        <v>0</v>
      </c>
      <c r="X130" s="41">
        <f t="shared" si="99"/>
        <v>0</v>
      </c>
      <c r="Y130" s="26"/>
      <c r="Z130" s="1"/>
      <c r="AA130" s="1"/>
    </row>
    <row r="131" s="7" customFormat="1" ht="20" customHeight="1" spans="1:27">
      <c r="A131" s="26">
        <v>118</v>
      </c>
      <c r="B131" s="26" t="s">
        <v>418</v>
      </c>
      <c r="C131" s="26" t="s">
        <v>846</v>
      </c>
      <c r="D131" s="26" t="s">
        <v>847</v>
      </c>
      <c r="E131" s="26" t="s">
        <v>32</v>
      </c>
      <c r="F131" s="27">
        <v>4.77</v>
      </c>
      <c r="G131" s="29">
        <v>4.77</v>
      </c>
      <c r="H131" s="30">
        <v>1.76</v>
      </c>
      <c r="I131" s="29">
        <f t="shared" si="88"/>
        <v>0</v>
      </c>
      <c r="J131" s="29">
        <f t="shared" si="89"/>
        <v>-3.01</v>
      </c>
      <c r="K131" s="29">
        <f t="shared" si="90"/>
        <v>-3.01</v>
      </c>
      <c r="L131" s="37">
        <f t="shared" si="91"/>
        <v>0</v>
      </c>
      <c r="M131" s="27">
        <v>429.48</v>
      </c>
      <c r="N131" s="27">
        <v>300.05</v>
      </c>
      <c r="O131" s="37">
        <f t="shared" si="92"/>
        <v>0.4314</v>
      </c>
      <c r="P131" s="29">
        <f t="shared" si="93"/>
        <v>230.97</v>
      </c>
      <c r="Q131" s="29">
        <f t="shared" si="94"/>
        <v>345.06</v>
      </c>
      <c r="R131" s="29">
        <f t="shared" si="95"/>
        <v>345.06</v>
      </c>
      <c r="S131" s="29">
        <f t="shared" si="96"/>
        <v>2048.62</v>
      </c>
      <c r="T131" s="29">
        <f t="shared" si="97"/>
        <v>2048.62</v>
      </c>
      <c r="U131" s="30">
        <f t="shared" si="98"/>
        <v>1009.99</v>
      </c>
      <c r="V131" s="29">
        <f t="shared" si="50"/>
        <v>-1038.63</v>
      </c>
      <c r="W131" s="30">
        <f t="shared" si="51"/>
        <v>-1038.63</v>
      </c>
      <c r="X131" s="41">
        <f t="shared" si="99"/>
        <v>-1038.63</v>
      </c>
      <c r="Y131" s="26"/>
      <c r="Z131" s="1"/>
      <c r="AA131" s="1"/>
    </row>
    <row r="132" s="7" customFormat="1" ht="20" customHeight="1" spans="1:27">
      <c r="A132" s="26">
        <v>119</v>
      </c>
      <c r="B132" s="26" t="s">
        <v>424</v>
      </c>
      <c r="C132" s="26" t="s">
        <v>406</v>
      </c>
      <c r="D132" s="26" t="s">
        <v>848</v>
      </c>
      <c r="E132" s="26" t="s">
        <v>32</v>
      </c>
      <c r="F132" s="27">
        <v>9.45</v>
      </c>
      <c r="G132" s="29">
        <v>9.45</v>
      </c>
      <c r="H132" s="30">
        <v>9.45</v>
      </c>
      <c r="I132" s="29">
        <f t="shared" si="88"/>
        <v>0</v>
      </c>
      <c r="J132" s="29">
        <f t="shared" si="89"/>
        <v>0</v>
      </c>
      <c r="K132" s="29">
        <f t="shared" si="90"/>
        <v>0</v>
      </c>
      <c r="L132" s="37">
        <f t="shared" si="91"/>
        <v>0</v>
      </c>
      <c r="M132" s="27">
        <v>419.95</v>
      </c>
      <c r="N132" s="27">
        <v>250.86</v>
      </c>
      <c r="O132" s="37">
        <f t="shared" si="92"/>
        <v>0.674</v>
      </c>
      <c r="P132" s="29">
        <f t="shared" si="93"/>
        <v>193.1</v>
      </c>
      <c r="Q132" s="29">
        <f t="shared" si="94"/>
        <v>288.49</v>
      </c>
      <c r="R132" s="29">
        <f t="shared" si="95"/>
        <v>288.49</v>
      </c>
      <c r="S132" s="29">
        <f t="shared" si="96"/>
        <v>3968.53</v>
      </c>
      <c r="T132" s="29">
        <f t="shared" si="97"/>
        <v>3968.53</v>
      </c>
      <c r="U132" s="30">
        <f t="shared" si="98"/>
        <v>3968.53</v>
      </c>
      <c r="V132" s="29">
        <f t="shared" si="50"/>
        <v>0</v>
      </c>
      <c r="W132" s="30">
        <f t="shared" si="51"/>
        <v>0</v>
      </c>
      <c r="X132" s="41">
        <f t="shared" si="99"/>
        <v>0</v>
      </c>
      <c r="Y132" s="26"/>
      <c r="Z132" s="1"/>
      <c r="AA132" s="1"/>
    </row>
    <row r="133" s="7" customFormat="1" ht="20" customHeight="1" spans="1:27">
      <c r="A133" s="26">
        <v>120</v>
      </c>
      <c r="B133" s="26" t="s">
        <v>414</v>
      </c>
      <c r="C133" s="26" t="s">
        <v>406</v>
      </c>
      <c r="D133" s="26" t="s">
        <v>849</v>
      </c>
      <c r="E133" s="26" t="s">
        <v>32</v>
      </c>
      <c r="F133" s="27">
        <v>20.52</v>
      </c>
      <c r="G133" s="29">
        <v>20.58</v>
      </c>
      <c r="H133" s="30">
        <v>20.58</v>
      </c>
      <c r="I133" s="29">
        <f t="shared" si="88"/>
        <v>0.06</v>
      </c>
      <c r="J133" s="29">
        <f t="shared" si="89"/>
        <v>0.06</v>
      </c>
      <c r="K133" s="29">
        <f t="shared" si="90"/>
        <v>0</v>
      </c>
      <c r="L133" s="37">
        <f t="shared" si="91"/>
        <v>0.0029</v>
      </c>
      <c r="M133" s="27">
        <v>217.33</v>
      </c>
      <c r="N133" s="27">
        <v>149.29</v>
      </c>
      <c r="O133" s="37">
        <f t="shared" si="92"/>
        <v>0.4558</v>
      </c>
      <c r="P133" s="29">
        <f t="shared" si="93"/>
        <v>114.92</v>
      </c>
      <c r="Q133" s="29">
        <f t="shared" si="94"/>
        <v>171.68</v>
      </c>
      <c r="R133" s="29">
        <f t="shared" si="95"/>
        <v>171.68</v>
      </c>
      <c r="S133" s="29">
        <f t="shared" si="96"/>
        <v>4459.61</v>
      </c>
      <c r="T133" s="29">
        <f t="shared" si="97"/>
        <v>4469.91</v>
      </c>
      <c r="U133" s="30">
        <f t="shared" si="98"/>
        <v>4469.91</v>
      </c>
      <c r="V133" s="29">
        <f t="shared" ref="V133:V166" si="100">U133-S133</f>
        <v>10.3</v>
      </c>
      <c r="W133" s="30">
        <f t="shared" ref="W133:W166" si="101">+U133-T133</f>
        <v>0</v>
      </c>
      <c r="X133" s="41">
        <f t="shared" si="99"/>
        <v>0</v>
      </c>
      <c r="Y133" s="26"/>
      <c r="Z133" s="1"/>
      <c r="AA133" s="1"/>
    </row>
    <row r="134" s="7" customFormat="1" ht="20" customHeight="1" spans="1:27">
      <c r="A134" s="26">
        <v>121</v>
      </c>
      <c r="B134" s="26" t="s">
        <v>422</v>
      </c>
      <c r="C134" s="26" t="s">
        <v>406</v>
      </c>
      <c r="D134" s="26" t="s">
        <v>850</v>
      </c>
      <c r="E134" s="26" t="s">
        <v>32</v>
      </c>
      <c r="F134" s="27">
        <v>36.5</v>
      </c>
      <c r="G134" s="29">
        <v>36.5</v>
      </c>
      <c r="H134" s="30">
        <v>36.5</v>
      </c>
      <c r="I134" s="29">
        <f t="shared" si="88"/>
        <v>0</v>
      </c>
      <c r="J134" s="29">
        <f t="shared" si="89"/>
        <v>0</v>
      </c>
      <c r="K134" s="29">
        <f t="shared" si="90"/>
        <v>0</v>
      </c>
      <c r="L134" s="37">
        <f t="shared" si="91"/>
        <v>0</v>
      </c>
      <c r="M134" s="27">
        <v>111.44</v>
      </c>
      <c r="N134" s="27">
        <v>113.84</v>
      </c>
      <c r="O134" s="37">
        <f t="shared" si="92"/>
        <v>-0.0211</v>
      </c>
      <c r="P134" s="29">
        <f t="shared" si="93"/>
        <v>87.63</v>
      </c>
      <c r="Q134" s="29">
        <f t="shared" si="94"/>
        <v>130.92</v>
      </c>
      <c r="R134" s="29">
        <f t="shared" si="95"/>
        <v>111.44</v>
      </c>
      <c r="S134" s="29">
        <f t="shared" si="96"/>
        <v>4067.56</v>
      </c>
      <c r="T134" s="29">
        <f t="shared" si="97"/>
        <v>4067.56</v>
      </c>
      <c r="U134" s="30">
        <f t="shared" si="98"/>
        <v>4067.56</v>
      </c>
      <c r="V134" s="29">
        <f t="shared" si="100"/>
        <v>0</v>
      </c>
      <c r="W134" s="30">
        <f t="shared" si="101"/>
        <v>0</v>
      </c>
      <c r="X134" s="41">
        <f t="shared" si="99"/>
        <v>0</v>
      </c>
      <c r="Y134" s="26"/>
      <c r="Z134" s="1"/>
      <c r="AA134" s="1"/>
    </row>
    <row r="135" s="7" customFormat="1" ht="20" customHeight="1" spans="1:27">
      <c r="A135" s="26">
        <v>122</v>
      </c>
      <c r="B135" s="26" t="s">
        <v>365</v>
      </c>
      <c r="C135" s="26" t="s">
        <v>366</v>
      </c>
      <c r="D135" s="26" t="s">
        <v>851</v>
      </c>
      <c r="E135" s="26" t="s">
        <v>32</v>
      </c>
      <c r="F135" s="27">
        <v>7.217</v>
      </c>
      <c r="G135" s="29">
        <v>20.92</v>
      </c>
      <c r="H135" s="30">
        <v>20.92</v>
      </c>
      <c r="I135" s="29">
        <f t="shared" si="88"/>
        <v>13.7</v>
      </c>
      <c r="J135" s="29">
        <f t="shared" si="89"/>
        <v>13.7</v>
      </c>
      <c r="K135" s="29">
        <f t="shared" si="90"/>
        <v>0</v>
      </c>
      <c r="L135" s="37">
        <f t="shared" si="91"/>
        <v>1.8983</v>
      </c>
      <c r="M135" s="27">
        <v>151.13</v>
      </c>
      <c r="N135" s="27">
        <v>392.16</v>
      </c>
      <c r="O135" s="37">
        <f t="shared" si="92"/>
        <v>-0.6146</v>
      </c>
      <c r="P135" s="29">
        <f t="shared" si="93"/>
        <v>301.87</v>
      </c>
      <c r="Q135" s="29">
        <f t="shared" si="94"/>
        <v>450.98</v>
      </c>
      <c r="R135" s="29">
        <f t="shared" si="95"/>
        <v>301.87</v>
      </c>
      <c r="S135" s="29">
        <f t="shared" si="96"/>
        <v>1090.71</v>
      </c>
      <c r="T135" s="29">
        <f t="shared" si="97"/>
        <v>5226.33</v>
      </c>
      <c r="U135" s="30">
        <f t="shared" si="98"/>
        <v>5226.33</v>
      </c>
      <c r="V135" s="29">
        <f t="shared" si="100"/>
        <v>4135.62</v>
      </c>
      <c r="W135" s="30">
        <f t="shared" si="101"/>
        <v>0</v>
      </c>
      <c r="X135" s="41">
        <f t="shared" si="99"/>
        <v>0</v>
      </c>
      <c r="Y135" s="26"/>
      <c r="Z135" s="1"/>
      <c r="AA135" s="1"/>
    </row>
    <row r="136" s="7" customFormat="1" ht="20" customHeight="1" spans="1:27">
      <c r="A136" s="26">
        <v>123</v>
      </c>
      <c r="B136" s="26" t="s">
        <v>852</v>
      </c>
      <c r="C136" s="26" t="s">
        <v>853</v>
      </c>
      <c r="D136" s="26" t="s">
        <v>854</v>
      </c>
      <c r="E136" s="26" t="s">
        <v>32</v>
      </c>
      <c r="F136" s="27">
        <v>3.9</v>
      </c>
      <c r="G136" s="29">
        <v>6.27</v>
      </c>
      <c r="H136" s="30">
        <v>6.27</v>
      </c>
      <c r="I136" s="29">
        <f t="shared" si="88"/>
        <v>2.37</v>
      </c>
      <c r="J136" s="29">
        <f t="shared" si="89"/>
        <v>2.37</v>
      </c>
      <c r="K136" s="29">
        <f t="shared" si="90"/>
        <v>0</v>
      </c>
      <c r="L136" s="37">
        <f t="shared" si="91"/>
        <v>0.6077</v>
      </c>
      <c r="M136" s="27">
        <v>149.62</v>
      </c>
      <c r="N136" s="27">
        <v>182.2</v>
      </c>
      <c r="O136" s="37">
        <f t="shared" si="92"/>
        <v>-0.1788</v>
      </c>
      <c r="P136" s="29">
        <f t="shared" si="93"/>
        <v>140.25</v>
      </c>
      <c r="Q136" s="29">
        <f t="shared" si="94"/>
        <v>209.53</v>
      </c>
      <c r="R136" s="29">
        <f t="shared" si="95"/>
        <v>149.62</v>
      </c>
      <c r="S136" s="29">
        <f t="shared" si="96"/>
        <v>583.52</v>
      </c>
      <c r="T136" s="29">
        <f t="shared" si="97"/>
        <v>938.12</v>
      </c>
      <c r="U136" s="30">
        <f t="shared" si="98"/>
        <v>938.12</v>
      </c>
      <c r="V136" s="29">
        <f t="shared" si="100"/>
        <v>354.6</v>
      </c>
      <c r="W136" s="30">
        <f t="shared" si="101"/>
        <v>0</v>
      </c>
      <c r="X136" s="41">
        <f t="shared" si="99"/>
        <v>0</v>
      </c>
      <c r="Y136" s="26"/>
      <c r="Z136" s="1"/>
      <c r="AA136" s="1"/>
    </row>
    <row r="137" s="7" customFormat="1" ht="20" customHeight="1" spans="1:27">
      <c r="A137" s="26">
        <v>124</v>
      </c>
      <c r="B137" s="26" t="s">
        <v>855</v>
      </c>
      <c r="C137" s="26" t="s">
        <v>856</v>
      </c>
      <c r="D137" s="26" t="s">
        <v>857</v>
      </c>
      <c r="E137" s="26" t="s">
        <v>32</v>
      </c>
      <c r="F137" s="27">
        <v>39.888</v>
      </c>
      <c r="G137" s="29">
        <v>39.89</v>
      </c>
      <c r="H137" s="30">
        <v>35.67</v>
      </c>
      <c r="I137" s="29">
        <f t="shared" si="88"/>
        <v>0</v>
      </c>
      <c r="J137" s="29">
        <f t="shared" si="89"/>
        <v>-4.22</v>
      </c>
      <c r="K137" s="29">
        <f t="shared" si="90"/>
        <v>-4.22</v>
      </c>
      <c r="L137" s="37">
        <f t="shared" si="91"/>
        <v>0</v>
      </c>
      <c r="M137" s="27">
        <v>100.87</v>
      </c>
      <c r="N137" s="27">
        <v>103.02</v>
      </c>
      <c r="O137" s="37">
        <f t="shared" si="92"/>
        <v>-0.0209</v>
      </c>
      <c r="P137" s="29">
        <f t="shared" si="93"/>
        <v>79.3</v>
      </c>
      <c r="Q137" s="29">
        <f t="shared" si="94"/>
        <v>118.47</v>
      </c>
      <c r="R137" s="29">
        <f t="shared" si="95"/>
        <v>100.87</v>
      </c>
      <c r="S137" s="29">
        <f t="shared" si="96"/>
        <v>4023.5</v>
      </c>
      <c r="T137" s="29">
        <f t="shared" si="97"/>
        <v>4023.5</v>
      </c>
      <c r="U137" s="30">
        <f t="shared" si="98"/>
        <v>3597.83</v>
      </c>
      <c r="V137" s="29">
        <f t="shared" si="100"/>
        <v>-425.67</v>
      </c>
      <c r="W137" s="30">
        <f t="shared" si="101"/>
        <v>-425.67</v>
      </c>
      <c r="X137" s="41">
        <f t="shared" si="99"/>
        <v>-425.67</v>
      </c>
      <c r="Y137" s="26"/>
      <c r="Z137" s="1"/>
      <c r="AA137" s="1"/>
    </row>
    <row r="138" s="7" customFormat="1" ht="20" customHeight="1" spans="1:27">
      <c r="A138" s="26">
        <v>125</v>
      </c>
      <c r="B138" s="26" t="s">
        <v>858</v>
      </c>
      <c r="C138" s="26" t="s">
        <v>859</v>
      </c>
      <c r="D138" s="26" t="s">
        <v>860</v>
      </c>
      <c r="E138" s="26" t="s">
        <v>67</v>
      </c>
      <c r="F138" s="27">
        <v>19</v>
      </c>
      <c r="G138" s="29">
        <v>19</v>
      </c>
      <c r="H138" s="32">
        <v>19</v>
      </c>
      <c r="I138" s="29">
        <f t="shared" si="88"/>
        <v>0</v>
      </c>
      <c r="J138" s="29">
        <f t="shared" si="89"/>
        <v>0</v>
      </c>
      <c r="K138" s="29">
        <f t="shared" si="90"/>
        <v>0</v>
      </c>
      <c r="L138" s="37">
        <f t="shared" si="91"/>
        <v>0</v>
      </c>
      <c r="M138" s="27">
        <v>148.45</v>
      </c>
      <c r="N138" s="27">
        <v>199.33</v>
      </c>
      <c r="O138" s="37">
        <f t="shared" si="92"/>
        <v>-0.2553</v>
      </c>
      <c r="P138" s="29">
        <f t="shared" si="93"/>
        <v>153.44</v>
      </c>
      <c r="Q138" s="29">
        <f t="shared" si="94"/>
        <v>229.23</v>
      </c>
      <c r="R138" s="29">
        <f t="shared" si="95"/>
        <v>153.44</v>
      </c>
      <c r="S138" s="29">
        <f t="shared" si="96"/>
        <v>2820.55</v>
      </c>
      <c r="T138" s="29">
        <f t="shared" si="97"/>
        <v>2820.55</v>
      </c>
      <c r="U138" s="30">
        <f t="shared" si="98"/>
        <v>2820.55</v>
      </c>
      <c r="V138" s="29">
        <f t="shared" si="100"/>
        <v>0</v>
      </c>
      <c r="W138" s="30">
        <f t="shared" si="101"/>
        <v>0</v>
      </c>
      <c r="X138" s="41">
        <f t="shared" si="99"/>
        <v>0</v>
      </c>
      <c r="Y138" s="26"/>
      <c r="Z138" s="1"/>
      <c r="AA138" s="1"/>
    </row>
    <row r="139" s="7" customFormat="1" ht="20" customHeight="1" spans="1:27">
      <c r="A139" s="26"/>
      <c r="B139" s="26"/>
      <c r="C139" s="26" t="s">
        <v>440</v>
      </c>
      <c r="D139" s="26"/>
      <c r="E139" s="26"/>
      <c r="F139" s="27"/>
      <c r="G139" s="29"/>
      <c r="H139" s="28"/>
      <c r="I139" s="29"/>
      <c r="J139" s="29"/>
      <c r="K139" s="29"/>
      <c r="L139" s="37"/>
      <c r="M139" s="27"/>
      <c r="N139" s="27"/>
      <c r="O139" s="37"/>
      <c r="P139" s="29"/>
      <c r="Q139" s="29"/>
      <c r="R139" s="29"/>
      <c r="S139" s="29">
        <f>+SUM(S140:S145)</f>
        <v>413275.09</v>
      </c>
      <c r="T139" s="29">
        <f>+SUM(T140:T145)</f>
        <v>455853.57</v>
      </c>
      <c r="U139" s="30">
        <f>SUM(U140:U145)</f>
        <v>455853.57</v>
      </c>
      <c r="V139" s="29">
        <f t="shared" si="100"/>
        <v>42578.48</v>
      </c>
      <c r="W139" s="30">
        <f t="shared" si="101"/>
        <v>0</v>
      </c>
      <c r="X139" s="41">
        <f>U139-T139</f>
        <v>0</v>
      </c>
      <c r="Y139" s="26"/>
      <c r="Z139" s="1"/>
      <c r="AA139" s="1"/>
    </row>
    <row r="140" s="7" customFormat="1" ht="20" customHeight="1" spans="1:27">
      <c r="A140" s="26">
        <v>126</v>
      </c>
      <c r="B140" s="26" t="s">
        <v>861</v>
      </c>
      <c r="C140" s="26" t="s">
        <v>442</v>
      </c>
      <c r="D140" s="26" t="s">
        <v>443</v>
      </c>
      <c r="E140" s="26" t="s">
        <v>32</v>
      </c>
      <c r="F140" s="27">
        <v>7757.446</v>
      </c>
      <c r="G140" s="29">
        <v>7886.13</v>
      </c>
      <c r="H140" s="30">
        <v>7886.13</v>
      </c>
      <c r="I140" s="29">
        <f t="shared" ref="I140:I145" si="102">G140-F140</f>
        <v>128.68</v>
      </c>
      <c r="J140" s="29">
        <f t="shared" ref="J140:J145" si="103">H140-F140</f>
        <v>128.68</v>
      </c>
      <c r="K140" s="29">
        <f t="shared" ref="K140:K145" si="104">+H140-G140</f>
        <v>0</v>
      </c>
      <c r="L140" s="37">
        <f t="shared" ref="L140:L145" si="105">I140/F140</f>
        <v>0.0166</v>
      </c>
      <c r="M140" s="27">
        <v>39.44</v>
      </c>
      <c r="N140" s="27">
        <v>48.24</v>
      </c>
      <c r="O140" s="37">
        <f t="shared" ref="O140:O145" si="106">(M140-N140)/N140</f>
        <v>-0.1824</v>
      </c>
      <c r="P140" s="29">
        <f t="shared" ref="P140:P145" si="107">N140*0.9056*0.85</f>
        <v>37.13</v>
      </c>
      <c r="Q140" s="29">
        <f t="shared" ref="Q140:Q145" si="108">N140*1.15</f>
        <v>55.48</v>
      </c>
      <c r="R140" s="29">
        <f t="shared" ref="R140:R145" si="109">IF(M140&lt;N140*0.9056*0.85,N140*0.9056*0.85,IF(M140&gt;N140*1.15,N140*1.15,M140))</f>
        <v>39.44</v>
      </c>
      <c r="S140" s="29">
        <f t="shared" ref="S140:S145" si="110">+F140*M140</f>
        <v>305953.67</v>
      </c>
      <c r="T140" s="29">
        <f t="shared" ref="T140:T145" si="111">S140+R140*I140</f>
        <v>311028.81</v>
      </c>
      <c r="U140" s="30">
        <f t="shared" ref="U140:U145" si="112">S140+R140*J140</f>
        <v>311028.81</v>
      </c>
      <c r="V140" s="29">
        <f t="shared" si="100"/>
        <v>5075.14</v>
      </c>
      <c r="W140" s="30">
        <f t="shared" si="101"/>
        <v>0</v>
      </c>
      <c r="X140" s="41">
        <f t="shared" ref="X140:X145" si="113">+U140-T140</f>
        <v>0</v>
      </c>
      <c r="Y140" s="26"/>
      <c r="Z140" s="1"/>
      <c r="AA140" s="1"/>
    </row>
    <row r="141" s="7" customFormat="1" ht="20" customHeight="1" spans="1:27">
      <c r="A141" s="26">
        <v>127</v>
      </c>
      <c r="B141" s="26" t="s">
        <v>455</v>
      </c>
      <c r="C141" s="26" t="s">
        <v>446</v>
      </c>
      <c r="D141" s="26" t="s">
        <v>447</v>
      </c>
      <c r="E141" s="26" t="s">
        <v>32</v>
      </c>
      <c r="F141" s="27">
        <v>27.24</v>
      </c>
      <c r="G141" s="29">
        <v>40.3</v>
      </c>
      <c r="H141" s="30">
        <v>40.3</v>
      </c>
      <c r="I141" s="29">
        <f t="shared" si="102"/>
        <v>13.06</v>
      </c>
      <c r="J141" s="29">
        <f t="shared" si="103"/>
        <v>13.06</v>
      </c>
      <c r="K141" s="29">
        <f t="shared" si="104"/>
        <v>0</v>
      </c>
      <c r="L141" s="37">
        <f t="shared" si="105"/>
        <v>0.4794</v>
      </c>
      <c r="M141" s="27">
        <v>19.62</v>
      </c>
      <c r="N141" s="27">
        <v>17.11</v>
      </c>
      <c r="O141" s="37">
        <f t="shared" si="106"/>
        <v>0.1467</v>
      </c>
      <c r="P141" s="29">
        <f t="shared" si="107"/>
        <v>13.17</v>
      </c>
      <c r="Q141" s="29">
        <f t="shared" si="108"/>
        <v>19.68</v>
      </c>
      <c r="R141" s="29">
        <f t="shared" si="109"/>
        <v>19.62</v>
      </c>
      <c r="S141" s="29">
        <f t="shared" si="110"/>
        <v>534.45</v>
      </c>
      <c r="T141" s="29">
        <f t="shared" si="111"/>
        <v>790.69</v>
      </c>
      <c r="U141" s="30">
        <f t="shared" si="112"/>
        <v>790.69</v>
      </c>
      <c r="V141" s="29">
        <f t="shared" si="100"/>
        <v>256.24</v>
      </c>
      <c r="W141" s="30">
        <f t="shared" si="101"/>
        <v>0</v>
      </c>
      <c r="X141" s="41">
        <f t="shared" si="113"/>
        <v>0</v>
      </c>
      <c r="Y141" s="26" t="s">
        <v>862</v>
      </c>
      <c r="Z141" s="1"/>
      <c r="AA141" s="1"/>
    </row>
    <row r="142" s="7" customFormat="1" ht="20" customHeight="1" spans="1:27">
      <c r="A142" s="26">
        <v>128</v>
      </c>
      <c r="B142" s="26" t="s">
        <v>863</v>
      </c>
      <c r="C142" s="26" t="s">
        <v>459</v>
      </c>
      <c r="D142" s="26" t="s">
        <v>864</v>
      </c>
      <c r="E142" s="26" t="s">
        <v>32</v>
      </c>
      <c r="F142" s="27">
        <v>122.4</v>
      </c>
      <c r="G142" s="29">
        <v>122.4</v>
      </c>
      <c r="H142" s="30">
        <v>122.4</v>
      </c>
      <c r="I142" s="29">
        <f t="shared" si="102"/>
        <v>0</v>
      </c>
      <c r="J142" s="29">
        <f t="shared" si="103"/>
        <v>0</v>
      </c>
      <c r="K142" s="29">
        <f t="shared" si="104"/>
        <v>0</v>
      </c>
      <c r="L142" s="37">
        <f t="shared" si="105"/>
        <v>0</v>
      </c>
      <c r="M142" s="27">
        <v>127.13</v>
      </c>
      <c r="N142" s="27">
        <v>53.7</v>
      </c>
      <c r="O142" s="37">
        <f t="shared" si="106"/>
        <v>1.3674</v>
      </c>
      <c r="P142" s="29">
        <f t="shared" si="107"/>
        <v>41.34</v>
      </c>
      <c r="Q142" s="29">
        <f t="shared" si="108"/>
        <v>61.76</v>
      </c>
      <c r="R142" s="29">
        <f t="shared" si="109"/>
        <v>61.76</v>
      </c>
      <c r="S142" s="29">
        <f t="shared" si="110"/>
        <v>15560.71</v>
      </c>
      <c r="T142" s="29">
        <f t="shared" si="111"/>
        <v>15560.71</v>
      </c>
      <c r="U142" s="30">
        <f t="shared" si="112"/>
        <v>15560.71</v>
      </c>
      <c r="V142" s="29">
        <f t="shared" si="100"/>
        <v>0</v>
      </c>
      <c r="W142" s="30">
        <f t="shared" si="101"/>
        <v>0</v>
      </c>
      <c r="X142" s="41">
        <f t="shared" si="113"/>
        <v>0</v>
      </c>
      <c r="Y142" s="26"/>
      <c r="Z142" s="1"/>
      <c r="AA142" s="1"/>
    </row>
    <row r="143" s="7" customFormat="1" ht="20" customHeight="1" spans="1:27">
      <c r="A143" s="26">
        <v>129</v>
      </c>
      <c r="B143" s="26" t="s">
        <v>865</v>
      </c>
      <c r="C143" s="26" t="s">
        <v>456</v>
      </c>
      <c r="D143" s="26" t="s">
        <v>457</v>
      </c>
      <c r="E143" s="26" t="s">
        <v>32</v>
      </c>
      <c r="F143" s="27">
        <v>3599.223</v>
      </c>
      <c r="G143" s="29">
        <v>5402.28</v>
      </c>
      <c r="H143" s="30">
        <v>5402.28</v>
      </c>
      <c r="I143" s="29">
        <f t="shared" si="102"/>
        <v>1803.06</v>
      </c>
      <c r="J143" s="29">
        <f t="shared" si="103"/>
        <v>1803.06</v>
      </c>
      <c r="K143" s="29">
        <f t="shared" si="104"/>
        <v>0</v>
      </c>
      <c r="L143" s="37">
        <f t="shared" si="105"/>
        <v>0.501</v>
      </c>
      <c r="M143" s="27">
        <v>19.62</v>
      </c>
      <c r="N143" s="27">
        <v>21.48</v>
      </c>
      <c r="O143" s="37">
        <f t="shared" si="106"/>
        <v>-0.0866</v>
      </c>
      <c r="P143" s="29">
        <f t="shared" si="107"/>
        <v>16.53</v>
      </c>
      <c r="Q143" s="29">
        <f t="shared" si="108"/>
        <v>24.7</v>
      </c>
      <c r="R143" s="29">
        <f t="shared" si="109"/>
        <v>19.62</v>
      </c>
      <c r="S143" s="29">
        <f t="shared" si="110"/>
        <v>70616.76</v>
      </c>
      <c r="T143" s="29">
        <f t="shared" si="111"/>
        <v>105992.8</v>
      </c>
      <c r="U143" s="30">
        <f t="shared" si="112"/>
        <v>105992.8</v>
      </c>
      <c r="V143" s="29">
        <f t="shared" si="100"/>
        <v>35376.04</v>
      </c>
      <c r="W143" s="30">
        <f t="shared" si="101"/>
        <v>0</v>
      </c>
      <c r="X143" s="41">
        <f t="shared" si="113"/>
        <v>0</v>
      </c>
      <c r="Y143" s="26"/>
      <c r="Z143" s="1"/>
      <c r="AA143" s="1"/>
    </row>
    <row r="144" s="7" customFormat="1" ht="20" customHeight="1" spans="1:27">
      <c r="A144" s="26">
        <v>130</v>
      </c>
      <c r="B144" s="26" t="s">
        <v>465</v>
      </c>
      <c r="C144" s="26" t="s">
        <v>466</v>
      </c>
      <c r="D144" s="26" t="s">
        <v>467</v>
      </c>
      <c r="E144" s="26" t="s">
        <v>32</v>
      </c>
      <c r="F144" s="27">
        <v>22.36</v>
      </c>
      <c r="G144" s="29">
        <v>22.36</v>
      </c>
      <c r="H144" s="30">
        <v>22.36</v>
      </c>
      <c r="I144" s="29">
        <f t="shared" si="102"/>
        <v>0</v>
      </c>
      <c r="J144" s="29">
        <f t="shared" si="103"/>
        <v>0</v>
      </c>
      <c r="K144" s="29">
        <f t="shared" si="104"/>
        <v>0</v>
      </c>
      <c r="L144" s="37">
        <f t="shared" si="105"/>
        <v>0</v>
      </c>
      <c r="M144" s="27">
        <v>203.6</v>
      </c>
      <c r="N144" s="27">
        <v>174.62</v>
      </c>
      <c r="O144" s="37">
        <f t="shared" si="106"/>
        <v>0.166</v>
      </c>
      <c r="P144" s="29">
        <f t="shared" si="107"/>
        <v>134.42</v>
      </c>
      <c r="Q144" s="29">
        <f t="shared" si="108"/>
        <v>200.81</v>
      </c>
      <c r="R144" s="29">
        <f t="shared" si="109"/>
        <v>200.81</v>
      </c>
      <c r="S144" s="29">
        <f t="shared" si="110"/>
        <v>4552.5</v>
      </c>
      <c r="T144" s="29">
        <f t="shared" si="111"/>
        <v>4552.5</v>
      </c>
      <c r="U144" s="30">
        <f t="shared" si="112"/>
        <v>4552.5</v>
      </c>
      <c r="V144" s="29">
        <f t="shared" si="100"/>
        <v>0</v>
      </c>
      <c r="W144" s="30">
        <f t="shared" si="101"/>
        <v>0</v>
      </c>
      <c r="X144" s="41">
        <f t="shared" si="113"/>
        <v>0</v>
      </c>
      <c r="Y144" s="26"/>
      <c r="Z144" s="1"/>
      <c r="AA144" s="1"/>
    </row>
    <row r="145" s="7" customFormat="1" ht="20" customHeight="1" spans="1:27">
      <c r="A145" s="26">
        <v>131</v>
      </c>
      <c r="B145" s="26" t="s">
        <v>866</v>
      </c>
      <c r="C145" s="26" t="s">
        <v>459</v>
      </c>
      <c r="D145" s="26" t="s">
        <v>462</v>
      </c>
      <c r="E145" s="26" t="s">
        <v>32</v>
      </c>
      <c r="F145" s="27">
        <v>92.34</v>
      </c>
      <c r="G145" s="29">
        <v>103.1</v>
      </c>
      <c r="H145" s="30">
        <v>103.1</v>
      </c>
      <c r="I145" s="29">
        <f t="shared" si="102"/>
        <v>10.76</v>
      </c>
      <c r="J145" s="29">
        <f t="shared" si="103"/>
        <v>10.76</v>
      </c>
      <c r="K145" s="29">
        <f t="shared" si="104"/>
        <v>0</v>
      </c>
      <c r="L145" s="37">
        <f t="shared" si="105"/>
        <v>0.1165</v>
      </c>
      <c r="M145" s="27">
        <v>173.89</v>
      </c>
      <c r="N145" s="27">
        <v>176.34</v>
      </c>
      <c r="O145" s="37">
        <f t="shared" si="106"/>
        <v>-0.0139</v>
      </c>
      <c r="P145" s="29">
        <f t="shared" si="107"/>
        <v>135.74</v>
      </c>
      <c r="Q145" s="29">
        <f t="shared" si="108"/>
        <v>202.79</v>
      </c>
      <c r="R145" s="29">
        <f t="shared" si="109"/>
        <v>173.89</v>
      </c>
      <c r="S145" s="29">
        <f t="shared" si="110"/>
        <v>16057</v>
      </c>
      <c r="T145" s="29">
        <f t="shared" si="111"/>
        <v>17928.06</v>
      </c>
      <c r="U145" s="30">
        <f t="shared" si="112"/>
        <v>17928.06</v>
      </c>
      <c r="V145" s="29">
        <f t="shared" si="100"/>
        <v>1871.06</v>
      </c>
      <c r="W145" s="30">
        <f t="shared" si="101"/>
        <v>0</v>
      </c>
      <c r="X145" s="41">
        <f t="shared" si="113"/>
        <v>0</v>
      </c>
      <c r="Y145" s="26"/>
      <c r="Z145" s="1"/>
      <c r="AA145" s="1"/>
    </row>
    <row r="146" s="7" customFormat="1" ht="20" customHeight="1" spans="1:27">
      <c r="A146" s="26"/>
      <c r="B146" s="26"/>
      <c r="C146" s="26" t="s">
        <v>470</v>
      </c>
      <c r="D146" s="26"/>
      <c r="E146" s="26"/>
      <c r="F146" s="27"/>
      <c r="G146" s="29"/>
      <c r="H146" s="28"/>
      <c r="I146" s="29"/>
      <c r="J146" s="29"/>
      <c r="K146" s="29"/>
      <c r="L146" s="37"/>
      <c r="M146" s="27"/>
      <c r="N146" s="27"/>
      <c r="O146" s="27"/>
      <c r="P146" s="27"/>
      <c r="Q146" s="27"/>
      <c r="R146" s="29"/>
      <c r="S146" s="29">
        <f>+SUM(S147:S164)</f>
        <v>1035134.01</v>
      </c>
      <c r="T146" s="29">
        <f>+SUM(T147:T164)</f>
        <v>1086216.63</v>
      </c>
      <c r="U146" s="30">
        <f>SUM(U147:U164)</f>
        <v>1065876.02</v>
      </c>
      <c r="V146" s="29">
        <f t="shared" si="100"/>
        <v>30742.01</v>
      </c>
      <c r="W146" s="30">
        <f t="shared" si="101"/>
        <v>-20340.61</v>
      </c>
      <c r="X146" s="41">
        <f>U146-T146</f>
        <v>-20340.61</v>
      </c>
      <c r="Y146" s="26"/>
      <c r="Z146" s="1"/>
      <c r="AA146" s="1"/>
    </row>
    <row r="147" s="7" customFormat="1" ht="20" customHeight="1" spans="1:27">
      <c r="A147" s="26">
        <v>132</v>
      </c>
      <c r="B147" s="26" t="s">
        <v>493</v>
      </c>
      <c r="C147" s="26" t="s">
        <v>481</v>
      </c>
      <c r="D147" s="26" t="s">
        <v>867</v>
      </c>
      <c r="E147" s="26" t="s">
        <v>53</v>
      </c>
      <c r="F147" s="27">
        <v>182.16</v>
      </c>
      <c r="G147" s="29">
        <v>224.19</v>
      </c>
      <c r="H147" s="30">
        <v>194.56</v>
      </c>
      <c r="I147" s="29">
        <f t="shared" ref="I147:I164" si="114">G147-F147</f>
        <v>42.03</v>
      </c>
      <c r="J147" s="29">
        <f t="shared" ref="J147:J164" si="115">H147-F147</f>
        <v>12.4</v>
      </c>
      <c r="K147" s="29">
        <f t="shared" ref="K147:K164" si="116">+H147-G147</f>
        <v>-29.63</v>
      </c>
      <c r="L147" s="37">
        <f t="shared" ref="L147:L164" si="117">I147/F147</f>
        <v>0.2307</v>
      </c>
      <c r="M147" s="27">
        <v>527.8</v>
      </c>
      <c r="N147" s="27">
        <v>781.46</v>
      </c>
      <c r="O147" s="37">
        <f t="shared" ref="O147:O164" si="118">(M147-N147)/N147</f>
        <v>-0.3246</v>
      </c>
      <c r="P147" s="29">
        <f t="shared" ref="P147:P164" si="119">N147*0.9056*0.85</f>
        <v>601.54</v>
      </c>
      <c r="Q147" s="29">
        <f t="shared" ref="Q147:Q164" si="120">N147*1.15</f>
        <v>898.68</v>
      </c>
      <c r="R147" s="29">
        <f t="shared" ref="R147:R164" si="121">IF(M147&lt;N147*0.9056*0.85,N147*0.9056*0.85,IF(M147&gt;N147*1.15,N147*1.15,M147))</f>
        <v>601.54</v>
      </c>
      <c r="S147" s="29">
        <f t="shared" ref="S147:S164" si="122">+F147*M147</f>
        <v>96144.05</v>
      </c>
      <c r="T147" s="29">
        <f t="shared" ref="T147:T164" si="123">S147+R147*I147</f>
        <v>121426.78</v>
      </c>
      <c r="U147" s="30">
        <f t="shared" ref="U147:U164" si="124">S147+R147*J147</f>
        <v>103603.15</v>
      </c>
      <c r="V147" s="29">
        <f t="shared" si="100"/>
        <v>7459.1</v>
      </c>
      <c r="W147" s="30">
        <f t="shared" si="101"/>
        <v>-17823.63</v>
      </c>
      <c r="X147" s="41">
        <f t="shared" ref="X147:X166" si="125">+U147-T147</f>
        <v>-17823.63</v>
      </c>
      <c r="Y147" s="26"/>
      <c r="Z147" s="1"/>
      <c r="AA147" s="1"/>
    </row>
    <row r="148" s="7" customFormat="1" ht="20" customHeight="1" spans="1:27">
      <c r="A148" s="26">
        <v>133</v>
      </c>
      <c r="B148" s="26" t="s">
        <v>868</v>
      </c>
      <c r="C148" s="26" t="s">
        <v>481</v>
      </c>
      <c r="D148" s="26" t="s">
        <v>490</v>
      </c>
      <c r="E148" s="26" t="s">
        <v>53</v>
      </c>
      <c r="F148" s="27">
        <v>153.8</v>
      </c>
      <c r="G148" s="29">
        <v>159.85</v>
      </c>
      <c r="H148" s="30">
        <v>159.85</v>
      </c>
      <c r="I148" s="29">
        <f t="shared" si="114"/>
        <v>6.05</v>
      </c>
      <c r="J148" s="29">
        <f t="shared" si="115"/>
        <v>6.05</v>
      </c>
      <c r="K148" s="29">
        <f t="shared" si="116"/>
        <v>0</v>
      </c>
      <c r="L148" s="37">
        <f t="shared" si="117"/>
        <v>0.0393</v>
      </c>
      <c r="M148" s="27">
        <v>508.12</v>
      </c>
      <c r="N148" s="27">
        <v>816.95</v>
      </c>
      <c r="O148" s="37">
        <f t="shared" si="118"/>
        <v>-0.378</v>
      </c>
      <c r="P148" s="29">
        <f t="shared" si="119"/>
        <v>628.86</v>
      </c>
      <c r="Q148" s="29">
        <f t="shared" si="120"/>
        <v>939.49</v>
      </c>
      <c r="R148" s="29">
        <f t="shared" si="121"/>
        <v>628.86</v>
      </c>
      <c r="S148" s="29">
        <f t="shared" si="122"/>
        <v>78148.86</v>
      </c>
      <c r="T148" s="29">
        <f t="shared" si="123"/>
        <v>81953.46</v>
      </c>
      <c r="U148" s="30">
        <f t="shared" si="124"/>
        <v>81953.46</v>
      </c>
      <c r="V148" s="29">
        <f t="shared" si="100"/>
        <v>3804.6</v>
      </c>
      <c r="W148" s="30">
        <f t="shared" si="101"/>
        <v>0</v>
      </c>
      <c r="X148" s="41">
        <f t="shared" si="125"/>
        <v>0</v>
      </c>
      <c r="Y148" s="26"/>
      <c r="Z148" s="1"/>
      <c r="AA148" s="1"/>
    </row>
    <row r="149" s="7" customFormat="1" ht="20" customHeight="1" spans="1:27">
      <c r="A149" s="26">
        <v>134</v>
      </c>
      <c r="B149" s="26" t="s">
        <v>483</v>
      </c>
      <c r="C149" s="26" t="s">
        <v>481</v>
      </c>
      <c r="D149" s="26" t="s">
        <v>869</v>
      </c>
      <c r="E149" s="26" t="s">
        <v>53</v>
      </c>
      <c r="F149" s="27">
        <v>429.913</v>
      </c>
      <c r="G149" s="29">
        <v>442.35</v>
      </c>
      <c r="H149" s="30">
        <v>442.35</v>
      </c>
      <c r="I149" s="29">
        <f t="shared" si="114"/>
        <v>12.44</v>
      </c>
      <c r="J149" s="29">
        <f t="shared" si="115"/>
        <v>12.44</v>
      </c>
      <c r="K149" s="29">
        <f t="shared" si="116"/>
        <v>0</v>
      </c>
      <c r="L149" s="37">
        <f t="shared" si="117"/>
        <v>0.0289</v>
      </c>
      <c r="M149" s="27">
        <v>618.48</v>
      </c>
      <c r="N149" s="27">
        <v>849.58</v>
      </c>
      <c r="O149" s="37">
        <f t="shared" si="118"/>
        <v>-0.272</v>
      </c>
      <c r="P149" s="29">
        <f t="shared" si="119"/>
        <v>653.97</v>
      </c>
      <c r="Q149" s="29">
        <f t="shared" si="120"/>
        <v>977.02</v>
      </c>
      <c r="R149" s="29">
        <f t="shared" si="121"/>
        <v>653.97</v>
      </c>
      <c r="S149" s="29">
        <f t="shared" si="122"/>
        <v>265892.59</v>
      </c>
      <c r="T149" s="29">
        <f t="shared" si="123"/>
        <v>274027.98</v>
      </c>
      <c r="U149" s="30">
        <f t="shared" si="124"/>
        <v>274027.98</v>
      </c>
      <c r="V149" s="29">
        <f t="shared" si="100"/>
        <v>8135.39</v>
      </c>
      <c r="W149" s="30">
        <f t="shared" si="101"/>
        <v>0</v>
      </c>
      <c r="X149" s="41">
        <f t="shared" si="125"/>
        <v>0</v>
      </c>
      <c r="Y149" s="26"/>
      <c r="Z149" s="1"/>
      <c r="AA149" s="1"/>
    </row>
    <row r="150" s="7" customFormat="1" ht="20" customHeight="1" spans="1:27">
      <c r="A150" s="26">
        <v>135</v>
      </c>
      <c r="B150" s="26" t="s">
        <v>870</v>
      </c>
      <c r="C150" s="26" t="s">
        <v>871</v>
      </c>
      <c r="D150" s="26" t="s">
        <v>872</v>
      </c>
      <c r="E150" s="26" t="s">
        <v>53</v>
      </c>
      <c r="F150" s="27">
        <v>25.228</v>
      </c>
      <c r="G150" s="29">
        <v>25.23</v>
      </c>
      <c r="H150" s="30">
        <v>25.23</v>
      </c>
      <c r="I150" s="29">
        <f t="shared" si="114"/>
        <v>0</v>
      </c>
      <c r="J150" s="29">
        <f t="shared" si="115"/>
        <v>0</v>
      </c>
      <c r="K150" s="29">
        <f t="shared" si="116"/>
        <v>0</v>
      </c>
      <c r="L150" s="37">
        <f t="shared" si="117"/>
        <v>0</v>
      </c>
      <c r="M150" s="27">
        <v>895.61</v>
      </c>
      <c r="N150" s="27">
        <v>1040.81</v>
      </c>
      <c r="O150" s="37">
        <f t="shared" si="118"/>
        <v>-0.1395</v>
      </c>
      <c r="P150" s="29">
        <f t="shared" si="119"/>
        <v>801.17</v>
      </c>
      <c r="Q150" s="29">
        <f t="shared" si="120"/>
        <v>1196.93</v>
      </c>
      <c r="R150" s="29">
        <f t="shared" si="121"/>
        <v>895.61</v>
      </c>
      <c r="S150" s="29">
        <f t="shared" si="122"/>
        <v>22594.45</v>
      </c>
      <c r="T150" s="29">
        <f t="shared" si="123"/>
        <v>22594.45</v>
      </c>
      <c r="U150" s="30">
        <f t="shared" si="124"/>
        <v>22594.45</v>
      </c>
      <c r="V150" s="29">
        <f t="shared" si="100"/>
        <v>0</v>
      </c>
      <c r="W150" s="30">
        <f t="shared" si="101"/>
        <v>0</v>
      </c>
      <c r="X150" s="41">
        <f t="shared" si="125"/>
        <v>0</v>
      </c>
      <c r="Y150" s="26"/>
      <c r="Z150" s="1"/>
      <c r="AA150" s="1"/>
    </row>
    <row r="151" s="7" customFormat="1" ht="20" customHeight="1" spans="1:27">
      <c r="A151" s="26">
        <v>136</v>
      </c>
      <c r="B151" s="26" t="s">
        <v>496</v>
      </c>
      <c r="C151" s="26" t="s">
        <v>497</v>
      </c>
      <c r="D151" s="26" t="s">
        <v>500</v>
      </c>
      <c r="E151" s="26" t="s">
        <v>53</v>
      </c>
      <c r="F151" s="27">
        <v>175.552</v>
      </c>
      <c r="G151" s="29">
        <v>187.84</v>
      </c>
      <c r="H151" s="30">
        <v>187.84</v>
      </c>
      <c r="I151" s="29">
        <f t="shared" si="114"/>
        <v>12.29</v>
      </c>
      <c r="J151" s="29">
        <f t="shared" si="115"/>
        <v>12.29</v>
      </c>
      <c r="K151" s="29">
        <f t="shared" si="116"/>
        <v>0</v>
      </c>
      <c r="L151" s="37">
        <f t="shared" si="117"/>
        <v>0.07</v>
      </c>
      <c r="M151" s="27">
        <v>473.06</v>
      </c>
      <c r="N151" s="27">
        <v>331.37</v>
      </c>
      <c r="O151" s="37">
        <f t="shared" si="118"/>
        <v>0.4276</v>
      </c>
      <c r="P151" s="29">
        <f t="shared" si="119"/>
        <v>255.08</v>
      </c>
      <c r="Q151" s="29">
        <f t="shared" si="120"/>
        <v>381.08</v>
      </c>
      <c r="R151" s="29">
        <f t="shared" si="121"/>
        <v>381.08</v>
      </c>
      <c r="S151" s="29">
        <f t="shared" si="122"/>
        <v>83046.63</v>
      </c>
      <c r="T151" s="29">
        <f t="shared" si="123"/>
        <v>87730.1</v>
      </c>
      <c r="U151" s="30">
        <f t="shared" si="124"/>
        <v>87730.1</v>
      </c>
      <c r="V151" s="29">
        <f t="shared" si="100"/>
        <v>4683.47</v>
      </c>
      <c r="W151" s="30">
        <f t="shared" si="101"/>
        <v>0</v>
      </c>
      <c r="X151" s="41">
        <f t="shared" si="125"/>
        <v>0</v>
      </c>
      <c r="Y151" s="26"/>
      <c r="Z151" s="1"/>
      <c r="AA151" s="1"/>
    </row>
    <row r="152" s="7" customFormat="1" ht="20" customHeight="1" spans="1:27">
      <c r="A152" s="26">
        <v>137</v>
      </c>
      <c r="B152" s="26" t="s">
        <v>873</v>
      </c>
      <c r="C152" s="26" t="s">
        <v>497</v>
      </c>
      <c r="D152" s="26" t="s">
        <v>498</v>
      </c>
      <c r="E152" s="26" t="s">
        <v>53</v>
      </c>
      <c r="F152" s="27">
        <v>6.7</v>
      </c>
      <c r="G152" s="29">
        <v>6.7</v>
      </c>
      <c r="H152" s="30">
        <v>6.7</v>
      </c>
      <c r="I152" s="29">
        <f t="shared" si="114"/>
        <v>0</v>
      </c>
      <c r="J152" s="29">
        <f t="shared" si="115"/>
        <v>0</v>
      </c>
      <c r="K152" s="29">
        <f t="shared" si="116"/>
        <v>0</v>
      </c>
      <c r="L152" s="37">
        <f t="shared" si="117"/>
        <v>0</v>
      </c>
      <c r="M152" s="27">
        <v>468.51</v>
      </c>
      <c r="N152" s="27">
        <v>272</v>
      </c>
      <c r="O152" s="37">
        <f t="shared" si="118"/>
        <v>0.7225</v>
      </c>
      <c r="P152" s="29">
        <f t="shared" si="119"/>
        <v>209.37</v>
      </c>
      <c r="Q152" s="29">
        <f t="shared" si="120"/>
        <v>312.8</v>
      </c>
      <c r="R152" s="29">
        <f t="shared" si="121"/>
        <v>312.8</v>
      </c>
      <c r="S152" s="29">
        <f t="shared" si="122"/>
        <v>3139.02</v>
      </c>
      <c r="T152" s="29">
        <f t="shared" si="123"/>
        <v>3139.02</v>
      </c>
      <c r="U152" s="30">
        <f t="shared" si="124"/>
        <v>3139.02</v>
      </c>
      <c r="V152" s="29">
        <f t="shared" si="100"/>
        <v>0</v>
      </c>
      <c r="W152" s="30">
        <f t="shared" si="101"/>
        <v>0</v>
      </c>
      <c r="X152" s="41">
        <f t="shared" si="125"/>
        <v>0</v>
      </c>
      <c r="Y152" s="26"/>
      <c r="Z152" s="1"/>
      <c r="AA152" s="1"/>
    </row>
    <row r="153" s="7" customFormat="1" ht="20" customHeight="1" spans="1:27">
      <c r="A153" s="26">
        <v>138</v>
      </c>
      <c r="B153" s="26" t="s">
        <v>503</v>
      </c>
      <c r="C153" s="26" t="s">
        <v>504</v>
      </c>
      <c r="D153" s="26" t="s">
        <v>505</v>
      </c>
      <c r="E153" s="26" t="s">
        <v>32</v>
      </c>
      <c r="F153" s="27">
        <v>516.315</v>
      </c>
      <c r="G153" s="29">
        <v>516.32</v>
      </c>
      <c r="H153" s="30">
        <v>516.32</v>
      </c>
      <c r="I153" s="29">
        <f t="shared" si="114"/>
        <v>0</v>
      </c>
      <c r="J153" s="29">
        <f t="shared" si="115"/>
        <v>0</v>
      </c>
      <c r="K153" s="29">
        <f t="shared" si="116"/>
        <v>0</v>
      </c>
      <c r="L153" s="37">
        <f t="shared" si="117"/>
        <v>0</v>
      </c>
      <c r="M153" s="27">
        <v>205.48</v>
      </c>
      <c r="N153" s="27">
        <v>308.59</v>
      </c>
      <c r="O153" s="37">
        <f t="shared" si="118"/>
        <v>-0.3341</v>
      </c>
      <c r="P153" s="29">
        <f t="shared" si="119"/>
        <v>237.54</v>
      </c>
      <c r="Q153" s="29">
        <f t="shared" si="120"/>
        <v>354.88</v>
      </c>
      <c r="R153" s="29">
        <f t="shared" si="121"/>
        <v>237.54</v>
      </c>
      <c r="S153" s="29">
        <f t="shared" si="122"/>
        <v>106092.41</v>
      </c>
      <c r="T153" s="29">
        <f t="shared" si="123"/>
        <v>106092.41</v>
      </c>
      <c r="U153" s="30">
        <f t="shared" si="124"/>
        <v>106092.41</v>
      </c>
      <c r="V153" s="29">
        <f t="shared" si="100"/>
        <v>0</v>
      </c>
      <c r="W153" s="30">
        <f t="shared" si="101"/>
        <v>0</v>
      </c>
      <c r="X153" s="41">
        <f t="shared" si="125"/>
        <v>0</v>
      </c>
      <c r="Y153" s="26"/>
      <c r="Z153" s="1"/>
      <c r="AA153" s="1"/>
    </row>
    <row r="154" s="7" customFormat="1" ht="20" customHeight="1" spans="1:27">
      <c r="A154" s="26">
        <v>139</v>
      </c>
      <c r="B154" s="26" t="s">
        <v>874</v>
      </c>
      <c r="C154" s="26" t="s">
        <v>507</v>
      </c>
      <c r="D154" s="26" t="s">
        <v>508</v>
      </c>
      <c r="E154" s="26" t="s">
        <v>32</v>
      </c>
      <c r="F154" s="27">
        <v>42.81</v>
      </c>
      <c r="G154" s="29">
        <v>42.81</v>
      </c>
      <c r="H154" s="30">
        <v>42.81</v>
      </c>
      <c r="I154" s="29">
        <f t="shared" si="114"/>
        <v>0</v>
      </c>
      <c r="J154" s="29">
        <f t="shared" si="115"/>
        <v>0</v>
      </c>
      <c r="K154" s="29">
        <f t="shared" si="116"/>
        <v>0</v>
      </c>
      <c r="L154" s="37">
        <f t="shared" si="117"/>
        <v>0</v>
      </c>
      <c r="M154" s="27">
        <v>801.02</v>
      </c>
      <c r="N154" s="27">
        <v>639.06</v>
      </c>
      <c r="O154" s="37">
        <f t="shared" si="118"/>
        <v>0.2534</v>
      </c>
      <c r="P154" s="29">
        <f t="shared" si="119"/>
        <v>491.92</v>
      </c>
      <c r="Q154" s="29">
        <f t="shared" si="120"/>
        <v>734.92</v>
      </c>
      <c r="R154" s="29">
        <f t="shared" si="121"/>
        <v>734.92</v>
      </c>
      <c r="S154" s="29">
        <f t="shared" si="122"/>
        <v>34291.67</v>
      </c>
      <c r="T154" s="29">
        <f t="shared" si="123"/>
        <v>34291.67</v>
      </c>
      <c r="U154" s="30">
        <f t="shared" si="124"/>
        <v>34291.67</v>
      </c>
      <c r="V154" s="29">
        <f t="shared" si="100"/>
        <v>0</v>
      </c>
      <c r="W154" s="30">
        <f t="shared" si="101"/>
        <v>0</v>
      </c>
      <c r="X154" s="41">
        <f t="shared" si="125"/>
        <v>0</v>
      </c>
      <c r="Y154" s="26"/>
      <c r="Z154" s="1"/>
      <c r="AA154" s="1"/>
    </row>
    <row r="155" s="7" customFormat="1" ht="20" customHeight="1" spans="1:27">
      <c r="A155" s="26">
        <v>140</v>
      </c>
      <c r="B155" s="26" t="s">
        <v>875</v>
      </c>
      <c r="C155" s="26" t="s">
        <v>510</v>
      </c>
      <c r="D155" s="26" t="s">
        <v>511</v>
      </c>
      <c r="E155" s="26" t="s">
        <v>32</v>
      </c>
      <c r="F155" s="27">
        <v>42.24</v>
      </c>
      <c r="G155" s="29">
        <v>42.24</v>
      </c>
      <c r="H155" s="30">
        <v>42.24</v>
      </c>
      <c r="I155" s="29">
        <f t="shared" si="114"/>
        <v>0</v>
      </c>
      <c r="J155" s="29">
        <f t="shared" si="115"/>
        <v>0</v>
      </c>
      <c r="K155" s="29">
        <f t="shared" si="116"/>
        <v>0</v>
      </c>
      <c r="L155" s="37">
        <f t="shared" si="117"/>
        <v>0</v>
      </c>
      <c r="M155" s="27">
        <v>328.86</v>
      </c>
      <c r="N155" s="27">
        <v>295.82</v>
      </c>
      <c r="O155" s="37">
        <f t="shared" si="118"/>
        <v>0.1117</v>
      </c>
      <c r="P155" s="29">
        <f t="shared" si="119"/>
        <v>227.71</v>
      </c>
      <c r="Q155" s="29">
        <f t="shared" si="120"/>
        <v>340.19</v>
      </c>
      <c r="R155" s="29">
        <f t="shared" si="121"/>
        <v>328.86</v>
      </c>
      <c r="S155" s="29">
        <f t="shared" si="122"/>
        <v>13891.05</v>
      </c>
      <c r="T155" s="29">
        <f t="shared" si="123"/>
        <v>13891.05</v>
      </c>
      <c r="U155" s="30">
        <f t="shared" si="124"/>
        <v>13891.05</v>
      </c>
      <c r="V155" s="29">
        <f t="shared" si="100"/>
        <v>0</v>
      </c>
      <c r="W155" s="30">
        <f t="shared" si="101"/>
        <v>0</v>
      </c>
      <c r="X155" s="41">
        <f t="shared" si="125"/>
        <v>0</v>
      </c>
      <c r="Y155" s="26"/>
      <c r="Z155" s="1"/>
      <c r="AA155" s="1"/>
    </row>
    <row r="156" s="7" customFormat="1" ht="20" customHeight="1" spans="1:27">
      <c r="A156" s="26">
        <v>141</v>
      </c>
      <c r="B156" s="26" t="s">
        <v>876</v>
      </c>
      <c r="C156" s="26" t="s">
        <v>877</v>
      </c>
      <c r="D156" s="26" t="s">
        <v>878</v>
      </c>
      <c r="E156" s="26" t="s">
        <v>53</v>
      </c>
      <c r="F156" s="27">
        <v>2.77</v>
      </c>
      <c r="G156" s="29">
        <v>2.77</v>
      </c>
      <c r="H156" s="30">
        <v>2.77</v>
      </c>
      <c r="I156" s="29">
        <f t="shared" si="114"/>
        <v>0</v>
      </c>
      <c r="J156" s="29">
        <f t="shared" si="115"/>
        <v>0</v>
      </c>
      <c r="K156" s="29">
        <f t="shared" si="116"/>
        <v>0</v>
      </c>
      <c r="L156" s="37">
        <f t="shared" si="117"/>
        <v>0</v>
      </c>
      <c r="M156" s="27">
        <v>1630</v>
      </c>
      <c r="N156" s="27">
        <v>841.97</v>
      </c>
      <c r="O156" s="37">
        <f t="shared" si="118"/>
        <v>0.9359</v>
      </c>
      <c r="P156" s="29">
        <f t="shared" si="119"/>
        <v>648.11</v>
      </c>
      <c r="Q156" s="29">
        <f t="shared" si="120"/>
        <v>968.27</v>
      </c>
      <c r="R156" s="29">
        <f t="shared" si="121"/>
        <v>968.27</v>
      </c>
      <c r="S156" s="29">
        <f t="shared" si="122"/>
        <v>4515.1</v>
      </c>
      <c r="T156" s="29">
        <f t="shared" si="123"/>
        <v>4515.1</v>
      </c>
      <c r="U156" s="30">
        <f t="shared" si="124"/>
        <v>4515.1</v>
      </c>
      <c r="V156" s="29">
        <f t="shared" si="100"/>
        <v>0</v>
      </c>
      <c r="W156" s="30">
        <f t="shared" si="101"/>
        <v>0</v>
      </c>
      <c r="X156" s="41">
        <f t="shared" si="125"/>
        <v>0</v>
      </c>
      <c r="Y156" s="26"/>
      <c r="Z156" s="1"/>
      <c r="AA156" s="1"/>
    </row>
    <row r="157" s="7" customFormat="1" ht="20" customHeight="1" spans="1:27">
      <c r="A157" s="26">
        <v>142</v>
      </c>
      <c r="B157" s="26" t="s">
        <v>879</v>
      </c>
      <c r="C157" s="26" t="s">
        <v>880</v>
      </c>
      <c r="D157" s="26" t="s">
        <v>881</v>
      </c>
      <c r="E157" s="26" t="s">
        <v>53</v>
      </c>
      <c r="F157" s="27">
        <v>12.61</v>
      </c>
      <c r="G157" s="29">
        <v>12.61</v>
      </c>
      <c r="H157" s="30">
        <v>12.61</v>
      </c>
      <c r="I157" s="29">
        <f t="shared" si="114"/>
        <v>0</v>
      </c>
      <c r="J157" s="29">
        <f t="shared" si="115"/>
        <v>0</v>
      </c>
      <c r="K157" s="29">
        <f t="shared" si="116"/>
        <v>0</v>
      </c>
      <c r="L157" s="37">
        <f t="shared" si="117"/>
        <v>0</v>
      </c>
      <c r="M157" s="27">
        <v>1030</v>
      </c>
      <c r="N157" s="27">
        <v>991.97</v>
      </c>
      <c r="O157" s="37">
        <f t="shared" si="118"/>
        <v>0.0383</v>
      </c>
      <c r="P157" s="29">
        <f t="shared" si="119"/>
        <v>763.58</v>
      </c>
      <c r="Q157" s="29">
        <f t="shared" si="120"/>
        <v>1140.77</v>
      </c>
      <c r="R157" s="29">
        <f t="shared" si="121"/>
        <v>1030</v>
      </c>
      <c r="S157" s="29">
        <f t="shared" si="122"/>
        <v>12988.3</v>
      </c>
      <c r="T157" s="29">
        <f t="shared" si="123"/>
        <v>12988.3</v>
      </c>
      <c r="U157" s="30">
        <f t="shared" si="124"/>
        <v>12988.3</v>
      </c>
      <c r="V157" s="29">
        <f t="shared" si="100"/>
        <v>0</v>
      </c>
      <c r="W157" s="30">
        <f t="shared" si="101"/>
        <v>0</v>
      </c>
      <c r="X157" s="41">
        <f t="shared" si="125"/>
        <v>0</v>
      </c>
      <c r="Y157" s="26"/>
      <c r="Z157" s="1"/>
      <c r="AA157" s="1"/>
    </row>
    <row r="158" s="7" customFormat="1" ht="20" customHeight="1" spans="1:27">
      <c r="A158" s="26">
        <v>143</v>
      </c>
      <c r="B158" s="26" t="s">
        <v>882</v>
      </c>
      <c r="C158" s="26" t="s">
        <v>883</v>
      </c>
      <c r="D158" s="26" t="s">
        <v>884</v>
      </c>
      <c r="E158" s="26" t="s">
        <v>53</v>
      </c>
      <c r="F158" s="27">
        <v>3</v>
      </c>
      <c r="G158" s="29">
        <v>3</v>
      </c>
      <c r="H158" s="30">
        <v>3</v>
      </c>
      <c r="I158" s="29">
        <f t="shared" si="114"/>
        <v>0</v>
      </c>
      <c r="J158" s="29">
        <f t="shared" si="115"/>
        <v>0</v>
      </c>
      <c r="K158" s="29">
        <f t="shared" si="116"/>
        <v>0</v>
      </c>
      <c r="L158" s="37">
        <f t="shared" si="117"/>
        <v>0</v>
      </c>
      <c r="M158" s="27">
        <v>1470</v>
      </c>
      <c r="N158" s="27">
        <v>841.97</v>
      </c>
      <c r="O158" s="37">
        <f t="shared" si="118"/>
        <v>0.7459</v>
      </c>
      <c r="P158" s="29">
        <f t="shared" si="119"/>
        <v>648.11</v>
      </c>
      <c r="Q158" s="29">
        <f t="shared" si="120"/>
        <v>968.27</v>
      </c>
      <c r="R158" s="29">
        <f t="shared" si="121"/>
        <v>968.27</v>
      </c>
      <c r="S158" s="29">
        <f t="shared" si="122"/>
        <v>4410</v>
      </c>
      <c r="T158" s="29">
        <f t="shared" si="123"/>
        <v>4410</v>
      </c>
      <c r="U158" s="30">
        <f t="shared" si="124"/>
        <v>4410</v>
      </c>
      <c r="V158" s="29">
        <f t="shared" si="100"/>
        <v>0</v>
      </c>
      <c r="W158" s="30">
        <f t="shared" si="101"/>
        <v>0</v>
      </c>
      <c r="X158" s="41">
        <f t="shared" si="125"/>
        <v>0</v>
      </c>
      <c r="Y158" s="26"/>
      <c r="Z158" s="1"/>
      <c r="AA158" s="1"/>
    </row>
    <row r="159" s="7" customFormat="1" ht="20" customHeight="1" spans="1:27">
      <c r="A159" s="26">
        <v>144</v>
      </c>
      <c r="B159" s="26" t="s">
        <v>885</v>
      </c>
      <c r="C159" s="26" t="s">
        <v>886</v>
      </c>
      <c r="D159" s="26" t="s">
        <v>887</v>
      </c>
      <c r="E159" s="26" t="s">
        <v>53</v>
      </c>
      <c r="F159" s="27">
        <v>5.27</v>
      </c>
      <c r="G159" s="29">
        <v>5.27</v>
      </c>
      <c r="H159" s="30">
        <v>5.27</v>
      </c>
      <c r="I159" s="29">
        <f t="shared" si="114"/>
        <v>0</v>
      </c>
      <c r="J159" s="29">
        <f t="shared" si="115"/>
        <v>0</v>
      </c>
      <c r="K159" s="29">
        <f t="shared" si="116"/>
        <v>0</v>
      </c>
      <c r="L159" s="37">
        <f t="shared" si="117"/>
        <v>0</v>
      </c>
      <c r="M159" s="27">
        <v>1670</v>
      </c>
      <c r="N159" s="27">
        <v>1026.97</v>
      </c>
      <c r="O159" s="37">
        <f t="shared" si="118"/>
        <v>0.6261</v>
      </c>
      <c r="P159" s="29">
        <f t="shared" si="119"/>
        <v>790.52</v>
      </c>
      <c r="Q159" s="29">
        <f t="shared" si="120"/>
        <v>1181.02</v>
      </c>
      <c r="R159" s="29">
        <f t="shared" si="121"/>
        <v>1181.02</v>
      </c>
      <c r="S159" s="29">
        <f t="shared" si="122"/>
        <v>8800.9</v>
      </c>
      <c r="T159" s="29">
        <f t="shared" si="123"/>
        <v>8800.9</v>
      </c>
      <c r="U159" s="30">
        <f t="shared" si="124"/>
        <v>8800.9</v>
      </c>
      <c r="V159" s="29">
        <f t="shared" si="100"/>
        <v>0</v>
      </c>
      <c r="W159" s="30">
        <f t="shared" si="101"/>
        <v>0</v>
      </c>
      <c r="X159" s="41">
        <f t="shared" si="125"/>
        <v>0</v>
      </c>
      <c r="Y159" s="26"/>
      <c r="Z159" s="1"/>
      <c r="AA159" s="1"/>
    </row>
    <row r="160" s="7" customFormat="1" ht="20" customHeight="1" spans="1:27">
      <c r="A160" s="26">
        <v>145</v>
      </c>
      <c r="B160" s="26" t="s">
        <v>888</v>
      </c>
      <c r="C160" s="26" t="s">
        <v>889</v>
      </c>
      <c r="D160" s="26" t="s">
        <v>890</v>
      </c>
      <c r="E160" s="26" t="s">
        <v>32</v>
      </c>
      <c r="F160" s="27">
        <v>61.49</v>
      </c>
      <c r="G160" s="29">
        <v>61.49</v>
      </c>
      <c r="H160" s="30">
        <v>61.49</v>
      </c>
      <c r="I160" s="29">
        <f t="shared" si="114"/>
        <v>0</v>
      </c>
      <c r="J160" s="29">
        <f t="shared" si="115"/>
        <v>0</v>
      </c>
      <c r="K160" s="29">
        <f t="shared" si="116"/>
        <v>0</v>
      </c>
      <c r="L160" s="37">
        <f t="shared" si="117"/>
        <v>0</v>
      </c>
      <c r="M160" s="27">
        <v>1390</v>
      </c>
      <c r="N160" s="27">
        <v>761.97</v>
      </c>
      <c r="O160" s="37">
        <f t="shared" si="118"/>
        <v>0.8242</v>
      </c>
      <c r="P160" s="29">
        <f t="shared" si="119"/>
        <v>586.53</v>
      </c>
      <c r="Q160" s="29">
        <f t="shared" si="120"/>
        <v>876.27</v>
      </c>
      <c r="R160" s="29">
        <f t="shared" si="121"/>
        <v>876.27</v>
      </c>
      <c r="S160" s="29">
        <f t="shared" si="122"/>
        <v>85471.1</v>
      </c>
      <c r="T160" s="29">
        <f t="shared" si="123"/>
        <v>85471.1</v>
      </c>
      <c r="U160" s="30">
        <f t="shared" si="124"/>
        <v>85471.1</v>
      </c>
      <c r="V160" s="29">
        <f t="shared" si="100"/>
        <v>0</v>
      </c>
      <c r="W160" s="30">
        <f t="shared" si="101"/>
        <v>0</v>
      </c>
      <c r="X160" s="41">
        <f t="shared" si="125"/>
        <v>0</v>
      </c>
      <c r="Y160" s="26"/>
      <c r="Z160" s="1"/>
      <c r="AA160" s="1"/>
    </row>
    <row r="161" s="7" customFormat="1" ht="20" customHeight="1" spans="1:27">
      <c r="A161" s="26">
        <v>146</v>
      </c>
      <c r="B161" s="26" t="s">
        <v>891</v>
      </c>
      <c r="C161" s="26" t="s">
        <v>892</v>
      </c>
      <c r="D161" s="26" t="s">
        <v>893</v>
      </c>
      <c r="E161" s="26" t="s">
        <v>67</v>
      </c>
      <c r="F161" s="27">
        <v>1</v>
      </c>
      <c r="G161" s="29">
        <v>8</v>
      </c>
      <c r="H161" s="32">
        <v>8</v>
      </c>
      <c r="I161" s="29">
        <f t="shared" si="114"/>
        <v>7</v>
      </c>
      <c r="J161" s="29">
        <f t="shared" si="115"/>
        <v>7</v>
      </c>
      <c r="K161" s="29">
        <f t="shared" si="116"/>
        <v>0</v>
      </c>
      <c r="L161" s="37">
        <f t="shared" si="117"/>
        <v>7</v>
      </c>
      <c r="M161" s="27">
        <v>148</v>
      </c>
      <c r="N161" s="27">
        <v>1235.9</v>
      </c>
      <c r="O161" s="37">
        <f t="shared" si="118"/>
        <v>-0.8802</v>
      </c>
      <c r="P161" s="29">
        <f t="shared" si="119"/>
        <v>951.35</v>
      </c>
      <c r="Q161" s="29">
        <f t="shared" si="120"/>
        <v>1421.29</v>
      </c>
      <c r="R161" s="29">
        <f t="shared" si="121"/>
        <v>951.35</v>
      </c>
      <c r="S161" s="29">
        <f t="shared" si="122"/>
        <v>148</v>
      </c>
      <c r="T161" s="29">
        <f t="shared" si="123"/>
        <v>6807.45</v>
      </c>
      <c r="U161" s="30">
        <f t="shared" si="124"/>
        <v>6807.45</v>
      </c>
      <c r="V161" s="29">
        <f t="shared" si="100"/>
        <v>6659.45</v>
      </c>
      <c r="W161" s="30">
        <f t="shared" si="101"/>
        <v>0</v>
      </c>
      <c r="X161" s="41">
        <f t="shared" si="125"/>
        <v>0</v>
      </c>
      <c r="Y161" s="26"/>
      <c r="Z161" s="1"/>
      <c r="AA161" s="1"/>
    </row>
    <row r="162" s="7" customFormat="1" ht="20" customHeight="1" spans="1:27">
      <c r="A162" s="26">
        <v>147</v>
      </c>
      <c r="B162" s="26" t="s">
        <v>894</v>
      </c>
      <c r="C162" s="26" t="s">
        <v>892</v>
      </c>
      <c r="D162" s="26" t="s">
        <v>895</v>
      </c>
      <c r="E162" s="26" t="s">
        <v>67</v>
      </c>
      <c r="F162" s="27">
        <v>2</v>
      </c>
      <c r="G162" s="29">
        <v>2</v>
      </c>
      <c r="H162" s="32">
        <v>2</v>
      </c>
      <c r="I162" s="29">
        <f t="shared" si="114"/>
        <v>0</v>
      </c>
      <c r="J162" s="29">
        <f t="shared" si="115"/>
        <v>0</v>
      </c>
      <c r="K162" s="29">
        <f t="shared" si="116"/>
        <v>0</v>
      </c>
      <c r="L162" s="37">
        <f t="shared" si="117"/>
        <v>0</v>
      </c>
      <c r="M162" s="27">
        <v>110</v>
      </c>
      <c r="N162" s="27">
        <v>885.9</v>
      </c>
      <c r="O162" s="37">
        <f t="shared" si="118"/>
        <v>-0.8758</v>
      </c>
      <c r="P162" s="29">
        <f t="shared" si="119"/>
        <v>681.93</v>
      </c>
      <c r="Q162" s="29">
        <f t="shared" si="120"/>
        <v>1018.79</v>
      </c>
      <c r="R162" s="29">
        <f t="shared" si="121"/>
        <v>681.93</v>
      </c>
      <c r="S162" s="29">
        <f t="shared" si="122"/>
        <v>220</v>
      </c>
      <c r="T162" s="29">
        <f t="shared" si="123"/>
        <v>220</v>
      </c>
      <c r="U162" s="30">
        <f t="shared" si="124"/>
        <v>220</v>
      </c>
      <c r="V162" s="29">
        <f t="shared" si="100"/>
        <v>0</v>
      </c>
      <c r="W162" s="30">
        <f t="shared" si="101"/>
        <v>0</v>
      </c>
      <c r="X162" s="41">
        <f t="shared" si="125"/>
        <v>0</v>
      </c>
      <c r="Y162" s="26"/>
      <c r="Z162" s="1"/>
      <c r="AA162" s="1"/>
    </row>
    <row r="163" s="7" customFormat="1" ht="20" customHeight="1" spans="1:27">
      <c r="A163" s="26">
        <v>148</v>
      </c>
      <c r="B163" s="26" t="s">
        <v>896</v>
      </c>
      <c r="C163" s="26" t="s">
        <v>897</v>
      </c>
      <c r="D163" s="26" t="s">
        <v>898</v>
      </c>
      <c r="E163" s="26" t="s">
        <v>67</v>
      </c>
      <c r="F163" s="27">
        <v>2</v>
      </c>
      <c r="G163" s="29">
        <v>2</v>
      </c>
      <c r="H163" s="32">
        <v>2</v>
      </c>
      <c r="I163" s="29">
        <f t="shared" si="114"/>
        <v>0</v>
      </c>
      <c r="J163" s="29">
        <f t="shared" si="115"/>
        <v>0</v>
      </c>
      <c r="K163" s="29">
        <f t="shared" si="116"/>
        <v>0</v>
      </c>
      <c r="L163" s="37">
        <f t="shared" si="117"/>
        <v>0</v>
      </c>
      <c r="M163" s="27">
        <v>98676.85</v>
      </c>
      <c r="N163" s="27">
        <v>68323.99</v>
      </c>
      <c r="O163" s="37">
        <f t="shared" si="118"/>
        <v>0.4442</v>
      </c>
      <c r="P163" s="29">
        <f t="shared" si="119"/>
        <v>52593.07</v>
      </c>
      <c r="Q163" s="29">
        <f t="shared" si="120"/>
        <v>78572.59</v>
      </c>
      <c r="R163" s="29">
        <f t="shared" si="121"/>
        <v>78572.59</v>
      </c>
      <c r="S163" s="29">
        <f t="shared" si="122"/>
        <v>197353.7</v>
      </c>
      <c r="T163" s="29">
        <f t="shared" si="123"/>
        <v>197353.7</v>
      </c>
      <c r="U163" s="30">
        <f t="shared" si="124"/>
        <v>197353.7</v>
      </c>
      <c r="V163" s="29">
        <f t="shared" si="100"/>
        <v>0</v>
      </c>
      <c r="W163" s="30">
        <f t="shared" si="101"/>
        <v>0</v>
      </c>
      <c r="X163" s="41">
        <f t="shared" si="125"/>
        <v>0</v>
      </c>
      <c r="Y163" s="26"/>
      <c r="Z163" s="1"/>
      <c r="AA163" s="1"/>
    </row>
    <row r="164" s="7" customFormat="1" ht="20" customHeight="1" spans="1:27">
      <c r="A164" s="34">
        <v>149</v>
      </c>
      <c r="B164" s="34" t="s">
        <v>519</v>
      </c>
      <c r="C164" s="34" t="s">
        <v>520</v>
      </c>
      <c r="D164" s="34" t="s">
        <v>521</v>
      </c>
      <c r="E164" s="34" t="s">
        <v>32</v>
      </c>
      <c r="F164" s="35">
        <v>8993.09</v>
      </c>
      <c r="G164" s="36">
        <v>10082.69</v>
      </c>
      <c r="H164" s="30">
        <v>8993.09</v>
      </c>
      <c r="I164" s="36">
        <f t="shared" si="114"/>
        <v>1089.6</v>
      </c>
      <c r="J164" s="36">
        <f t="shared" si="115"/>
        <v>0</v>
      </c>
      <c r="K164" s="36">
        <f t="shared" si="116"/>
        <v>-1089.6</v>
      </c>
      <c r="L164" s="39">
        <f t="shared" si="117"/>
        <v>0.1212</v>
      </c>
      <c r="M164" s="35">
        <v>2</v>
      </c>
      <c r="N164" s="35">
        <v>3</v>
      </c>
      <c r="O164" s="39">
        <f t="shared" si="118"/>
        <v>-0.3333</v>
      </c>
      <c r="P164" s="36">
        <f t="shared" si="119"/>
        <v>2.31</v>
      </c>
      <c r="Q164" s="36">
        <f t="shared" si="120"/>
        <v>3.45</v>
      </c>
      <c r="R164" s="36">
        <f t="shared" si="121"/>
        <v>2.31</v>
      </c>
      <c r="S164" s="36">
        <f t="shared" si="122"/>
        <v>17986.18</v>
      </c>
      <c r="T164" s="36">
        <f t="shared" si="123"/>
        <v>20503.16</v>
      </c>
      <c r="U164" s="30">
        <f t="shared" si="124"/>
        <v>17986.18</v>
      </c>
      <c r="V164" s="29">
        <f t="shared" si="100"/>
        <v>0</v>
      </c>
      <c r="W164" s="30">
        <f t="shared" si="101"/>
        <v>-2516.98</v>
      </c>
      <c r="X164" s="41">
        <f t="shared" si="125"/>
        <v>-2516.98</v>
      </c>
      <c r="Y164" s="34"/>
      <c r="Z164" s="1"/>
      <c r="AA164" s="1"/>
    </row>
    <row r="165" s="7" customFormat="1" ht="20" customHeight="1" spans="1:27">
      <c r="A165" s="49"/>
      <c r="B165" s="5"/>
      <c r="C165" s="5" t="s">
        <v>522</v>
      </c>
      <c r="D165" s="5"/>
      <c r="E165" s="5"/>
      <c r="F165" s="6"/>
      <c r="G165" s="50"/>
      <c r="H165" s="28"/>
      <c r="I165" s="29"/>
      <c r="J165" s="29"/>
      <c r="K165" s="29"/>
      <c r="L165" s="37"/>
      <c r="M165" s="51"/>
      <c r="N165" s="6"/>
      <c r="O165" s="37"/>
      <c r="P165" s="29"/>
      <c r="Q165" s="29"/>
      <c r="R165" s="29"/>
      <c r="S165" s="29">
        <f>+S146+S139+S115+S99+S92+S77+S63+S59+S27+S17+S10+S4</f>
        <v>17297479.75</v>
      </c>
      <c r="T165" s="29">
        <f>+T146+T139+T115+T99+T92+T77+T59+T63+T27+T17+T10+T4</f>
        <v>17926184.2</v>
      </c>
      <c r="U165" s="30">
        <f>+U146+U139+U115+U99+U92+U77+U59+U63+U27+U17+U10+U4</f>
        <v>17119977.1</v>
      </c>
      <c r="V165" s="29">
        <f t="shared" si="100"/>
        <v>-177502.65</v>
      </c>
      <c r="W165" s="30">
        <f t="shared" si="101"/>
        <v>-806207.1</v>
      </c>
      <c r="X165" s="41">
        <f t="shared" si="125"/>
        <v>-806207.1</v>
      </c>
      <c r="Y165" s="5"/>
      <c r="Z165" s="1"/>
      <c r="AA165" s="1"/>
    </row>
    <row r="166" s="8" customFormat="1" ht="20" customHeight="1" spans="1:27">
      <c r="A166" s="49"/>
      <c r="B166" s="5"/>
      <c r="C166" s="5" t="s">
        <v>523</v>
      </c>
      <c r="D166" s="5"/>
      <c r="E166" s="5"/>
      <c r="F166" s="6"/>
      <c r="G166" s="50"/>
      <c r="H166" s="28"/>
      <c r="I166" s="29"/>
      <c r="J166" s="29"/>
      <c r="K166" s="29"/>
      <c r="L166" s="37"/>
      <c r="M166" s="51"/>
      <c r="N166" s="6"/>
      <c r="O166" s="37"/>
      <c r="P166" s="29"/>
      <c r="Q166" s="29"/>
      <c r="R166" s="29"/>
      <c r="S166" s="29">
        <f>SUM(S168:S211)</f>
        <v>4089040.99</v>
      </c>
      <c r="T166" s="29">
        <f>SUM(T168:T211)</f>
        <v>4325846.22</v>
      </c>
      <c r="U166" s="30">
        <f>SUM(U168:U211)</f>
        <v>4187423.89</v>
      </c>
      <c r="V166" s="29">
        <f t="shared" si="100"/>
        <v>98382.9</v>
      </c>
      <c r="W166" s="30">
        <f t="shared" si="101"/>
        <v>-138422.33</v>
      </c>
      <c r="X166" s="41">
        <f t="shared" si="125"/>
        <v>-138422.33</v>
      </c>
      <c r="Y166" s="5"/>
      <c r="Z166" s="1"/>
      <c r="AA166" s="1"/>
    </row>
    <row r="167" s="11" customFormat="1" ht="20" customHeight="1" spans="1:27">
      <c r="A167" s="49">
        <v>1</v>
      </c>
      <c r="B167" s="5"/>
      <c r="C167" s="5" t="s">
        <v>524</v>
      </c>
      <c r="D167" s="5"/>
      <c r="E167" s="5"/>
      <c r="F167" s="6"/>
      <c r="G167" s="50"/>
      <c r="H167" s="28"/>
      <c r="I167" s="29"/>
      <c r="J167" s="29"/>
      <c r="K167" s="29"/>
      <c r="L167" s="37"/>
      <c r="M167" s="51"/>
      <c r="N167" s="6"/>
      <c r="O167" s="37"/>
      <c r="P167" s="29"/>
      <c r="Q167" s="29"/>
      <c r="R167" s="29"/>
      <c r="S167" s="29"/>
      <c r="T167" s="29"/>
      <c r="U167" s="30"/>
      <c r="V167" s="29"/>
      <c r="W167" s="52"/>
      <c r="X167" s="53"/>
      <c r="Y167" s="5"/>
      <c r="Z167" s="1"/>
      <c r="AA167" s="1"/>
    </row>
    <row r="168" s="11" customFormat="1" ht="20" customHeight="1" spans="1:27">
      <c r="A168" s="49" t="s">
        <v>525</v>
      </c>
      <c r="B168" s="26" t="s">
        <v>519</v>
      </c>
      <c r="C168" s="26" t="s">
        <v>526</v>
      </c>
      <c r="D168" s="5"/>
      <c r="E168" s="5"/>
      <c r="F168" s="6"/>
      <c r="G168" s="50"/>
      <c r="H168" s="28"/>
      <c r="I168" s="29"/>
      <c r="J168" s="29"/>
      <c r="K168" s="29"/>
      <c r="L168" s="37"/>
      <c r="M168" s="51"/>
      <c r="N168" s="6"/>
      <c r="O168" s="37"/>
      <c r="P168" s="29"/>
      <c r="Q168" s="29"/>
      <c r="R168" s="29"/>
      <c r="S168" s="29">
        <v>703317.31</v>
      </c>
      <c r="T168" s="29">
        <v>703317.31</v>
      </c>
      <c r="U168" s="30">
        <v>703317.31</v>
      </c>
      <c r="V168" s="29">
        <f>U168-S168</f>
        <v>0</v>
      </c>
      <c r="W168" s="30">
        <f>+U168-T168</f>
        <v>0</v>
      </c>
      <c r="X168" s="53"/>
      <c r="Y168" s="5"/>
      <c r="Z168" s="1"/>
      <c r="AA168" s="1"/>
    </row>
    <row r="169" s="12" customFormat="1" ht="20" customHeight="1" spans="1:27">
      <c r="A169" s="26">
        <v>150</v>
      </c>
      <c r="B169" s="26" t="s">
        <v>899</v>
      </c>
      <c r="C169" s="26" t="s">
        <v>528</v>
      </c>
      <c r="D169" s="26" t="s">
        <v>900</v>
      </c>
      <c r="E169" s="26" t="s">
        <v>32</v>
      </c>
      <c r="F169" s="27">
        <v>639.8</v>
      </c>
      <c r="G169" s="29">
        <v>645.1</v>
      </c>
      <c r="H169" s="30">
        <v>645.1</v>
      </c>
      <c r="I169" s="29">
        <f>G169-F169</f>
        <v>5.3</v>
      </c>
      <c r="J169" s="29">
        <f>H169-F169</f>
        <v>5.3</v>
      </c>
      <c r="K169" s="29">
        <f>+H169-G169</f>
        <v>0</v>
      </c>
      <c r="L169" s="37">
        <f>I169/F169</f>
        <v>0.0083</v>
      </c>
      <c r="M169" s="27">
        <v>69.7</v>
      </c>
      <c r="N169" s="29">
        <v>75.62</v>
      </c>
      <c r="O169" s="37">
        <f>(M169-N169)/N169</f>
        <v>-0.0783</v>
      </c>
      <c r="P169" s="29">
        <f>N169*0.9056*0.85</f>
        <v>58.21</v>
      </c>
      <c r="Q169" s="29">
        <f>N169*1.15</f>
        <v>86.96</v>
      </c>
      <c r="R169" s="29">
        <f>IF(M169&lt;N169*0.9056*0.85,N169*0.9056*0.85,IF(M169&gt;N169*1.15,N169*1.15,M169))</f>
        <v>69.7</v>
      </c>
      <c r="S169" s="29">
        <f>+F169*M169</f>
        <v>44594.06</v>
      </c>
      <c r="T169" s="29">
        <f>S169+R169*I169</f>
        <v>44963.47</v>
      </c>
      <c r="U169" s="30">
        <f>S169+R169*J169</f>
        <v>44963.47</v>
      </c>
      <c r="V169" s="29">
        <f>U169-S169</f>
        <v>369.41</v>
      </c>
      <c r="W169" s="30">
        <f>+U169-T169</f>
        <v>0</v>
      </c>
      <c r="X169" s="41">
        <f>+U169-T169</f>
        <v>0</v>
      </c>
      <c r="Y169" s="26"/>
      <c r="Z169" s="1"/>
      <c r="AA169" s="1"/>
    </row>
    <row r="170" s="12" customFormat="1" ht="20" customHeight="1" spans="1:27">
      <c r="A170" s="26">
        <v>151</v>
      </c>
      <c r="B170" s="26" t="s">
        <v>901</v>
      </c>
      <c r="C170" s="26" t="s">
        <v>528</v>
      </c>
      <c r="D170" s="26" t="s">
        <v>902</v>
      </c>
      <c r="E170" s="26" t="s">
        <v>32</v>
      </c>
      <c r="F170" s="27">
        <v>8201.8</v>
      </c>
      <c r="G170" s="29">
        <v>8699.79</v>
      </c>
      <c r="H170" s="30">
        <v>8699.79</v>
      </c>
      <c r="I170" s="29">
        <f>G170-F170</f>
        <v>497.99</v>
      </c>
      <c r="J170" s="29">
        <f>H170-F170</f>
        <v>497.99</v>
      </c>
      <c r="K170" s="29">
        <f>+H170-G170</f>
        <v>0</v>
      </c>
      <c r="L170" s="37">
        <f>I170/F170</f>
        <v>0.0607</v>
      </c>
      <c r="M170" s="27">
        <v>65.35</v>
      </c>
      <c r="N170" s="29">
        <v>70.8</v>
      </c>
      <c r="O170" s="37">
        <f>(M170-N170)/N170</f>
        <v>-0.077</v>
      </c>
      <c r="P170" s="29">
        <f>N170*0.9056*0.85</f>
        <v>54.5</v>
      </c>
      <c r="Q170" s="29">
        <f>N170*1.15</f>
        <v>81.42</v>
      </c>
      <c r="R170" s="29">
        <f>IF(M170&lt;N170*0.9056*0.85,N170*0.9056*0.85,IF(M170&gt;N170*1.15,N170*1.15,M170))</f>
        <v>65.35</v>
      </c>
      <c r="S170" s="29">
        <f>+F170*M170</f>
        <v>535987.63</v>
      </c>
      <c r="T170" s="29">
        <f>S170+R170*I170</f>
        <v>568531.28</v>
      </c>
      <c r="U170" s="30">
        <f>S170+R170*J170</f>
        <v>568531.28</v>
      </c>
      <c r="V170" s="29">
        <f>U170-S170</f>
        <v>32543.65</v>
      </c>
      <c r="W170" s="30">
        <f>+U170-T170</f>
        <v>0</v>
      </c>
      <c r="X170" s="41">
        <f>+U170-T170</f>
        <v>0</v>
      </c>
      <c r="Y170" s="26"/>
      <c r="Z170" s="1"/>
      <c r="AA170" s="1"/>
    </row>
    <row r="171" s="7" customFormat="1" ht="20" customHeight="1" spans="1:27">
      <c r="A171" s="26">
        <v>152</v>
      </c>
      <c r="B171" s="26" t="s">
        <v>903</v>
      </c>
      <c r="C171" s="26" t="s">
        <v>528</v>
      </c>
      <c r="D171" s="26" t="s">
        <v>904</v>
      </c>
      <c r="E171" s="26" t="s">
        <v>32</v>
      </c>
      <c r="F171" s="27">
        <v>704.64</v>
      </c>
      <c r="G171" s="29">
        <v>836.14</v>
      </c>
      <c r="H171" s="30">
        <v>836.14</v>
      </c>
      <c r="I171" s="29">
        <f>G171-F171</f>
        <v>131.5</v>
      </c>
      <c r="J171" s="29">
        <f>H171-F171</f>
        <v>131.5</v>
      </c>
      <c r="K171" s="29">
        <f>+H171-G171</f>
        <v>0</v>
      </c>
      <c r="L171" s="37">
        <f>I171/F171</f>
        <v>0.1866</v>
      </c>
      <c r="M171" s="27">
        <v>50.23</v>
      </c>
      <c r="N171" s="29">
        <v>54.32</v>
      </c>
      <c r="O171" s="37">
        <f>(M171-N171)/N171</f>
        <v>-0.0753</v>
      </c>
      <c r="P171" s="29">
        <f>N171*0.9056*0.85</f>
        <v>41.81</v>
      </c>
      <c r="Q171" s="29">
        <f>N171*1.15</f>
        <v>62.47</v>
      </c>
      <c r="R171" s="29">
        <f>IF(M171&lt;N171*0.9056*0.85,N171*0.9056*0.85,IF(M171&gt;N171*1.15,N171*1.15,M171))</f>
        <v>50.23</v>
      </c>
      <c r="S171" s="29">
        <f>+F171*M171</f>
        <v>35394.07</v>
      </c>
      <c r="T171" s="29">
        <f>S171+R171*I171</f>
        <v>41999.32</v>
      </c>
      <c r="U171" s="30">
        <f>S171+R171*J171</f>
        <v>41999.32</v>
      </c>
      <c r="V171" s="29">
        <f>U171-S171</f>
        <v>6605.25</v>
      </c>
      <c r="W171" s="30">
        <f>+U171-T171</f>
        <v>0</v>
      </c>
      <c r="X171" s="41">
        <f>+U171-T171</f>
        <v>0</v>
      </c>
      <c r="Y171" s="26"/>
      <c r="Z171" s="1"/>
      <c r="AA171" s="1"/>
    </row>
    <row r="172" s="7" customFormat="1" ht="20" customHeight="1" spans="1:27">
      <c r="A172" s="26">
        <v>153</v>
      </c>
      <c r="B172" s="26" t="s">
        <v>530</v>
      </c>
      <c r="C172" s="26" t="s">
        <v>531</v>
      </c>
      <c r="D172" s="26" t="s">
        <v>532</v>
      </c>
      <c r="E172" s="26" t="s">
        <v>71</v>
      </c>
      <c r="F172" s="27">
        <v>24.003</v>
      </c>
      <c r="G172" s="29">
        <v>24</v>
      </c>
      <c r="H172" s="30">
        <v>24</v>
      </c>
      <c r="I172" s="29">
        <f>G172-F172</f>
        <v>0</v>
      </c>
      <c r="J172" s="29">
        <f>H172-F172</f>
        <v>0</v>
      </c>
      <c r="K172" s="29">
        <f>+H172-G172</f>
        <v>0</v>
      </c>
      <c r="L172" s="37">
        <f>I172/F172</f>
        <v>0</v>
      </c>
      <c r="M172" s="27">
        <v>6313.66</v>
      </c>
      <c r="N172" s="29">
        <v>6000</v>
      </c>
      <c r="O172" s="37">
        <f>(M172-N172)/N172</f>
        <v>0.0523</v>
      </c>
      <c r="P172" s="29">
        <f>N172*0.9056*0.85</f>
        <v>4618.56</v>
      </c>
      <c r="Q172" s="29">
        <f>N172*1.15</f>
        <v>6900</v>
      </c>
      <c r="R172" s="29">
        <f>IF(M172&lt;N172*0.9056*0.85,N172*0.9056*0.85,IF(M172&gt;N172*1.15,N172*1.15,M172))</f>
        <v>6313.66</v>
      </c>
      <c r="S172" s="29">
        <f>+F172*M172</f>
        <v>151546.78</v>
      </c>
      <c r="T172" s="29">
        <f>S172+R172*I172</f>
        <v>151546.78</v>
      </c>
      <c r="U172" s="30">
        <f>S172+R172*J172</f>
        <v>151546.78</v>
      </c>
      <c r="V172" s="29">
        <f>U172-S172</f>
        <v>0</v>
      </c>
      <c r="W172" s="30">
        <f>+U172-T172</f>
        <v>0</v>
      </c>
      <c r="X172" s="41">
        <f>+U172-T172</f>
        <v>0</v>
      </c>
      <c r="Y172" s="26"/>
      <c r="Z172" s="1"/>
      <c r="AA172" s="1"/>
    </row>
    <row r="173" s="7" customFormat="1" ht="20" customHeight="1" spans="1:27">
      <c r="A173" s="26"/>
      <c r="B173" s="26"/>
      <c r="C173" s="26" t="s">
        <v>533</v>
      </c>
      <c r="D173" s="26"/>
      <c r="E173" s="26"/>
      <c r="F173" s="29"/>
      <c r="G173" s="29"/>
      <c r="H173" s="28"/>
      <c r="I173" s="29"/>
      <c r="J173" s="29"/>
      <c r="K173" s="29"/>
      <c r="L173" s="37"/>
      <c r="M173" s="27"/>
      <c r="N173" s="27"/>
      <c r="O173" s="37"/>
      <c r="P173" s="29"/>
      <c r="Q173" s="29"/>
      <c r="R173" s="29"/>
      <c r="S173" s="29"/>
      <c r="T173" s="29"/>
      <c r="U173" s="30"/>
      <c r="V173" s="29"/>
      <c r="W173" s="30"/>
      <c r="X173" s="41"/>
      <c r="Y173" s="26"/>
      <c r="Z173" s="42"/>
      <c r="AA173" s="1"/>
    </row>
    <row r="174" s="7" customFormat="1" ht="20" customHeight="1" spans="1:27">
      <c r="A174" s="26">
        <v>154</v>
      </c>
      <c r="B174" s="26" t="s">
        <v>905</v>
      </c>
      <c r="C174" s="26" t="s">
        <v>535</v>
      </c>
      <c r="D174" s="26" t="s">
        <v>906</v>
      </c>
      <c r="E174" s="26" t="s">
        <v>32</v>
      </c>
      <c r="F174" s="27">
        <v>7803.84</v>
      </c>
      <c r="G174" s="29">
        <v>6989.45</v>
      </c>
      <c r="H174" s="30">
        <v>6989.45</v>
      </c>
      <c r="I174" s="29">
        <f t="shared" ref="I174:I211" si="126">G174-F174</f>
        <v>-814.39</v>
      </c>
      <c r="J174" s="29">
        <f t="shared" ref="J174:J211" si="127">H174-F174</f>
        <v>-814.39</v>
      </c>
      <c r="K174" s="29">
        <f t="shared" ref="K174:K211" si="128">+H174-G174</f>
        <v>0</v>
      </c>
      <c r="L174" s="37">
        <f t="shared" ref="L174:L211" si="129">I174/F174</f>
        <v>-0.1044</v>
      </c>
      <c r="M174" s="27">
        <v>14.69</v>
      </c>
      <c r="N174" s="27">
        <v>16.25</v>
      </c>
      <c r="O174" s="37">
        <f t="shared" ref="O174:O211" si="130">(M174-N174)/N174</f>
        <v>-0.096</v>
      </c>
      <c r="P174" s="29">
        <f t="shared" ref="P174:P211" si="131">N174*0.9056*0.85</f>
        <v>12.51</v>
      </c>
      <c r="Q174" s="29">
        <f t="shared" ref="Q174:Q211" si="132">N174*1.15</f>
        <v>18.69</v>
      </c>
      <c r="R174" s="29">
        <f t="shared" ref="R174:R211" si="133">IF(M174&lt;N174*0.9056*0.85,N174*0.9056*0.85,IF(M174&gt;N174*1.15,N174*1.15,M174))</f>
        <v>14.69</v>
      </c>
      <c r="S174" s="29">
        <f t="shared" ref="S174:S211" si="134">+F174*M174</f>
        <v>114638.41</v>
      </c>
      <c r="T174" s="29">
        <f t="shared" ref="T174:T211" si="135">S174+R174*I174</f>
        <v>102675.02</v>
      </c>
      <c r="U174" s="30">
        <f t="shared" ref="U174:U211" si="136">S174+R174*J174</f>
        <v>102675.02</v>
      </c>
      <c r="V174" s="29">
        <f t="shared" ref="V174:V214" si="137">U174-S174</f>
        <v>-11963.39</v>
      </c>
      <c r="W174" s="30">
        <f t="shared" ref="W174:W214" si="138">+U174-T174</f>
        <v>0</v>
      </c>
      <c r="X174" s="41">
        <f t="shared" ref="X174:X214" si="139">+U174-T174</f>
        <v>0</v>
      </c>
      <c r="Y174" s="26"/>
      <c r="Z174" s="1"/>
      <c r="AA174" s="1"/>
    </row>
    <row r="175" s="7" customFormat="1" ht="20" customHeight="1" spans="1:27">
      <c r="A175" s="26">
        <v>155</v>
      </c>
      <c r="B175" s="26" t="s">
        <v>534</v>
      </c>
      <c r="C175" s="26" t="s">
        <v>535</v>
      </c>
      <c r="D175" s="26" t="s">
        <v>907</v>
      </c>
      <c r="E175" s="26" t="s">
        <v>32</v>
      </c>
      <c r="F175" s="27">
        <v>742.81</v>
      </c>
      <c r="G175" s="29">
        <v>224.14</v>
      </c>
      <c r="H175" s="30">
        <v>224.14</v>
      </c>
      <c r="I175" s="29">
        <f t="shared" si="126"/>
        <v>-518.67</v>
      </c>
      <c r="J175" s="29">
        <f t="shared" si="127"/>
        <v>-518.67</v>
      </c>
      <c r="K175" s="29">
        <f t="shared" si="128"/>
        <v>0</v>
      </c>
      <c r="L175" s="37">
        <f t="shared" si="129"/>
        <v>-0.6983</v>
      </c>
      <c r="M175" s="27">
        <v>19.66</v>
      </c>
      <c r="N175" s="27">
        <v>21.74</v>
      </c>
      <c r="O175" s="37">
        <f t="shared" si="130"/>
        <v>-0.0957</v>
      </c>
      <c r="P175" s="29">
        <f t="shared" si="131"/>
        <v>16.73</v>
      </c>
      <c r="Q175" s="29">
        <f t="shared" si="132"/>
        <v>25</v>
      </c>
      <c r="R175" s="29">
        <f t="shared" si="133"/>
        <v>19.66</v>
      </c>
      <c r="S175" s="29">
        <f t="shared" si="134"/>
        <v>14603.64</v>
      </c>
      <c r="T175" s="29">
        <f t="shared" si="135"/>
        <v>4406.59</v>
      </c>
      <c r="U175" s="30">
        <f t="shared" si="136"/>
        <v>4406.59</v>
      </c>
      <c r="V175" s="29">
        <f t="shared" si="137"/>
        <v>-10197.05</v>
      </c>
      <c r="W175" s="30">
        <f t="shared" si="138"/>
        <v>0</v>
      </c>
      <c r="X175" s="41">
        <f t="shared" si="139"/>
        <v>0</v>
      </c>
      <c r="Y175" s="26"/>
      <c r="Z175" s="1"/>
      <c r="AA175" s="1"/>
    </row>
    <row r="176" s="7" customFormat="1" ht="20" customHeight="1" spans="1:27">
      <c r="A176" s="26">
        <v>156</v>
      </c>
      <c r="B176" s="26" t="s">
        <v>537</v>
      </c>
      <c r="C176" s="26" t="s">
        <v>535</v>
      </c>
      <c r="D176" s="26" t="s">
        <v>908</v>
      </c>
      <c r="E176" s="26" t="s">
        <v>32</v>
      </c>
      <c r="F176" s="27">
        <v>107.7</v>
      </c>
      <c r="G176" s="29">
        <v>7.65</v>
      </c>
      <c r="H176" s="30">
        <v>7.65</v>
      </c>
      <c r="I176" s="29">
        <f t="shared" si="126"/>
        <v>-100.05</v>
      </c>
      <c r="J176" s="29">
        <f t="shared" si="127"/>
        <v>-100.05</v>
      </c>
      <c r="K176" s="29">
        <f t="shared" si="128"/>
        <v>0</v>
      </c>
      <c r="L176" s="37">
        <f t="shared" si="129"/>
        <v>-0.929</v>
      </c>
      <c r="M176" s="27">
        <v>34.57</v>
      </c>
      <c r="N176" s="27">
        <v>38.2</v>
      </c>
      <c r="O176" s="37">
        <f t="shared" si="130"/>
        <v>-0.095</v>
      </c>
      <c r="P176" s="29">
        <f t="shared" si="131"/>
        <v>29.4</v>
      </c>
      <c r="Q176" s="29">
        <f t="shared" si="132"/>
        <v>43.93</v>
      </c>
      <c r="R176" s="29">
        <f t="shared" si="133"/>
        <v>34.57</v>
      </c>
      <c r="S176" s="29">
        <f t="shared" si="134"/>
        <v>3723.19</v>
      </c>
      <c r="T176" s="29">
        <f t="shared" si="135"/>
        <v>264.46</v>
      </c>
      <c r="U176" s="30">
        <f t="shared" si="136"/>
        <v>264.46</v>
      </c>
      <c r="V176" s="29">
        <f t="shared" si="137"/>
        <v>-3458.73</v>
      </c>
      <c r="W176" s="30">
        <f t="shared" si="138"/>
        <v>0</v>
      </c>
      <c r="X176" s="41">
        <f t="shared" si="139"/>
        <v>0</v>
      </c>
      <c r="Y176" s="26"/>
      <c r="Z176" s="1"/>
      <c r="AA176" s="1"/>
    </row>
    <row r="177" s="7" customFormat="1" ht="20" customHeight="1" spans="1:27">
      <c r="A177" s="26">
        <v>157</v>
      </c>
      <c r="B177" s="26" t="s">
        <v>539</v>
      </c>
      <c r="C177" s="26" t="s">
        <v>535</v>
      </c>
      <c r="D177" s="26" t="s">
        <v>909</v>
      </c>
      <c r="E177" s="26" t="s">
        <v>32</v>
      </c>
      <c r="F177" s="27">
        <v>198.87</v>
      </c>
      <c r="G177" s="29">
        <v>74.61</v>
      </c>
      <c r="H177" s="30">
        <v>74.61</v>
      </c>
      <c r="I177" s="29">
        <f t="shared" si="126"/>
        <v>-124.26</v>
      </c>
      <c r="J177" s="29">
        <f t="shared" si="127"/>
        <v>-124.26</v>
      </c>
      <c r="K177" s="29">
        <f t="shared" si="128"/>
        <v>0</v>
      </c>
      <c r="L177" s="37">
        <f t="shared" si="129"/>
        <v>-0.6248</v>
      </c>
      <c r="M177" s="27">
        <v>49.49</v>
      </c>
      <c r="N177" s="27">
        <v>54.67</v>
      </c>
      <c r="O177" s="37">
        <f t="shared" si="130"/>
        <v>-0.0948</v>
      </c>
      <c r="P177" s="29">
        <f t="shared" si="131"/>
        <v>42.08</v>
      </c>
      <c r="Q177" s="29">
        <f t="shared" si="132"/>
        <v>62.87</v>
      </c>
      <c r="R177" s="29">
        <f t="shared" si="133"/>
        <v>49.49</v>
      </c>
      <c r="S177" s="29">
        <f t="shared" si="134"/>
        <v>9842.08</v>
      </c>
      <c r="T177" s="29">
        <f t="shared" si="135"/>
        <v>3692.45</v>
      </c>
      <c r="U177" s="30">
        <f t="shared" si="136"/>
        <v>3692.45</v>
      </c>
      <c r="V177" s="29">
        <f t="shared" si="137"/>
        <v>-6149.63</v>
      </c>
      <c r="W177" s="30">
        <f t="shared" si="138"/>
        <v>0</v>
      </c>
      <c r="X177" s="41">
        <f t="shared" si="139"/>
        <v>0</v>
      </c>
      <c r="Y177" s="26"/>
      <c r="Z177" s="1"/>
      <c r="AA177" s="1"/>
    </row>
    <row r="178" s="7" customFormat="1" ht="20" customHeight="1" spans="1:27">
      <c r="A178" s="26">
        <v>158</v>
      </c>
      <c r="B178" s="26" t="s">
        <v>910</v>
      </c>
      <c r="C178" s="26" t="s">
        <v>542</v>
      </c>
      <c r="D178" s="26" t="s">
        <v>911</v>
      </c>
      <c r="E178" s="26" t="s">
        <v>32</v>
      </c>
      <c r="F178" s="27">
        <v>1485.61</v>
      </c>
      <c r="G178" s="29">
        <v>1344.77</v>
      </c>
      <c r="H178" s="30">
        <v>1344.77</v>
      </c>
      <c r="I178" s="29">
        <f t="shared" si="126"/>
        <v>-140.84</v>
      </c>
      <c r="J178" s="29">
        <f t="shared" si="127"/>
        <v>-140.84</v>
      </c>
      <c r="K178" s="29">
        <f t="shared" si="128"/>
        <v>0</v>
      </c>
      <c r="L178" s="37">
        <f t="shared" si="129"/>
        <v>-0.0948</v>
      </c>
      <c r="M178" s="27">
        <v>12.36</v>
      </c>
      <c r="N178" s="27">
        <v>13.43</v>
      </c>
      <c r="O178" s="37">
        <f t="shared" si="130"/>
        <v>-0.0797</v>
      </c>
      <c r="P178" s="29">
        <f t="shared" si="131"/>
        <v>10.34</v>
      </c>
      <c r="Q178" s="29">
        <f t="shared" si="132"/>
        <v>15.44</v>
      </c>
      <c r="R178" s="29">
        <f t="shared" si="133"/>
        <v>12.36</v>
      </c>
      <c r="S178" s="29">
        <f t="shared" si="134"/>
        <v>18362.14</v>
      </c>
      <c r="T178" s="29">
        <f t="shared" si="135"/>
        <v>16621.36</v>
      </c>
      <c r="U178" s="30">
        <f t="shared" si="136"/>
        <v>16621.36</v>
      </c>
      <c r="V178" s="29">
        <f t="shared" si="137"/>
        <v>-1740.78</v>
      </c>
      <c r="W178" s="30">
        <f t="shared" si="138"/>
        <v>0</v>
      </c>
      <c r="X178" s="41">
        <f t="shared" si="139"/>
        <v>0</v>
      </c>
      <c r="Y178" s="26"/>
      <c r="Z178" s="1"/>
      <c r="AA178" s="1"/>
    </row>
    <row r="179" s="7" customFormat="1" ht="20" customHeight="1" spans="1:27">
      <c r="A179" s="26">
        <v>159</v>
      </c>
      <c r="B179" s="26" t="s">
        <v>541</v>
      </c>
      <c r="C179" s="26" t="s">
        <v>542</v>
      </c>
      <c r="D179" s="26" t="s">
        <v>912</v>
      </c>
      <c r="E179" s="26" t="s">
        <v>32</v>
      </c>
      <c r="F179" s="27">
        <v>215.39</v>
      </c>
      <c r="G179" s="29">
        <v>149.55</v>
      </c>
      <c r="H179" s="30">
        <v>149.55</v>
      </c>
      <c r="I179" s="29">
        <f t="shared" si="126"/>
        <v>-65.84</v>
      </c>
      <c r="J179" s="29">
        <f t="shared" si="127"/>
        <v>-65.84</v>
      </c>
      <c r="K179" s="29">
        <f t="shared" si="128"/>
        <v>0</v>
      </c>
      <c r="L179" s="37">
        <f t="shared" si="129"/>
        <v>-0.3057</v>
      </c>
      <c r="M179" s="27">
        <v>20.41</v>
      </c>
      <c r="N179" s="27">
        <v>22.27</v>
      </c>
      <c r="O179" s="37">
        <f t="shared" si="130"/>
        <v>-0.0835</v>
      </c>
      <c r="P179" s="29">
        <f t="shared" si="131"/>
        <v>17.14</v>
      </c>
      <c r="Q179" s="29">
        <f t="shared" si="132"/>
        <v>25.61</v>
      </c>
      <c r="R179" s="29">
        <f t="shared" si="133"/>
        <v>20.41</v>
      </c>
      <c r="S179" s="29">
        <f t="shared" si="134"/>
        <v>4396.11</v>
      </c>
      <c r="T179" s="29">
        <f t="shared" si="135"/>
        <v>3052.32</v>
      </c>
      <c r="U179" s="30">
        <f t="shared" si="136"/>
        <v>3052.32</v>
      </c>
      <c r="V179" s="29">
        <f t="shared" si="137"/>
        <v>-1343.79</v>
      </c>
      <c r="W179" s="30">
        <f t="shared" si="138"/>
        <v>0</v>
      </c>
      <c r="X179" s="41">
        <f t="shared" si="139"/>
        <v>0</v>
      </c>
      <c r="Y179" s="26"/>
      <c r="Z179" s="1"/>
      <c r="AA179" s="1"/>
    </row>
    <row r="180" s="7" customFormat="1" ht="20" customHeight="1" spans="1:27">
      <c r="A180" s="26">
        <v>160</v>
      </c>
      <c r="B180" s="26" t="s">
        <v>545</v>
      </c>
      <c r="C180" s="26" t="s">
        <v>542</v>
      </c>
      <c r="D180" s="26" t="s">
        <v>913</v>
      </c>
      <c r="E180" s="26" t="s">
        <v>32</v>
      </c>
      <c r="F180" s="27">
        <v>397.73</v>
      </c>
      <c r="G180" s="29">
        <v>361.79</v>
      </c>
      <c r="H180" s="30">
        <v>361.79</v>
      </c>
      <c r="I180" s="29">
        <f t="shared" si="126"/>
        <v>-35.94</v>
      </c>
      <c r="J180" s="29">
        <f t="shared" si="127"/>
        <v>-35.94</v>
      </c>
      <c r="K180" s="29">
        <f t="shared" si="128"/>
        <v>0</v>
      </c>
      <c r="L180" s="37">
        <f t="shared" si="129"/>
        <v>-0.0904</v>
      </c>
      <c r="M180" s="27">
        <v>32.47</v>
      </c>
      <c r="N180" s="27">
        <v>35.54</v>
      </c>
      <c r="O180" s="37">
        <f t="shared" si="130"/>
        <v>-0.0864</v>
      </c>
      <c r="P180" s="29">
        <f t="shared" si="131"/>
        <v>27.36</v>
      </c>
      <c r="Q180" s="29">
        <f t="shared" si="132"/>
        <v>40.87</v>
      </c>
      <c r="R180" s="29">
        <f t="shared" si="133"/>
        <v>32.47</v>
      </c>
      <c r="S180" s="29">
        <f t="shared" si="134"/>
        <v>12914.29</v>
      </c>
      <c r="T180" s="29">
        <f t="shared" si="135"/>
        <v>11747.32</v>
      </c>
      <c r="U180" s="30">
        <f t="shared" si="136"/>
        <v>11747.32</v>
      </c>
      <c r="V180" s="29">
        <f t="shared" si="137"/>
        <v>-1166.97</v>
      </c>
      <c r="W180" s="30">
        <f t="shared" si="138"/>
        <v>0</v>
      </c>
      <c r="X180" s="41">
        <f t="shared" si="139"/>
        <v>0</v>
      </c>
      <c r="Y180" s="26"/>
      <c r="Z180" s="1"/>
      <c r="AA180" s="1"/>
    </row>
    <row r="181" s="7" customFormat="1" ht="20" customHeight="1" spans="1:27">
      <c r="A181" s="26">
        <v>161</v>
      </c>
      <c r="B181" s="26" t="s">
        <v>914</v>
      </c>
      <c r="C181" s="26" t="s">
        <v>915</v>
      </c>
      <c r="D181" s="26" t="s">
        <v>916</v>
      </c>
      <c r="E181" s="26" t="s">
        <v>917</v>
      </c>
      <c r="F181" s="27">
        <v>1</v>
      </c>
      <c r="G181" s="29">
        <v>1</v>
      </c>
      <c r="H181" s="32">
        <v>1</v>
      </c>
      <c r="I181" s="29">
        <f t="shared" si="126"/>
        <v>0</v>
      </c>
      <c r="J181" s="29">
        <f t="shared" si="127"/>
        <v>0</v>
      </c>
      <c r="K181" s="29">
        <f t="shared" si="128"/>
        <v>0</v>
      </c>
      <c r="L181" s="37">
        <f t="shared" si="129"/>
        <v>0</v>
      </c>
      <c r="M181" s="27">
        <v>2876.01</v>
      </c>
      <c r="N181" s="27">
        <v>3126.05</v>
      </c>
      <c r="O181" s="37">
        <f t="shared" si="130"/>
        <v>-0.08</v>
      </c>
      <c r="P181" s="29">
        <f t="shared" si="131"/>
        <v>2406.31</v>
      </c>
      <c r="Q181" s="29">
        <f t="shared" si="132"/>
        <v>3594.96</v>
      </c>
      <c r="R181" s="29">
        <f t="shared" si="133"/>
        <v>2876.01</v>
      </c>
      <c r="S181" s="29">
        <f t="shared" si="134"/>
        <v>2876.01</v>
      </c>
      <c r="T181" s="29">
        <f t="shared" si="135"/>
        <v>2876.01</v>
      </c>
      <c r="U181" s="30">
        <f t="shared" si="136"/>
        <v>2876.01</v>
      </c>
      <c r="V181" s="29">
        <f t="shared" si="137"/>
        <v>0</v>
      </c>
      <c r="W181" s="30">
        <f t="shared" si="138"/>
        <v>0</v>
      </c>
      <c r="X181" s="41">
        <f t="shared" si="139"/>
        <v>0</v>
      </c>
      <c r="Y181" s="26"/>
      <c r="Z181" s="1"/>
      <c r="AA181" s="1"/>
    </row>
    <row r="182" s="7" customFormat="1" ht="20" customHeight="1" spans="1:27">
      <c r="A182" s="26">
        <v>162</v>
      </c>
      <c r="B182" s="26" t="s">
        <v>918</v>
      </c>
      <c r="C182" s="26" t="s">
        <v>919</v>
      </c>
      <c r="D182" s="26" t="s">
        <v>920</v>
      </c>
      <c r="E182" s="26" t="s">
        <v>32</v>
      </c>
      <c r="F182" s="27">
        <v>119.5</v>
      </c>
      <c r="G182" s="29">
        <v>119.5</v>
      </c>
      <c r="H182" s="30">
        <v>119.5</v>
      </c>
      <c r="I182" s="29">
        <f t="shared" si="126"/>
        <v>0</v>
      </c>
      <c r="J182" s="29">
        <f t="shared" si="127"/>
        <v>0</v>
      </c>
      <c r="K182" s="29">
        <f t="shared" si="128"/>
        <v>0</v>
      </c>
      <c r="L182" s="37">
        <f t="shared" si="129"/>
        <v>0</v>
      </c>
      <c r="M182" s="27">
        <v>8.3</v>
      </c>
      <c r="N182" s="27">
        <v>18.05</v>
      </c>
      <c r="O182" s="37">
        <f t="shared" si="130"/>
        <v>-0.5402</v>
      </c>
      <c r="P182" s="29">
        <f t="shared" si="131"/>
        <v>13.89</v>
      </c>
      <c r="Q182" s="29">
        <f t="shared" si="132"/>
        <v>20.76</v>
      </c>
      <c r="R182" s="29">
        <f t="shared" si="133"/>
        <v>13.89</v>
      </c>
      <c r="S182" s="29">
        <f t="shared" si="134"/>
        <v>991.85</v>
      </c>
      <c r="T182" s="29">
        <f t="shared" si="135"/>
        <v>991.85</v>
      </c>
      <c r="U182" s="30">
        <f t="shared" si="136"/>
        <v>991.85</v>
      </c>
      <c r="V182" s="29">
        <f t="shared" si="137"/>
        <v>0</v>
      </c>
      <c r="W182" s="30">
        <f t="shared" si="138"/>
        <v>0</v>
      </c>
      <c r="X182" s="41">
        <f t="shared" si="139"/>
        <v>0</v>
      </c>
      <c r="Y182" s="26"/>
      <c r="Z182" s="1"/>
      <c r="AA182" s="1"/>
    </row>
    <row r="183" s="7" customFormat="1" ht="20" customHeight="1" spans="1:27">
      <c r="A183" s="26">
        <v>163</v>
      </c>
      <c r="B183" s="26" t="s">
        <v>921</v>
      </c>
      <c r="C183" s="26" t="s">
        <v>554</v>
      </c>
      <c r="D183" s="26" t="s">
        <v>555</v>
      </c>
      <c r="E183" s="26" t="s">
        <v>32</v>
      </c>
      <c r="F183" s="27">
        <v>194.52</v>
      </c>
      <c r="G183" s="29">
        <v>325.82</v>
      </c>
      <c r="H183" s="30">
        <v>310.3</v>
      </c>
      <c r="I183" s="29">
        <f t="shared" si="126"/>
        <v>131.3</v>
      </c>
      <c r="J183" s="29">
        <f t="shared" si="127"/>
        <v>115.78</v>
      </c>
      <c r="K183" s="29">
        <f t="shared" si="128"/>
        <v>-15.52</v>
      </c>
      <c r="L183" s="37">
        <f t="shared" si="129"/>
        <v>0.675</v>
      </c>
      <c r="M183" s="27">
        <v>31.42</v>
      </c>
      <c r="N183" s="27">
        <v>34.37</v>
      </c>
      <c r="O183" s="37">
        <f t="shared" si="130"/>
        <v>-0.0858</v>
      </c>
      <c r="P183" s="29">
        <f t="shared" si="131"/>
        <v>26.46</v>
      </c>
      <c r="Q183" s="29">
        <f t="shared" si="132"/>
        <v>39.53</v>
      </c>
      <c r="R183" s="29">
        <f t="shared" si="133"/>
        <v>31.42</v>
      </c>
      <c r="S183" s="29">
        <f t="shared" si="134"/>
        <v>6111.82</v>
      </c>
      <c r="T183" s="29">
        <f t="shared" si="135"/>
        <v>10237.27</v>
      </c>
      <c r="U183" s="30">
        <f t="shared" si="136"/>
        <v>9749.63</v>
      </c>
      <c r="V183" s="29">
        <f t="shared" si="137"/>
        <v>3637.81</v>
      </c>
      <c r="W183" s="30">
        <f t="shared" si="138"/>
        <v>-487.64</v>
      </c>
      <c r="X183" s="41">
        <f t="shared" si="139"/>
        <v>-487.64</v>
      </c>
      <c r="Y183" s="26"/>
      <c r="Z183" s="1"/>
      <c r="AA183" s="1"/>
    </row>
    <row r="184" s="7" customFormat="1" ht="20" customHeight="1" spans="1:27">
      <c r="A184" s="26">
        <v>164</v>
      </c>
      <c r="B184" s="26" t="s">
        <v>922</v>
      </c>
      <c r="C184" s="26" t="s">
        <v>554</v>
      </c>
      <c r="D184" s="26" t="s">
        <v>923</v>
      </c>
      <c r="E184" s="26" t="s">
        <v>32</v>
      </c>
      <c r="F184" s="27">
        <v>449.65</v>
      </c>
      <c r="G184" s="29">
        <v>0</v>
      </c>
      <c r="H184" s="30">
        <v>0</v>
      </c>
      <c r="I184" s="29">
        <f t="shared" si="126"/>
        <v>-449.65</v>
      </c>
      <c r="J184" s="29">
        <f t="shared" si="127"/>
        <v>-449.65</v>
      </c>
      <c r="K184" s="29">
        <f t="shared" si="128"/>
        <v>0</v>
      </c>
      <c r="L184" s="37">
        <f t="shared" si="129"/>
        <v>-1</v>
      </c>
      <c r="M184" s="27">
        <v>47.62</v>
      </c>
      <c r="N184" s="27">
        <v>54.22</v>
      </c>
      <c r="O184" s="37">
        <f t="shared" si="130"/>
        <v>-0.1217</v>
      </c>
      <c r="P184" s="29">
        <f t="shared" si="131"/>
        <v>41.74</v>
      </c>
      <c r="Q184" s="29">
        <f t="shared" si="132"/>
        <v>62.35</v>
      </c>
      <c r="R184" s="29">
        <f t="shared" si="133"/>
        <v>47.62</v>
      </c>
      <c r="S184" s="29">
        <f t="shared" si="134"/>
        <v>21412.33</v>
      </c>
      <c r="T184" s="29">
        <f t="shared" si="135"/>
        <v>0</v>
      </c>
      <c r="U184" s="30">
        <f t="shared" si="136"/>
        <v>0</v>
      </c>
      <c r="V184" s="29">
        <f t="shared" si="137"/>
        <v>-21412.33</v>
      </c>
      <c r="W184" s="30">
        <f t="shared" si="138"/>
        <v>0</v>
      </c>
      <c r="X184" s="41">
        <f t="shared" si="139"/>
        <v>0</v>
      </c>
      <c r="Y184" s="26"/>
      <c r="Z184" s="1"/>
      <c r="AA184" s="1"/>
    </row>
    <row r="185" s="7" customFormat="1" ht="20" customHeight="1" spans="1:27">
      <c r="A185" s="26">
        <v>165</v>
      </c>
      <c r="B185" s="26" t="s">
        <v>924</v>
      </c>
      <c r="C185" s="26" t="s">
        <v>554</v>
      </c>
      <c r="D185" s="26" t="s">
        <v>925</v>
      </c>
      <c r="E185" s="26" t="s">
        <v>32</v>
      </c>
      <c r="F185" s="27">
        <v>24.83</v>
      </c>
      <c r="G185" s="29">
        <v>35.11</v>
      </c>
      <c r="H185" s="30">
        <v>33.44</v>
      </c>
      <c r="I185" s="29">
        <f t="shared" si="126"/>
        <v>10.28</v>
      </c>
      <c r="J185" s="29">
        <f t="shared" si="127"/>
        <v>8.61</v>
      </c>
      <c r="K185" s="29">
        <f t="shared" si="128"/>
        <v>-1.67</v>
      </c>
      <c r="L185" s="37">
        <f t="shared" si="129"/>
        <v>0.414</v>
      </c>
      <c r="M185" s="27">
        <v>51.46</v>
      </c>
      <c r="N185" s="27">
        <v>58.36</v>
      </c>
      <c r="O185" s="37">
        <f t="shared" si="130"/>
        <v>-0.1182</v>
      </c>
      <c r="P185" s="29">
        <f t="shared" si="131"/>
        <v>44.92</v>
      </c>
      <c r="Q185" s="29">
        <f t="shared" si="132"/>
        <v>67.11</v>
      </c>
      <c r="R185" s="29">
        <f t="shared" si="133"/>
        <v>51.46</v>
      </c>
      <c r="S185" s="29">
        <f t="shared" si="134"/>
        <v>1277.75</v>
      </c>
      <c r="T185" s="29">
        <f t="shared" si="135"/>
        <v>1806.76</v>
      </c>
      <c r="U185" s="30">
        <f t="shared" si="136"/>
        <v>1720.82</v>
      </c>
      <c r="V185" s="29">
        <f t="shared" si="137"/>
        <v>443.07</v>
      </c>
      <c r="W185" s="30">
        <f t="shared" si="138"/>
        <v>-85.94</v>
      </c>
      <c r="X185" s="41">
        <f t="shared" si="139"/>
        <v>-85.94</v>
      </c>
      <c r="Y185" s="26"/>
      <c r="Z185" s="1"/>
      <c r="AA185" s="1"/>
    </row>
    <row r="186" s="7" customFormat="1" ht="20" customHeight="1" spans="1:27">
      <c r="A186" s="26">
        <v>166</v>
      </c>
      <c r="B186" s="26" t="s">
        <v>926</v>
      </c>
      <c r="C186" s="26" t="s">
        <v>557</v>
      </c>
      <c r="D186" s="26" t="s">
        <v>927</v>
      </c>
      <c r="E186" s="26" t="s">
        <v>32</v>
      </c>
      <c r="F186" s="27">
        <v>754.35</v>
      </c>
      <c r="G186" s="29">
        <v>459.38</v>
      </c>
      <c r="H186" s="30">
        <v>459.38</v>
      </c>
      <c r="I186" s="29">
        <f t="shared" si="126"/>
        <v>-294.97</v>
      </c>
      <c r="J186" s="29">
        <f t="shared" si="127"/>
        <v>-294.97</v>
      </c>
      <c r="K186" s="29">
        <f t="shared" si="128"/>
        <v>0</v>
      </c>
      <c r="L186" s="37">
        <f t="shared" si="129"/>
        <v>-0.391</v>
      </c>
      <c r="M186" s="27">
        <v>62.37</v>
      </c>
      <c r="N186" s="27">
        <v>67.88</v>
      </c>
      <c r="O186" s="37">
        <f t="shared" si="130"/>
        <v>-0.0812</v>
      </c>
      <c r="P186" s="29">
        <f t="shared" si="131"/>
        <v>52.25</v>
      </c>
      <c r="Q186" s="29">
        <f t="shared" si="132"/>
        <v>78.06</v>
      </c>
      <c r="R186" s="29">
        <f t="shared" si="133"/>
        <v>62.37</v>
      </c>
      <c r="S186" s="29">
        <f t="shared" si="134"/>
        <v>47048.81</v>
      </c>
      <c r="T186" s="29">
        <f t="shared" si="135"/>
        <v>28651.53</v>
      </c>
      <c r="U186" s="30">
        <f t="shared" si="136"/>
        <v>28651.53</v>
      </c>
      <c r="V186" s="29">
        <f t="shared" si="137"/>
        <v>-18397.28</v>
      </c>
      <c r="W186" s="30">
        <f t="shared" si="138"/>
        <v>0</v>
      </c>
      <c r="X186" s="41">
        <f t="shared" si="139"/>
        <v>0</v>
      </c>
      <c r="Y186" s="26"/>
      <c r="Z186" s="1"/>
      <c r="AA186" s="1"/>
    </row>
    <row r="187" s="7" customFormat="1" ht="20" customHeight="1" spans="1:27">
      <c r="A187" s="26">
        <v>167</v>
      </c>
      <c r="B187" s="26" t="s">
        <v>928</v>
      </c>
      <c r="C187" s="26" t="s">
        <v>557</v>
      </c>
      <c r="D187" s="26" t="s">
        <v>574</v>
      </c>
      <c r="E187" s="26" t="s">
        <v>32</v>
      </c>
      <c r="F187" s="27">
        <v>2599.236</v>
      </c>
      <c r="G187" s="29">
        <v>1914.88</v>
      </c>
      <c r="H187" s="30">
        <v>1823.69</v>
      </c>
      <c r="I187" s="29">
        <f t="shared" si="126"/>
        <v>-684.36</v>
      </c>
      <c r="J187" s="29">
        <f t="shared" si="127"/>
        <v>-775.55</v>
      </c>
      <c r="K187" s="29">
        <f t="shared" si="128"/>
        <v>-91.19</v>
      </c>
      <c r="L187" s="37">
        <f t="shared" si="129"/>
        <v>-0.2633</v>
      </c>
      <c r="M187" s="27">
        <v>58.27</v>
      </c>
      <c r="N187" s="27">
        <v>63.57</v>
      </c>
      <c r="O187" s="37">
        <f t="shared" si="130"/>
        <v>-0.0834</v>
      </c>
      <c r="P187" s="29">
        <f t="shared" si="131"/>
        <v>48.93</v>
      </c>
      <c r="Q187" s="29">
        <f t="shared" si="132"/>
        <v>73.11</v>
      </c>
      <c r="R187" s="29">
        <f t="shared" si="133"/>
        <v>58.27</v>
      </c>
      <c r="S187" s="29">
        <f t="shared" si="134"/>
        <v>151457.48</v>
      </c>
      <c r="T187" s="29">
        <f t="shared" si="135"/>
        <v>111579.82</v>
      </c>
      <c r="U187" s="30">
        <f t="shared" si="136"/>
        <v>106266.18</v>
      </c>
      <c r="V187" s="29">
        <f t="shared" si="137"/>
        <v>-45191.3</v>
      </c>
      <c r="W187" s="30">
        <f t="shared" si="138"/>
        <v>-5313.64</v>
      </c>
      <c r="X187" s="41">
        <f t="shared" si="139"/>
        <v>-5313.64</v>
      </c>
      <c r="Y187" s="26"/>
      <c r="Z187" s="1"/>
      <c r="AA187" s="1"/>
    </row>
    <row r="188" s="7" customFormat="1" ht="20" customHeight="1" spans="1:27">
      <c r="A188" s="26">
        <v>168</v>
      </c>
      <c r="B188" s="26" t="s">
        <v>929</v>
      </c>
      <c r="C188" s="26" t="s">
        <v>557</v>
      </c>
      <c r="D188" s="26" t="s">
        <v>566</v>
      </c>
      <c r="E188" s="26" t="s">
        <v>32</v>
      </c>
      <c r="F188" s="27">
        <v>17.184</v>
      </c>
      <c r="G188" s="29">
        <v>682.21</v>
      </c>
      <c r="H188" s="30">
        <v>649.72</v>
      </c>
      <c r="I188" s="29">
        <f t="shared" si="126"/>
        <v>665.03</v>
      </c>
      <c r="J188" s="29">
        <f t="shared" si="127"/>
        <v>632.54</v>
      </c>
      <c r="K188" s="29">
        <f t="shared" si="128"/>
        <v>-32.49</v>
      </c>
      <c r="L188" s="37">
        <f t="shared" si="129"/>
        <v>38.7005</v>
      </c>
      <c r="M188" s="27">
        <v>53.08</v>
      </c>
      <c r="N188" s="27">
        <v>57.93</v>
      </c>
      <c r="O188" s="37">
        <f t="shared" si="130"/>
        <v>-0.0837</v>
      </c>
      <c r="P188" s="29">
        <f t="shared" si="131"/>
        <v>44.59</v>
      </c>
      <c r="Q188" s="29">
        <f t="shared" si="132"/>
        <v>66.62</v>
      </c>
      <c r="R188" s="29">
        <f t="shared" si="133"/>
        <v>53.08</v>
      </c>
      <c r="S188" s="29">
        <f t="shared" si="134"/>
        <v>912.13</v>
      </c>
      <c r="T188" s="29">
        <f t="shared" si="135"/>
        <v>36211.92</v>
      </c>
      <c r="U188" s="30">
        <f t="shared" si="136"/>
        <v>34487.35</v>
      </c>
      <c r="V188" s="29">
        <f t="shared" si="137"/>
        <v>33575.22</v>
      </c>
      <c r="W188" s="30">
        <f t="shared" si="138"/>
        <v>-1724.57</v>
      </c>
      <c r="X188" s="41">
        <f t="shared" si="139"/>
        <v>-1724.57</v>
      </c>
      <c r="Y188" s="26"/>
      <c r="Z188" s="1"/>
      <c r="AA188" s="1"/>
    </row>
    <row r="189" s="7" customFormat="1" ht="20" customHeight="1" spans="1:27">
      <c r="A189" s="26">
        <v>169</v>
      </c>
      <c r="B189" s="26" t="s">
        <v>930</v>
      </c>
      <c r="C189" s="26" t="s">
        <v>588</v>
      </c>
      <c r="D189" s="26" t="s">
        <v>931</v>
      </c>
      <c r="E189" s="26" t="s">
        <v>32</v>
      </c>
      <c r="F189" s="27">
        <v>105.36</v>
      </c>
      <c r="G189" s="29">
        <v>60.86</v>
      </c>
      <c r="H189" s="30">
        <v>60.86</v>
      </c>
      <c r="I189" s="29">
        <f t="shared" si="126"/>
        <v>-44.5</v>
      </c>
      <c r="J189" s="29">
        <f t="shared" si="127"/>
        <v>-44.5</v>
      </c>
      <c r="K189" s="29">
        <f t="shared" si="128"/>
        <v>0</v>
      </c>
      <c r="L189" s="37">
        <f t="shared" si="129"/>
        <v>-0.4224</v>
      </c>
      <c r="M189" s="27">
        <v>78.64</v>
      </c>
      <c r="N189" s="27">
        <v>89.79</v>
      </c>
      <c r="O189" s="37">
        <f t="shared" si="130"/>
        <v>-0.1242</v>
      </c>
      <c r="P189" s="29">
        <f t="shared" si="131"/>
        <v>69.12</v>
      </c>
      <c r="Q189" s="29">
        <f t="shared" si="132"/>
        <v>103.26</v>
      </c>
      <c r="R189" s="29">
        <f t="shared" si="133"/>
        <v>78.64</v>
      </c>
      <c r="S189" s="29">
        <f t="shared" si="134"/>
        <v>8285.51</v>
      </c>
      <c r="T189" s="29">
        <f t="shared" si="135"/>
        <v>4786.03</v>
      </c>
      <c r="U189" s="30">
        <f t="shared" si="136"/>
        <v>4786.03</v>
      </c>
      <c r="V189" s="29">
        <f t="shared" si="137"/>
        <v>-3499.48</v>
      </c>
      <c r="W189" s="30">
        <f t="shared" si="138"/>
        <v>0</v>
      </c>
      <c r="X189" s="41">
        <f t="shared" si="139"/>
        <v>0</v>
      </c>
      <c r="Y189" s="26"/>
      <c r="Z189" s="1"/>
      <c r="AA189" s="1"/>
    </row>
    <row r="190" s="7" customFormat="1" ht="20" customHeight="1" spans="1:27">
      <c r="A190" s="26">
        <v>170</v>
      </c>
      <c r="B190" s="26" t="s">
        <v>932</v>
      </c>
      <c r="C190" s="26" t="s">
        <v>588</v>
      </c>
      <c r="D190" s="26" t="s">
        <v>933</v>
      </c>
      <c r="E190" s="26" t="s">
        <v>32</v>
      </c>
      <c r="F190" s="27">
        <v>160.18</v>
      </c>
      <c r="G190" s="29">
        <v>147.26</v>
      </c>
      <c r="H190" s="30">
        <v>147.26</v>
      </c>
      <c r="I190" s="29">
        <f t="shared" si="126"/>
        <v>-12.92</v>
      </c>
      <c r="J190" s="29">
        <f t="shared" si="127"/>
        <v>-12.92</v>
      </c>
      <c r="K190" s="29">
        <f t="shared" si="128"/>
        <v>0</v>
      </c>
      <c r="L190" s="37">
        <f t="shared" si="129"/>
        <v>-0.0807</v>
      </c>
      <c r="M190" s="27">
        <v>74.53</v>
      </c>
      <c r="N190" s="27">
        <v>85.23</v>
      </c>
      <c r="O190" s="37">
        <f t="shared" si="130"/>
        <v>-0.1255</v>
      </c>
      <c r="P190" s="29">
        <f t="shared" si="131"/>
        <v>65.61</v>
      </c>
      <c r="Q190" s="29">
        <f t="shared" si="132"/>
        <v>98.01</v>
      </c>
      <c r="R190" s="29">
        <f t="shared" si="133"/>
        <v>74.53</v>
      </c>
      <c r="S190" s="29">
        <f t="shared" si="134"/>
        <v>11938.22</v>
      </c>
      <c r="T190" s="29">
        <f t="shared" si="135"/>
        <v>10975.29</v>
      </c>
      <c r="U190" s="30">
        <f t="shared" si="136"/>
        <v>10975.29</v>
      </c>
      <c r="V190" s="29">
        <f t="shared" si="137"/>
        <v>-962.93</v>
      </c>
      <c r="W190" s="30">
        <f t="shared" si="138"/>
        <v>0</v>
      </c>
      <c r="X190" s="41">
        <f t="shared" si="139"/>
        <v>0</v>
      </c>
      <c r="Y190" s="26"/>
      <c r="Z190" s="1"/>
      <c r="AA190" s="1"/>
    </row>
    <row r="191" s="7" customFormat="1" ht="20" customHeight="1" spans="1:27">
      <c r="A191" s="26">
        <v>171</v>
      </c>
      <c r="B191" s="26" t="s">
        <v>585</v>
      </c>
      <c r="C191" s="26" t="s">
        <v>112</v>
      </c>
      <c r="D191" s="26" t="s">
        <v>584</v>
      </c>
      <c r="E191" s="26" t="s">
        <v>32</v>
      </c>
      <c r="F191" s="27">
        <v>1955.16</v>
      </c>
      <c r="G191" s="29">
        <v>1955.16</v>
      </c>
      <c r="H191" s="30">
        <v>1689.13</v>
      </c>
      <c r="I191" s="29">
        <f t="shared" si="126"/>
        <v>0</v>
      </c>
      <c r="J191" s="29">
        <f t="shared" si="127"/>
        <v>-266.03</v>
      </c>
      <c r="K191" s="29">
        <f t="shared" si="128"/>
        <v>-266.03</v>
      </c>
      <c r="L191" s="37">
        <f t="shared" si="129"/>
        <v>0</v>
      </c>
      <c r="M191" s="27">
        <v>66.62</v>
      </c>
      <c r="N191" s="27">
        <v>78.81</v>
      </c>
      <c r="O191" s="37">
        <f t="shared" si="130"/>
        <v>-0.1547</v>
      </c>
      <c r="P191" s="29">
        <f t="shared" si="131"/>
        <v>60.66</v>
      </c>
      <c r="Q191" s="29">
        <f t="shared" si="132"/>
        <v>90.63</v>
      </c>
      <c r="R191" s="29">
        <f t="shared" si="133"/>
        <v>66.62</v>
      </c>
      <c r="S191" s="29">
        <f t="shared" si="134"/>
        <v>130252.76</v>
      </c>
      <c r="T191" s="29">
        <f t="shared" si="135"/>
        <v>130252.76</v>
      </c>
      <c r="U191" s="30">
        <f t="shared" si="136"/>
        <v>112529.84</v>
      </c>
      <c r="V191" s="29">
        <f t="shared" si="137"/>
        <v>-17722.92</v>
      </c>
      <c r="W191" s="30">
        <f t="shared" si="138"/>
        <v>-17722.92</v>
      </c>
      <c r="X191" s="41">
        <f t="shared" si="139"/>
        <v>-17722.92</v>
      </c>
      <c r="Y191" s="26"/>
      <c r="Z191" s="1"/>
      <c r="AA191" s="1"/>
    </row>
    <row r="192" s="7" customFormat="1" ht="20" customHeight="1" spans="1:27">
      <c r="A192" s="26">
        <v>172</v>
      </c>
      <c r="B192" s="26" t="s">
        <v>934</v>
      </c>
      <c r="C192" s="26" t="s">
        <v>112</v>
      </c>
      <c r="D192" s="26" t="s">
        <v>935</v>
      </c>
      <c r="E192" s="26" t="s">
        <v>32</v>
      </c>
      <c r="F192" s="27">
        <v>343.48</v>
      </c>
      <c r="G192" s="29">
        <v>343.48</v>
      </c>
      <c r="H192" s="30">
        <v>293.8</v>
      </c>
      <c r="I192" s="29">
        <f t="shared" si="126"/>
        <v>0</v>
      </c>
      <c r="J192" s="29">
        <f t="shared" si="127"/>
        <v>-49.68</v>
      </c>
      <c r="K192" s="29">
        <f t="shared" si="128"/>
        <v>-49.68</v>
      </c>
      <c r="L192" s="37">
        <f t="shared" si="129"/>
        <v>0</v>
      </c>
      <c r="M192" s="27">
        <v>70.72</v>
      </c>
      <c r="N192" s="27">
        <v>83.12</v>
      </c>
      <c r="O192" s="37">
        <f t="shared" si="130"/>
        <v>-0.1492</v>
      </c>
      <c r="P192" s="29">
        <f t="shared" si="131"/>
        <v>63.98</v>
      </c>
      <c r="Q192" s="29">
        <f t="shared" si="132"/>
        <v>95.59</v>
      </c>
      <c r="R192" s="29">
        <f t="shared" si="133"/>
        <v>70.72</v>
      </c>
      <c r="S192" s="29">
        <f t="shared" si="134"/>
        <v>24290.91</v>
      </c>
      <c r="T192" s="29">
        <f t="shared" si="135"/>
        <v>24290.91</v>
      </c>
      <c r="U192" s="30">
        <f t="shared" si="136"/>
        <v>20777.54</v>
      </c>
      <c r="V192" s="29">
        <f t="shared" si="137"/>
        <v>-3513.37</v>
      </c>
      <c r="W192" s="30">
        <f t="shared" si="138"/>
        <v>-3513.37</v>
      </c>
      <c r="X192" s="41">
        <f t="shared" si="139"/>
        <v>-3513.37</v>
      </c>
      <c r="Y192" s="26"/>
      <c r="Z192" s="1"/>
      <c r="AA192" s="1"/>
    </row>
    <row r="193" s="7" customFormat="1" ht="20" customHeight="1" spans="1:27">
      <c r="A193" s="26">
        <v>173</v>
      </c>
      <c r="B193" s="26" t="s">
        <v>936</v>
      </c>
      <c r="C193" s="26" t="s">
        <v>120</v>
      </c>
      <c r="D193" s="26" t="s">
        <v>603</v>
      </c>
      <c r="E193" s="26" t="s">
        <v>32</v>
      </c>
      <c r="F193" s="27">
        <v>1956.61</v>
      </c>
      <c r="G193" s="29">
        <v>2114.52</v>
      </c>
      <c r="H193" s="30">
        <v>2013.47</v>
      </c>
      <c r="I193" s="29">
        <f t="shared" si="126"/>
        <v>157.91</v>
      </c>
      <c r="J193" s="29">
        <f t="shared" si="127"/>
        <v>56.86</v>
      </c>
      <c r="K193" s="29">
        <f t="shared" si="128"/>
        <v>-101.05</v>
      </c>
      <c r="L193" s="37">
        <f t="shared" si="129"/>
        <v>0.0807</v>
      </c>
      <c r="M193" s="27">
        <v>43.27</v>
      </c>
      <c r="N193" s="27">
        <v>45.5</v>
      </c>
      <c r="O193" s="37">
        <f t="shared" si="130"/>
        <v>-0.049</v>
      </c>
      <c r="P193" s="29">
        <f t="shared" si="131"/>
        <v>35.02</v>
      </c>
      <c r="Q193" s="29">
        <f t="shared" si="132"/>
        <v>52.33</v>
      </c>
      <c r="R193" s="29">
        <f t="shared" si="133"/>
        <v>43.27</v>
      </c>
      <c r="S193" s="29">
        <f t="shared" si="134"/>
        <v>84662.51</v>
      </c>
      <c r="T193" s="29">
        <f t="shared" si="135"/>
        <v>91495.28</v>
      </c>
      <c r="U193" s="30">
        <f t="shared" si="136"/>
        <v>87122.84</v>
      </c>
      <c r="V193" s="29">
        <f t="shared" si="137"/>
        <v>2460.33</v>
      </c>
      <c r="W193" s="30">
        <f t="shared" si="138"/>
        <v>-4372.44</v>
      </c>
      <c r="X193" s="41">
        <f t="shared" si="139"/>
        <v>-4372.44</v>
      </c>
      <c r="Y193" s="26"/>
      <c r="Z193" s="1"/>
      <c r="AA193" s="1"/>
    </row>
    <row r="194" s="7" customFormat="1" ht="20" customHeight="1" spans="1:27">
      <c r="A194" s="26">
        <v>174</v>
      </c>
      <c r="B194" s="26" t="s">
        <v>937</v>
      </c>
      <c r="C194" s="26" t="s">
        <v>120</v>
      </c>
      <c r="D194" s="26" t="s">
        <v>938</v>
      </c>
      <c r="E194" s="26" t="s">
        <v>32</v>
      </c>
      <c r="F194" s="27">
        <v>421.32</v>
      </c>
      <c r="G194" s="29">
        <v>418.14</v>
      </c>
      <c r="H194" s="30">
        <v>398.23</v>
      </c>
      <c r="I194" s="29">
        <f t="shared" si="126"/>
        <v>-3.18</v>
      </c>
      <c r="J194" s="29">
        <f t="shared" si="127"/>
        <v>-23.09</v>
      </c>
      <c r="K194" s="29">
        <f t="shared" si="128"/>
        <v>-19.91</v>
      </c>
      <c r="L194" s="37">
        <f t="shared" si="129"/>
        <v>-0.0075</v>
      </c>
      <c r="M194" s="27">
        <v>45.51</v>
      </c>
      <c r="N194" s="27">
        <v>47.89</v>
      </c>
      <c r="O194" s="37">
        <f t="shared" si="130"/>
        <v>-0.0497</v>
      </c>
      <c r="P194" s="29">
        <f t="shared" si="131"/>
        <v>36.86</v>
      </c>
      <c r="Q194" s="29">
        <f t="shared" si="132"/>
        <v>55.07</v>
      </c>
      <c r="R194" s="29">
        <f t="shared" si="133"/>
        <v>45.51</v>
      </c>
      <c r="S194" s="29">
        <f t="shared" si="134"/>
        <v>19174.27</v>
      </c>
      <c r="T194" s="29">
        <f t="shared" si="135"/>
        <v>19029.55</v>
      </c>
      <c r="U194" s="30">
        <f t="shared" si="136"/>
        <v>18123.44</v>
      </c>
      <c r="V194" s="29">
        <f t="shared" si="137"/>
        <v>-1050.83</v>
      </c>
      <c r="W194" s="30">
        <f t="shared" si="138"/>
        <v>-906.11</v>
      </c>
      <c r="X194" s="41">
        <f t="shared" si="139"/>
        <v>-906.11</v>
      </c>
      <c r="Y194" s="26"/>
      <c r="Z194" s="1"/>
      <c r="AA194" s="1"/>
    </row>
    <row r="195" s="7" customFormat="1" ht="20" customHeight="1" spans="1:27">
      <c r="A195" s="26">
        <v>175</v>
      </c>
      <c r="B195" s="26" t="s">
        <v>617</v>
      </c>
      <c r="C195" s="26" t="s">
        <v>115</v>
      </c>
      <c r="D195" s="26" t="s">
        <v>939</v>
      </c>
      <c r="E195" s="26" t="s">
        <v>32</v>
      </c>
      <c r="F195" s="27">
        <v>1188.2744</v>
      </c>
      <c r="G195" s="29">
        <v>1340.7</v>
      </c>
      <c r="H195" s="30">
        <v>1276.86</v>
      </c>
      <c r="I195" s="29">
        <f t="shared" si="126"/>
        <v>152.43</v>
      </c>
      <c r="J195" s="29">
        <f t="shared" si="127"/>
        <v>88.59</v>
      </c>
      <c r="K195" s="29">
        <f t="shared" si="128"/>
        <v>-63.84</v>
      </c>
      <c r="L195" s="37">
        <f t="shared" si="129"/>
        <v>0.1283</v>
      </c>
      <c r="M195" s="27">
        <v>67.34</v>
      </c>
      <c r="N195" s="27">
        <v>87.18</v>
      </c>
      <c r="O195" s="37">
        <f t="shared" si="130"/>
        <v>-0.2276</v>
      </c>
      <c r="P195" s="29">
        <f t="shared" si="131"/>
        <v>67.11</v>
      </c>
      <c r="Q195" s="29">
        <f t="shared" si="132"/>
        <v>100.26</v>
      </c>
      <c r="R195" s="29">
        <f t="shared" si="133"/>
        <v>67.34</v>
      </c>
      <c r="S195" s="29">
        <f t="shared" si="134"/>
        <v>80018.4</v>
      </c>
      <c r="T195" s="29">
        <f t="shared" si="135"/>
        <v>90283.04</v>
      </c>
      <c r="U195" s="30">
        <f t="shared" si="136"/>
        <v>85984.05</v>
      </c>
      <c r="V195" s="29">
        <f t="shared" si="137"/>
        <v>5965.65</v>
      </c>
      <c r="W195" s="30">
        <f t="shared" si="138"/>
        <v>-4298.99</v>
      </c>
      <c r="X195" s="41">
        <f t="shared" si="139"/>
        <v>-4298.99</v>
      </c>
      <c r="Y195" s="26"/>
      <c r="Z195" s="1"/>
      <c r="AA195" s="1"/>
    </row>
    <row r="196" s="7" customFormat="1" ht="20" customHeight="1" spans="1:27">
      <c r="A196" s="26">
        <v>176</v>
      </c>
      <c r="B196" s="26" t="s">
        <v>619</v>
      </c>
      <c r="C196" s="26" t="s">
        <v>115</v>
      </c>
      <c r="D196" s="26" t="s">
        <v>611</v>
      </c>
      <c r="E196" s="26" t="s">
        <v>32</v>
      </c>
      <c r="F196" s="27">
        <v>6368.315</v>
      </c>
      <c r="G196" s="29">
        <v>6572.67</v>
      </c>
      <c r="H196" s="30">
        <f>8032.06-H197</f>
        <v>6171.07</v>
      </c>
      <c r="I196" s="29">
        <f t="shared" si="126"/>
        <v>204.36</v>
      </c>
      <c r="J196" s="29">
        <f t="shared" si="127"/>
        <v>-197.25</v>
      </c>
      <c r="K196" s="29">
        <f t="shared" si="128"/>
        <v>-401.6</v>
      </c>
      <c r="L196" s="37">
        <f t="shared" si="129"/>
        <v>0.0321</v>
      </c>
      <c r="M196" s="27">
        <v>59.25</v>
      </c>
      <c r="N196" s="27">
        <v>63.21</v>
      </c>
      <c r="O196" s="37">
        <f t="shared" si="130"/>
        <v>-0.0626</v>
      </c>
      <c r="P196" s="29">
        <f t="shared" si="131"/>
        <v>48.66</v>
      </c>
      <c r="Q196" s="29">
        <f t="shared" si="132"/>
        <v>72.69</v>
      </c>
      <c r="R196" s="29">
        <f t="shared" si="133"/>
        <v>59.25</v>
      </c>
      <c r="S196" s="29">
        <f t="shared" si="134"/>
        <v>377322.66</v>
      </c>
      <c r="T196" s="29">
        <f t="shared" si="135"/>
        <v>389430.99</v>
      </c>
      <c r="U196" s="30">
        <f t="shared" si="136"/>
        <v>365635.6</v>
      </c>
      <c r="V196" s="29">
        <f t="shared" si="137"/>
        <v>-11687.06</v>
      </c>
      <c r="W196" s="30">
        <f t="shared" si="138"/>
        <v>-23795.39</v>
      </c>
      <c r="X196" s="41">
        <f t="shared" si="139"/>
        <v>-23795.39</v>
      </c>
      <c r="Y196" s="26"/>
      <c r="Z196" s="1"/>
      <c r="AA196" s="1"/>
    </row>
    <row r="197" s="7" customFormat="1" ht="20" customHeight="1" spans="1:27">
      <c r="A197" s="26">
        <v>177</v>
      </c>
      <c r="B197" s="26" t="s">
        <v>940</v>
      </c>
      <c r="C197" s="26" t="s">
        <v>118</v>
      </c>
      <c r="D197" s="26" t="s">
        <v>611</v>
      </c>
      <c r="E197" s="26" t="s">
        <v>32</v>
      </c>
      <c r="F197" s="27">
        <v>1772.374</v>
      </c>
      <c r="G197" s="29">
        <v>1860.99</v>
      </c>
      <c r="H197" s="30">
        <v>1860.99</v>
      </c>
      <c r="I197" s="29">
        <f t="shared" si="126"/>
        <v>88.62</v>
      </c>
      <c r="J197" s="29">
        <f t="shared" si="127"/>
        <v>88.62</v>
      </c>
      <c r="K197" s="29">
        <f t="shared" si="128"/>
        <v>0</v>
      </c>
      <c r="L197" s="37">
        <f t="shared" si="129"/>
        <v>0.05</v>
      </c>
      <c r="M197" s="27">
        <v>59.25</v>
      </c>
      <c r="N197" s="27">
        <v>72.38</v>
      </c>
      <c r="O197" s="37">
        <f t="shared" si="130"/>
        <v>-0.1814</v>
      </c>
      <c r="P197" s="29">
        <f t="shared" si="131"/>
        <v>55.72</v>
      </c>
      <c r="Q197" s="29">
        <f t="shared" si="132"/>
        <v>83.24</v>
      </c>
      <c r="R197" s="29">
        <f t="shared" si="133"/>
        <v>59.25</v>
      </c>
      <c r="S197" s="29">
        <f t="shared" si="134"/>
        <v>105013.16</v>
      </c>
      <c r="T197" s="29">
        <f t="shared" si="135"/>
        <v>110263.9</v>
      </c>
      <c r="U197" s="30">
        <f t="shared" si="136"/>
        <v>110263.9</v>
      </c>
      <c r="V197" s="29">
        <f t="shared" si="137"/>
        <v>5250.74</v>
      </c>
      <c r="W197" s="30">
        <f t="shared" si="138"/>
        <v>0</v>
      </c>
      <c r="X197" s="41">
        <f t="shared" si="139"/>
        <v>0</v>
      </c>
      <c r="Y197" s="26"/>
      <c r="Z197" s="1"/>
      <c r="AA197" s="1"/>
    </row>
    <row r="198" s="7" customFormat="1" ht="20" customHeight="1" spans="1:27">
      <c r="A198" s="26">
        <v>178</v>
      </c>
      <c r="B198" s="26" t="s">
        <v>941</v>
      </c>
      <c r="C198" s="26" t="s">
        <v>633</v>
      </c>
      <c r="D198" s="26" t="s">
        <v>942</v>
      </c>
      <c r="E198" s="26" t="s">
        <v>32</v>
      </c>
      <c r="F198" s="27">
        <v>1534.1</v>
      </c>
      <c r="G198" s="29">
        <v>1554.47</v>
      </c>
      <c r="H198" s="30">
        <v>1480.28</v>
      </c>
      <c r="I198" s="29">
        <f t="shared" si="126"/>
        <v>20.37</v>
      </c>
      <c r="J198" s="29">
        <f t="shared" si="127"/>
        <v>-53.82</v>
      </c>
      <c r="K198" s="29">
        <f t="shared" si="128"/>
        <v>-74.19</v>
      </c>
      <c r="L198" s="37">
        <f t="shared" si="129"/>
        <v>0.0133</v>
      </c>
      <c r="M198" s="27">
        <v>69.21</v>
      </c>
      <c r="N198" s="27">
        <v>86.96</v>
      </c>
      <c r="O198" s="37">
        <f t="shared" si="130"/>
        <v>-0.2041</v>
      </c>
      <c r="P198" s="29">
        <f t="shared" si="131"/>
        <v>66.94</v>
      </c>
      <c r="Q198" s="29">
        <f t="shared" si="132"/>
        <v>100</v>
      </c>
      <c r="R198" s="29">
        <f t="shared" si="133"/>
        <v>69.21</v>
      </c>
      <c r="S198" s="29">
        <f t="shared" si="134"/>
        <v>106175.06</v>
      </c>
      <c r="T198" s="29">
        <f t="shared" si="135"/>
        <v>107584.87</v>
      </c>
      <c r="U198" s="30">
        <f t="shared" si="136"/>
        <v>102450.18</v>
      </c>
      <c r="V198" s="29">
        <f t="shared" si="137"/>
        <v>-3724.88</v>
      </c>
      <c r="W198" s="30">
        <f t="shared" si="138"/>
        <v>-5134.69</v>
      </c>
      <c r="X198" s="41">
        <f t="shared" si="139"/>
        <v>-5134.69</v>
      </c>
      <c r="Y198" s="26"/>
      <c r="Z198" s="1"/>
      <c r="AA198" s="1"/>
    </row>
    <row r="199" s="7" customFormat="1" ht="20" customHeight="1" spans="1:27">
      <c r="A199" s="26">
        <v>179</v>
      </c>
      <c r="B199" s="26" t="s">
        <v>943</v>
      </c>
      <c r="C199" s="26" t="s">
        <v>633</v>
      </c>
      <c r="D199" s="26" t="s">
        <v>944</v>
      </c>
      <c r="E199" s="26" t="s">
        <v>32</v>
      </c>
      <c r="F199" s="27">
        <v>31.648</v>
      </c>
      <c r="G199" s="29">
        <v>31.17</v>
      </c>
      <c r="H199" s="30">
        <v>29.68</v>
      </c>
      <c r="I199" s="29">
        <f t="shared" si="126"/>
        <v>-0.48</v>
      </c>
      <c r="J199" s="29">
        <f t="shared" si="127"/>
        <v>-1.97</v>
      </c>
      <c r="K199" s="29">
        <f t="shared" si="128"/>
        <v>-1.49</v>
      </c>
      <c r="L199" s="37">
        <f t="shared" si="129"/>
        <v>-0.0152</v>
      </c>
      <c r="M199" s="27">
        <v>75.32</v>
      </c>
      <c r="N199" s="27">
        <v>79.58</v>
      </c>
      <c r="O199" s="37">
        <f t="shared" si="130"/>
        <v>-0.0535</v>
      </c>
      <c r="P199" s="29">
        <f t="shared" si="131"/>
        <v>61.26</v>
      </c>
      <c r="Q199" s="29">
        <f t="shared" si="132"/>
        <v>91.52</v>
      </c>
      <c r="R199" s="29">
        <f t="shared" si="133"/>
        <v>75.32</v>
      </c>
      <c r="S199" s="29">
        <f t="shared" si="134"/>
        <v>2383.73</v>
      </c>
      <c r="T199" s="29">
        <f t="shared" si="135"/>
        <v>2347.58</v>
      </c>
      <c r="U199" s="30">
        <f t="shared" si="136"/>
        <v>2235.35</v>
      </c>
      <c r="V199" s="29">
        <f t="shared" si="137"/>
        <v>-148.38</v>
      </c>
      <c r="W199" s="30">
        <f t="shared" si="138"/>
        <v>-112.23</v>
      </c>
      <c r="X199" s="41">
        <f t="shared" si="139"/>
        <v>-112.23</v>
      </c>
      <c r="Y199" s="26"/>
      <c r="Z199" s="1"/>
      <c r="AA199" s="1"/>
    </row>
    <row r="200" s="7" customFormat="1" ht="20" customHeight="1" spans="1:27">
      <c r="A200" s="26">
        <v>180</v>
      </c>
      <c r="B200" s="26" t="s">
        <v>945</v>
      </c>
      <c r="C200" s="26" t="s">
        <v>633</v>
      </c>
      <c r="D200" s="26" t="s">
        <v>634</v>
      </c>
      <c r="E200" s="26" t="s">
        <v>32</v>
      </c>
      <c r="F200" s="27">
        <v>7386.904</v>
      </c>
      <c r="G200" s="29">
        <v>8480.66</v>
      </c>
      <c r="H200" s="30">
        <v>8076.15</v>
      </c>
      <c r="I200" s="29">
        <f t="shared" si="126"/>
        <v>1093.76</v>
      </c>
      <c r="J200" s="29">
        <f t="shared" si="127"/>
        <v>689.25</v>
      </c>
      <c r="K200" s="29">
        <f t="shared" si="128"/>
        <v>-404.51</v>
      </c>
      <c r="L200" s="37">
        <f t="shared" si="129"/>
        <v>0.1481</v>
      </c>
      <c r="M200" s="27">
        <v>61.79</v>
      </c>
      <c r="N200" s="27">
        <v>65.84</v>
      </c>
      <c r="O200" s="37">
        <f t="shared" si="130"/>
        <v>-0.0615</v>
      </c>
      <c r="P200" s="29">
        <f t="shared" si="131"/>
        <v>50.68</v>
      </c>
      <c r="Q200" s="29">
        <f t="shared" si="132"/>
        <v>75.72</v>
      </c>
      <c r="R200" s="29">
        <f t="shared" si="133"/>
        <v>61.79</v>
      </c>
      <c r="S200" s="29">
        <f t="shared" si="134"/>
        <v>456436.8</v>
      </c>
      <c r="T200" s="29">
        <f t="shared" si="135"/>
        <v>524020.23</v>
      </c>
      <c r="U200" s="30">
        <f t="shared" si="136"/>
        <v>499025.56</v>
      </c>
      <c r="V200" s="29">
        <f t="shared" si="137"/>
        <v>42588.76</v>
      </c>
      <c r="W200" s="30">
        <f t="shared" si="138"/>
        <v>-24994.67</v>
      </c>
      <c r="X200" s="41">
        <f t="shared" si="139"/>
        <v>-24994.67</v>
      </c>
      <c r="Y200" s="26"/>
      <c r="Z200" s="1"/>
      <c r="AA200" s="1"/>
    </row>
    <row r="201" s="7" customFormat="1" ht="20" customHeight="1" spans="1:27">
      <c r="A201" s="26">
        <v>181</v>
      </c>
      <c r="B201" s="26" t="s">
        <v>946</v>
      </c>
      <c r="C201" s="26" t="s">
        <v>633</v>
      </c>
      <c r="D201" s="26" t="s">
        <v>643</v>
      </c>
      <c r="E201" s="26" t="s">
        <v>32</v>
      </c>
      <c r="F201" s="27">
        <v>523.652</v>
      </c>
      <c r="G201" s="29">
        <v>550.6</v>
      </c>
      <c r="H201" s="30">
        <v>524.38</v>
      </c>
      <c r="I201" s="29">
        <f t="shared" si="126"/>
        <v>26.95</v>
      </c>
      <c r="J201" s="29">
        <f t="shared" si="127"/>
        <v>0.73</v>
      </c>
      <c r="K201" s="29">
        <f t="shared" si="128"/>
        <v>-26.22</v>
      </c>
      <c r="L201" s="37">
        <f t="shared" si="129"/>
        <v>0.0515</v>
      </c>
      <c r="M201" s="27">
        <v>67.9</v>
      </c>
      <c r="N201" s="27">
        <v>72.21</v>
      </c>
      <c r="O201" s="37">
        <f t="shared" si="130"/>
        <v>-0.0597</v>
      </c>
      <c r="P201" s="29">
        <f t="shared" si="131"/>
        <v>55.58</v>
      </c>
      <c r="Q201" s="29">
        <f t="shared" si="132"/>
        <v>83.04</v>
      </c>
      <c r="R201" s="29">
        <f t="shared" si="133"/>
        <v>67.9</v>
      </c>
      <c r="S201" s="29">
        <f t="shared" si="134"/>
        <v>35555.97</v>
      </c>
      <c r="T201" s="29">
        <f t="shared" si="135"/>
        <v>37385.88</v>
      </c>
      <c r="U201" s="30">
        <f t="shared" si="136"/>
        <v>35605.54</v>
      </c>
      <c r="V201" s="29">
        <f t="shared" si="137"/>
        <v>49.57</v>
      </c>
      <c r="W201" s="30">
        <f t="shared" si="138"/>
        <v>-1780.34</v>
      </c>
      <c r="X201" s="41">
        <f t="shared" si="139"/>
        <v>-1780.34</v>
      </c>
      <c r="Y201" s="26"/>
      <c r="Z201" s="1"/>
      <c r="AA201" s="1"/>
    </row>
    <row r="202" s="7" customFormat="1" ht="20" customHeight="1" spans="1:27">
      <c r="A202" s="26">
        <v>182</v>
      </c>
      <c r="B202" s="26" t="s">
        <v>947</v>
      </c>
      <c r="C202" s="26" t="s">
        <v>624</v>
      </c>
      <c r="D202" s="26" t="s">
        <v>634</v>
      </c>
      <c r="E202" s="26" t="s">
        <v>32</v>
      </c>
      <c r="F202" s="27">
        <v>1014.696</v>
      </c>
      <c r="G202" s="29">
        <v>488.32</v>
      </c>
      <c r="H202" s="30">
        <v>465.07</v>
      </c>
      <c r="I202" s="29">
        <f t="shared" si="126"/>
        <v>-526.38</v>
      </c>
      <c r="J202" s="29">
        <f t="shared" si="127"/>
        <v>-549.63</v>
      </c>
      <c r="K202" s="29">
        <f t="shared" si="128"/>
        <v>-23.25</v>
      </c>
      <c r="L202" s="37">
        <f t="shared" si="129"/>
        <v>-0.5188</v>
      </c>
      <c r="M202" s="27">
        <v>61.79</v>
      </c>
      <c r="N202" s="27">
        <v>76.23</v>
      </c>
      <c r="O202" s="37">
        <f t="shared" si="130"/>
        <v>-0.1894</v>
      </c>
      <c r="P202" s="29">
        <f t="shared" si="131"/>
        <v>58.68</v>
      </c>
      <c r="Q202" s="29">
        <f t="shared" si="132"/>
        <v>87.66</v>
      </c>
      <c r="R202" s="29">
        <f t="shared" si="133"/>
        <v>61.79</v>
      </c>
      <c r="S202" s="29">
        <f t="shared" si="134"/>
        <v>62698.07</v>
      </c>
      <c r="T202" s="29">
        <f t="shared" si="135"/>
        <v>30173.05</v>
      </c>
      <c r="U202" s="30">
        <f t="shared" si="136"/>
        <v>28736.43</v>
      </c>
      <c r="V202" s="29">
        <f t="shared" si="137"/>
        <v>-33961.64</v>
      </c>
      <c r="W202" s="30">
        <f t="shared" si="138"/>
        <v>-1436.62</v>
      </c>
      <c r="X202" s="41">
        <f t="shared" si="139"/>
        <v>-1436.62</v>
      </c>
      <c r="Y202" s="26"/>
      <c r="Z202" s="1"/>
      <c r="AA202" s="1"/>
    </row>
    <row r="203" s="7" customFormat="1" ht="20" customHeight="1" spans="1:27">
      <c r="A203" s="26">
        <v>183</v>
      </c>
      <c r="B203" s="26" t="s">
        <v>948</v>
      </c>
      <c r="C203" s="26" t="s">
        <v>664</v>
      </c>
      <c r="D203" s="26" t="s">
        <v>665</v>
      </c>
      <c r="E203" s="26" t="s">
        <v>32</v>
      </c>
      <c r="F203" s="27">
        <v>1556.026</v>
      </c>
      <c r="G203" s="29">
        <v>1035.73</v>
      </c>
      <c r="H203" s="30">
        <v>1035.73</v>
      </c>
      <c r="I203" s="29">
        <f t="shared" si="126"/>
        <v>-520.3</v>
      </c>
      <c r="J203" s="29">
        <f t="shared" si="127"/>
        <v>-520.3</v>
      </c>
      <c r="K203" s="29">
        <f t="shared" si="128"/>
        <v>0</v>
      </c>
      <c r="L203" s="37">
        <f t="shared" si="129"/>
        <v>-0.3344</v>
      </c>
      <c r="M203" s="27">
        <v>69.35</v>
      </c>
      <c r="N203" s="27">
        <v>74.27</v>
      </c>
      <c r="O203" s="37">
        <f t="shared" si="130"/>
        <v>-0.0662</v>
      </c>
      <c r="P203" s="29">
        <f t="shared" si="131"/>
        <v>57.17</v>
      </c>
      <c r="Q203" s="29">
        <f t="shared" si="132"/>
        <v>85.41</v>
      </c>
      <c r="R203" s="29">
        <f t="shared" si="133"/>
        <v>69.35</v>
      </c>
      <c r="S203" s="29">
        <f t="shared" si="134"/>
        <v>107910.4</v>
      </c>
      <c r="T203" s="29">
        <f t="shared" si="135"/>
        <v>71827.6</v>
      </c>
      <c r="U203" s="30">
        <f t="shared" si="136"/>
        <v>71827.6</v>
      </c>
      <c r="V203" s="29">
        <f t="shared" si="137"/>
        <v>-36082.8</v>
      </c>
      <c r="W203" s="30">
        <f t="shared" si="138"/>
        <v>0</v>
      </c>
      <c r="X203" s="41">
        <f t="shared" si="139"/>
        <v>0</v>
      </c>
      <c r="Y203" s="26"/>
      <c r="Z203" s="1"/>
      <c r="AA203" s="1"/>
    </row>
    <row r="204" s="7" customFormat="1" ht="20" customHeight="1" spans="1:27">
      <c r="A204" s="26">
        <v>184</v>
      </c>
      <c r="B204" s="26" t="s">
        <v>949</v>
      </c>
      <c r="C204" s="26" t="s">
        <v>141</v>
      </c>
      <c r="D204" s="26" t="s">
        <v>667</v>
      </c>
      <c r="E204" s="26" t="s">
        <v>32</v>
      </c>
      <c r="F204" s="27">
        <v>357.9</v>
      </c>
      <c r="G204" s="29">
        <v>1595.69</v>
      </c>
      <c r="H204" s="30">
        <v>1595.69</v>
      </c>
      <c r="I204" s="29">
        <f t="shared" si="126"/>
        <v>1237.79</v>
      </c>
      <c r="J204" s="29">
        <f t="shared" si="127"/>
        <v>1237.79</v>
      </c>
      <c r="K204" s="29">
        <f t="shared" si="128"/>
        <v>0</v>
      </c>
      <c r="L204" s="37">
        <f t="shared" si="129"/>
        <v>3.4585</v>
      </c>
      <c r="M204" s="27">
        <v>64.39</v>
      </c>
      <c r="N204" s="27">
        <v>69.66</v>
      </c>
      <c r="O204" s="37">
        <f t="shared" si="130"/>
        <v>-0.0757</v>
      </c>
      <c r="P204" s="29">
        <f t="shared" si="131"/>
        <v>53.62</v>
      </c>
      <c r="Q204" s="29">
        <f t="shared" si="132"/>
        <v>80.11</v>
      </c>
      <c r="R204" s="29">
        <f t="shared" si="133"/>
        <v>64.39</v>
      </c>
      <c r="S204" s="29">
        <f t="shared" si="134"/>
        <v>23045.18</v>
      </c>
      <c r="T204" s="29">
        <f t="shared" si="135"/>
        <v>102746.48</v>
      </c>
      <c r="U204" s="30">
        <f t="shared" si="136"/>
        <v>102746.48</v>
      </c>
      <c r="V204" s="29">
        <f t="shared" si="137"/>
        <v>79701.3</v>
      </c>
      <c r="W204" s="30">
        <f t="shared" si="138"/>
        <v>0</v>
      </c>
      <c r="X204" s="41">
        <f t="shared" si="139"/>
        <v>0</v>
      </c>
      <c r="Y204" s="26"/>
      <c r="Z204" s="1"/>
      <c r="AA204" s="1"/>
    </row>
    <row r="205" s="7" customFormat="1" ht="20" customHeight="1" spans="1:27">
      <c r="A205" s="26">
        <v>185</v>
      </c>
      <c r="B205" s="26" t="s">
        <v>671</v>
      </c>
      <c r="C205" s="26" t="s">
        <v>133</v>
      </c>
      <c r="D205" s="26" t="s">
        <v>950</v>
      </c>
      <c r="E205" s="26" t="s">
        <v>32</v>
      </c>
      <c r="F205" s="27">
        <v>426</v>
      </c>
      <c r="G205" s="29">
        <v>426</v>
      </c>
      <c r="H205" s="30">
        <v>226.27</v>
      </c>
      <c r="I205" s="29">
        <f t="shared" si="126"/>
        <v>0</v>
      </c>
      <c r="J205" s="29">
        <f t="shared" si="127"/>
        <v>-199.73</v>
      </c>
      <c r="K205" s="29">
        <f t="shared" si="128"/>
        <v>-199.73</v>
      </c>
      <c r="L205" s="37">
        <f t="shared" si="129"/>
        <v>0</v>
      </c>
      <c r="M205" s="27">
        <v>48.71</v>
      </c>
      <c r="N205" s="27">
        <v>69.5</v>
      </c>
      <c r="O205" s="37">
        <f t="shared" si="130"/>
        <v>-0.2991</v>
      </c>
      <c r="P205" s="29">
        <f t="shared" si="131"/>
        <v>53.5</v>
      </c>
      <c r="Q205" s="29">
        <f t="shared" si="132"/>
        <v>79.93</v>
      </c>
      <c r="R205" s="29">
        <f t="shared" si="133"/>
        <v>53.5</v>
      </c>
      <c r="S205" s="29">
        <f t="shared" si="134"/>
        <v>20750.46</v>
      </c>
      <c r="T205" s="29">
        <f t="shared" si="135"/>
        <v>20750.46</v>
      </c>
      <c r="U205" s="30">
        <f t="shared" si="136"/>
        <v>10064.91</v>
      </c>
      <c r="V205" s="29">
        <f t="shared" si="137"/>
        <v>-10685.55</v>
      </c>
      <c r="W205" s="30">
        <f t="shared" si="138"/>
        <v>-10685.55</v>
      </c>
      <c r="X205" s="41">
        <f t="shared" si="139"/>
        <v>-10685.55</v>
      </c>
      <c r="Y205" s="26"/>
      <c r="Z205" s="1"/>
      <c r="AA205" s="1"/>
    </row>
    <row r="206" s="7" customFormat="1" ht="20" customHeight="1" spans="1:27">
      <c r="A206" s="26">
        <v>186</v>
      </c>
      <c r="B206" s="26" t="s">
        <v>951</v>
      </c>
      <c r="C206" s="26" t="s">
        <v>138</v>
      </c>
      <c r="D206" s="26" t="s">
        <v>952</v>
      </c>
      <c r="E206" s="26" t="s">
        <v>32</v>
      </c>
      <c r="F206" s="27">
        <v>151.22</v>
      </c>
      <c r="G206" s="29">
        <v>151.22</v>
      </c>
      <c r="H206" s="30">
        <v>103.99</v>
      </c>
      <c r="I206" s="29">
        <f t="shared" si="126"/>
        <v>0</v>
      </c>
      <c r="J206" s="29">
        <f t="shared" si="127"/>
        <v>-47.23</v>
      </c>
      <c r="K206" s="29">
        <f t="shared" si="128"/>
        <v>-47.23</v>
      </c>
      <c r="L206" s="37">
        <f t="shared" si="129"/>
        <v>0</v>
      </c>
      <c r="M206" s="27">
        <v>48.71</v>
      </c>
      <c r="N206" s="27">
        <v>69.5</v>
      </c>
      <c r="O206" s="37">
        <f t="shared" si="130"/>
        <v>-0.2991</v>
      </c>
      <c r="P206" s="29">
        <f t="shared" si="131"/>
        <v>53.5</v>
      </c>
      <c r="Q206" s="29">
        <f t="shared" si="132"/>
        <v>79.93</v>
      </c>
      <c r="R206" s="29">
        <f t="shared" si="133"/>
        <v>53.5</v>
      </c>
      <c r="S206" s="29">
        <f t="shared" si="134"/>
        <v>7365.93</v>
      </c>
      <c r="T206" s="29">
        <f t="shared" si="135"/>
        <v>7365.93</v>
      </c>
      <c r="U206" s="30">
        <f t="shared" si="136"/>
        <v>4839.13</v>
      </c>
      <c r="V206" s="29">
        <f t="shared" si="137"/>
        <v>-2526.8</v>
      </c>
      <c r="W206" s="30">
        <f t="shared" si="138"/>
        <v>-2526.8</v>
      </c>
      <c r="X206" s="41">
        <f t="shared" si="139"/>
        <v>-2526.8</v>
      </c>
      <c r="Y206" s="26"/>
      <c r="Z206" s="1"/>
      <c r="AA206" s="1"/>
    </row>
    <row r="207" s="7" customFormat="1" ht="20" customHeight="1" spans="1:27">
      <c r="A207" s="26">
        <v>187</v>
      </c>
      <c r="B207" s="26" t="s">
        <v>953</v>
      </c>
      <c r="C207" s="26" t="s">
        <v>954</v>
      </c>
      <c r="D207" s="26" t="s">
        <v>955</v>
      </c>
      <c r="E207" s="26" t="s">
        <v>32</v>
      </c>
      <c r="F207" s="27">
        <v>181.06</v>
      </c>
      <c r="G207" s="29">
        <v>308.44</v>
      </c>
      <c r="H207" s="30">
        <v>308.44</v>
      </c>
      <c r="I207" s="29">
        <f t="shared" si="126"/>
        <v>127.38</v>
      </c>
      <c r="J207" s="29">
        <f t="shared" si="127"/>
        <v>127.38</v>
      </c>
      <c r="K207" s="29">
        <f t="shared" si="128"/>
        <v>0</v>
      </c>
      <c r="L207" s="37">
        <f t="shared" si="129"/>
        <v>0.7035</v>
      </c>
      <c r="M207" s="27">
        <v>64.39</v>
      </c>
      <c r="N207" s="27">
        <v>69.5</v>
      </c>
      <c r="O207" s="37">
        <f t="shared" si="130"/>
        <v>-0.0735</v>
      </c>
      <c r="P207" s="29">
        <f t="shared" si="131"/>
        <v>53.5</v>
      </c>
      <c r="Q207" s="29">
        <f t="shared" si="132"/>
        <v>79.93</v>
      </c>
      <c r="R207" s="29">
        <f t="shared" si="133"/>
        <v>64.39</v>
      </c>
      <c r="S207" s="29">
        <f t="shared" si="134"/>
        <v>11658.45</v>
      </c>
      <c r="T207" s="29">
        <f t="shared" si="135"/>
        <v>19860.45</v>
      </c>
      <c r="U207" s="30">
        <f t="shared" si="136"/>
        <v>19860.45</v>
      </c>
      <c r="V207" s="29">
        <f t="shared" si="137"/>
        <v>8202</v>
      </c>
      <c r="W207" s="30">
        <f t="shared" si="138"/>
        <v>0</v>
      </c>
      <c r="X207" s="41">
        <f t="shared" si="139"/>
        <v>0</v>
      </c>
      <c r="Y207" s="26"/>
      <c r="Z207" s="1"/>
      <c r="AA207" s="1"/>
    </row>
    <row r="208" s="7" customFormat="1" ht="20" customHeight="1" spans="1:27">
      <c r="A208" s="26">
        <v>188</v>
      </c>
      <c r="B208" s="26" t="s">
        <v>956</v>
      </c>
      <c r="C208" s="26" t="s">
        <v>675</v>
      </c>
      <c r="D208" s="26" t="s">
        <v>676</v>
      </c>
      <c r="E208" s="26" t="s">
        <v>32</v>
      </c>
      <c r="F208" s="27">
        <v>579.55</v>
      </c>
      <c r="G208" s="29">
        <v>540.67</v>
      </c>
      <c r="H208" s="30">
        <v>514.92</v>
      </c>
      <c r="I208" s="29">
        <f t="shared" si="126"/>
        <v>-38.88</v>
      </c>
      <c r="J208" s="29">
        <f t="shared" si="127"/>
        <v>-64.63</v>
      </c>
      <c r="K208" s="29">
        <f t="shared" si="128"/>
        <v>-25.75</v>
      </c>
      <c r="L208" s="37">
        <f t="shared" si="129"/>
        <v>-0.0671</v>
      </c>
      <c r="M208" s="27">
        <v>174.23</v>
      </c>
      <c r="N208" s="27">
        <v>190.32</v>
      </c>
      <c r="O208" s="37">
        <f t="shared" si="130"/>
        <v>-0.0845</v>
      </c>
      <c r="P208" s="29">
        <f t="shared" si="131"/>
        <v>146.5</v>
      </c>
      <c r="Q208" s="29">
        <f t="shared" si="132"/>
        <v>218.87</v>
      </c>
      <c r="R208" s="29">
        <f t="shared" si="133"/>
        <v>174.23</v>
      </c>
      <c r="S208" s="29">
        <f t="shared" si="134"/>
        <v>100975</v>
      </c>
      <c r="T208" s="29">
        <f t="shared" si="135"/>
        <v>94200.94</v>
      </c>
      <c r="U208" s="30">
        <f t="shared" si="136"/>
        <v>89714.52</v>
      </c>
      <c r="V208" s="29">
        <f t="shared" si="137"/>
        <v>-11260.48</v>
      </c>
      <c r="W208" s="30">
        <f t="shared" si="138"/>
        <v>-4486.42</v>
      </c>
      <c r="X208" s="41">
        <f t="shared" si="139"/>
        <v>-4486.42</v>
      </c>
      <c r="Y208" s="26"/>
      <c r="Z208" s="1"/>
      <c r="AA208" s="1"/>
    </row>
    <row r="209" s="7" customFormat="1" ht="20" customHeight="1" spans="1:27">
      <c r="A209" s="34">
        <v>189</v>
      </c>
      <c r="B209" s="34" t="s">
        <v>957</v>
      </c>
      <c r="C209" s="34" t="s">
        <v>958</v>
      </c>
      <c r="D209" s="34" t="s">
        <v>959</v>
      </c>
      <c r="E209" s="34" t="s">
        <v>37</v>
      </c>
      <c r="F209" s="35">
        <v>130.7376</v>
      </c>
      <c r="G209" s="36">
        <v>361.58</v>
      </c>
      <c r="H209" s="30">
        <v>361.58</v>
      </c>
      <c r="I209" s="36">
        <f t="shared" si="126"/>
        <v>230.84</v>
      </c>
      <c r="J209" s="36">
        <f t="shared" si="127"/>
        <v>230.84</v>
      </c>
      <c r="K209" s="36">
        <f t="shared" si="128"/>
        <v>0</v>
      </c>
      <c r="L209" s="39">
        <f t="shared" si="129"/>
        <v>1.7657</v>
      </c>
      <c r="M209" s="35">
        <v>527.28</v>
      </c>
      <c r="N209" s="35">
        <v>641.05</v>
      </c>
      <c r="O209" s="39">
        <f t="shared" si="130"/>
        <v>-0.1775</v>
      </c>
      <c r="P209" s="36">
        <f t="shared" si="131"/>
        <v>493.45</v>
      </c>
      <c r="Q209" s="36">
        <f t="shared" si="132"/>
        <v>737.21</v>
      </c>
      <c r="R209" s="36">
        <f t="shared" si="133"/>
        <v>527.28</v>
      </c>
      <c r="S209" s="36">
        <f t="shared" si="134"/>
        <v>68935.32</v>
      </c>
      <c r="T209" s="36">
        <f t="shared" si="135"/>
        <v>190652.64</v>
      </c>
      <c r="U209" s="30">
        <f t="shared" si="136"/>
        <v>190652.64</v>
      </c>
      <c r="V209" s="29">
        <f t="shared" si="137"/>
        <v>121717.32</v>
      </c>
      <c r="W209" s="30">
        <f t="shared" si="138"/>
        <v>0</v>
      </c>
      <c r="X209" s="41">
        <f t="shared" si="139"/>
        <v>0</v>
      </c>
      <c r="Y209" s="34"/>
      <c r="Z209" s="1"/>
      <c r="AA209" s="1"/>
    </row>
    <row r="210" s="7" customFormat="1" ht="20" customHeight="1" spans="1:27">
      <c r="A210" s="34">
        <v>190</v>
      </c>
      <c r="B210" s="34" t="s">
        <v>677</v>
      </c>
      <c r="C210" s="34" t="s">
        <v>678</v>
      </c>
      <c r="D210" s="34" t="s">
        <v>960</v>
      </c>
      <c r="E210" s="34" t="s">
        <v>32</v>
      </c>
      <c r="F210" s="35">
        <v>8993.09</v>
      </c>
      <c r="G210" s="36">
        <v>10082.59</v>
      </c>
      <c r="H210" s="30">
        <v>9367.66</v>
      </c>
      <c r="I210" s="36">
        <f t="shared" si="126"/>
        <v>1089.5</v>
      </c>
      <c r="J210" s="36">
        <f t="shared" si="127"/>
        <v>374.57</v>
      </c>
      <c r="K210" s="36">
        <f t="shared" si="128"/>
        <v>-714.93</v>
      </c>
      <c r="L210" s="39">
        <f t="shared" si="129"/>
        <v>0.1211</v>
      </c>
      <c r="M210" s="35">
        <v>35.03</v>
      </c>
      <c r="N210" s="35">
        <v>37.72</v>
      </c>
      <c r="O210" s="39">
        <f t="shared" si="130"/>
        <v>-0.0713</v>
      </c>
      <c r="P210" s="36">
        <f t="shared" si="131"/>
        <v>29.04</v>
      </c>
      <c r="Q210" s="36">
        <f t="shared" si="132"/>
        <v>43.38</v>
      </c>
      <c r="R210" s="36">
        <f t="shared" si="133"/>
        <v>35.03</v>
      </c>
      <c r="S210" s="36">
        <f t="shared" si="134"/>
        <v>315027.94</v>
      </c>
      <c r="T210" s="36">
        <f t="shared" si="135"/>
        <v>353193.13</v>
      </c>
      <c r="U210" s="30">
        <f t="shared" si="136"/>
        <v>328149.13</v>
      </c>
      <c r="V210" s="29">
        <f t="shared" si="137"/>
        <v>13121.19</v>
      </c>
      <c r="W210" s="30">
        <f t="shared" si="138"/>
        <v>-25044</v>
      </c>
      <c r="X210" s="41">
        <f t="shared" si="139"/>
        <v>-25044</v>
      </c>
      <c r="Y210" s="34"/>
      <c r="Z210" s="1"/>
      <c r="AA210" s="1"/>
    </row>
    <row r="211" s="8" customFormat="1" ht="20" customHeight="1" spans="1:27">
      <c r="A211" s="26">
        <v>191</v>
      </c>
      <c r="B211" s="26" t="s">
        <v>681</v>
      </c>
      <c r="C211" s="26" t="s">
        <v>682</v>
      </c>
      <c r="D211" s="26" t="s">
        <v>683</v>
      </c>
      <c r="E211" s="26" t="s">
        <v>684</v>
      </c>
      <c r="F211" s="27">
        <v>1</v>
      </c>
      <c r="G211" s="29">
        <v>1</v>
      </c>
      <c r="H211" s="32">
        <v>1</v>
      </c>
      <c r="I211" s="29">
        <f t="shared" si="126"/>
        <v>0</v>
      </c>
      <c r="J211" s="29">
        <f t="shared" si="127"/>
        <v>0</v>
      </c>
      <c r="K211" s="29">
        <f t="shared" si="128"/>
        <v>0</v>
      </c>
      <c r="L211" s="37">
        <f t="shared" si="129"/>
        <v>0</v>
      </c>
      <c r="M211" s="27">
        <v>47756.39</v>
      </c>
      <c r="N211" s="27">
        <v>88431.92</v>
      </c>
      <c r="O211" s="37">
        <f t="shared" si="130"/>
        <v>-0.46</v>
      </c>
      <c r="P211" s="29">
        <f t="shared" si="131"/>
        <v>68071.35</v>
      </c>
      <c r="Q211" s="29">
        <f t="shared" si="132"/>
        <v>101696.71</v>
      </c>
      <c r="R211" s="29">
        <f t="shared" si="133"/>
        <v>68071.35</v>
      </c>
      <c r="S211" s="29">
        <f t="shared" si="134"/>
        <v>47756.39</v>
      </c>
      <c r="T211" s="29">
        <f t="shared" si="135"/>
        <v>47756.39</v>
      </c>
      <c r="U211" s="30">
        <f t="shared" si="136"/>
        <v>47756.39</v>
      </c>
      <c r="V211" s="29">
        <f t="shared" si="137"/>
        <v>0</v>
      </c>
      <c r="W211" s="30">
        <f t="shared" si="138"/>
        <v>0</v>
      </c>
      <c r="X211" s="41">
        <f t="shared" si="139"/>
        <v>0</v>
      </c>
      <c r="Y211" s="26"/>
      <c r="Z211" s="1"/>
      <c r="AA211" s="1"/>
    </row>
    <row r="212" s="8" customFormat="1" ht="20" customHeight="1" spans="1:27">
      <c r="A212" s="26" t="s">
        <v>685</v>
      </c>
      <c r="B212" s="26"/>
      <c r="C212" s="26" t="s">
        <v>686</v>
      </c>
      <c r="D212" s="5"/>
      <c r="E212" s="26"/>
      <c r="F212" s="27"/>
      <c r="G212" s="29"/>
      <c r="H212" s="28"/>
      <c r="I212" s="27"/>
      <c r="J212" s="27"/>
      <c r="K212" s="27"/>
      <c r="L212" s="37"/>
      <c r="M212" s="27"/>
      <c r="N212" s="27"/>
      <c r="O212" s="37"/>
      <c r="P212" s="29"/>
      <c r="Q212" s="29"/>
      <c r="R212" s="29"/>
      <c r="S212" s="29">
        <f>+S165+S166</f>
        <v>21386520.74</v>
      </c>
      <c r="T212" s="29">
        <f>+T165+T166</f>
        <v>22252030.42</v>
      </c>
      <c r="U212" s="30">
        <f>+U165+U166</f>
        <v>21307400.99</v>
      </c>
      <c r="V212" s="29">
        <f t="shared" si="137"/>
        <v>-79119.75</v>
      </c>
      <c r="W212" s="30">
        <f t="shared" si="138"/>
        <v>-944629.43</v>
      </c>
      <c r="X212" s="41">
        <f t="shared" si="139"/>
        <v>-944629.43</v>
      </c>
      <c r="Y212" s="57"/>
      <c r="Z212" s="58"/>
      <c r="AA212" s="7"/>
    </row>
    <row r="213" s="7" customFormat="1" ht="20" customHeight="1" spans="1:27">
      <c r="A213" s="26" t="s">
        <v>687</v>
      </c>
      <c r="B213" s="26"/>
      <c r="C213" s="26" t="s">
        <v>688</v>
      </c>
      <c r="D213" s="5"/>
      <c r="E213" s="26"/>
      <c r="F213" s="27"/>
      <c r="G213" s="29"/>
      <c r="H213" s="28"/>
      <c r="I213" s="27"/>
      <c r="J213" s="27"/>
      <c r="K213" s="27"/>
      <c r="L213" s="37"/>
      <c r="M213" s="27"/>
      <c r="N213" s="27"/>
      <c r="O213" s="37"/>
      <c r="P213" s="29"/>
      <c r="Q213" s="29"/>
      <c r="R213" s="29"/>
      <c r="S213" s="29">
        <f>S212*0.09</f>
        <v>1924786.87</v>
      </c>
      <c r="T213" s="29">
        <f>T212*0.09</f>
        <v>2002682.74</v>
      </c>
      <c r="U213" s="30">
        <f>U212*0.09</f>
        <v>1917666.09</v>
      </c>
      <c r="V213" s="29">
        <f t="shared" si="137"/>
        <v>-7120.78</v>
      </c>
      <c r="W213" s="30">
        <f t="shared" si="138"/>
        <v>-85016.65</v>
      </c>
      <c r="X213" s="41">
        <f t="shared" si="139"/>
        <v>-85016.65</v>
      </c>
      <c r="Y213" s="57"/>
      <c r="Z213" s="58"/>
      <c r="AA213" s="1"/>
    </row>
    <row r="214" s="13" customFormat="1" ht="20" customHeight="1" spans="1:27">
      <c r="A214" s="5" t="s">
        <v>689</v>
      </c>
      <c r="B214" s="5"/>
      <c r="C214" s="5" t="s">
        <v>690</v>
      </c>
      <c r="D214" s="5"/>
      <c r="E214" s="5"/>
      <c r="F214" s="51"/>
      <c r="G214" s="50"/>
      <c r="H214" s="28"/>
      <c r="I214" s="51"/>
      <c r="J214" s="51"/>
      <c r="K214" s="51"/>
      <c r="L214" s="55"/>
      <c r="M214" s="51"/>
      <c r="N214" s="51"/>
      <c r="O214" s="55"/>
      <c r="P214" s="50"/>
      <c r="Q214" s="50"/>
      <c r="R214" s="50"/>
      <c r="S214" s="50">
        <f>S212+S213</f>
        <v>23311307.61</v>
      </c>
      <c r="T214" s="50">
        <f>T212+T213</f>
        <v>24254713.16</v>
      </c>
      <c r="U214" s="52">
        <f>U212+U213</f>
        <v>23225067.08</v>
      </c>
      <c r="V214" s="29">
        <f t="shared" si="137"/>
        <v>-86240.53</v>
      </c>
      <c r="W214" s="30">
        <f t="shared" si="138"/>
        <v>-1029646.08</v>
      </c>
      <c r="X214" s="41">
        <f t="shared" si="139"/>
        <v>-1029646.08</v>
      </c>
      <c r="Y214" s="59"/>
      <c r="Z214" s="60"/>
      <c r="AA214" s="1"/>
    </row>
    <row r="215" s="13" customFormat="1" ht="20" customHeight="1" spans="1:27">
      <c r="A215" s="5"/>
      <c r="B215" s="5"/>
      <c r="C215" s="5"/>
      <c r="D215" s="5"/>
      <c r="E215" s="5"/>
      <c r="F215" s="27"/>
      <c r="G215" s="27"/>
      <c r="H215" s="28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30"/>
      <c r="V215" s="29"/>
      <c r="W215" s="30"/>
      <c r="X215" s="41"/>
      <c r="Y215" s="26"/>
      <c r="Z215" s="1"/>
      <c r="AA215" s="1"/>
    </row>
    <row r="216" s="14" customFormat="1" ht="20" customHeight="1" spans="1:27">
      <c r="A216" s="5"/>
      <c r="B216" s="5"/>
      <c r="C216" s="5"/>
      <c r="D216" s="5"/>
      <c r="E216" s="5"/>
      <c r="F216" s="27"/>
      <c r="G216" s="27"/>
      <c r="H216" s="28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30"/>
      <c r="V216" s="29"/>
      <c r="W216" s="30"/>
      <c r="X216" s="41"/>
      <c r="Y216" s="26"/>
      <c r="Z216" s="1"/>
      <c r="AA216" s="1"/>
    </row>
    <row r="217" s="7" customFormat="1" ht="20" customHeight="1" spans="1:27">
      <c r="A217" s="5"/>
      <c r="B217" s="5"/>
      <c r="C217" s="5"/>
      <c r="D217" s="5"/>
      <c r="E217" s="5"/>
      <c r="F217" s="27"/>
      <c r="G217" s="27"/>
      <c r="H217" s="28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30"/>
      <c r="V217" s="29"/>
      <c r="W217" s="30"/>
      <c r="X217" s="41"/>
      <c r="Y217" s="26"/>
      <c r="Z217" s="1"/>
      <c r="AA217" s="1"/>
    </row>
    <row r="218" s="7" customFormat="1" ht="20" customHeight="1" spans="1:27">
      <c r="A218" s="5"/>
      <c r="B218" s="5"/>
      <c r="C218" s="5"/>
      <c r="D218" s="5"/>
      <c r="E218" s="5"/>
      <c r="F218" s="27"/>
      <c r="G218" s="27"/>
      <c r="H218" s="28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30"/>
      <c r="V218" s="29"/>
      <c r="W218" s="30"/>
      <c r="X218" s="41"/>
      <c r="Y218" s="26"/>
      <c r="Z218" s="1"/>
      <c r="AA218" s="1"/>
    </row>
    <row r="219" s="7" customFormat="1" ht="20" customHeight="1" spans="1:27">
      <c r="A219" s="5"/>
      <c r="B219" s="5"/>
      <c r="C219" s="5"/>
      <c r="D219" s="5"/>
      <c r="E219" s="5"/>
      <c r="F219" s="27"/>
      <c r="G219" s="27"/>
      <c r="H219" s="28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30"/>
      <c r="V219" s="29"/>
      <c r="W219" s="30"/>
      <c r="X219" s="41"/>
      <c r="Y219" s="26"/>
      <c r="Z219" s="1"/>
      <c r="AA219" s="1"/>
    </row>
    <row r="220" s="7" customFormat="1" ht="20" customHeight="1" spans="1:27">
      <c r="A220" s="5"/>
      <c r="B220" s="5"/>
      <c r="C220" s="5"/>
      <c r="D220" s="5"/>
      <c r="E220" s="5"/>
      <c r="F220" s="27"/>
      <c r="G220" s="27"/>
      <c r="H220" s="28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30"/>
      <c r="V220" s="29"/>
      <c r="W220" s="30"/>
      <c r="X220" s="41"/>
      <c r="Y220" s="26"/>
      <c r="Z220" s="1"/>
      <c r="AA220" s="1"/>
    </row>
    <row r="221" s="7" customFormat="1" ht="20" customHeight="1" spans="1:27">
      <c r="A221" s="5"/>
      <c r="B221" s="5"/>
      <c r="C221" s="5"/>
      <c r="D221" s="5"/>
      <c r="E221" s="5"/>
      <c r="F221" s="27"/>
      <c r="G221" s="27"/>
      <c r="H221" s="28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30"/>
      <c r="V221" s="29"/>
      <c r="W221" s="30"/>
      <c r="X221" s="56">
        <f>X214/T214</f>
        <v>-0.0425</v>
      </c>
      <c r="Y221" s="26"/>
      <c r="Z221" s="1"/>
      <c r="AA221" s="1"/>
    </row>
    <row r="222" s="7" customFormat="1" ht="20" customHeight="1" spans="1:27">
      <c r="A222" s="5"/>
      <c r="B222" s="5"/>
      <c r="C222" s="5"/>
      <c r="D222" s="5"/>
      <c r="E222" s="5"/>
      <c r="F222" s="27"/>
      <c r="G222" s="27"/>
      <c r="H222" s="28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30"/>
      <c r="V222" s="29"/>
      <c r="W222" s="30"/>
      <c r="X222" s="41"/>
      <c r="Y222" s="26"/>
      <c r="Z222" s="1"/>
      <c r="AA222" s="1"/>
    </row>
    <row r="223" s="7" customFormat="1" ht="20" customHeight="1" spans="1:27">
      <c r="A223" s="5"/>
      <c r="B223" s="5"/>
      <c r="C223" s="5"/>
      <c r="D223" s="5"/>
      <c r="E223" s="5"/>
      <c r="F223" s="27"/>
      <c r="G223" s="27"/>
      <c r="H223" s="28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30"/>
      <c r="V223" s="29"/>
      <c r="W223" s="30"/>
      <c r="X223" s="41"/>
      <c r="Y223" s="26"/>
      <c r="Z223" s="1"/>
      <c r="AA223" s="1"/>
    </row>
    <row r="224" s="7" customFormat="1" ht="20" customHeight="1" spans="1:27">
      <c r="A224" s="5"/>
      <c r="B224" s="5"/>
      <c r="C224" s="5"/>
      <c r="D224" s="5"/>
      <c r="E224" s="5"/>
      <c r="F224" s="27"/>
      <c r="G224" s="27"/>
      <c r="H224" s="28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30"/>
      <c r="V224" s="29"/>
      <c r="W224" s="30"/>
      <c r="X224" s="41"/>
      <c r="Y224" s="26"/>
      <c r="Z224" s="1"/>
      <c r="AA224" s="1"/>
    </row>
    <row r="225" s="7" customFormat="1" ht="20" customHeight="1" spans="1:27">
      <c r="A225" s="5"/>
      <c r="B225" s="5"/>
      <c r="C225" s="5"/>
      <c r="D225" s="5"/>
      <c r="E225" s="5"/>
      <c r="F225" s="27"/>
      <c r="G225" s="27"/>
      <c r="H225" s="28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30"/>
      <c r="V225" s="29"/>
      <c r="W225" s="30"/>
      <c r="X225" s="41"/>
      <c r="Y225" s="26"/>
      <c r="Z225" s="1"/>
      <c r="AA225" s="1"/>
    </row>
    <row r="226" s="7" customFormat="1" ht="20" customHeight="1" spans="1:27">
      <c r="A226" s="5"/>
      <c r="B226" s="5"/>
      <c r="C226" s="5"/>
      <c r="D226" s="5"/>
      <c r="E226" s="5"/>
      <c r="F226" s="27"/>
      <c r="G226" s="27"/>
      <c r="H226" s="28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30"/>
      <c r="V226" s="29"/>
      <c r="W226" s="30"/>
      <c r="X226" s="41"/>
      <c r="Y226" s="26"/>
      <c r="Z226" s="1"/>
      <c r="AA226" s="1"/>
    </row>
    <row r="227" s="7" customFormat="1" ht="20" customHeight="1" spans="1:27">
      <c r="A227" s="5"/>
      <c r="B227" s="5"/>
      <c r="C227" s="5"/>
      <c r="D227" s="5"/>
      <c r="E227" s="5"/>
      <c r="F227" s="27"/>
      <c r="G227" s="27"/>
      <c r="H227" s="28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30"/>
      <c r="V227" s="29"/>
      <c r="W227" s="30"/>
      <c r="X227" s="41"/>
      <c r="Y227" s="26"/>
      <c r="Z227" s="1"/>
      <c r="AA227" s="1"/>
    </row>
    <row r="228" s="7" customFormat="1" ht="20" customHeight="1" spans="1:27">
      <c r="A228" s="5"/>
      <c r="B228" s="5"/>
      <c r="C228" s="5"/>
      <c r="D228" s="5"/>
      <c r="E228" s="5"/>
      <c r="F228" s="27"/>
      <c r="G228" s="27"/>
      <c r="H228" s="28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30"/>
      <c r="V228" s="29"/>
      <c r="W228" s="30"/>
      <c r="X228" s="41"/>
      <c r="Y228" s="26"/>
      <c r="Z228" s="1"/>
      <c r="AA228" s="1"/>
    </row>
    <row r="229" s="7" customFormat="1" ht="20" customHeight="1" spans="1:27">
      <c r="A229" s="5"/>
      <c r="B229" s="5"/>
      <c r="C229" s="5"/>
      <c r="D229" s="5"/>
      <c r="E229" s="5"/>
      <c r="F229" s="27"/>
      <c r="G229" s="27"/>
      <c r="H229" s="28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30"/>
      <c r="V229" s="29"/>
      <c r="W229" s="30"/>
      <c r="X229" s="41"/>
      <c r="Y229" s="26"/>
      <c r="Z229" s="1"/>
      <c r="AA229" s="1"/>
    </row>
    <row r="230" s="7" customFormat="1" ht="20" customHeight="1" spans="1:27">
      <c r="A230" s="5"/>
      <c r="B230" s="5"/>
      <c r="C230" s="5"/>
      <c r="D230" s="5"/>
      <c r="E230" s="5"/>
      <c r="F230" s="27"/>
      <c r="G230" s="27"/>
      <c r="H230" s="28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30"/>
      <c r="V230" s="29"/>
      <c r="W230" s="30"/>
      <c r="X230" s="41"/>
      <c r="Y230" s="26"/>
      <c r="Z230" s="1"/>
      <c r="AA230" s="1"/>
    </row>
    <row r="231" s="7" customFormat="1" ht="20" customHeight="1" spans="1:27">
      <c r="A231" s="5"/>
      <c r="B231" s="5"/>
      <c r="C231" s="5"/>
      <c r="D231" s="5"/>
      <c r="E231" s="5"/>
      <c r="F231" s="27"/>
      <c r="G231" s="27"/>
      <c r="H231" s="28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30"/>
      <c r="V231" s="29"/>
      <c r="W231" s="30"/>
      <c r="X231" s="41"/>
      <c r="Y231" s="26"/>
      <c r="Z231" s="1"/>
      <c r="AA231" s="1"/>
    </row>
    <row r="232" s="7" customFormat="1" ht="20" customHeight="1" spans="1:27">
      <c r="A232" s="5"/>
      <c r="B232" s="5"/>
      <c r="C232" s="5"/>
      <c r="D232" s="5"/>
      <c r="E232" s="5"/>
      <c r="F232" s="27"/>
      <c r="G232" s="27"/>
      <c r="H232" s="28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30"/>
      <c r="V232" s="29"/>
      <c r="W232" s="30"/>
      <c r="X232" s="41"/>
      <c r="Y232" s="26"/>
      <c r="Z232" s="1"/>
      <c r="AA232" s="1"/>
    </row>
    <row r="233" s="7" customFormat="1" ht="20" customHeight="1" spans="1:27">
      <c r="A233" s="5"/>
      <c r="B233" s="5"/>
      <c r="C233" s="5"/>
      <c r="D233" s="5"/>
      <c r="E233" s="5"/>
      <c r="F233" s="27"/>
      <c r="G233" s="27"/>
      <c r="H233" s="28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30"/>
      <c r="V233" s="29"/>
      <c r="W233" s="30"/>
      <c r="X233" s="41"/>
      <c r="Y233" s="26"/>
      <c r="Z233" s="1"/>
      <c r="AA233" s="1"/>
    </row>
    <row r="234" s="7" customFormat="1" ht="20" customHeight="1" spans="1:27">
      <c r="A234" s="5"/>
      <c r="B234" s="5"/>
      <c r="C234" s="5"/>
      <c r="D234" s="5"/>
      <c r="E234" s="5"/>
      <c r="F234" s="27"/>
      <c r="G234" s="27"/>
      <c r="H234" s="28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30"/>
      <c r="V234" s="29"/>
      <c r="W234" s="30"/>
      <c r="X234" s="41"/>
      <c r="Y234" s="26"/>
      <c r="Z234" s="1"/>
      <c r="AA234" s="1"/>
    </row>
    <row r="235" s="7" customFormat="1" ht="20" customHeight="1" spans="1:27">
      <c r="A235" s="5"/>
      <c r="B235" s="5"/>
      <c r="C235" s="5"/>
      <c r="D235" s="5"/>
      <c r="E235" s="5"/>
      <c r="F235" s="27"/>
      <c r="G235" s="27"/>
      <c r="H235" s="28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30"/>
      <c r="V235" s="29"/>
      <c r="W235" s="30"/>
      <c r="X235" s="41"/>
      <c r="Y235" s="26"/>
      <c r="Z235" s="1"/>
      <c r="AA235" s="1"/>
    </row>
    <row r="236" s="7" customFormat="1" ht="20" customHeight="1" spans="1:27">
      <c r="A236" s="5"/>
      <c r="B236" s="5"/>
      <c r="C236" s="5"/>
      <c r="D236" s="5"/>
      <c r="E236" s="5"/>
      <c r="F236" s="27"/>
      <c r="G236" s="27"/>
      <c r="H236" s="28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30"/>
      <c r="V236" s="29"/>
      <c r="W236" s="30"/>
      <c r="X236" s="41"/>
      <c r="Y236" s="26"/>
      <c r="Z236" s="1"/>
      <c r="AA236" s="1"/>
    </row>
    <row r="237" s="7" customFormat="1" ht="20" customHeight="1" spans="1:27">
      <c r="A237" s="5"/>
      <c r="B237" s="5"/>
      <c r="C237" s="5"/>
      <c r="D237" s="5"/>
      <c r="E237" s="5"/>
      <c r="F237" s="27"/>
      <c r="G237" s="27"/>
      <c r="H237" s="28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30"/>
      <c r="V237" s="29"/>
      <c r="W237" s="30"/>
      <c r="X237" s="41"/>
      <c r="Y237" s="26"/>
      <c r="Z237" s="1"/>
      <c r="AA237" s="1"/>
    </row>
    <row r="238" s="7" customFormat="1" ht="20" customHeight="1" spans="1:27">
      <c r="A238" s="5"/>
      <c r="B238" s="5"/>
      <c r="C238" s="5"/>
      <c r="D238" s="5"/>
      <c r="E238" s="5"/>
      <c r="F238" s="27"/>
      <c r="G238" s="27"/>
      <c r="H238" s="28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30"/>
      <c r="V238" s="29"/>
      <c r="W238" s="30"/>
      <c r="X238" s="41"/>
      <c r="Y238" s="26"/>
      <c r="Z238" s="1"/>
      <c r="AA238" s="1"/>
    </row>
    <row r="239" s="7" customFormat="1" ht="20" customHeight="1" spans="1:27">
      <c r="A239" s="5"/>
      <c r="B239" s="5"/>
      <c r="C239" s="5"/>
      <c r="D239" s="5"/>
      <c r="E239" s="5"/>
      <c r="F239" s="27"/>
      <c r="G239" s="27"/>
      <c r="H239" s="28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30"/>
      <c r="V239" s="29"/>
      <c r="W239" s="30"/>
      <c r="X239" s="41"/>
      <c r="Y239" s="26"/>
      <c r="Z239" s="1"/>
      <c r="AA239" s="1"/>
    </row>
    <row r="240" s="7" customFormat="1" ht="20" customHeight="1" spans="1:27">
      <c r="A240" s="5"/>
      <c r="B240" s="5"/>
      <c r="C240" s="5"/>
      <c r="D240" s="5"/>
      <c r="E240" s="5"/>
      <c r="F240" s="27"/>
      <c r="G240" s="27"/>
      <c r="H240" s="28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30"/>
      <c r="V240" s="29"/>
      <c r="W240" s="30"/>
      <c r="X240" s="41"/>
      <c r="Y240" s="26"/>
      <c r="Z240" s="1"/>
      <c r="AA240" s="1"/>
    </row>
    <row r="241" s="7" customFormat="1" ht="20" customHeight="1" spans="1:27">
      <c r="A241" s="5"/>
      <c r="B241" s="5"/>
      <c r="C241" s="5"/>
      <c r="D241" s="5"/>
      <c r="E241" s="5"/>
      <c r="F241" s="27"/>
      <c r="G241" s="27"/>
      <c r="H241" s="28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30"/>
      <c r="V241" s="29"/>
      <c r="W241" s="30"/>
      <c r="X241" s="41"/>
      <c r="Y241" s="26"/>
      <c r="Z241" s="1"/>
      <c r="AA241" s="1"/>
    </row>
    <row r="242" s="7" customFormat="1" ht="20" customHeight="1" spans="1:27">
      <c r="A242" s="5"/>
      <c r="B242" s="5"/>
      <c r="C242" s="5"/>
      <c r="D242" s="5"/>
      <c r="E242" s="5"/>
      <c r="F242" s="27"/>
      <c r="G242" s="27"/>
      <c r="H242" s="28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30"/>
      <c r="V242" s="29"/>
      <c r="W242" s="30"/>
      <c r="X242" s="41"/>
      <c r="Y242" s="26"/>
      <c r="Z242" s="1"/>
      <c r="AA242" s="1"/>
    </row>
    <row r="243" s="7" customFormat="1" ht="20" customHeight="1" spans="1:27">
      <c r="A243" s="5"/>
      <c r="B243" s="5"/>
      <c r="C243" s="5"/>
      <c r="D243" s="5"/>
      <c r="E243" s="5"/>
      <c r="F243" s="27"/>
      <c r="G243" s="27"/>
      <c r="H243" s="28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30"/>
      <c r="V243" s="29"/>
      <c r="W243" s="30"/>
      <c r="X243" s="41"/>
      <c r="Y243" s="26"/>
      <c r="Z243" s="1"/>
      <c r="AA243" s="1"/>
    </row>
    <row r="244" s="7" customFormat="1" ht="20" customHeight="1" spans="1:27">
      <c r="A244" s="5"/>
      <c r="B244" s="5"/>
      <c r="C244" s="5"/>
      <c r="D244" s="5"/>
      <c r="E244" s="5"/>
      <c r="F244" s="27"/>
      <c r="G244" s="27"/>
      <c r="H244" s="28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30"/>
      <c r="V244" s="29"/>
      <c r="W244" s="30"/>
      <c r="X244" s="41"/>
      <c r="Y244" s="26"/>
      <c r="Z244" s="1"/>
      <c r="AA244" s="1"/>
    </row>
    <row r="245" s="7" customFormat="1" ht="20" customHeight="1" spans="1:27">
      <c r="A245" s="5"/>
      <c r="B245" s="5"/>
      <c r="C245" s="5"/>
      <c r="D245" s="5"/>
      <c r="E245" s="5"/>
      <c r="F245" s="27"/>
      <c r="G245" s="27"/>
      <c r="H245" s="54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30"/>
      <c r="V245" s="29"/>
      <c r="W245" s="30"/>
      <c r="X245" s="41"/>
      <c r="Y245" s="26"/>
      <c r="Z245" s="1"/>
      <c r="AA245" s="1"/>
    </row>
    <row r="246" s="7" customFormat="1" ht="12" customHeight="1"/>
    <row r="247" s="7" customFormat="1"/>
  </sheetData>
  <mergeCells count="4">
    <mergeCell ref="A1:Y1"/>
    <mergeCell ref="A2:D2"/>
    <mergeCell ref="E2:F2"/>
    <mergeCell ref="M2:Y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70"/>
  <sheetViews>
    <sheetView tabSelected="1" workbookViewId="0">
      <pane ySplit="1" topLeftCell="A2" activePane="bottomLeft" state="frozen"/>
      <selection/>
      <selection pane="bottomLeft" activeCell="B3" sqref="B3"/>
    </sheetView>
  </sheetViews>
  <sheetFormatPr defaultColWidth="9" defaultRowHeight="11.25"/>
  <cols>
    <col min="1" max="1" width="5.4" style="1" customWidth="1"/>
    <col min="2" max="2" width="19.8333333333333" style="1" customWidth="1"/>
    <col min="3" max="3" width="13.9" style="1" customWidth="1"/>
    <col min="4" max="4" width="25.8" style="1" customWidth="1"/>
    <col min="5" max="5" width="50" style="1" customWidth="1"/>
    <col min="6" max="6" width="8.8" style="1" customWidth="1"/>
    <col min="7" max="9" width="18.1444444444444" style="1" customWidth="1"/>
    <col min="10" max="10" width="23.2555555555556" style="1" customWidth="1"/>
    <col min="11" max="11" width="22.4" style="1" customWidth="1"/>
    <col min="12" max="12" width="25.8" style="1" customWidth="1"/>
    <col min="13" max="15" width="21.5444444444444" style="1" customWidth="1"/>
    <col min="16" max="16" width="33.4555555555556" style="1" customWidth="1"/>
    <col min="17" max="17" width="50" style="1" customWidth="1"/>
    <col min="18" max="18" width="8.8" style="1" customWidth="1"/>
    <col min="19" max="20" width="10.5" style="1" customWidth="1"/>
  </cols>
  <sheetData>
    <row r="1" ht="33" spans="1:20">
      <c r="A1" s="2" t="s">
        <v>2</v>
      </c>
      <c r="B1" s="2" t="s">
        <v>961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15</v>
      </c>
      <c r="L1" s="2" t="s">
        <v>16</v>
      </c>
      <c r="M1" s="2" t="s">
        <v>21</v>
      </c>
      <c r="N1" s="2" t="s">
        <v>22</v>
      </c>
      <c r="O1" s="2" t="s">
        <v>23</v>
      </c>
      <c r="P1" s="2" t="s">
        <v>27</v>
      </c>
      <c r="Q1" s="2" t="s">
        <v>962</v>
      </c>
      <c r="R1" s="2" t="s">
        <v>963</v>
      </c>
      <c r="S1" s="2" t="s">
        <v>964</v>
      </c>
      <c r="T1" s="2" t="s">
        <v>965</v>
      </c>
    </row>
    <row r="2" ht="33" spans="1:20">
      <c r="A2" s="4">
        <v>1</v>
      </c>
      <c r="B2" s="5" t="s">
        <v>966</v>
      </c>
      <c r="C2" s="5" t="s">
        <v>967</v>
      </c>
      <c r="D2" s="5" t="s">
        <v>28</v>
      </c>
      <c r="E2" s="5" t="s">
        <v>967</v>
      </c>
      <c r="F2" s="4" t="s">
        <v>967</v>
      </c>
      <c r="G2" s="6" t="s">
        <v>967</v>
      </c>
      <c r="H2" s="6" t="s">
        <v>967</v>
      </c>
      <c r="I2" s="6" t="s">
        <v>967</v>
      </c>
      <c r="J2" s="6" t="s">
        <v>967</v>
      </c>
      <c r="K2" s="6" t="s">
        <v>967</v>
      </c>
      <c r="L2" s="6" t="s">
        <v>967</v>
      </c>
      <c r="M2" s="6" t="s">
        <v>968</v>
      </c>
      <c r="N2" s="6" t="s">
        <v>968</v>
      </c>
      <c r="O2" s="6" t="s">
        <v>967</v>
      </c>
      <c r="P2" s="5" t="s">
        <v>967</v>
      </c>
      <c r="Q2" s="5" t="s">
        <v>967</v>
      </c>
      <c r="R2" s="5" t="s">
        <v>967</v>
      </c>
      <c r="S2" s="5" t="s">
        <v>967</v>
      </c>
      <c r="T2" s="5" t="s">
        <v>967</v>
      </c>
    </row>
    <row r="3" ht="33" spans="1:20">
      <c r="A3" s="4">
        <v>2</v>
      </c>
      <c r="B3" s="5" t="s">
        <v>966</v>
      </c>
      <c r="C3" s="5" t="s">
        <v>29</v>
      </c>
      <c r="D3" s="5" t="s">
        <v>30</v>
      </c>
      <c r="E3" s="5" t="s">
        <v>31</v>
      </c>
      <c r="F3" s="4" t="s">
        <v>32</v>
      </c>
      <c r="G3" s="6" t="s">
        <v>969</v>
      </c>
      <c r="H3" s="6" t="s">
        <v>969</v>
      </c>
      <c r="I3" s="6" t="s">
        <v>969</v>
      </c>
      <c r="J3" s="6" t="s">
        <v>967</v>
      </c>
      <c r="K3" s="6" t="s">
        <v>970</v>
      </c>
      <c r="L3" s="6" t="s">
        <v>971</v>
      </c>
      <c r="M3" s="6" t="s">
        <v>972</v>
      </c>
      <c r="N3" s="6" t="s">
        <v>972</v>
      </c>
      <c r="O3" s="6" t="s">
        <v>967</v>
      </c>
      <c r="P3" s="5" t="s">
        <v>33</v>
      </c>
      <c r="Q3" s="5" t="s">
        <v>967</v>
      </c>
      <c r="R3" s="5" t="s">
        <v>967</v>
      </c>
      <c r="S3" s="5" t="s">
        <v>967</v>
      </c>
      <c r="T3" s="5" t="s">
        <v>967</v>
      </c>
    </row>
    <row r="4" ht="49.5" spans="1:20">
      <c r="A4" s="4">
        <v>3</v>
      </c>
      <c r="B4" s="5" t="s">
        <v>966</v>
      </c>
      <c r="C4" s="5" t="s">
        <v>34</v>
      </c>
      <c r="D4" s="5" t="s">
        <v>35</v>
      </c>
      <c r="E4" s="5" t="s">
        <v>36</v>
      </c>
      <c r="F4" s="4" t="s">
        <v>37</v>
      </c>
      <c r="G4" s="6" t="s">
        <v>973</v>
      </c>
      <c r="H4" s="6" t="s">
        <v>973</v>
      </c>
      <c r="I4" s="6" t="s">
        <v>973</v>
      </c>
      <c r="J4" s="6" t="s">
        <v>967</v>
      </c>
      <c r="K4" s="6" t="s">
        <v>974</v>
      </c>
      <c r="L4" s="6" t="s">
        <v>975</v>
      </c>
      <c r="M4" s="6" t="s">
        <v>976</v>
      </c>
      <c r="N4" s="6" t="s">
        <v>976</v>
      </c>
      <c r="O4" s="6" t="s">
        <v>967</v>
      </c>
      <c r="P4" s="5" t="s">
        <v>33</v>
      </c>
      <c r="Q4" s="5" t="s">
        <v>967</v>
      </c>
      <c r="R4" s="5" t="s">
        <v>967</v>
      </c>
      <c r="S4" s="5" t="s">
        <v>967</v>
      </c>
      <c r="T4" s="5" t="s">
        <v>967</v>
      </c>
    </row>
    <row r="5" ht="33" spans="1:20">
      <c r="A5" s="4">
        <v>4</v>
      </c>
      <c r="B5" s="5" t="s">
        <v>966</v>
      </c>
      <c r="C5" s="5" t="s">
        <v>38</v>
      </c>
      <c r="D5" s="5" t="s">
        <v>39</v>
      </c>
      <c r="E5" s="5" t="s">
        <v>40</v>
      </c>
      <c r="F5" s="4" t="s">
        <v>37</v>
      </c>
      <c r="G5" s="6" t="s">
        <v>977</v>
      </c>
      <c r="H5" s="6" t="s">
        <v>977</v>
      </c>
      <c r="I5" s="6" t="s">
        <v>977</v>
      </c>
      <c r="J5" s="6" t="s">
        <v>967</v>
      </c>
      <c r="K5" s="6" t="s">
        <v>978</v>
      </c>
      <c r="L5" s="6" t="s">
        <v>979</v>
      </c>
      <c r="M5" s="6" t="s">
        <v>980</v>
      </c>
      <c r="N5" s="6" t="s">
        <v>980</v>
      </c>
      <c r="O5" s="6" t="s">
        <v>967</v>
      </c>
      <c r="P5" s="5" t="s">
        <v>33</v>
      </c>
      <c r="Q5" s="5" t="s">
        <v>967</v>
      </c>
      <c r="R5" s="5" t="s">
        <v>967</v>
      </c>
      <c r="S5" s="5" t="s">
        <v>967</v>
      </c>
      <c r="T5" s="5" t="s">
        <v>967</v>
      </c>
    </row>
    <row r="6" ht="33" spans="1:20">
      <c r="A6" s="4">
        <v>5</v>
      </c>
      <c r="B6" s="5" t="s">
        <v>966</v>
      </c>
      <c r="C6" s="5" t="s">
        <v>41</v>
      </c>
      <c r="D6" s="5" t="s">
        <v>42</v>
      </c>
      <c r="E6" s="5" t="s">
        <v>40</v>
      </c>
      <c r="F6" s="4" t="s">
        <v>37</v>
      </c>
      <c r="G6" s="6" t="s">
        <v>981</v>
      </c>
      <c r="H6" s="6" t="s">
        <v>981</v>
      </c>
      <c r="I6" s="6" t="s">
        <v>981</v>
      </c>
      <c r="J6" s="6" t="s">
        <v>967</v>
      </c>
      <c r="K6" s="6" t="s">
        <v>982</v>
      </c>
      <c r="L6" s="6" t="s">
        <v>983</v>
      </c>
      <c r="M6" s="6" t="s">
        <v>984</v>
      </c>
      <c r="N6" s="6" t="s">
        <v>984</v>
      </c>
      <c r="O6" s="6" t="s">
        <v>967</v>
      </c>
      <c r="P6" s="5" t="s">
        <v>33</v>
      </c>
      <c r="Q6" s="5" t="s">
        <v>967</v>
      </c>
      <c r="R6" s="5" t="s">
        <v>967</v>
      </c>
      <c r="S6" s="5" t="s">
        <v>967</v>
      </c>
      <c r="T6" s="5" t="s">
        <v>967</v>
      </c>
    </row>
    <row r="7" ht="33" spans="1:20">
      <c r="A7" s="4">
        <v>6</v>
      </c>
      <c r="B7" s="5" t="s">
        <v>966</v>
      </c>
      <c r="C7" s="5" t="s">
        <v>43</v>
      </c>
      <c r="D7" s="5" t="s">
        <v>44</v>
      </c>
      <c r="E7" s="5" t="s">
        <v>45</v>
      </c>
      <c r="F7" s="4" t="s">
        <v>37</v>
      </c>
      <c r="G7" s="6" t="s">
        <v>985</v>
      </c>
      <c r="H7" s="6" t="s">
        <v>985</v>
      </c>
      <c r="I7" s="6" t="s">
        <v>985</v>
      </c>
      <c r="J7" s="6" t="s">
        <v>967</v>
      </c>
      <c r="K7" s="6" t="s">
        <v>986</v>
      </c>
      <c r="L7" s="6" t="s">
        <v>987</v>
      </c>
      <c r="M7" s="6" t="s">
        <v>988</v>
      </c>
      <c r="N7" s="6" t="s">
        <v>988</v>
      </c>
      <c r="O7" s="6" t="s">
        <v>967</v>
      </c>
      <c r="P7" s="5" t="s">
        <v>33</v>
      </c>
      <c r="Q7" s="5" t="s">
        <v>967</v>
      </c>
      <c r="R7" s="5" t="s">
        <v>967</v>
      </c>
      <c r="S7" s="5" t="s">
        <v>967</v>
      </c>
      <c r="T7" s="5" t="s">
        <v>967</v>
      </c>
    </row>
    <row r="8" ht="33" spans="1:20">
      <c r="A8" s="4">
        <v>7</v>
      </c>
      <c r="B8" s="5" t="s">
        <v>966</v>
      </c>
      <c r="C8" s="5" t="s">
        <v>46</v>
      </c>
      <c r="D8" s="5" t="s">
        <v>47</v>
      </c>
      <c r="E8" s="5" t="s">
        <v>48</v>
      </c>
      <c r="F8" s="4" t="s">
        <v>37</v>
      </c>
      <c r="G8" s="6" t="s">
        <v>989</v>
      </c>
      <c r="H8" s="6" t="s">
        <v>989</v>
      </c>
      <c r="I8" s="6" t="s">
        <v>989</v>
      </c>
      <c r="J8" s="6" t="s">
        <v>967</v>
      </c>
      <c r="K8" s="6" t="s">
        <v>990</v>
      </c>
      <c r="L8" s="6" t="s">
        <v>991</v>
      </c>
      <c r="M8" s="6" t="s">
        <v>992</v>
      </c>
      <c r="N8" s="6" t="s">
        <v>992</v>
      </c>
      <c r="O8" s="6" t="s">
        <v>967</v>
      </c>
      <c r="P8" s="5" t="s">
        <v>33</v>
      </c>
      <c r="Q8" s="5" t="s">
        <v>967</v>
      </c>
      <c r="R8" s="5" t="s">
        <v>967</v>
      </c>
      <c r="S8" s="5" t="s">
        <v>967</v>
      </c>
      <c r="T8" s="5" t="s">
        <v>967</v>
      </c>
    </row>
    <row r="9" ht="33" spans="1:20">
      <c r="A9" s="4">
        <v>8</v>
      </c>
      <c r="B9" s="5" t="s">
        <v>966</v>
      </c>
      <c r="C9" s="5" t="s">
        <v>967</v>
      </c>
      <c r="D9" s="5" t="s">
        <v>49</v>
      </c>
      <c r="E9" s="5" t="s">
        <v>967</v>
      </c>
      <c r="F9" s="4" t="s">
        <v>967</v>
      </c>
      <c r="G9" s="6" t="s">
        <v>967</v>
      </c>
      <c r="H9" s="6" t="s">
        <v>967</v>
      </c>
      <c r="I9" s="6" t="s">
        <v>967</v>
      </c>
      <c r="J9" s="6" t="s">
        <v>967</v>
      </c>
      <c r="K9" s="6" t="s">
        <v>967</v>
      </c>
      <c r="L9" s="6" t="s">
        <v>967</v>
      </c>
      <c r="M9" s="6" t="s">
        <v>993</v>
      </c>
      <c r="N9" s="6" t="s">
        <v>994</v>
      </c>
      <c r="O9" s="6" t="s">
        <v>967</v>
      </c>
      <c r="P9" s="5" t="s">
        <v>967</v>
      </c>
      <c r="Q9" s="5" t="s">
        <v>967</v>
      </c>
      <c r="R9" s="5" t="s">
        <v>967</v>
      </c>
      <c r="S9" s="5" t="s">
        <v>967</v>
      </c>
      <c r="T9" s="5" t="s">
        <v>967</v>
      </c>
    </row>
    <row r="10" ht="115.5" spans="1:20">
      <c r="A10" s="4">
        <v>9</v>
      </c>
      <c r="B10" s="5" t="s">
        <v>966</v>
      </c>
      <c r="C10" s="5" t="s">
        <v>50</v>
      </c>
      <c r="D10" s="5" t="s">
        <v>51</v>
      </c>
      <c r="E10" s="5" t="s">
        <v>52</v>
      </c>
      <c r="F10" s="4" t="s">
        <v>53</v>
      </c>
      <c r="G10" s="6" t="s">
        <v>995</v>
      </c>
      <c r="H10" s="6" t="s">
        <v>996</v>
      </c>
      <c r="I10" s="6" t="s">
        <v>997</v>
      </c>
      <c r="J10" s="6" t="s">
        <v>967</v>
      </c>
      <c r="K10" s="6" t="s">
        <v>998</v>
      </c>
      <c r="L10" s="6" t="s">
        <v>999</v>
      </c>
      <c r="M10" s="6" t="s">
        <v>1000</v>
      </c>
      <c r="N10" s="6" t="s">
        <v>1001</v>
      </c>
      <c r="O10" s="6" t="s">
        <v>967</v>
      </c>
      <c r="P10" s="5" t="s">
        <v>967</v>
      </c>
      <c r="Q10" s="5" t="s">
        <v>967</v>
      </c>
      <c r="R10" s="5" t="s">
        <v>967</v>
      </c>
      <c r="S10" s="5" t="s">
        <v>967</v>
      </c>
      <c r="T10" s="5" t="s">
        <v>967</v>
      </c>
    </row>
    <row r="11" ht="115.5" spans="1:20">
      <c r="A11" s="4">
        <v>10</v>
      </c>
      <c r="B11" s="5" t="s">
        <v>966</v>
      </c>
      <c r="C11" s="5" t="s">
        <v>54</v>
      </c>
      <c r="D11" s="5" t="s">
        <v>55</v>
      </c>
      <c r="E11" s="5" t="s">
        <v>56</v>
      </c>
      <c r="F11" s="4" t="s">
        <v>53</v>
      </c>
      <c r="G11" s="6" t="s">
        <v>1002</v>
      </c>
      <c r="H11" s="6" t="s">
        <v>1003</v>
      </c>
      <c r="I11" s="6" t="s">
        <v>1003</v>
      </c>
      <c r="J11" s="6" t="s">
        <v>967</v>
      </c>
      <c r="K11" s="6" t="s">
        <v>1004</v>
      </c>
      <c r="L11" s="6" t="s">
        <v>1005</v>
      </c>
      <c r="M11" s="6" t="s">
        <v>1006</v>
      </c>
      <c r="N11" s="6" t="s">
        <v>1003</v>
      </c>
      <c r="O11" s="6" t="s">
        <v>967</v>
      </c>
      <c r="P11" s="5" t="s">
        <v>967</v>
      </c>
      <c r="Q11" s="5" t="s">
        <v>967</v>
      </c>
      <c r="R11" s="5" t="s">
        <v>967</v>
      </c>
      <c r="S11" s="5" t="s">
        <v>967</v>
      </c>
      <c r="T11" s="5" t="s">
        <v>967</v>
      </c>
    </row>
    <row r="12" ht="33" spans="1:20">
      <c r="A12" s="4">
        <v>11</v>
      </c>
      <c r="B12" s="5" t="s">
        <v>966</v>
      </c>
      <c r="C12" s="5" t="s">
        <v>57</v>
      </c>
      <c r="D12" s="5" t="s">
        <v>58</v>
      </c>
      <c r="E12" s="5" t="s">
        <v>59</v>
      </c>
      <c r="F12" s="4" t="s">
        <v>53</v>
      </c>
      <c r="G12" s="6" t="s">
        <v>1007</v>
      </c>
      <c r="H12" s="6" t="s">
        <v>1008</v>
      </c>
      <c r="I12" s="6" t="s">
        <v>1008</v>
      </c>
      <c r="J12" s="6" t="s">
        <v>967</v>
      </c>
      <c r="K12" s="6" t="s">
        <v>1009</v>
      </c>
      <c r="L12" s="6" t="s">
        <v>1010</v>
      </c>
      <c r="M12" s="6" t="s">
        <v>1011</v>
      </c>
      <c r="N12" s="6" t="s">
        <v>1012</v>
      </c>
      <c r="O12" s="6" t="s">
        <v>967</v>
      </c>
      <c r="P12" s="5" t="s">
        <v>967</v>
      </c>
      <c r="Q12" s="5" t="s">
        <v>967</v>
      </c>
      <c r="R12" s="5" t="s">
        <v>967</v>
      </c>
      <c r="S12" s="5" t="s">
        <v>967</v>
      </c>
      <c r="T12" s="5" t="s">
        <v>967</v>
      </c>
    </row>
    <row r="13" ht="49.5" spans="1:20">
      <c r="A13" s="4">
        <v>12</v>
      </c>
      <c r="B13" s="5" t="s">
        <v>966</v>
      </c>
      <c r="C13" s="5" t="s">
        <v>60</v>
      </c>
      <c r="D13" s="5" t="s">
        <v>61</v>
      </c>
      <c r="E13" s="5" t="s">
        <v>62</v>
      </c>
      <c r="F13" s="4" t="s">
        <v>63</v>
      </c>
      <c r="G13" s="6" t="s">
        <v>1013</v>
      </c>
      <c r="H13" s="6" t="s">
        <v>1013</v>
      </c>
      <c r="I13" s="6" t="s">
        <v>1013</v>
      </c>
      <c r="J13" s="6" t="s">
        <v>967</v>
      </c>
      <c r="K13" s="6" t="s">
        <v>1014</v>
      </c>
      <c r="L13" s="6" t="s">
        <v>1015</v>
      </c>
      <c r="M13" s="6" t="s">
        <v>1016</v>
      </c>
      <c r="N13" s="6" t="s">
        <v>1016</v>
      </c>
      <c r="O13" s="6" t="s">
        <v>967</v>
      </c>
      <c r="P13" s="5" t="s">
        <v>967</v>
      </c>
      <c r="Q13" s="5" t="s">
        <v>967</v>
      </c>
      <c r="R13" s="5" t="s">
        <v>967</v>
      </c>
      <c r="S13" s="5" t="s">
        <v>967</v>
      </c>
      <c r="T13" s="5" t="s">
        <v>967</v>
      </c>
    </row>
    <row r="14" ht="49.5" spans="1:20">
      <c r="A14" s="4">
        <v>13</v>
      </c>
      <c r="B14" s="5" t="s">
        <v>966</v>
      </c>
      <c r="C14" s="5" t="s">
        <v>64</v>
      </c>
      <c r="D14" s="5" t="s">
        <v>65</v>
      </c>
      <c r="E14" s="5" t="s">
        <v>66</v>
      </c>
      <c r="F14" s="4" t="s">
        <v>67</v>
      </c>
      <c r="G14" s="6" t="s">
        <v>1013</v>
      </c>
      <c r="H14" s="6" t="s">
        <v>1013</v>
      </c>
      <c r="I14" s="6" t="s">
        <v>1013</v>
      </c>
      <c r="J14" s="6" t="s">
        <v>967</v>
      </c>
      <c r="K14" s="6" t="s">
        <v>1017</v>
      </c>
      <c r="L14" s="6" t="s">
        <v>1018</v>
      </c>
      <c r="M14" s="6" t="s">
        <v>1019</v>
      </c>
      <c r="N14" s="6" t="s">
        <v>1019</v>
      </c>
      <c r="O14" s="6" t="s">
        <v>967</v>
      </c>
      <c r="P14" s="5" t="s">
        <v>967</v>
      </c>
      <c r="Q14" s="5" t="s">
        <v>967</v>
      </c>
      <c r="R14" s="5" t="s">
        <v>967</v>
      </c>
      <c r="S14" s="5" t="s">
        <v>967</v>
      </c>
      <c r="T14" s="5" t="s">
        <v>967</v>
      </c>
    </row>
    <row r="15" ht="33" spans="1:20">
      <c r="A15" s="4">
        <v>14</v>
      </c>
      <c r="B15" s="5" t="s">
        <v>966</v>
      </c>
      <c r="C15" s="5" t="s">
        <v>68</v>
      </c>
      <c r="D15" s="5" t="s">
        <v>69</v>
      </c>
      <c r="E15" s="5" t="s">
        <v>70</v>
      </c>
      <c r="F15" s="4" t="s">
        <v>71</v>
      </c>
      <c r="G15" s="6" t="s">
        <v>1020</v>
      </c>
      <c r="H15" s="6" t="s">
        <v>1021</v>
      </c>
      <c r="I15" s="6" t="s">
        <v>1021</v>
      </c>
      <c r="J15" s="6" t="s">
        <v>967</v>
      </c>
      <c r="K15" s="6" t="s">
        <v>1022</v>
      </c>
      <c r="L15" s="6" t="s">
        <v>1023</v>
      </c>
      <c r="M15" s="6" t="s">
        <v>1024</v>
      </c>
      <c r="N15" s="6" t="s">
        <v>1025</v>
      </c>
      <c r="O15" s="6" t="s">
        <v>967</v>
      </c>
      <c r="P15" s="5" t="s">
        <v>967</v>
      </c>
      <c r="Q15" s="5" t="s">
        <v>967</v>
      </c>
      <c r="R15" s="5" t="s">
        <v>967</v>
      </c>
      <c r="S15" s="5" t="s">
        <v>967</v>
      </c>
      <c r="T15" s="5" t="s">
        <v>967</v>
      </c>
    </row>
    <row r="16" ht="33" spans="1:20">
      <c r="A16" s="4">
        <v>15</v>
      </c>
      <c r="B16" s="5" t="s">
        <v>966</v>
      </c>
      <c r="C16" s="5" t="s">
        <v>967</v>
      </c>
      <c r="D16" s="5" t="s">
        <v>72</v>
      </c>
      <c r="E16" s="5" t="s">
        <v>967</v>
      </c>
      <c r="F16" s="4" t="s">
        <v>967</v>
      </c>
      <c r="G16" s="6" t="s">
        <v>967</v>
      </c>
      <c r="H16" s="6" t="s">
        <v>967</v>
      </c>
      <c r="I16" s="6" t="s">
        <v>967</v>
      </c>
      <c r="J16" s="6" t="s">
        <v>967</v>
      </c>
      <c r="K16" s="6" t="s">
        <v>967</v>
      </c>
      <c r="L16" s="6" t="s">
        <v>967</v>
      </c>
      <c r="M16" s="6" t="s">
        <v>1026</v>
      </c>
      <c r="N16" s="6" t="s">
        <v>1027</v>
      </c>
      <c r="O16" s="6" t="s">
        <v>967</v>
      </c>
      <c r="P16" s="5" t="s">
        <v>967</v>
      </c>
      <c r="Q16" s="5" t="s">
        <v>967</v>
      </c>
      <c r="R16" s="5" t="s">
        <v>967</v>
      </c>
      <c r="S16" s="5" t="s">
        <v>967</v>
      </c>
      <c r="T16" s="5" t="s">
        <v>967</v>
      </c>
    </row>
    <row r="17" ht="66" spans="1:20">
      <c r="A17" s="4">
        <v>16</v>
      </c>
      <c r="B17" s="5" t="s">
        <v>966</v>
      </c>
      <c r="C17" s="5" t="s">
        <v>73</v>
      </c>
      <c r="D17" s="5" t="s">
        <v>44</v>
      </c>
      <c r="E17" s="5" t="s">
        <v>74</v>
      </c>
      <c r="F17" s="4" t="s">
        <v>37</v>
      </c>
      <c r="G17" s="6" t="s">
        <v>1028</v>
      </c>
      <c r="H17" s="6" t="s">
        <v>1029</v>
      </c>
      <c r="I17" s="6" t="s">
        <v>1029</v>
      </c>
      <c r="J17" s="6" t="s">
        <v>967</v>
      </c>
      <c r="K17" s="6" t="s">
        <v>1030</v>
      </c>
      <c r="L17" s="6" t="s">
        <v>1031</v>
      </c>
      <c r="M17" s="6" t="s">
        <v>1032</v>
      </c>
      <c r="N17" s="6" t="s">
        <v>1033</v>
      </c>
      <c r="O17" s="6" t="s">
        <v>1033</v>
      </c>
      <c r="P17" s="5" t="s">
        <v>967</v>
      </c>
      <c r="Q17" s="5" t="s">
        <v>967</v>
      </c>
      <c r="R17" s="5" t="s">
        <v>967</v>
      </c>
      <c r="S17" s="5" t="s">
        <v>967</v>
      </c>
      <c r="T17" s="5" t="s">
        <v>967</v>
      </c>
    </row>
    <row r="18" ht="82.5" spans="1:20">
      <c r="A18" s="4">
        <v>17</v>
      </c>
      <c r="B18" s="5" t="s">
        <v>966</v>
      </c>
      <c r="C18" s="5" t="s">
        <v>75</v>
      </c>
      <c r="D18" s="5" t="s">
        <v>76</v>
      </c>
      <c r="E18" s="5" t="s">
        <v>77</v>
      </c>
      <c r="F18" s="4" t="s">
        <v>37</v>
      </c>
      <c r="G18" s="6" t="s">
        <v>1034</v>
      </c>
      <c r="H18" s="6" t="s">
        <v>1035</v>
      </c>
      <c r="I18" s="6" t="s">
        <v>967</v>
      </c>
      <c r="J18" s="6" t="s">
        <v>967</v>
      </c>
      <c r="K18" s="6" t="s">
        <v>1036</v>
      </c>
      <c r="L18" s="6" t="s">
        <v>1037</v>
      </c>
      <c r="M18" s="6" t="s">
        <v>1038</v>
      </c>
      <c r="N18" s="6" t="s">
        <v>1039</v>
      </c>
      <c r="O18" s="6" t="s">
        <v>967</v>
      </c>
      <c r="P18" s="5" t="s">
        <v>967</v>
      </c>
      <c r="Q18" s="5" t="s">
        <v>967</v>
      </c>
      <c r="R18" s="5" t="s">
        <v>967</v>
      </c>
      <c r="S18" s="5" t="s">
        <v>967</v>
      </c>
      <c r="T18" s="5" t="s">
        <v>967</v>
      </c>
    </row>
    <row r="19" ht="82.5" spans="1:20">
      <c r="A19" s="4">
        <v>18</v>
      </c>
      <c r="B19" s="5" t="s">
        <v>966</v>
      </c>
      <c r="C19" s="5" t="s">
        <v>78</v>
      </c>
      <c r="D19" s="5" t="s">
        <v>76</v>
      </c>
      <c r="E19" s="5" t="s">
        <v>79</v>
      </c>
      <c r="F19" s="4" t="s">
        <v>37</v>
      </c>
      <c r="G19" s="6" t="s">
        <v>1040</v>
      </c>
      <c r="H19" s="6" t="s">
        <v>1041</v>
      </c>
      <c r="I19" s="6" t="s">
        <v>1042</v>
      </c>
      <c r="J19" s="6" t="s">
        <v>967</v>
      </c>
      <c r="K19" s="6" t="s">
        <v>1043</v>
      </c>
      <c r="L19" s="6" t="s">
        <v>1044</v>
      </c>
      <c r="M19" s="6" t="s">
        <v>1045</v>
      </c>
      <c r="N19" s="6" t="s">
        <v>1046</v>
      </c>
      <c r="O19" s="6" t="s">
        <v>967</v>
      </c>
      <c r="P19" s="5" t="s">
        <v>967</v>
      </c>
      <c r="Q19" s="5" t="s">
        <v>967</v>
      </c>
      <c r="R19" s="5" t="s">
        <v>967</v>
      </c>
      <c r="S19" s="5" t="s">
        <v>967</v>
      </c>
      <c r="T19" s="5" t="s">
        <v>967</v>
      </c>
    </row>
    <row r="20" ht="82.5" spans="1:20">
      <c r="A20" s="4">
        <v>19</v>
      </c>
      <c r="B20" s="5" t="s">
        <v>966</v>
      </c>
      <c r="C20" s="5" t="s">
        <v>80</v>
      </c>
      <c r="D20" s="5" t="s">
        <v>76</v>
      </c>
      <c r="E20" s="5" t="s">
        <v>81</v>
      </c>
      <c r="F20" s="4" t="s">
        <v>37</v>
      </c>
      <c r="G20" s="6" t="s">
        <v>1047</v>
      </c>
      <c r="H20" s="6" t="s">
        <v>1048</v>
      </c>
      <c r="I20" s="6" t="s">
        <v>1003</v>
      </c>
      <c r="J20" s="6" t="s">
        <v>967</v>
      </c>
      <c r="K20" s="6" t="s">
        <v>1049</v>
      </c>
      <c r="L20" s="6" t="s">
        <v>1050</v>
      </c>
      <c r="M20" s="6" t="s">
        <v>1051</v>
      </c>
      <c r="N20" s="6" t="s">
        <v>1052</v>
      </c>
      <c r="O20" s="6" t="s">
        <v>967</v>
      </c>
      <c r="P20" s="5" t="s">
        <v>967</v>
      </c>
      <c r="Q20" s="5" t="s">
        <v>967</v>
      </c>
      <c r="R20" s="5" t="s">
        <v>967</v>
      </c>
      <c r="S20" s="5" t="s">
        <v>967</v>
      </c>
      <c r="T20" s="5" t="s">
        <v>967</v>
      </c>
    </row>
    <row r="21" ht="82.5" spans="1:20">
      <c r="A21" s="4">
        <v>20</v>
      </c>
      <c r="B21" s="5" t="s">
        <v>966</v>
      </c>
      <c r="C21" s="5" t="s">
        <v>82</v>
      </c>
      <c r="D21" s="5" t="s">
        <v>76</v>
      </c>
      <c r="E21" s="5" t="s">
        <v>83</v>
      </c>
      <c r="F21" s="4" t="s">
        <v>37</v>
      </c>
      <c r="G21" s="6" t="s">
        <v>1053</v>
      </c>
      <c r="H21" s="6" t="s">
        <v>1054</v>
      </c>
      <c r="I21" s="6" t="s">
        <v>967</v>
      </c>
      <c r="J21" s="6" t="s">
        <v>967</v>
      </c>
      <c r="K21" s="6" t="s">
        <v>1055</v>
      </c>
      <c r="L21" s="6" t="s">
        <v>1050</v>
      </c>
      <c r="M21" s="6" t="s">
        <v>1056</v>
      </c>
      <c r="N21" s="6" t="s">
        <v>1057</v>
      </c>
      <c r="O21" s="6" t="s">
        <v>967</v>
      </c>
      <c r="P21" s="5" t="s">
        <v>967</v>
      </c>
      <c r="Q21" s="5" t="s">
        <v>967</v>
      </c>
      <c r="R21" s="5" t="s">
        <v>967</v>
      </c>
      <c r="S21" s="5" t="s">
        <v>967</v>
      </c>
      <c r="T21" s="5" t="s">
        <v>967</v>
      </c>
    </row>
    <row r="22" ht="82.5" spans="1:20">
      <c r="A22" s="4">
        <v>21</v>
      </c>
      <c r="B22" s="5" t="s">
        <v>966</v>
      </c>
      <c r="C22" s="5" t="s">
        <v>84</v>
      </c>
      <c r="D22" s="5" t="s">
        <v>76</v>
      </c>
      <c r="E22" s="5" t="s">
        <v>85</v>
      </c>
      <c r="F22" s="4" t="s">
        <v>37</v>
      </c>
      <c r="G22" s="6" t="s">
        <v>1058</v>
      </c>
      <c r="H22" s="6" t="s">
        <v>1059</v>
      </c>
      <c r="I22" s="6" t="s">
        <v>967</v>
      </c>
      <c r="J22" s="6" t="s">
        <v>967</v>
      </c>
      <c r="K22" s="6" t="s">
        <v>1036</v>
      </c>
      <c r="L22" s="6" t="s">
        <v>1044</v>
      </c>
      <c r="M22" s="6" t="s">
        <v>1060</v>
      </c>
      <c r="N22" s="6" t="s">
        <v>1061</v>
      </c>
      <c r="O22" s="6" t="s">
        <v>967</v>
      </c>
      <c r="P22" s="5" t="s">
        <v>967</v>
      </c>
      <c r="Q22" s="5" t="s">
        <v>967</v>
      </c>
      <c r="R22" s="5" t="s">
        <v>967</v>
      </c>
      <c r="S22" s="5" t="s">
        <v>967</v>
      </c>
      <c r="T22" s="5" t="s">
        <v>967</v>
      </c>
    </row>
    <row r="23" ht="66" spans="1:20">
      <c r="A23" s="4">
        <v>22</v>
      </c>
      <c r="B23" s="5" t="s">
        <v>966</v>
      </c>
      <c r="C23" s="5" t="s">
        <v>86</v>
      </c>
      <c r="D23" s="5" t="s">
        <v>76</v>
      </c>
      <c r="E23" s="5" t="s">
        <v>87</v>
      </c>
      <c r="F23" s="4" t="s">
        <v>37</v>
      </c>
      <c r="G23" s="6" t="s">
        <v>1062</v>
      </c>
      <c r="H23" s="6" t="s">
        <v>1063</v>
      </c>
      <c r="I23" s="6" t="s">
        <v>967</v>
      </c>
      <c r="J23" s="6" t="s">
        <v>967</v>
      </c>
      <c r="K23" s="6" t="s">
        <v>1064</v>
      </c>
      <c r="L23" s="6" t="s">
        <v>1065</v>
      </c>
      <c r="M23" s="6" t="s">
        <v>1066</v>
      </c>
      <c r="N23" s="6" t="s">
        <v>1067</v>
      </c>
      <c r="O23" s="6" t="s">
        <v>967</v>
      </c>
      <c r="P23" s="5" t="s">
        <v>967</v>
      </c>
      <c r="Q23" s="5" t="s">
        <v>967</v>
      </c>
      <c r="R23" s="5" t="s">
        <v>967</v>
      </c>
      <c r="S23" s="5" t="s">
        <v>967</v>
      </c>
      <c r="T23" s="5" t="s">
        <v>967</v>
      </c>
    </row>
    <row r="24" ht="33" spans="1:20">
      <c r="A24" s="4">
        <v>23</v>
      </c>
      <c r="B24" s="5" t="s">
        <v>966</v>
      </c>
      <c r="C24" s="5" t="s">
        <v>88</v>
      </c>
      <c r="D24" s="5" t="s">
        <v>89</v>
      </c>
      <c r="E24" s="5" t="s">
        <v>90</v>
      </c>
      <c r="F24" s="4" t="s">
        <v>32</v>
      </c>
      <c r="G24" s="6" t="s">
        <v>1068</v>
      </c>
      <c r="H24" s="6" t="s">
        <v>1069</v>
      </c>
      <c r="I24" s="6" t="s">
        <v>1069</v>
      </c>
      <c r="J24" s="6" t="s">
        <v>967</v>
      </c>
      <c r="K24" s="6" t="s">
        <v>1070</v>
      </c>
      <c r="L24" s="6" t="s">
        <v>1071</v>
      </c>
      <c r="M24" s="6" t="s">
        <v>1072</v>
      </c>
      <c r="N24" s="6" t="s">
        <v>1073</v>
      </c>
      <c r="O24" s="6" t="s">
        <v>967</v>
      </c>
      <c r="P24" s="5" t="s">
        <v>967</v>
      </c>
      <c r="Q24" s="5" t="s">
        <v>967</v>
      </c>
      <c r="R24" s="5" t="s">
        <v>967</v>
      </c>
      <c r="S24" s="5" t="s">
        <v>967</v>
      </c>
      <c r="T24" s="5" t="s">
        <v>967</v>
      </c>
    </row>
    <row r="25" ht="33" spans="1:20">
      <c r="A25" s="4">
        <v>24</v>
      </c>
      <c r="B25" s="5" t="s">
        <v>966</v>
      </c>
      <c r="C25" s="5" t="s">
        <v>91</v>
      </c>
      <c r="D25" s="5" t="s">
        <v>89</v>
      </c>
      <c r="E25" s="5" t="s">
        <v>92</v>
      </c>
      <c r="F25" s="4" t="s">
        <v>37</v>
      </c>
      <c r="G25" s="6" t="s">
        <v>1074</v>
      </c>
      <c r="H25" s="6" t="s">
        <v>1075</v>
      </c>
      <c r="I25" s="6" t="s">
        <v>967</v>
      </c>
      <c r="J25" s="6" t="s">
        <v>967</v>
      </c>
      <c r="K25" s="6" t="s">
        <v>1076</v>
      </c>
      <c r="L25" s="6" t="s">
        <v>1077</v>
      </c>
      <c r="M25" s="6" t="s">
        <v>1078</v>
      </c>
      <c r="N25" s="6" t="s">
        <v>1079</v>
      </c>
      <c r="O25" s="6" t="s">
        <v>1079</v>
      </c>
      <c r="P25" s="5" t="s">
        <v>967</v>
      </c>
      <c r="Q25" s="5" t="s">
        <v>967</v>
      </c>
      <c r="R25" s="5" t="s">
        <v>967</v>
      </c>
      <c r="S25" s="5" t="s">
        <v>967</v>
      </c>
      <c r="T25" s="5" t="s">
        <v>967</v>
      </c>
    </row>
    <row r="26" ht="33" spans="1:20">
      <c r="A26" s="4">
        <v>25</v>
      </c>
      <c r="B26" s="5" t="s">
        <v>966</v>
      </c>
      <c r="C26" s="5" t="s">
        <v>967</v>
      </c>
      <c r="D26" s="5" t="s">
        <v>93</v>
      </c>
      <c r="E26" s="5" t="s">
        <v>967</v>
      </c>
      <c r="F26" s="4" t="s">
        <v>967</v>
      </c>
      <c r="G26" s="6" t="s">
        <v>967</v>
      </c>
      <c r="H26" s="6" t="s">
        <v>967</v>
      </c>
      <c r="I26" s="6" t="s">
        <v>967</v>
      </c>
      <c r="J26" s="6" t="s">
        <v>967</v>
      </c>
      <c r="K26" s="6" t="s">
        <v>967</v>
      </c>
      <c r="L26" s="6" t="s">
        <v>967</v>
      </c>
      <c r="M26" s="6" t="s">
        <v>1080</v>
      </c>
      <c r="N26" s="6" t="s">
        <v>1081</v>
      </c>
      <c r="O26" s="6" t="s">
        <v>967</v>
      </c>
      <c r="P26" s="5" t="s">
        <v>967</v>
      </c>
      <c r="Q26" s="5" t="s">
        <v>967</v>
      </c>
      <c r="R26" s="5" t="s">
        <v>967</v>
      </c>
      <c r="S26" s="5" t="s">
        <v>967</v>
      </c>
      <c r="T26" s="5" t="s">
        <v>967</v>
      </c>
    </row>
    <row r="27" ht="66" spans="1:20">
      <c r="A27" s="4">
        <v>26</v>
      </c>
      <c r="B27" s="5" t="s">
        <v>966</v>
      </c>
      <c r="C27" s="5" t="s">
        <v>94</v>
      </c>
      <c r="D27" s="5" t="s">
        <v>95</v>
      </c>
      <c r="E27" s="5" t="s">
        <v>96</v>
      </c>
      <c r="F27" s="4" t="s">
        <v>37</v>
      </c>
      <c r="G27" s="6" t="s">
        <v>1082</v>
      </c>
      <c r="H27" s="6" t="s">
        <v>1083</v>
      </c>
      <c r="I27" s="6" t="s">
        <v>967</v>
      </c>
      <c r="J27" s="6" t="s">
        <v>967</v>
      </c>
      <c r="K27" s="6" t="s">
        <v>1084</v>
      </c>
      <c r="L27" s="6" t="s">
        <v>1085</v>
      </c>
      <c r="M27" s="6" t="s">
        <v>1086</v>
      </c>
      <c r="N27" s="6" t="s">
        <v>1087</v>
      </c>
      <c r="O27" s="6" t="s">
        <v>967</v>
      </c>
      <c r="P27" s="5" t="s">
        <v>967</v>
      </c>
      <c r="Q27" s="5" t="s">
        <v>97</v>
      </c>
      <c r="R27" s="5" t="s">
        <v>967</v>
      </c>
      <c r="S27" s="5" t="s">
        <v>967</v>
      </c>
      <c r="T27" s="5" t="s">
        <v>967</v>
      </c>
    </row>
    <row r="28" ht="66" spans="1:20">
      <c r="A28" s="4">
        <v>27</v>
      </c>
      <c r="B28" s="5" t="s">
        <v>966</v>
      </c>
      <c r="C28" s="5" t="s">
        <v>98</v>
      </c>
      <c r="D28" s="5" t="s">
        <v>99</v>
      </c>
      <c r="E28" s="5" t="s">
        <v>100</v>
      </c>
      <c r="F28" s="4" t="s">
        <v>37</v>
      </c>
      <c r="G28" s="6" t="s">
        <v>1088</v>
      </c>
      <c r="H28" s="6" t="s">
        <v>1089</v>
      </c>
      <c r="I28" s="6" t="s">
        <v>967</v>
      </c>
      <c r="J28" s="6" t="s">
        <v>967</v>
      </c>
      <c r="K28" s="6" t="s">
        <v>1090</v>
      </c>
      <c r="L28" s="6" t="s">
        <v>1091</v>
      </c>
      <c r="M28" s="6" t="s">
        <v>1092</v>
      </c>
      <c r="N28" s="6" t="s">
        <v>1093</v>
      </c>
      <c r="O28" s="6" t="s">
        <v>967</v>
      </c>
      <c r="P28" s="5" t="s">
        <v>967</v>
      </c>
      <c r="Q28" s="5" t="s">
        <v>967</v>
      </c>
      <c r="R28" s="5" t="s">
        <v>967</v>
      </c>
      <c r="S28" s="5" t="s">
        <v>967</v>
      </c>
      <c r="T28" s="5" t="s">
        <v>967</v>
      </c>
    </row>
    <row r="29" ht="66" spans="1:20">
      <c r="A29" s="4">
        <v>28</v>
      </c>
      <c r="B29" s="5" t="s">
        <v>966</v>
      </c>
      <c r="C29" s="5" t="s">
        <v>101</v>
      </c>
      <c r="D29" s="5" t="s">
        <v>102</v>
      </c>
      <c r="E29" s="5" t="s">
        <v>103</v>
      </c>
      <c r="F29" s="4" t="s">
        <v>37</v>
      </c>
      <c r="G29" s="6" t="s">
        <v>1094</v>
      </c>
      <c r="H29" s="6" t="s">
        <v>1095</v>
      </c>
      <c r="I29" s="6" t="s">
        <v>1096</v>
      </c>
      <c r="J29" s="6" t="s">
        <v>967</v>
      </c>
      <c r="K29" s="6" t="s">
        <v>1097</v>
      </c>
      <c r="L29" s="6" t="s">
        <v>1098</v>
      </c>
      <c r="M29" s="6" t="s">
        <v>1099</v>
      </c>
      <c r="N29" s="6" t="s">
        <v>1100</v>
      </c>
      <c r="O29" s="6" t="s">
        <v>967</v>
      </c>
      <c r="P29" s="5" t="s">
        <v>967</v>
      </c>
      <c r="Q29" s="5" t="s">
        <v>967</v>
      </c>
      <c r="R29" s="5" t="s">
        <v>967</v>
      </c>
      <c r="S29" s="5" t="s">
        <v>967</v>
      </c>
      <c r="T29" s="5" t="s">
        <v>967</v>
      </c>
    </row>
    <row r="30" ht="66" spans="1:20">
      <c r="A30" s="4">
        <v>29</v>
      </c>
      <c r="B30" s="5" t="s">
        <v>966</v>
      </c>
      <c r="C30" s="5" t="s">
        <v>104</v>
      </c>
      <c r="D30" s="5" t="s">
        <v>105</v>
      </c>
      <c r="E30" s="5" t="s">
        <v>106</v>
      </c>
      <c r="F30" s="4" t="s">
        <v>37</v>
      </c>
      <c r="G30" s="6" t="s">
        <v>1101</v>
      </c>
      <c r="H30" s="6" t="s">
        <v>1102</v>
      </c>
      <c r="I30" s="6" t="s">
        <v>967</v>
      </c>
      <c r="J30" s="6" t="s">
        <v>967</v>
      </c>
      <c r="K30" s="6" t="s">
        <v>1103</v>
      </c>
      <c r="L30" s="6" t="s">
        <v>1091</v>
      </c>
      <c r="M30" s="6" t="s">
        <v>1104</v>
      </c>
      <c r="N30" s="6" t="s">
        <v>1105</v>
      </c>
      <c r="O30" s="6" t="s">
        <v>967</v>
      </c>
      <c r="P30" s="5" t="s">
        <v>967</v>
      </c>
      <c r="Q30" s="5" t="s">
        <v>107</v>
      </c>
      <c r="R30" s="5" t="s">
        <v>967</v>
      </c>
      <c r="S30" s="5" t="s">
        <v>967</v>
      </c>
      <c r="T30" s="5" t="s">
        <v>967</v>
      </c>
    </row>
    <row r="31" ht="82.5" spans="1:20">
      <c r="A31" s="4">
        <v>30</v>
      </c>
      <c r="B31" s="5" t="s">
        <v>966</v>
      </c>
      <c r="C31" s="5" t="s">
        <v>108</v>
      </c>
      <c r="D31" s="5" t="s">
        <v>109</v>
      </c>
      <c r="E31" s="5" t="s">
        <v>110</v>
      </c>
      <c r="F31" s="4" t="s">
        <v>37</v>
      </c>
      <c r="G31" s="6" t="s">
        <v>1106</v>
      </c>
      <c r="H31" s="6" t="s">
        <v>1107</v>
      </c>
      <c r="I31" s="6" t="s">
        <v>967</v>
      </c>
      <c r="J31" s="6" t="s">
        <v>967</v>
      </c>
      <c r="K31" s="6" t="s">
        <v>1108</v>
      </c>
      <c r="L31" s="6" t="s">
        <v>1109</v>
      </c>
      <c r="M31" s="6" t="s">
        <v>1110</v>
      </c>
      <c r="N31" s="6" t="s">
        <v>1111</v>
      </c>
      <c r="O31" s="6" t="s">
        <v>967</v>
      </c>
      <c r="P31" s="5" t="s">
        <v>967</v>
      </c>
      <c r="Q31" s="5" t="s">
        <v>967</v>
      </c>
      <c r="R31" s="5" t="s">
        <v>967</v>
      </c>
      <c r="S31" s="5" t="s">
        <v>967</v>
      </c>
      <c r="T31" s="5" t="s">
        <v>967</v>
      </c>
    </row>
    <row r="32" ht="49.5" spans="1:20">
      <c r="A32" s="4">
        <v>31</v>
      </c>
      <c r="B32" s="5" t="s">
        <v>966</v>
      </c>
      <c r="C32" s="5" t="s">
        <v>111</v>
      </c>
      <c r="D32" s="5" t="s">
        <v>112</v>
      </c>
      <c r="E32" s="5" t="s">
        <v>113</v>
      </c>
      <c r="F32" s="4" t="s">
        <v>37</v>
      </c>
      <c r="G32" s="6" t="s">
        <v>1112</v>
      </c>
      <c r="H32" s="6" t="s">
        <v>1113</v>
      </c>
      <c r="I32" s="6" t="s">
        <v>1113</v>
      </c>
      <c r="J32" s="6" t="s">
        <v>967</v>
      </c>
      <c r="K32" s="6" t="s">
        <v>1114</v>
      </c>
      <c r="L32" s="6" t="s">
        <v>1115</v>
      </c>
      <c r="M32" s="6" t="s">
        <v>1116</v>
      </c>
      <c r="N32" s="6" t="s">
        <v>1117</v>
      </c>
      <c r="O32" s="6" t="s">
        <v>967</v>
      </c>
      <c r="P32" s="5" t="s">
        <v>967</v>
      </c>
      <c r="Q32" s="5" t="s">
        <v>967</v>
      </c>
      <c r="R32" s="5" t="s">
        <v>967</v>
      </c>
      <c r="S32" s="5" t="s">
        <v>967</v>
      </c>
      <c r="T32" s="5" t="s">
        <v>967</v>
      </c>
    </row>
    <row r="33" ht="66" spans="1:20">
      <c r="A33" s="4">
        <v>32</v>
      </c>
      <c r="B33" s="5" t="s">
        <v>966</v>
      </c>
      <c r="C33" s="5" t="s">
        <v>114</v>
      </c>
      <c r="D33" s="5" t="s">
        <v>115</v>
      </c>
      <c r="E33" s="5" t="s">
        <v>116</v>
      </c>
      <c r="F33" s="4" t="s">
        <v>37</v>
      </c>
      <c r="G33" s="6" t="s">
        <v>1118</v>
      </c>
      <c r="H33" s="6" t="s">
        <v>1119</v>
      </c>
      <c r="I33" s="6" t="s">
        <v>967</v>
      </c>
      <c r="J33" s="6" t="s">
        <v>967</v>
      </c>
      <c r="K33" s="6" t="s">
        <v>1120</v>
      </c>
      <c r="L33" s="6" t="s">
        <v>1121</v>
      </c>
      <c r="M33" s="6" t="s">
        <v>1122</v>
      </c>
      <c r="N33" s="6" t="s">
        <v>1123</v>
      </c>
      <c r="O33" s="6" t="s">
        <v>967</v>
      </c>
      <c r="P33" s="5" t="s">
        <v>967</v>
      </c>
      <c r="Q33" s="5" t="s">
        <v>967</v>
      </c>
      <c r="R33" s="5" t="s">
        <v>967</v>
      </c>
      <c r="S33" s="5" t="s">
        <v>967</v>
      </c>
      <c r="T33" s="5" t="s">
        <v>967</v>
      </c>
    </row>
    <row r="34" ht="66" spans="1:20">
      <c r="A34" s="4">
        <v>33</v>
      </c>
      <c r="B34" s="5" t="s">
        <v>966</v>
      </c>
      <c r="C34" s="5" t="s">
        <v>117</v>
      </c>
      <c r="D34" s="5" t="s">
        <v>118</v>
      </c>
      <c r="E34" s="5" t="s">
        <v>116</v>
      </c>
      <c r="F34" s="4" t="s">
        <v>37</v>
      </c>
      <c r="G34" s="6" t="s">
        <v>1124</v>
      </c>
      <c r="H34" s="6" t="s">
        <v>1125</v>
      </c>
      <c r="I34" s="6" t="s">
        <v>967</v>
      </c>
      <c r="J34" s="6" t="s">
        <v>967</v>
      </c>
      <c r="K34" s="6" t="s">
        <v>1120</v>
      </c>
      <c r="L34" s="6" t="s">
        <v>1126</v>
      </c>
      <c r="M34" s="6" t="s">
        <v>1127</v>
      </c>
      <c r="N34" s="6" t="s">
        <v>1128</v>
      </c>
      <c r="O34" s="6" t="s">
        <v>967</v>
      </c>
      <c r="P34" s="5" t="s">
        <v>967</v>
      </c>
      <c r="Q34" s="5" t="s">
        <v>967</v>
      </c>
      <c r="R34" s="5" t="s">
        <v>967</v>
      </c>
      <c r="S34" s="5" t="s">
        <v>967</v>
      </c>
      <c r="T34" s="5" t="s">
        <v>967</v>
      </c>
    </row>
    <row r="35" ht="66" spans="1:20">
      <c r="A35" s="4">
        <v>34</v>
      </c>
      <c r="B35" s="5" t="s">
        <v>966</v>
      </c>
      <c r="C35" s="5" t="s">
        <v>119</v>
      </c>
      <c r="D35" s="5" t="s">
        <v>120</v>
      </c>
      <c r="E35" s="5" t="s">
        <v>121</v>
      </c>
      <c r="F35" s="4" t="s">
        <v>37</v>
      </c>
      <c r="G35" s="6" t="s">
        <v>1129</v>
      </c>
      <c r="H35" s="6" t="s">
        <v>1130</v>
      </c>
      <c r="I35" s="6" t="s">
        <v>967</v>
      </c>
      <c r="J35" s="6" t="s">
        <v>967</v>
      </c>
      <c r="K35" s="6" t="s">
        <v>1131</v>
      </c>
      <c r="L35" s="6" t="s">
        <v>1132</v>
      </c>
      <c r="M35" s="6" t="s">
        <v>1133</v>
      </c>
      <c r="N35" s="6" t="s">
        <v>1134</v>
      </c>
      <c r="O35" s="6" t="s">
        <v>967</v>
      </c>
      <c r="P35" s="5" t="s">
        <v>967</v>
      </c>
      <c r="Q35" s="5" t="s">
        <v>967</v>
      </c>
      <c r="R35" s="5" t="s">
        <v>967</v>
      </c>
      <c r="S35" s="5" t="s">
        <v>967</v>
      </c>
      <c r="T35" s="5" t="s">
        <v>967</v>
      </c>
    </row>
    <row r="36" ht="49.5" spans="1:20">
      <c r="A36" s="4">
        <v>35</v>
      </c>
      <c r="B36" s="5" t="s">
        <v>966</v>
      </c>
      <c r="C36" s="5" t="s">
        <v>122</v>
      </c>
      <c r="D36" s="5" t="s">
        <v>123</v>
      </c>
      <c r="E36" s="5" t="s">
        <v>124</v>
      </c>
      <c r="F36" s="4" t="s">
        <v>37</v>
      </c>
      <c r="G36" s="6" t="s">
        <v>1135</v>
      </c>
      <c r="H36" s="6" t="s">
        <v>1136</v>
      </c>
      <c r="I36" s="6" t="s">
        <v>1137</v>
      </c>
      <c r="J36" s="6" t="s">
        <v>967</v>
      </c>
      <c r="K36" s="6" t="s">
        <v>1138</v>
      </c>
      <c r="L36" s="6" t="s">
        <v>1139</v>
      </c>
      <c r="M36" s="6" t="s">
        <v>1140</v>
      </c>
      <c r="N36" s="6" t="s">
        <v>1141</v>
      </c>
      <c r="O36" s="6" t="s">
        <v>967</v>
      </c>
      <c r="P36" s="5" t="s">
        <v>967</v>
      </c>
      <c r="Q36" s="5" t="s">
        <v>967</v>
      </c>
      <c r="R36" s="5" t="s">
        <v>967</v>
      </c>
      <c r="S36" s="5" t="s">
        <v>967</v>
      </c>
      <c r="T36" s="5" t="s">
        <v>967</v>
      </c>
    </row>
    <row r="37" ht="66" spans="1:20">
      <c r="A37" s="4">
        <v>36</v>
      </c>
      <c r="B37" s="5" t="s">
        <v>966</v>
      </c>
      <c r="C37" s="5" t="s">
        <v>125</v>
      </c>
      <c r="D37" s="5" t="s">
        <v>126</v>
      </c>
      <c r="E37" s="5" t="s">
        <v>127</v>
      </c>
      <c r="F37" s="4" t="s">
        <v>37</v>
      </c>
      <c r="G37" s="6" t="s">
        <v>1142</v>
      </c>
      <c r="H37" s="6" t="s">
        <v>1143</v>
      </c>
      <c r="I37" s="6" t="s">
        <v>967</v>
      </c>
      <c r="J37" s="6" t="s">
        <v>967</v>
      </c>
      <c r="K37" s="6" t="s">
        <v>1144</v>
      </c>
      <c r="L37" s="6" t="s">
        <v>1145</v>
      </c>
      <c r="M37" s="6" t="s">
        <v>1146</v>
      </c>
      <c r="N37" s="6" t="s">
        <v>1147</v>
      </c>
      <c r="O37" s="6" t="s">
        <v>967</v>
      </c>
      <c r="P37" s="5" t="s">
        <v>967</v>
      </c>
      <c r="Q37" s="5" t="s">
        <v>128</v>
      </c>
      <c r="R37" s="5" t="s">
        <v>967</v>
      </c>
      <c r="S37" s="5" t="s">
        <v>967</v>
      </c>
      <c r="T37" s="5" t="s">
        <v>967</v>
      </c>
    </row>
    <row r="38" ht="66" spans="1:20">
      <c r="A38" s="4">
        <v>37</v>
      </c>
      <c r="B38" s="5" t="s">
        <v>966</v>
      </c>
      <c r="C38" s="5" t="s">
        <v>129</v>
      </c>
      <c r="D38" s="5" t="s">
        <v>130</v>
      </c>
      <c r="E38" s="5" t="s">
        <v>131</v>
      </c>
      <c r="F38" s="4" t="s">
        <v>37</v>
      </c>
      <c r="G38" s="6" t="s">
        <v>1148</v>
      </c>
      <c r="H38" s="6" t="s">
        <v>1149</v>
      </c>
      <c r="I38" s="6" t="s">
        <v>1150</v>
      </c>
      <c r="J38" s="6" t="s">
        <v>967</v>
      </c>
      <c r="K38" s="6" t="s">
        <v>1151</v>
      </c>
      <c r="L38" s="6" t="s">
        <v>1152</v>
      </c>
      <c r="M38" s="6" t="s">
        <v>1153</v>
      </c>
      <c r="N38" s="6" t="s">
        <v>1154</v>
      </c>
      <c r="O38" s="6" t="s">
        <v>967</v>
      </c>
      <c r="P38" s="5" t="s">
        <v>967</v>
      </c>
      <c r="Q38" s="5" t="s">
        <v>967</v>
      </c>
      <c r="R38" s="5" t="s">
        <v>967</v>
      </c>
      <c r="S38" s="5" t="s">
        <v>967</v>
      </c>
      <c r="T38" s="5" t="s">
        <v>967</v>
      </c>
    </row>
    <row r="39" ht="66" spans="1:20">
      <c r="A39" s="4">
        <v>38</v>
      </c>
      <c r="B39" s="5" t="s">
        <v>966</v>
      </c>
      <c r="C39" s="5" t="s">
        <v>132</v>
      </c>
      <c r="D39" s="5" t="s">
        <v>133</v>
      </c>
      <c r="E39" s="5" t="s">
        <v>134</v>
      </c>
      <c r="F39" s="4" t="s">
        <v>37</v>
      </c>
      <c r="G39" s="6" t="s">
        <v>1155</v>
      </c>
      <c r="H39" s="6" t="s">
        <v>1156</v>
      </c>
      <c r="I39" s="6" t="s">
        <v>967</v>
      </c>
      <c r="J39" s="6" t="s">
        <v>967</v>
      </c>
      <c r="K39" s="6" t="s">
        <v>1157</v>
      </c>
      <c r="L39" s="6" t="s">
        <v>1158</v>
      </c>
      <c r="M39" s="6" t="s">
        <v>1159</v>
      </c>
      <c r="N39" s="6" t="s">
        <v>1160</v>
      </c>
      <c r="O39" s="6" t="s">
        <v>967</v>
      </c>
      <c r="P39" s="5" t="s">
        <v>967</v>
      </c>
      <c r="Q39" s="5" t="s">
        <v>967</v>
      </c>
      <c r="R39" s="5" t="s">
        <v>967</v>
      </c>
      <c r="S39" s="5" t="s">
        <v>967</v>
      </c>
      <c r="T39" s="5" t="s">
        <v>967</v>
      </c>
    </row>
    <row r="40" ht="66" spans="1:20">
      <c r="A40" s="4">
        <v>39</v>
      </c>
      <c r="B40" s="5" t="s">
        <v>966</v>
      </c>
      <c r="C40" s="5" t="s">
        <v>135</v>
      </c>
      <c r="D40" s="5" t="s">
        <v>133</v>
      </c>
      <c r="E40" s="5" t="s">
        <v>136</v>
      </c>
      <c r="F40" s="4" t="s">
        <v>37</v>
      </c>
      <c r="G40" s="6" t="s">
        <v>1161</v>
      </c>
      <c r="H40" s="6" t="s">
        <v>1162</v>
      </c>
      <c r="I40" s="6" t="s">
        <v>967</v>
      </c>
      <c r="J40" s="6" t="s">
        <v>967</v>
      </c>
      <c r="K40" s="6" t="s">
        <v>1163</v>
      </c>
      <c r="L40" s="6" t="s">
        <v>1164</v>
      </c>
      <c r="M40" s="6" t="s">
        <v>1165</v>
      </c>
      <c r="N40" s="6" t="s">
        <v>1166</v>
      </c>
      <c r="O40" s="6" t="s">
        <v>967</v>
      </c>
      <c r="P40" s="5" t="s">
        <v>967</v>
      </c>
      <c r="Q40" s="5" t="s">
        <v>967</v>
      </c>
      <c r="R40" s="5" t="s">
        <v>967</v>
      </c>
      <c r="S40" s="5" t="s">
        <v>967</v>
      </c>
      <c r="T40" s="5" t="s">
        <v>967</v>
      </c>
    </row>
    <row r="41" ht="49.5" spans="1:20">
      <c r="A41" s="4">
        <v>40</v>
      </c>
      <c r="B41" s="5" t="s">
        <v>966</v>
      </c>
      <c r="C41" s="5" t="s">
        <v>137</v>
      </c>
      <c r="D41" s="5" t="s">
        <v>138</v>
      </c>
      <c r="E41" s="5" t="s">
        <v>139</v>
      </c>
      <c r="F41" s="4" t="s">
        <v>37</v>
      </c>
      <c r="G41" s="6" t="s">
        <v>1167</v>
      </c>
      <c r="H41" s="6" t="s">
        <v>1167</v>
      </c>
      <c r="I41" s="6" t="s">
        <v>967</v>
      </c>
      <c r="J41" s="6" t="s">
        <v>967</v>
      </c>
      <c r="K41" s="6" t="s">
        <v>1163</v>
      </c>
      <c r="L41" s="6" t="s">
        <v>1168</v>
      </c>
      <c r="M41" s="6" t="s">
        <v>1169</v>
      </c>
      <c r="N41" s="6" t="s">
        <v>1169</v>
      </c>
      <c r="O41" s="6" t="s">
        <v>967</v>
      </c>
      <c r="P41" s="5" t="s">
        <v>967</v>
      </c>
      <c r="Q41" s="5" t="s">
        <v>967</v>
      </c>
      <c r="R41" s="5" t="s">
        <v>967</v>
      </c>
      <c r="S41" s="5" t="s">
        <v>967</v>
      </c>
      <c r="T41" s="5" t="s">
        <v>967</v>
      </c>
    </row>
    <row r="42" ht="49.5" spans="1:20">
      <c r="A42" s="4">
        <v>41</v>
      </c>
      <c r="B42" s="5" t="s">
        <v>966</v>
      </c>
      <c r="C42" s="5" t="s">
        <v>140</v>
      </c>
      <c r="D42" s="5" t="s">
        <v>141</v>
      </c>
      <c r="E42" s="5" t="s">
        <v>142</v>
      </c>
      <c r="F42" s="4" t="s">
        <v>37</v>
      </c>
      <c r="G42" s="6" t="s">
        <v>1170</v>
      </c>
      <c r="H42" s="6" t="s">
        <v>1171</v>
      </c>
      <c r="I42" s="6" t="s">
        <v>1172</v>
      </c>
      <c r="J42" s="6" t="s">
        <v>967</v>
      </c>
      <c r="K42" s="6" t="s">
        <v>1173</v>
      </c>
      <c r="L42" s="6" t="s">
        <v>1174</v>
      </c>
      <c r="M42" s="6" t="s">
        <v>1175</v>
      </c>
      <c r="N42" s="6" t="s">
        <v>1176</v>
      </c>
      <c r="O42" s="6" t="s">
        <v>967</v>
      </c>
      <c r="P42" s="5" t="s">
        <v>967</v>
      </c>
      <c r="Q42" s="5" t="s">
        <v>967</v>
      </c>
      <c r="R42" s="5" t="s">
        <v>967</v>
      </c>
      <c r="S42" s="5" t="s">
        <v>967</v>
      </c>
      <c r="T42" s="5" t="s">
        <v>967</v>
      </c>
    </row>
    <row r="43" ht="49.5" spans="1:20">
      <c r="A43" s="4">
        <v>42</v>
      </c>
      <c r="B43" s="5" t="s">
        <v>966</v>
      </c>
      <c r="C43" s="5" t="s">
        <v>143</v>
      </c>
      <c r="D43" s="5" t="s">
        <v>144</v>
      </c>
      <c r="E43" s="5" t="s">
        <v>145</v>
      </c>
      <c r="F43" s="4" t="s">
        <v>32</v>
      </c>
      <c r="G43" s="6" t="s">
        <v>1177</v>
      </c>
      <c r="H43" s="6" t="s">
        <v>1177</v>
      </c>
      <c r="I43" s="6" t="s">
        <v>1003</v>
      </c>
      <c r="J43" s="6" t="s">
        <v>967</v>
      </c>
      <c r="K43" s="6" t="s">
        <v>1178</v>
      </c>
      <c r="L43" s="6" t="s">
        <v>1179</v>
      </c>
      <c r="M43" s="6" t="s">
        <v>1180</v>
      </c>
      <c r="N43" s="6" t="s">
        <v>1180</v>
      </c>
      <c r="O43" s="6" t="s">
        <v>967</v>
      </c>
      <c r="P43" s="5" t="s">
        <v>967</v>
      </c>
      <c r="Q43" s="5" t="s">
        <v>146</v>
      </c>
      <c r="R43" s="5" t="s">
        <v>967</v>
      </c>
      <c r="S43" s="5" t="s">
        <v>967</v>
      </c>
      <c r="T43" s="5" t="s">
        <v>967</v>
      </c>
    </row>
    <row r="44" ht="33" spans="1:20">
      <c r="A44" s="4">
        <v>43</v>
      </c>
      <c r="B44" s="5" t="s">
        <v>966</v>
      </c>
      <c r="C44" s="5" t="s">
        <v>147</v>
      </c>
      <c r="D44" s="5" t="s">
        <v>69</v>
      </c>
      <c r="E44" s="5" t="s">
        <v>148</v>
      </c>
      <c r="F44" s="4" t="s">
        <v>71</v>
      </c>
      <c r="G44" s="6" t="s">
        <v>1181</v>
      </c>
      <c r="H44" s="6" t="s">
        <v>1182</v>
      </c>
      <c r="I44" s="6" t="s">
        <v>1182</v>
      </c>
      <c r="J44" s="6" t="s">
        <v>967</v>
      </c>
      <c r="K44" s="6" t="s">
        <v>1183</v>
      </c>
      <c r="L44" s="6" t="s">
        <v>1184</v>
      </c>
      <c r="M44" s="6" t="s">
        <v>1185</v>
      </c>
      <c r="N44" s="6" t="s">
        <v>1186</v>
      </c>
      <c r="O44" s="6" t="s">
        <v>967</v>
      </c>
      <c r="P44" s="5" t="s">
        <v>967</v>
      </c>
      <c r="Q44" s="5" t="s">
        <v>967</v>
      </c>
      <c r="R44" s="5" t="s">
        <v>967</v>
      </c>
      <c r="S44" s="5" t="s">
        <v>967</v>
      </c>
      <c r="T44" s="5" t="s">
        <v>967</v>
      </c>
    </row>
    <row r="45" ht="33" spans="1:20">
      <c r="A45" s="4">
        <v>44</v>
      </c>
      <c r="B45" s="5" t="s">
        <v>966</v>
      </c>
      <c r="C45" s="5" t="s">
        <v>149</v>
      </c>
      <c r="D45" s="5" t="s">
        <v>69</v>
      </c>
      <c r="E45" s="5" t="s">
        <v>150</v>
      </c>
      <c r="F45" s="4" t="s">
        <v>71</v>
      </c>
      <c r="G45" s="6" t="s">
        <v>1187</v>
      </c>
      <c r="H45" s="6" t="s">
        <v>1188</v>
      </c>
      <c r="I45" s="6" t="s">
        <v>1188</v>
      </c>
      <c r="J45" s="6" t="s">
        <v>967</v>
      </c>
      <c r="K45" s="6" t="s">
        <v>1183</v>
      </c>
      <c r="L45" s="6" t="s">
        <v>1189</v>
      </c>
      <c r="M45" s="6" t="s">
        <v>1190</v>
      </c>
      <c r="N45" s="6" t="s">
        <v>1191</v>
      </c>
      <c r="O45" s="6" t="s">
        <v>967</v>
      </c>
      <c r="P45" s="5" t="s">
        <v>967</v>
      </c>
      <c r="Q45" s="5" t="s">
        <v>967</v>
      </c>
      <c r="R45" s="5" t="s">
        <v>967</v>
      </c>
      <c r="S45" s="5" t="s">
        <v>967</v>
      </c>
      <c r="T45" s="5" t="s">
        <v>967</v>
      </c>
    </row>
    <row r="46" ht="33" spans="1:20">
      <c r="A46" s="4">
        <v>45</v>
      </c>
      <c r="B46" s="5" t="s">
        <v>966</v>
      </c>
      <c r="C46" s="5" t="s">
        <v>151</v>
      </c>
      <c r="D46" s="5" t="s">
        <v>69</v>
      </c>
      <c r="E46" s="5" t="s">
        <v>152</v>
      </c>
      <c r="F46" s="4" t="s">
        <v>71</v>
      </c>
      <c r="G46" s="6" t="s">
        <v>1192</v>
      </c>
      <c r="H46" s="6" t="s">
        <v>1193</v>
      </c>
      <c r="I46" s="6" t="s">
        <v>1193</v>
      </c>
      <c r="J46" s="6" t="s">
        <v>967</v>
      </c>
      <c r="K46" s="6" t="s">
        <v>1194</v>
      </c>
      <c r="L46" s="6" t="s">
        <v>1195</v>
      </c>
      <c r="M46" s="6" t="s">
        <v>1196</v>
      </c>
      <c r="N46" s="6" t="s">
        <v>1197</v>
      </c>
      <c r="O46" s="6" t="s">
        <v>967</v>
      </c>
      <c r="P46" s="5" t="s">
        <v>967</v>
      </c>
      <c r="Q46" s="5" t="s">
        <v>967</v>
      </c>
      <c r="R46" s="5" t="s">
        <v>967</v>
      </c>
      <c r="S46" s="5" t="s">
        <v>967</v>
      </c>
      <c r="T46" s="5" t="s">
        <v>967</v>
      </c>
    </row>
    <row r="47" ht="33" spans="1:20">
      <c r="A47" s="4">
        <v>46</v>
      </c>
      <c r="B47" s="5" t="s">
        <v>966</v>
      </c>
      <c r="C47" s="5" t="s">
        <v>153</v>
      </c>
      <c r="D47" s="5" t="s">
        <v>69</v>
      </c>
      <c r="E47" s="5" t="s">
        <v>154</v>
      </c>
      <c r="F47" s="4" t="s">
        <v>71</v>
      </c>
      <c r="G47" s="6" t="s">
        <v>1198</v>
      </c>
      <c r="H47" s="6" t="s">
        <v>1199</v>
      </c>
      <c r="I47" s="6" t="s">
        <v>1199</v>
      </c>
      <c r="J47" s="6" t="s">
        <v>967</v>
      </c>
      <c r="K47" s="6" t="s">
        <v>1194</v>
      </c>
      <c r="L47" s="6" t="s">
        <v>1200</v>
      </c>
      <c r="M47" s="6" t="s">
        <v>1201</v>
      </c>
      <c r="N47" s="6" t="s">
        <v>1202</v>
      </c>
      <c r="O47" s="6" t="s">
        <v>1202</v>
      </c>
      <c r="P47" s="5" t="s">
        <v>967</v>
      </c>
      <c r="Q47" s="5" t="s">
        <v>967</v>
      </c>
      <c r="R47" s="5" t="s">
        <v>967</v>
      </c>
      <c r="S47" s="5" t="s">
        <v>967</v>
      </c>
      <c r="T47" s="5" t="s">
        <v>967</v>
      </c>
    </row>
    <row r="48" ht="33" spans="1:20">
      <c r="A48" s="4">
        <v>47</v>
      </c>
      <c r="B48" s="5" t="s">
        <v>966</v>
      </c>
      <c r="C48" s="5" t="s">
        <v>155</v>
      </c>
      <c r="D48" s="5" t="s">
        <v>69</v>
      </c>
      <c r="E48" s="5" t="s">
        <v>156</v>
      </c>
      <c r="F48" s="4" t="s">
        <v>71</v>
      </c>
      <c r="G48" s="6" t="s">
        <v>1203</v>
      </c>
      <c r="H48" s="6" t="s">
        <v>1204</v>
      </c>
      <c r="I48" s="6" t="s">
        <v>1205</v>
      </c>
      <c r="J48" s="6" t="s">
        <v>967</v>
      </c>
      <c r="K48" s="6" t="s">
        <v>1206</v>
      </c>
      <c r="L48" s="6" t="s">
        <v>1207</v>
      </c>
      <c r="M48" s="6" t="s">
        <v>1208</v>
      </c>
      <c r="N48" s="6" t="s">
        <v>1209</v>
      </c>
      <c r="O48" s="6" t="s">
        <v>967</v>
      </c>
      <c r="P48" s="5" t="s">
        <v>967</v>
      </c>
      <c r="Q48" s="5" t="s">
        <v>967</v>
      </c>
      <c r="R48" s="5" t="s">
        <v>967</v>
      </c>
      <c r="S48" s="5" t="s">
        <v>967</v>
      </c>
      <c r="T48" s="5" t="s">
        <v>967</v>
      </c>
    </row>
    <row r="49" ht="33" spans="1:20">
      <c r="A49" s="4">
        <v>48</v>
      </c>
      <c r="B49" s="5" t="s">
        <v>966</v>
      </c>
      <c r="C49" s="5" t="s">
        <v>157</v>
      </c>
      <c r="D49" s="5" t="s">
        <v>69</v>
      </c>
      <c r="E49" s="5" t="s">
        <v>158</v>
      </c>
      <c r="F49" s="4" t="s">
        <v>71</v>
      </c>
      <c r="G49" s="6" t="s">
        <v>1210</v>
      </c>
      <c r="H49" s="6" t="s">
        <v>1211</v>
      </c>
      <c r="I49" s="6" t="s">
        <v>1211</v>
      </c>
      <c r="J49" s="6" t="s">
        <v>967</v>
      </c>
      <c r="K49" s="6" t="s">
        <v>1212</v>
      </c>
      <c r="L49" s="6" t="s">
        <v>1213</v>
      </c>
      <c r="M49" s="6" t="s">
        <v>1214</v>
      </c>
      <c r="N49" s="6" t="s">
        <v>1215</v>
      </c>
      <c r="O49" s="6" t="s">
        <v>967</v>
      </c>
      <c r="P49" s="5" t="s">
        <v>967</v>
      </c>
      <c r="Q49" s="5" t="s">
        <v>967</v>
      </c>
      <c r="R49" s="5" t="s">
        <v>967</v>
      </c>
      <c r="S49" s="5" t="s">
        <v>967</v>
      </c>
      <c r="T49" s="5" t="s">
        <v>967</v>
      </c>
    </row>
    <row r="50" ht="33" spans="1:20">
      <c r="A50" s="4">
        <v>49</v>
      </c>
      <c r="B50" s="5" t="s">
        <v>966</v>
      </c>
      <c r="C50" s="5" t="s">
        <v>159</v>
      </c>
      <c r="D50" s="5" t="s">
        <v>160</v>
      </c>
      <c r="E50" s="5" t="s">
        <v>161</v>
      </c>
      <c r="F50" s="4" t="s">
        <v>67</v>
      </c>
      <c r="G50" s="6" t="s">
        <v>1216</v>
      </c>
      <c r="H50" s="6" t="s">
        <v>1003</v>
      </c>
      <c r="I50" s="6" t="s">
        <v>1003</v>
      </c>
      <c r="J50" s="6" t="s">
        <v>967</v>
      </c>
      <c r="K50" s="6" t="s">
        <v>1217</v>
      </c>
      <c r="L50" s="6" t="s">
        <v>982</v>
      </c>
      <c r="M50" s="6" t="s">
        <v>1218</v>
      </c>
      <c r="N50" s="6" t="s">
        <v>1003</v>
      </c>
      <c r="O50" s="6" t="s">
        <v>967</v>
      </c>
      <c r="P50" s="5" t="s">
        <v>967</v>
      </c>
      <c r="Q50" s="5" t="s">
        <v>967</v>
      </c>
      <c r="R50" s="5" t="s">
        <v>967</v>
      </c>
      <c r="S50" s="5" t="s">
        <v>967</v>
      </c>
      <c r="T50" s="5" t="s">
        <v>967</v>
      </c>
    </row>
    <row r="51" ht="33" spans="1:20">
      <c r="A51" s="4">
        <v>50</v>
      </c>
      <c r="B51" s="5" t="s">
        <v>966</v>
      </c>
      <c r="C51" s="5" t="s">
        <v>162</v>
      </c>
      <c r="D51" s="5" t="s">
        <v>160</v>
      </c>
      <c r="E51" s="5" t="s">
        <v>163</v>
      </c>
      <c r="F51" s="4" t="s">
        <v>67</v>
      </c>
      <c r="G51" s="6" t="s">
        <v>1219</v>
      </c>
      <c r="H51" s="6" t="s">
        <v>1003</v>
      </c>
      <c r="I51" s="6" t="s">
        <v>1003</v>
      </c>
      <c r="J51" s="6" t="s">
        <v>967</v>
      </c>
      <c r="K51" s="6" t="s">
        <v>1220</v>
      </c>
      <c r="L51" s="6" t="s">
        <v>1221</v>
      </c>
      <c r="M51" s="6" t="s">
        <v>1222</v>
      </c>
      <c r="N51" s="6" t="s">
        <v>1003</v>
      </c>
      <c r="O51" s="6" t="s">
        <v>967</v>
      </c>
      <c r="P51" s="5" t="s">
        <v>967</v>
      </c>
      <c r="Q51" s="5" t="s">
        <v>967</v>
      </c>
      <c r="R51" s="5" t="s">
        <v>967</v>
      </c>
      <c r="S51" s="5" t="s">
        <v>967</v>
      </c>
      <c r="T51" s="5" t="s">
        <v>967</v>
      </c>
    </row>
    <row r="52" ht="33" spans="1:20">
      <c r="A52" s="4">
        <v>51</v>
      </c>
      <c r="B52" s="5" t="s">
        <v>966</v>
      </c>
      <c r="C52" s="5" t="s">
        <v>164</v>
      </c>
      <c r="D52" s="5" t="s">
        <v>165</v>
      </c>
      <c r="E52" s="5" t="s">
        <v>166</v>
      </c>
      <c r="F52" s="4" t="s">
        <v>67</v>
      </c>
      <c r="G52" s="6" t="s">
        <v>1223</v>
      </c>
      <c r="H52" s="6" t="s">
        <v>1003</v>
      </c>
      <c r="I52" s="6" t="s">
        <v>1003</v>
      </c>
      <c r="J52" s="6" t="s">
        <v>967</v>
      </c>
      <c r="K52" s="6" t="s">
        <v>1224</v>
      </c>
      <c r="L52" s="6" t="s">
        <v>1225</v>
      </c>
      <c r="M52" s="6" t="s">
        <v>1226</v>
      </c>
      <c r="N52" s="6" t="s">
        <v>1003</v>
      </c>
      <c r="O52" s="6" t="s">
        <v>967</v>
      </c>
      <c r="P52" s="5" t="s">
        <v>967</v>
      </c>
      <c r="Q52" s="5" t="s">
        <v>967</v>
      </c>
      <c r="R52" s="5" t="s">
        <v>967</v>
      </c>
      <c r="S52" s="5" t="s">
        <v>967</v>
      </c>
      <c r="T52" s="5" t="s">
        <v>967</v>
      </c>
    </row>
    <row r="53" ht="33" spans="1:20">
      <c r="A53" s="4">
        <v>52</v>
      </c>
      <c r="B53" s="5" t="s">
        <v>966</v>
      </c>
      <c r="C53" s="5" t="s">
        <v>967</v>
      </c>
      <c r="D53" s="5" t="s">
        <v>167</v>
      </c>
      <c r="E53" s="5" t="s">
        <v>967</v>
      </c>
      <c r="F53" s="4" t="s">
        <v>967</v>
      </c>
      <c r="G53" s="6" t="s">
        <v>967</v>
      </c>
      <c r="H53" s="6" t="s">
        <v>967</v>
      </c>
      <c r="I53" s="6" t="s">
        <v>967</v>
      </c>
      <c r="J53" s="6" t="s">
        <v>967</v>
      </c>
      <c r="K53" s="6" t="s">
        <v>967</v>
      </c>
      <c r="L53" s="6" t="s">
        <v>967</v>
      </c>
      <c r="M53" s="6" t="s">
        <v>1227</v>
      </c>
      <c r="N53" s="6" t="s">
        <v>1228</v>
      </c>
      <c r="O53" s="6" t="s">
        <v>967</v>
      </c>
      <c r="P53" s="5" t="s">
        <v>967</v>
      </c>
      <c r="Q53" s="5" t="s">
        <v>967</v>
      </c>
      <c r="R53" s="5" t="s">
        <v>967</v>
      </c>
      <c r="S53" s="5" t="s">
        <v>967</v>
      </c>
      <c r="T53" s="5" t="s">
        <v>967</v>
      </c>
    </row>
    <row r="54" ht="33" spans="1:20">
      <c r="A54" s="4">
        <v>53</v>
      </c>
      <c r="B54" s="5" t="s">
        <v>966</v>
      </c>
      <c r="C54" s="5" t="s">
        <v>168</v>
      </c>
      <c r="D54" s="5" t="s">
        <v>169</v>
      </c>
      <c r="E54" s="5" t="s">
        <v>170</v>
      </c>
      <c r="F54" s="4" t="s">
        <v>32</v>
      </c>
      <c r="G54" s="6" t="s">
        <v>1229</v>
      </c>
      <c r="H54" s="6" t="s">
        <v>1230</v>
      </c>
      <c r="I54" s="6" t="s">
        <v>1230</v>
      </c>
      <c r="J54" s="6" t="s">
        <v>967</v>
      </c>
      <c r="K54" s="6" t="s">
        <v>1231</v>
      </c>
      <c r="L54" s="6" t="s">
        <v>1232</v>
      </c>
      <c r="M54" s="6" t="s">
        <v>1233</v>
      </c>
      <c r="N54" s="6" t="s">
        <v>1234</v>
      </c>
      <c r="O54" s="6" t="s">
        <v>967</v>
      </c>
      <c r="P54" s="5" t="s">
        <v>967</v>
      </c>
      <c r="Q54" s="5" t="s">
        <v>967</v>
      </c>
      <c r="R54" s="5" t="s">
        <v>967</v>
      </c>
      <c r="S54" s="5" t="s">
        <v>967</v>
      </c>
      <c r="T54" s="5" t="s">
        <v>967</v>
      </c>
    </row>
    <row r="55" ht="33" spans="1:20">
      <c r="A55" s="4">
        <v>54</v>
      </c>
      <c r="B55" s="5" t="s">
        <v>966</v>
      </c>
      <c r="C55" s="5" t="s">
        <v>171</v>
      </c>
      <c r="D55" s="5" t="s">
        <v>169</v>
      </c>
      <c r="E55" s="5" t="s">
        <v>172</v>
      </c>
      <c r="F55" s="4" t="s">
        <v>32</v>
      </c>
      <c r="G55" s="6" t="s">
        <v>1235</v>
      </c>
      <c r="H55" s="6" t="s">
        <v>1236</v>
      </c>
      <c r="I55" s="6" t="s">
        <v>1237</v>
      </c>
      <c r="J55" s="6" t="s">
        <v>967</v>
      </c>
      <c r="K55" s="6" t="s">
        <v>1238</v>
      </c>
      <c r="L55" s="6" t="s">
        <v>1239</v>
      </c>
      <c r="M55" s="6" t="s">
        <v>1240</v>
      </c>
      <c r="N55" s="6" t="s">
        <v>1241</v>
      </c>
      <c r="O55" s="6" t="s">
        <v>967</v>
      </c>
      <c r="P55" s="5" t="s">
        <v>967</v>
      </c>
      <c r="Q55" s="5" t="s">
        <v>967</v>
      </c>
      <c r="R55" s="5" t="s">
        <v>967</v>
      </c>
      <c r="S55" s="5" t="s">
        <v>967</v>
      </c>
      <c r="T55" s="5" t="s">
        <v>967</v>
      </c>
    </row>
    <row r="56" ht="82.5" spans="1:20">
      <c r="A56" s="4">
        <v>55</v>
      </c>
      <c r="B56" s="5" t="s">
        <v>966</v>
      </c>
      <c r="C56" s="5" t="s">
        <v>173</v>
      </c>
      <c r="D56" s="5" t="s">
        <v>174</v>
      </c>
      <c r="E56" s="5" t="s">
        <v>175</v>
      </c>
      <c r="F56" s="4" t="s">
        <v>71</v>
      </c>
      <c r="G56" s="6" t="s">
        <v>1242</v>
      </c>
      <c r="H56" s="6" t="s">
        <v>1243</v>
      </c>
      <c r="I56" s="6" t="s">
        <v>967</v>
      </c>
      <c r="J56" s="6" t="s">
        <v>967</v>
      </c>
      <c r="K56" s="6" t="s">
        <v>1244</v>
      </c>
      <c r="L56" s="6" t="s">
        <v>1245</v>
      </c>
      <c r="M56" s="6" t="s">
        <v>1246</v>
      </c>
      <c r="N56" s="6" t="s">
        <v>1247</v>
      </c>
      <c r="O56" s="6" t="s">
        <v>967</v>
      </c>
      <c r="P56" s="5" t="s">
        <v>967</v>
      </c>
      <c r="Q56" s="5" t="s">
        <v>967</v>
      </c>
      <c r="R56" s="5" t="s">
        <v>967</v>
      </c>
      <c r="S56" s="5" t="s">
        <v>967</v>
      </c>
      <c r="T56" s="5" t="s">
        <v>967</v>
      </c>
    </row>
    <row r="57" ht="66" spans="1:20">
      <c r="A57" s="4">
        <v>56</v>
      </c>
      <c r="B57" s="5" t="s">
        <v>966</v>
      </c>
      <c r="C57" s="5" t="s">
        <v>176</v>
      </c>
      <c r="D57" s="5" t="s">
        <v>177</v>
      </c>
      <c r="E57" s="5" t="s">
        <v>178</v>
      </c>
      <c r="F57" s="4" t="s">
        <v>71</v>
      </c>
      <c r="G57" s="6" t="s">
        <v>1248</v>
      </c>
      <c r="H57" s="6" t="s">
        <v>1249</v>
      </c>
      <c r="I57" s="6" t="s">
        <v>1250</v>
      </c>
      <c r="J57" s="6" t="s">
        <v>967</v>
      </c>
      <c r="K57" s="6" t="s">
        <v>1251</v>
      </c>
      <c r="L57" s="6" t="s">
        <v>1252</v>
      </c>
      <c r="M57" s="6" t="s">
        <v>1253</v>
      </c>
      <c r="N57" s="6" t="s">
        <v>1254</v>
      </c>
      <c r="O57" s="6" t="s">
        <v>967</v>
      </c>
      <c r="P57" s="5" t="s">
        <v>967</v>
      </c>
      <c r="Q57" s="5" t="s">
        <v>967</v>
      </c>
      <c r="R57" s="5" t="s">
        <v>967</v>
      </c>
      <c r="S57" s="5" t="s">
        <v>967</v>
      </c>
      <c r="T57" s="5" t="s">
        <v>967</v>
      </c>
    </row>
    <row r="58" ht="66" spans="1:20">
      <c r="A58" s="4">
        <v>57</v>
      </c>
      <c r="B58" s="5" t="s">
        <v>966</v>
      </c>
      <c r="C58" s="5" t="s">
        <v>179</v>
      </c>
      <c r="D58" s="5" t="s">
        <v>177</v>
      </c>
      <c r="E58" s="5" t="s">
        <v>180</v>
      </c>
      <c r="F58" s="4" t="s">
        <v>71</v>
      </c>
      <c r="G58" s="6" t="s">
        <v>1255</v>
      </c>
      <c r="H58" s="6" t="s">
        <v>1256</v>
      </c>
      <c r="I58" s="6" t="s">
        <v>1257</v>
      </c>
      <c r="J58" s="6" t="s">
        <v>967</v>
      </c>
      <c r="K58" s="6" t="s">
        <v>1258</v>
      </c>
      <c r="L58" s="6" t="s">
        <v>1259</v>
      </c>
      <c r="M58" s="6" t="s">
        <v>1260</v>
      </c>
      <c r="N58" s="6" t="s">
        <v>1261</v>
      </c>
      <c r="O58" s="6" t="s">
        <v>967</v>
      </c>
      <c r="P58" s="5" t="s">
        <v>967</v>
      </c>
      <c r="Q58" s="5" t="s">
        <v>967</v>
      </c>
      <c r="R58" s="5" t="s">
        <v>967</v>
      </c>
      <c r="S58" s="5" t="s">
        <v>967</v>
      </c>
      <c r="T58" s="5" t="s">
        <v>967</v>
      </c>
    </row>
    <row r="59" ht="82.5" spans="1:20">
      <c r="A59" s="4">
        <v>58</v>
      </c>
      <c r="B59" s="5" t="s">
        <v>966</v>
      </c>
      <c r="C59" s="5" t="s">
        <v>181</v>
      </c>
      <c r="D59" s="5" t="s">
        <v>182</v>
      </c>
      <c r="E59" s="5" t="s">
        <v>183</v>
      </c>
      <c r="F59" s="4" t="s">
        <v>71</v>
      </c>
      <c r="G59" s="6" t="s">
        <v>1262</v>
      </c>
      <c r="H59" s="6" t="s">
        <v>1263</v>
      </c>
      <c r="I59" s="6" t="s">
        <v>1264</v>
      </c>
      <c r="J59" s="6" t="s">
        <v>967</v>
      </c>
      <c r="K59" s="6" t="s">
        <v>1265</v>
      </c>
      <c r="L59" s="6" t="s">
        <v>1266</v>
      </c>
      <c r="M59" s="6" t="s">
        <v>1267</v>
      </c>
      <c r="N59" s="6" t="s">
        <v>1268</v>
      </c>
      <c r="O59" s="6" t="s">
        <v>967</v>
      </c>
      <c r="P59" s="5" t="s">
        <v>967</v>
      </c>
      <c r="Q59" s="5" t="s">
        <v>967</v>
      </c>
      <c r="R59" s="5" t="s">
        <v>967</v>
      </c>
      <c r="S59" s="5" t="s">
        <v>967</v>
      </c>
      <c r="T59" s="5" t="s">
        <v>967</v>
      </c>
    </row>
    <row r="60" ht="82.5" spans="1:20">
      <c r="A60" s="4">
        <v>59</v>
      </c>
      <c r="B60" s="5" t="s">
        <v>966</v>
      </c>
      <c r="C60" s="5" t="s">
        <v>184</v>
      </c>
      <c r="D60" s="5" t="s">
        <v>185</v>
      </c>
      <c r="E60" s="5" t="s">
        <v>186</v>
      </c>
      <c r="F60" s="4" t="s">
        <v>71</v>
      </c>
      <c r="G60" s="6" t="s">
        <v>1269</v>
      </c>
      <c r="H60" s="6" t="s">
        <v>1270</v>
      </c>
      <c r="I60" s="6" t="s">
        <v>1270</v>
      </c>
      <c r="J60" s="6" t="s">
        <v>967</v>
      </c>
      <c r="K60" s="6" t="s">
        <v>1271</v>
      </c>
      <c r="L60" s="6" t="s">
        <v>1272</v>
      </c>
      <c r="M60" s="6" t="s">
        <v>1273</v>
      </c>
      <c r="N60" s="6" t="s">
        <v>1274</v>
      </c>
      <c r="O60" s="6" t="s">
        <v>967</v>
      </c>
      <c r="P60" s="5" t="s">
        <v>967</v>
      </c>
      <c r="Q60" s="5" t="s">
        <v>967</v>
      </c>
      <c r="R60" s="5" t="s">
        <v>967</v>
      </c>
      <c r="S60" s="5" t="s">
        <v>967</v>
      </c>
      <c r="T60" s="5" t="s">
        <v>967</v>
      </c>
    </row>
    <row r="61" ht="82.5" spans="1:20">
      <c r="A61" s="4">
        <v>60</v>
      </c>
      <c r="B61" s="5" t="s">
        <v>966</v>
      </c>
      <c r="C61" s="5" t="s">
        <v>187</v>
      </c>
      <c r="D61" s="5" t="s">
        <v>185</v>
      </c>
      <c r="E61" s="5" t="s">
        <v>188</v>
      </c>
      <c r="F61" s="4" t="s">
        <v>71</v>
      </c>
      <c r="G61" s="6" t="s">
        <v>1275</v>
      </c>
      <c r="H61" s="6" t="s">
        <v>1276</v>
      </c>
      <c r="I61" s="6" t="s">
        <v>1276</v>
      </c>
      <c r="J61" s="6" t="s">
        <v>967</v>
      </c>
      <c r="K61" s="6" t="s">
        <v>1277</v>
      </c>
      <c r="L61" s="6" t="s">
        <v>1278</v>
      </c>
      <c r="M61" s="6" t="s">
        <v>1279</v>
      </c>
      <c r="N61" s="6" t="s">
        <v>1280</v>
      </c>
      <c r="O61" s="6" t="s">
        <v>967</v>
      </c>
      <c r="P61" s="5" t="s">
        <v>967</v>
      </c>
      <c r="Q61" s="5" t="s">
        <v>967</v>
      </c>
      <c r="R61" s="5" t="s">
        <v>967</v>
      </c>
      <c r="S61" s="5" t="s">
        <v>967</v>
      </c>
      <c r="T61" s="5" t="s">
        <v>967</v>
      </c>
    </row>
    <row r="62" ht="82.5" spans="1:20">
      <c r="A62" s="4">
        <v>61</v>
      </c>
      <c r="B62" s="5" t="s">
        <v>966</v>
      </c>
      <c r="C62" s="5" t="s">
        <v>189</v>
      </c>
      <c r="D62" s="5" t="s">
        <v>190</v>
      </c>
      <c r="E62" s="5" t="s">
        <v>191</v>
      </c>
      <c r="F62" s="4" t="s">
        <v>71</v>
      </c>
      <c r="G62" s="6" t="s">
        <v>1281</v>
      </c>
      <c r="H62" s="6" t="s">
        <v>1282</v>
      </c>
      <c r="I62" s="6" t="s">
        <v>1282</v>
      </c>
      <c r="J62" s="6" t="s">
        <v>967</v>
      </c>
      <c r="K62" s="6" t="s">
        <v>1283</v>
      </c>
      <c r="L62" s="6" t="s">
        <v>1284</v>
      </c>
      <c r="M62" s="6" t="s">
        <v>1285</v>
      </c>
      <c r="N62" s="6" t="s">
        <v>1286</v>
      </c>
      <c r="O62" s="6" t="s">
        <v>967</v>
      </c>
      <c r="P62" s="5" t="s">
        <v>967</v>
      </c>
      <c r="Q62" s="5" t="s">
        <v>967</v>
      </c>
      <c r="R62" s="5" t="s">
        <v>967</v>
      </c>
      <c r="S62" s="5" t="s">
        <v>967</v>
      </c>
      <c r="T62" s="5" t="s">
        <v>967</v>
      </c>
    </row>
    <row r="63" ht="33" spans="1:20">
      <c r="A63" s="4">
        <v>62</v>
      </c>
      <c r="B63" s="5" t="s">
        <v>966</v>
      </c>
      <c r="C63" s="5" t="s">
        <v>192</v>
      </c>
      <c r="D63" s="5" t="s">
        <v>193</v>
      </c>
      <c r="E63" s="5" t="s">
        <v>194</v>
      </c>
      <c r="F63" s="4" t="s">
        <v>71</v>
      </c>
      <c r="G63" s="6" t="s">
        <v>1287</v>
      </c>
      <c r="H63" s="6" t="s">
        <v>1288</v>
      </c>
      <c r="I63" s="6" t="s">
        <v>1288</v>
      </c>
      <c r="J63" s="6" t="s">
        <v>967</v>
      </c>
      <c r="K63" s="6" t="s">
        <v>1289</v>
      </c>
      <c r="L63" s="6" t="s">
        <v>1290</v>
      </c>
      <c r="M63" s="6" t="s">
        <v>1291</v>
      </c>
      <c r="N63" s="6" t="s">
        <v>1292</v>
      </c>
      <c r="O63" s="6" t="s">
        <v>967</v>
      </c>
      <c r="P63" s="5" t="s">
        <v>967</v>
      </c>
      <c r="Q63" s="5" t="s">
        <v>967</v>
      </c>
      <c r="R63" s="5" t="s">
        <v>967</v>
      </c>
      <c r="S63" s="5" t="s">
        <v>967</v>
      </c>
      <c r="T63" s="5" t="s">
        <v>967</v>
      </c>
    </row>
    <row r="64" ht="99" spans="1:20">
      <c r="A64" s="4">
        <v>63</v>
      </c>
      <c r="B64" s="5" t="s">
        <v>966</v>
      </c>
      <c r="C64" s="5" t="s">
        <v>195</v>
      </c>
      <c r="D64" s="5" t="s">
        <v>196</v>
      </c>
      <c r="E64" s="5" t="s">
        <v>197</v>
      </c>
      <c r="F64" s="4" t="s">
        <v>32</v>
      </c>
      <c r="G64" s="6" t="s">
        <v>1293</v>
      </c>
      <c r="H64" s="6" t="s">
        <v>1294</v>
      </c>
      <c r="I64" s="6" t="s">
        <v>967</v>
      </c>
      <c r="J64" s="6" t="s">
        <v>967</v>
      </c>
      <c r="K64" s="6" t="s">
        <v>1295</v>
      </c>
      <c r="L64" s="6" t="s">
        <v>1296</v>
      </c>
      <c r="M64" s="6" t="s">
        <v>1297</v>
      </c>
      <c r="N64" s="6" t="s">
        <v>1298</v>
      </c>
      <c r="O64" s="6" t="s">
        <v>967</v>
      </c>
      <c r="P64" s="5" t="s">
        <v>967</v>
      </c>
      <c r="Q64" s="5" t="s">
        <v>198</v>
      </c>
      <c r="R64" s="5" t="s">
        <v>967</v>
      </c>
      <c r="S64" s="5" t="s">
        <v>967</v>
      </c>
      <c r="T64" s="5" t="s">
        <v>967</v>
      </c>
    </row>
    <row r="65" ht="49.5" spans="1:20">
      <c r="A65" s="4">
        <v>64</v>
      </c>
      <c r="B65" s="5" t="s">
        <v>966</v>
      </c>
      <c r="C65" s="5" t="s">
        <v>199</v>
      </c>
      <c r="D65" s="5" t="s">
        <v>200</v>
      </c>
      <c r="E65" s="5" t="s">
        <v>201</v>
      </c>
      <c r="F65" s="4" t="s">
        <v>202</v>
      </c>
      <c r="G65" s="6" t="s">
        <v>1299</v>
      </c>
      <c r="H65" s="6" t="s">
        <v>1300</v>
      </c>
      <c r="I65" s="6" t="s">
        <v>1300</v>
      </c>
      <c r="J65" s="6" t="s">
        <v>967</v>
      </c>
      <c r="K65" s="6" t="s">
        <v>1301</v>
      </c>
      <c r="L65" s="6" t="s">
        <v>1302</v>
      </c>
      <c r="M65" s="6" t="s">
        <v>1303</v>
      </c>
      <c r="N65" s="6" t="s">
        <v>1304</v>
      </c>
      <c r="O65" s="6" t="s">
        <v>967</v>
      </c>
      <c r="P65" s="5" t="s">
        <v>967</v>
      </c>
      <c r="Q65" s="5" t="s">
        <v>967</v>
      </c>
      <c r="R65" s="5" t="s">
        <v>967</v>
      </c>
      <c r="S65" s="5" t="s">
        <v>967</v>
      </c>
      <c r="T65" s="5" t="s">
        <v>967</v>
      </c>
    </row>
    <row r="66" ht="66" spans="1:20">
      <c r="A66" s="4">
        <v>65</v>
      </c>
      <c r="B66" s="5" t="s">
        <v>966</v>
      </c>
      <c r="C66" s="5" t="s">
        <v>203</v>
      </c>
      <c r="D66" s="5" t="s">
        <v>204</v>
      </c>
      <c r="E66" s="5" t="s">
        <v>205</v>
      </c>
      <c r="F66" s="4" t="s">
        <v>32</v>
      </c>
      <c r="G66" s="6" t="s">
        <v>1293</v>
      </c>
      <c r="H66" s="6" t="s">
        <v>1294</v>
      </c>
      <c r="I66" s="6" t="s">
        <v>967</v>
      </c>
      <c r="J66" s="6" t="s">
        <v>967</v>
      </c>
      <c r="K66" s="6" t="s">
        <v>1305</v>
      </c>
      <c r="L66" s="6" t="s">
        <v>1306</v>
      </c>
      <c r="M66" s="6" t="s">
        <v>1307</v>
      </c>
      <c r="N66" s="6" t="s">
        <v>1308</v>
      </c>
      <c r="O66" s="6" t="s">
        <v>967</v>
      </c>
      <c r="P66" s="5" t="s">
        <v>967</v>
      </c>
      <c r="Q66" s="5" t="s">
        <v>204</v>
      </c>
      <c r="R66" s="5" t="s">
        <v>1294</v>
      </c>
      <c r="S66" s="5" t="s">
        <v>967</v>
      </c>
      <c r="T66" s="5" t="s">
        <v>967</v>
      </c>
    </row>
    <row r="67" ht="99" spans="1:20">
      <c r="A67" s="4">
        <v>66</v>
      </c>
      <c r="B67" s="5" t="s">
        <v>966</v>
      </c>
      <c r="C67" s="5" t="s">
        <v>206</v>
      </c>
      <c r="D67" s="5" t="s">
        <v>204</v>
      </c>
      <c r="E67" s="5" t="s">
        <v>207</v>
      </c>
      <c r="F67" s="4" t="s">
        <v>32</v>
      </c>
      <c r="G67" s="6" t="s">
        <v>1309</v>
      </c>
      <c r="H67" s="6" t="s">
        <v>1310</v>
      </c>
      <c r="I67" s="6" t="s">
        <v>1310</v>
      </c>
      <c r="J67" s="6" t="s">
        <v>967</v>
      </c>
      <c r="K67" s="6" t="s">
        <v>1311</v>
      </c>
      <c r="L67" s="6" t="s">
        <v>1312</v>
      </c>
      <c r="M67" s="6" t="s">
        <v>1313</v>
      </c>
      <c r="N67" s="6" t="s">
        <v>1314</v>
      </c>
      <c r="O67" s="6" t="s">
        <v>967</v>
      </c>
      <c r="P67" s="5" t="s">
        <v>967</v>
      </c>
      <c r="Q67" s="5" t="s">
        <v>967</v>
      </c>
      <c r="R67" s="5" t="s">
        <v>967</v>
      </c>
      <c r="S67" s="5" t="s">
        <v>967</v>
      </c>
      <c r="T67" s="5" t="s">
        <v>967</v>
      </c>
    </row>
    <row r="68" ht="99" spans="1:20">
      <c r="A68" s="4">
        <v>67</v>
      </c>
      <c r="B68" s="5" t="s">
        <v>966</v>
      </c>
      <c r="C68" s="5" t="s">
        <v>208</v>
      </c>
      <c r="D68" s="5" t="s">
        <v>204</v>
      </c>
      <c r="E68" s="5" t="s">
        <v>209</v>
      </c>
      <c r="F68" s="4" t="s">
        <v>32</v>
      </c>
      <c r="G68" s="6" t="s">
        <v>1315</v>
      </c>
      <c r="H68" s="6" t="s">
        <v>1316</v>
      </c>
      <c r="I68" s="6" t="s">
        <v>1316</v>
      </c>
      <c r="J68" s="6" t="s">
        <v>967</v>
      </c>
      <c r="K68" s="6" t="s">
        <v>1317</v>
      </c>
      <c r="L68" s="6" t="s">
        <v>1318</v>
      </c>
      <c r="M68" s="6" t="s">
        <v>1319</v>
      </c>
      <c r="N68" s="6" t="s">
        <v>1320</v>
      </c>
      <c r="O68" s="6" t="s">
        <v>967</v>
      </c>
      <c r="P68" s="5" t="s">
        <v>967</v>
      </c>
      <c r="Q68" s="5" t="s">
        <v>967</v>
      </c>
      <c r="R68" s="5" t="s">
        <v>967</v>
      </c>
      <c r="S68" s="5" t="s">
        <v>967</v>
      </c>
      <c r="T68" s="5" t="s">
        <v>967</v>
      </c>
    </row>
    <row r="69" ht="66" spans="1:20">
      <c r="A69" s="4">
        <v>68</v>
      </c>
      <c r="B69" s="5" t="s">
        <v>966</v>
      </c>
      <c r="C69" s="5" t="s">
        <v>210</v>
      </c>
      <c r="D69" s="5" t="s">
        <v>211</v>
      </c>
      <c r="E69" s="5" t="s">
        <v>212</v>
      </c>
      <c r="F69" s="4" t="s">
        <v>32</v>
      </c>
      <c r="G69" s="6" t="s">
        <v>1321</v>
      </c>
      <c r="H69" s="6" t="s">
        <v>1322</v>
      </c>
      <c r="I69" s="6" t="s">
        <v>1322</v>
      </c>
      <c r="J69" s="6" t="s">
        <v>967</v>
      </c>
      <c r="K69" s="6" t="s">
        <v>1323</v>
      </c>
      <c r="L69" s="6" t="s">
        <v>1324</v>
      </c>
      <c r="M69" s="6" t="s">
        <v>1325</v>
      </c>
      <c r="N69" s="6" t="s">
        <v>1326</v>
      </c>
      <c r="O69" s="6" t="s">
        <v>967</v>
      </c>
      <c r="P69" s="5" t="s">
        <v>967</v>
      </c>
      <c r="Q69" s="5" t="s">
        <v>967</v>
      </c>
      <c r="R69" s="5" t="s">
        <v>967</v>
      </c>
      <c r="S69" s="5" t="s">
        <v>967</v>
      </c>
      <c r="T69" s="5" t="s">
        <v>967</v>
      </c>
    </row>
    <row r="70" ht="33" spans="1:20">
      <c r="A70" s="4">
        <v>69</v>
      </c>
      <c r="B70" s="5" t="s">
        <v>966</v>
      </c>
      <c r="C70" s="5" t="s">
        <v>967</v>
      </c>
      <c r="D70" s="5" t="s">
        <v>213</v>
      </c>
      <c r="E70" s="5" t="s">
        <v>967</v>
      </c>
      <c r="F70" s="4" t="s">
        <v>967</v>
      </c>
      <c r="G70" s="6" t="s">
        <v>967</v>
      </c>
      <c r="H70" s="6" t="s">
        <v>967</v>
      </c>
      <c r="I70" s="6" t="s">
        <v>967</v>
      </c>
      <c r="J70" s="6" t="s">
        <v>967</v>
      </c>
      <c r="K70" s="6" t="s">
        <v>967</v>
      </c>
      <c r="L70" s="6" t="s">
        <v>967</v>
      </c>
      <c r="M70" s="6" t="s">
        <v>1327</v>
      </c>
      <c r="N70" s="6" t="s">
        <v>1328</v>
      </c>
      <c r="O70" s="6" t="s">
        <v>967</v>
      </c>
      <c r="P70" s="5" t="s">
        <v>967</v>
      </c>
      <c r="Q70" s="5" t="s">
        <v>967</v>
      </c>
      <c r="R70" s="5" t="s">
        <v>967</v>
      </c>
      <c r="S70" s="5" t="s">
        <v>967</v>
      </c>
      <c r="T70" s="5" t="s">
        <v>967</v>
      </c>
    </row>
    <row r="71" ht="49.5" spans="1:20">
      <c r="A71" s="4">
        <v>70</v>
      </c>
      <c r="B71" s="5" t="s">
        <v>966</v>
      </c>
      <c r="C71" s="5" t="s">
        <v>214</v>
      </c>
      <c r="D71" s="5" t="s">
        <v>215</v>
      </c>
      <c r="E71" s="5" t="s">
        <v>216</v>
      </c>
      <c r="F71" s="4" t="s">
        <v>32</v>
      </c>
      <c r="G71" s="6" t="s">
        <v>1329</v>
      </c>
      <c r="H71" s="6" t="s">
        <v>1330</v>
      </c>
      <c r="I71" s="6" t="s">
        <v>1330</v>
      </c>
      <c r="J71" s="6" t="s">
        <v>967</v>
      </c>
      <c r="K71" s="6" t="s">
        <v>1331</v>
      </c>
      <c r="L71" s="6" t="s">
        <v>1332</v>
      </c>
      <c r="M71" s="6" t="s">
        <v>1333</v>
      </c>
      <c r="N71" s="6" t="s">
        <v>1334</v>
      </c>
      <c r="O71" s="6" t="s">
        <v>967</v>
      </c>
      <c r="P71" s="5" t="s">
        <v>967</v>
      </c>
      <c r="Q71" s="5" t="s">
        <v>967</v>
      </c>
      <c r="R71" s="5" t="s">
        <v>967</v>
      </c>
      <c r="S71" s="5" t="s">
        <v>967</v>
      </c>
      <c r="T71" s="5" t="s">
        <v>967</v>
      </c>
    </row>
    <row r="72" ht="49.5" spans="1:20">
      <c r="A72" s="4">
        <v>71</v>
      </c>
      <c r="B72" s="5" t="s">
        <v>966</v>
      </c>
      <c r="C72" s="5" t="s">
        <v>217</v>
      </c>
      <c r="D72" s="5" t="s">
        <v>215</v>
      </c>
      <c r="E72" s="5" t="s">
        <v>218</v>
      </c>
      <c r="F72" s="4" t="s">
        <v>32</v>
      </c>
      <c r="G72" s="6" t="s">
        <v>1335</v>
      </c>
      <c r="H72" s="6" t="s">
        <v>1336</v>
      </c>
      <c r="I72" s="6" t="s">
        <v>1336</v>
      </c>
      <c r="J72" s="6" t="s">
        <v>967</v>
      </c>
      <c r="K72" s="6" t="s">
        <v>1337</v>
      </c>
      <c r="L72" s="6" t="s">
        <v>1338</v>
      </c>
      <c r="M72" s="6" t="s">
        <v>1339</v>
      </c>
      <c r="N72" s="6" t="s">
        <v>1340</v>
      </c>
      <c r="O72" s="6" t="s">
        <v>967</v>
      </c>
      <c r="P72" s="5" t="s">
        <v>967</v>
      </c>
      <c r="Q72" s="5" t="s">
        <v>967</v>
      </c>
      <c r="R72" s="5" t="s">
        <v>967</v>
      </c>
      <c r="S72" s="5" t="s">
        <v>967</v>
      </c>
      <c r="T72" s="5" t="s">
        <v>967</v>
      </c>
    </row>
    <row r="73" ht="49.5" spans="1:20">
      <c r="A73" s="4">
        <v>72</v>
      </c>
      <c r="B73" s="5" t="s">
        <v>966</v>
      </c>
      <c r="C73" s="5" t="s">
        <v>219</v>
      </c>
      <c r="D73" s="5" t="s">
        <v>215</v>
      </c>
      <c r="E73" s="5" t="s">
        <v>220</v>
      </c>
      <c r="F73" s="4" t="s">
        <v>32</v>
      </c>
      <c r="G73" s="6" t="s">
        <v>1341</v>
      </c>
      <c r="H73" s="6" t="s">
        <v>1342</v>
      </c>
      <c r="I73" s="6" t="s">
        <v>967</v>
      </c>
      <c r="J73" s="6" t="s">
        <v>967</v>
      </c>
      <c r="K73" s="6" t="s">
        <v>1343</v>
      </c>
      <c r="L73" s="6" t="s">
        <v>1344</v>
      </c>
      <c r="M73" s="6" t="s">
        <v>1345</v>
      </c>
      <c r="N73" s="6" t="s">
        <v>1346</v>
      </c>
      <c r="O73" s="6" t="s">
        <v>967</v>
      </c>
      <c r="P73" s="5" t="s">
        <v>967</v>
      </c>
      <c r="Q73" s="5" t="s">
        <v>967</v>
      </c>
      <c r="R73" s="5" t="s">
        <v>967</v>
      </c>
      <c r="S73" s="5" t="s">
        <v>967</v>
      </c>
      <c r="T73" s="5" t="s">
        <v>967</v>
      </c>
    </row>
    <row r="74" ht="49.5" spans="1:20">
      <c r="A74" s="4">
        <v>73</v>
      </c>
      <c r="B74" s="5" t="s">
        <v>966</v>
      </c>
      <c r="C74" s="5" t="s">
        <v>221</v>
      </c>
      <c r="D74" s="5" t="s">
        <v>215</v>
      </c>
      <c r="E74" s="5" t="s">
        <v>222</v>
      </c>
      <c r="F74" s="4" t="s">
        <v>32</v>
      </c>
      <c r="G74" s="6" t="s">
        <v>1347</v>
      </c>
      <c r="H74" s="6" t="s">
        <v>1347</v>
      </c>
      <c r="I74" s="6" t="s">
        <v>1347</v>
      </c>
      <c r="J74" s="6" t="s">
        <v>967</v>
      </c>
      <c r="K74" s="6" t="s">
        <v>1348</v>
      </c>
      <c r="L74" s="6" t="s">
        <v>1349</v>
      </c>
      <c r="M74" s="6" t="s">
        <v>1350</v>
      </c>
      <c r="N74" s="6" t="s">
        <v>1350</v>
      </c>
      <c r="O74" s="6" t="s">
        <v>967</v>
      </c>
      <c r="P74" s="5" t="s">
        <v>967</v>
      </c>
      <c r="Q74" s="5" t="s">
        <v>967</v>
      </c>
      <c r="R74" s="5" t="s">
        <v>967</v>
      </c>
      <c r="S74" s="5" t="s">
        <v>967</v>
      </c>
      <c r="T74" s="5" t="s">
        <v>967</v>
      </c>
    </row>
    <row r="75" ht="49.5" spans="1:20">
      <c r="A75" s="4">
        <v>74</v>
      </c>
      <c r="B75" s="5" t="s">
        <v>966</v>
      </c>
      <c r="C75" s="5" t="s">
        <v>223</v>
      </c>
      <c r="D75" s="5" t="s">
        <v>215</v>
      </c>
      <c r="E75" s="5" t="s">
        <v>224</v>
      </c>
      <c r="F75" s="4" t="s">
        <v>32</v>
      </c>
      <c r="G75" s="6" t="s">
        <v>1351</v>
      </c>
      <c r="H75" s="6" t="s">
        <v>1352</v>
      </c>
      <c r="I75" s="6" t="s">
        <v>967</v>
      </c>
      <c r="J75" s="6" t="s">
        <v>967</v>
      </c>
      <c r="K75" s="6" t="s">
        <v>1353</v>
      </c>
      <c r="L75" s="6" t="s">
        <v>1354</v>
      </c>
      <c r="M75" s="6" t="s">
        <v>1355</v>
      </c>
      <c r="N75" s="6" t="s">
        <v>1356</v>
      </c>
      <c r="O75" s="6" t="s">
        <v>967</v>
      </c>
      <c r="P75" s="5" t="s">
        <v>967</v>
      </c>
      <c r="Q75" s="5" t="s">
        <v>967</v>
      </c>
      <c r="R75" s="5" t="s">
        <v>967</v>
      </c>
      <c r="S75" s="5" t="s">
        <v>967</v>
      </c>
      <c r="T75" s="5" t="s">
        <v>967</v>
      </c>
    </row>
    <row r="76" ht="49.5" spans="1:20">
      <c r="A76" s="4">
        <v>75</v>
      </c>
      <c r="B76" s="5" t="s">
        <v>966</v>
      </c>
      <c r="C76" s="5" t="s">
        <v>225</v>
      </c>
      <c r="D76" s="5" t="s">
        <v>215</v>
      </c>
      <c r="E76" s="5" t="s">
        <v>226</v>
      </c>
      <c r="F76" s="4" t="s">
        <v>32</v>
      </c>
      <c r="G76" s="6" t="s">
        <v>1357</v>
      </c>
      <c r="H76" s="6" t="s">
        <v>1357</v>
      </c>
      <c r="I76" s="6" t="s">
        <v>1357</v>
      </c>
      <c r="J76" s="6" t="s">
        <v>967</v>
      </c>
      <c r="K76" s="6" t="s">
        <v>1358</v>
      </c>
      <c r="L76" s="6" t="s">
        <v>1359</v>
      </c>
      <c r="M76" s="6" t="s">
        <v>1360</v>
      </c>
      <c r="N76" s="6" t="s">
        <v>1360</v>
      </c>
      <c r="O76" s="6" t="s">
        <v>967</v>
      </c>
      <c r="P76" s="5" t="s">
        <v>967</v>
      </c>
      <c r="Q76" s="5" t="s">
        <v>967</v>
      </c>
      <c r="R76" s="5" t="s">
        <v>967</v>
      </c>
      <c r="S76" s="5" t="s">
        <v>967</v>
      </c>
      <c r="T76" s="5" t="s">
        <v>967</v>
      </c>
    </row>
    <row r="77" ht="49.5" spans="1:20">
      <c r="A77" s="4">
        <v>76</v>
      </c>
      <c r="B77" s="5" t="s">
        <v>966</v>
      </c>
      <c r="C77" s="5" t="s">
        <v>227</v>
      </c>
      <c r="D77" s="5" t="s">
        <v>228</v>
      </c>
      <c r="E77" s="5" t="s">
        <v>229</v>
      </c>
      <c r="F77" s="4" t="s">
        <v>32</v>
      </c>
      <c r="G77" s="6" t="s">
        <v>1361</v>
      </c>
      <c r="H77" s="6" t="s">
        <v>1361</v>
      </c>
      <c r="I77" s="6" t="s">
        <v>967</v>
      </c>
      <c r="J77" s="6" t="s">
        <v>967</v>
      </c>
      <c r="K77" s="6" t="s">
        <v>1362</v>
      </c>
      <c r="L77" s="6" t="s">
        <v>1363</v>
      </c>
      <c r="M77" s="6" t="s">
        <v>1364</v>
      </c>
      <c r="N77" s="6" t="s">
        <v>1364</v>
      </c>
      <c r="O77" s="6" t="s">
        <v>967</v>
      </c>
      <c r="P77" s="5" t="s">
        <v>967</v>
      </c>
      <c r="Q77" s="5" t="s">
        <v>967</v>
      </c>
      <c r="R77" s="5" t="s">
        <v>967</v>
      </c>
      <c r="S77" s="5" t="s">
        <v>967</v>
      </c>
      <c r="T77" s="5" t="s">
        <v>967</v>
      </c>
    </row>
    <row r="78" ht="49.5" spans="1:20">
      <c r="A78" s="4">
        <v>77</v>
      </c>
      <c r="B78" s="5" t="s">
        <v>966</v>
      </c>
      <c r="C78" s="5" t="s">
        <v>230</v>
      </c>
      <c r="D78" s="5" t="s">
        <v>228</v>
      </c>
      <c r="E78" s="5" t="s">
        <v>231</v>
      </c>
      <c r="F78" s="4" t="s">
        <v>32</v>
      </c>
      <c r="G78" s="6" t="s">
        <v>1365</v>
      </c>
      <c r="H78" s="6" t="s">
        <v>1365</v>
      </c>
      <c r="I78" s="6" t="s">
        <v>967</v>
      </c>
      <c r="J78" s="6" t="s">
        <v>967</v>
      </c>
      <c r="K78" s="6" t="s">
        <v>1366</v>
      </c>
      <c r="L78" s="6" t="s">
        <v>1367</v>
      </c>
      <c r="M78" s="6" t="s">
        <v>1368</v>
      </c>
      <c r="N78" s="6" t="s">
        <v>1368</v>
      </c>
      <c r="O78" s="6" t="s">
        <v>967</v>
      </c>
      <c r="P78" s="5" t="s">
        <v>967</v>
      </c>
      <c r="Q78" s="5" t="s">
        <v>967</v>
      </c>
      <c r="R78" s="5" t="s">
        <v>967</v>
      </c>
      <c r="S78" s="5" t="s">
        <v>967</v>
      </c>
      <c r="T78" s="5" t="s">
        <v>967</v>
      </c>
    </row>
    <row r="79" ht="49.5" spans="1:20">
      <c r="A79" s="4">
        <v>78</v>
      </c>
      <c r="B79" s="5" t="s">
        <v>966</v>
      </c>
      <c r="C79" s="5" t="s">
        <v>232</v>
      </c>
      <c r="D79" s="5" t="s">
        <v>228</v>
      </c>
      <c r="E79" s="5" t="s">
        <v>233</v>
      </c>
      <c r="F79" s="4" t="s">
        <v>32</v>
      </c>
      <c r="G79" s="6" t="s">
        <v>1357</v>
      </c>
      <c r="H79" s="6" t="s">
        <v>1369</v>
      </c>
      <c r="I79" s="6" t="s">
        <v>1357</v>
      </c>
      <c r="J79" s="6" t="s">
        <v>967</v>
      </c>
      <c r="K79" s="6" t="s">
        <v>1370</v>
      </c>
      <c r="L79" s="6" t="s">
        <v>1359</v>
      </c>
      <c r="M79" s="6" t="s">
        <v>1371</v>
      </c>
      <c r="N79" s="6" t="s">
        <v>1372</v>
      </c>
      <c r="O79" s="6" t="s">
        <v>967</v>
      </c>
      <c r="P79" s="5" t="s">
        <v>967</v>
      </c>
      <c r="Q79" s="5" t="s">
        <v>967</v>
      </c>
      <c r="R79" s="5" t="s">
        <v>967</v>
      </c>
      <c r="S79" s="5" t="s">
        <v>967</v>
      </c>
      <c r="T79" s="5" t="s">
        <v>967</v>
      </c>
    </row>
    <row r="80" ht="82.5" spans="1:20">
      <c r="A80" s="4">
        <v>79</v>
      </c>
      <c r="B80" s="5" t="s">
        <v>966</v>
      </c>
      <c r="C80" s="5" t="s">
        <v>234</v>
      </c>
      <c r="D80" s="5" t="s">
        <v>228</v>
      </c>
      <c r="E80" s="5" t="s">
        <v>235</v>
      </c>
      <c r="F80" s="4" t="s">
        <v>32</v>
      </c>
      <c r="G80" s="6" t="s">
        <v>1373</v>
      </c>
      <c r="H80" s="6" t="s">
        <v>1373</v>
      </c>
      <c r="I80" s="6" t="s">
        <v>967</v>
      </c>
      <c r="J80" s="6" t="s">
        <v>967</v>
      </c>
      <c r="K80" s="6" t="s">
        <v>1374</v>
      </c>
      <c r="L80" s="6" t="s">
        <v>1375</v>
      </c>
      <c r="M80" s="6" t="s">
        <v>1376</v>
      </c>
      <c r="N80" s="6" t="s">
        <v>1376</v>
      </c>
      <c r="O80" s="6" t="s">
        <v>967</v>
      </c>
      <c r="P80" s="5" t="s">
        <v>967</v>
      </c>
      <c r="Q80" s="5" t="s">
        <v>967</v>
      </c>
      <c r="R80" s="5" t="s">
        <v>967</v>
      </c>
      <c r="S80" s="5" t="s">
        <v>967</v>
      </c>
      <c r="T80" s="5" t="s">
        <v>967</v>
      </c>
    </row>
    <row r="81" ht="99" spans="1:20">
      <c r="A81" s="4">
        <v>80</v>
      </c>
      <c r="B81" s="5" t="s">
        <v>966</v>
      </c>
      <c r="C81" s="5" t="s">
        <v>236</v>
      </c>
      <c r="D81" s="5" t="s">
        <v>237</v>
      </c>
      <c r="E81" s="5" t="s">
        <v>238</v>
      </c>
      <c r="F81" s="4" t="s">
        <v>32</v>
      </c>
      <c r="G81" s="6" t="s">
        <v>1377</v>
      </c>
      <c r="H81" s="6" t="s">
        <v>1378</v>
      </c>
      <c r="I81" s="6" t="s">
        <v>1378</v>
      </c>
      <c r="J81" s="6" t="s">
        <v>967</v>
      </c>
      <c r="K81" s="6" t="s">
        <v>1379</v>
      </c>
      <c r="L81" s="6" t="s">
        <v>1380</v>
      </c>
      <c r="M81" s="6" t="s">
        <v>1381</v>
      </c>
      <c r="N81" s="6" t="s">
        <v>1382</v>
      </c>
      <c r="O81" s="6" t="s">
        <v>967</v>
      </c>
      <c r="P81" s="5" t="s">
        <v>967</v>
      </c>
      <c r="Q81" s="5" t="s">
        <v>239</v>
      </c>
      <c r="R81" s="5" t="s">
        <v>967</v>
      </c>
      <c r="S81" s="5" t="s">
        <v>967</v>
      </c>
      <c r="T81" s="5" t="s">
        <v>967</v>
      </c>
    </row>
    <row r="82" ht="82.5" spans="1:20">
      <c r="A82" s="4">
        <v>81</v>
      </c>
      <c r="B82" s="5" t="s">
        <v>966</v>
      </c>
      <c r="C82" s="5" t="s">
        <v>240</v>
      </c>
      <c r="D82" s="5" t="s">
        <v>241</v>
      </c>
      <c r="E82" s="5" t="s">
        <v>242</v>
      </c>
      <c r="F82" s="4" t="s">
        <v>32</v>
      </c>
      <c r="G82" s="6" t="s">
        <v>1383</v>
      </c>
      <c r="H82" s="6" t="s">
        <v>1384</v>
      </c>
      <c r="I82" s="6" t="s">
        <v>1384</v>
      </c>
      <c r="J82" s="6" t="s">
        <v>967</v>
      </c>
      <c r="K82" s="6" t="s">
        <v>1385</v>
      </c>
      <c r="L82" s="6" t="s">
        <v>1386</v>
      </c>
      <c r="M82" s="6" t="s">
        <v>1387</v>
      </c>
      <c r="N82" s="6" t="s">
        <v>1388</v>
      </c>
      <c r="O82" s="6" t="s">
        <v>967</v>
      </c>
      <c r="P82" s="5" t="s">
        <v>967</v>
      </c>
      <c r="Q82" s="5" t="s">
        <v>967</v>
      </c>
      <c r="R82" s="5" t="s">
        <v>967</v>
      </c>
      <c r="S82" s="5" t="s">
        <v>967</v>
      </c>
      <c r="T82" s="5" t="s">
        <v>967</v>
      </c>
    </row>
    <row r="83" ht="33" spans="1:20">
      <c r="A83" s="4">
        <v>82</v>
      </c>
      <c r="B83" s="5" t="s">
        <v>966</v>
      </c>
      <c r="C83" s="5" t="s">
        <v>243</v>
      </c>
      <c r="D83" s="5" t="s">
        <v>241</v>
      </c>
      <c r="E83" s="5" t="s">
        <v>244</v>
      </c>
      <c r="F83" s="4" t="s">
        <v>32</v>
      </c>
      <c r="G83" s="6" t="s">
        <v>1389</v>
      </c>
      <c r="H83" s="6" t="s">
        <v>1389</v>
      </c>
      <c r="I83" s="6" t="s">
        <v>967</v>
      </c>
      <c r="J83" s="6" t="s">
        <v>967</v>
      </c>
      <c r="K83" s="6" t="s">
        <v>1390</v>
      </c>
      <c r="L83" s="6" t="s">
        <v>1391</v>
      </c>
      <c r="M83" s="6" t="s">
        <v>1392</v>
      </c>
      <c r="N83" s="6" t="s">
        <v>1392</v>
      </c>
      <c r="O83" s="6" t="s">
        <v>967</v>
      </c>
      <c r="P83" s="5" t="s">
        <v>967</v>
      </c>
      <c r="Q83" s="5" t="s">
        <v>967</v>
      </c>
      <c r="R83" s="5" t="s">
        <v>967</v>
      </c>
      <c r="S83" s="5" t="s">
        <v>967</v>
      </c>
      <c r="T83" s="5" t="s">
        <v>967</v>
      </c>
    </row>
    <row r="84" ht="82.5" spans="1:20">
      <c r="A84" s="4">
        <v>83</v>
      </c>
      <c r="B84" s="5" t="s">
        <v>966</v>
      </c>
      <c r="C84" s="5" t="s">
        <v>245</v>
      </c>
      <c r="D84" s="5" t="s">
        <v>241</v>
      </c>
      <c r="E84" s="5" t="s">
        <v>246</v>
      </c>
      <c r="F84" s="4" t="s">
        <v>32</v>
      </c>
      <c r="G84" s="6" t="s">
        <v>1393</v>
      </c>
      <c r="H84" s="6" t="s">
        <v>1393</v>
      </c>
      <c r="I84" s="6" t="s">
        <v>967</v>
      </c>
      <c r="J84" s="6" t="s">
        <v>967</v>
      </c>
      <c r="K84" s="6" t="s">
        <v>1394</v>
      </c>
      <c r="L84" s="6" t="s">
        <v>1395</v>
      </c>
      <c r="M84" s="6" t="s">
        <v>1396</v>
      </c>
      <c r="N84" s="6" t="s">
        <v>1396</v>
      </c>
      <c r="O84" s="6" t="s">
        <v>967</v>
      </c>
      <c r="P84" s="5" t="s">
        <v>967</v>
      </c>
      <c r="Q84" s="5" t="s">
        <v>967</v>
      </c>
      <c r="R84" s="5" t="s">
        <v>967</v>
      </c>
      <c r="S84" s="5" t="s">
        <v>967</v>
      </c>
      <c r="T84" s="5" t="s">
        <v>967</v>
      </c>
    </row>
    <row r="85" ht="66" spans="1:20">
      <c r="A85" s="4">
        <v>84</v>
      </c>
      <c r="B85" s="5" t="s">
        <v>966</v>
      </c>
      <c r="C85" s="5" t="s">
        <v>247</v>
      </c>
      <c r="D85" s="5" t="s">
        <v>241</v>
      </c>
      <c r="E85" s="5" t="s">
        <v>248</v>
      </c>
      <c r="F85" s="4" t="s">
        <v>32</v>
      </c>
      <c r="G85" s="6" t="s">
        <v>1397</v>
      </c>
      <c r="H85" s="6" t="s">
        <v>1398</v>
      </c>
      <c r="I85" s="6" t="s">
        <v>967</v>
      </c>
      <c r="J85" s="6" t="s">
        <v>967</v>
      </c>
      <c r="K85" s="6" t="s">
        <v>1399</v>
      </c>
      <c r="L85" s="6" t="s">
        <v>1400</v>
      </c>
      <c r="M85" s="6" t="s">
        <v>1401</v>
      </c>
      <c r="N85" s="6" t="s">
        <v>1402</v>
      </c>
      <c r="O85" s="6" t="s">
        <v>1402</v>
      </c>
      <c r="P85" s="5" t="s">
        <v>967</v>
      </c>
      <c r="Q85" s="5" t="s">
        <v>967</v>
      </c>
      <c r="R85" s="5" t="s">
        <v>967</v>
      </c>
      <c r="S85" s="5" t="s">
        <v>967</v>
      </c>
      <c r="T85" s="5" t="s">
        <v>967</v>
      </c>
    </row>
    <row r="86" ht="66" spans="1:20">
      <c r="A86" s="4">
        <v>85</v>
      </c>
      <c r="B86" s="5" t="s">
        <v>966</v>
      </c>
      <c r="C86" s="5" t="s">
        <v>249</v>
      </c>
      <c r="D86" s="5" t="s">
        <v>241</v>
      </c>
      <c r="E86" s="5" t="s">
        <v>250</v>
      </c>
      <c r="F86" s="4" t="s">
        <v>32</v>
      </c>
      <c r="G86" s="6" t="s">
        <v>1403</v>
      </c>
      <c r="H86" s="6" t="s">
        <v>1404</v>
      </c>
      <c r="I86" s="6" t="s">
        <v>967</v>
      </c>
      <c r="J86" s="6" t="s">
        <v>967</v>
      </c>
      <c r="K86" s="6" t="s">
        <v>1405</v>
      </c>
      <c r="L86" s="6" t="s">
        <v>1406</v>
      </c>
      <c r="M86" s="6" t="s">
        <v>1407</v>
      </c>
      <c r="N86" s="6" t="s">
        <v>1408</v>
      </c>
      <c r="O86" s="6" t="s">
        <v>967</v>
      </c>
      <c r="P86" s="5" t="s">
        <v>967</v>
      </c>
      <c r="Q86" s="5" t="s">
        <v>967</v>
      </c>
      <c r="R86" s="5" t="s">
        <v>967</v>
      </c>
      <c r="S86" s="5" t="s">
        <v>967</v>
      </c>
      <c r="T86" s="5" t="s">
        <v>967</v>
      </c>
    </row>
    <row r="87" ht="33" spans="1:20">
      <c r="A87" s="4">
        <v>86</v>
      </c>
      <c r="B87" s="5" t="s">
        <v>966</v>
      </c>
      <c r="C87" s="5" t="s">
        <v>251</v>
      </c>
      <c r="D87" s="5" t="s">
        <v>252</v>
      </c>
      <c r="E87" s="5" t="s">
        <v>253</v>
      </c>
      <c r="F87" s="4" t="s">
        <v>32</v>
      </c>
      <c r="G87" s="6" t="s">
        <v>1409</v>
      </c>
      <c r="H87" s="6" t="s">
        <v>1410</v>
      </c>
      <c r="I87" s="6" t="s">
        <v>967</v>
      </c>
      <c r="J87" s="6" t="s">
        <v>967</v>
      </c>
      <c r="K87" s="6" t="s">
        <v>1411</v>
      </c>
      <c r="L87" s="6" t="s">
        <v>1412</v>
      </c>
      <c r="M87" s="6" t="s">
        <v>1413</v>
      </c>
      <c r="N87" s="6" t="s">
        <v>1414</v>
      </c>
      <c r="O87" s="6" t="s">
        <v>967</v>
      </c>
      <c r="P87" s="5" t="s">
        <v>967</v>
      </c>
      <c r="Q87" s="5" t="s">
        <v>967</v>
      </c>
      <c r="R87" s="5" t="s">
        <v>967</v>
      </c>
      <c r="S87" s="5" t="s">
        <v>967</v>
      </c>
      <c r="T87" s="5" t="s">
        <v>967</v>
      </c>
    </row>
    <row r="88" ht="66" spans="1:20">
      <c r="A88" s="4">
        <v>87</v>
      </c>
      <c r="B88" s="5" t="s">
        <v>966</v>
      </c>
      <c r="C88" s="5" t="s">
        <v>254</v>
      </c>
      <c r="D88" s="5" t="s">
        <v>252</v>
      </c>
      <c r="E88" s="5" t="s">
        <v>255</v>
      </c>
      <c r="F88" s="4" t="s">
        <v>32</v>
      </c>
      <c r="G88" s="6" t="s">
        <v>1415</v>
      </c>
      <c r="H88" s="6" t="s">
        <v>1415</v>
      </c>
      <c r="I88" s="6" t="s">
        <v>1415</v>
      </c>
      <c r="J88" s="6" t="s">
        <v>967</v>
      </c>
      <c r="K88" s="6" t="s">
        <v>1411</v>
      </c>
      <c r="L88" s="6" t="s">
        <v>1416</v>
      </c>
      <c r="M88" s="6" t="s">
        <v>1417</v>
      </c>
      <c r="N88" s="6" t="s">
        <v>1417</v>
      </c>
      <c r="O88" s="6" t="s">
        <v>967</v>
      </c>
      <c r="P88" s="5" t="s">
        <v>967</v>
      </c>
      <c r="Q88" s="5" t="s">
        <v>967</v>
      </c>
      <c r="R88" s="5" t="s">
        <v>967</v>
      </c>
      <c r="S88" s="5" t="s">
        <v>967</v>
      </c>
      <c r="T88" s="5" t="s">
        <v>967</v>
      </c>
    </row>
    <row r="89" ht="33" spans="1:20">
      <c r="A89" s="4">
        <v>88</v>
      </c>
      <c r="B89" s="5" t="s">
        <v>966</v>
      </c>
      <c r="C89" s="5" t="s">
        <v>256</v>
      </c>
      <c r="D89" s="5" t="s">
        <v>257</v>
      </c>
      <c r="E89" s="5" t="s">
        <v>258</v>
      </c>
      <c r="F89" s="4" t="s">
        <v>32</v>
      </c>
      <c r="G89" s="6" t="s">
        <v>1418</v>
      </c>
      <c r="H89" s="6" t="s">
        <v>1418</v>
      </c>
      <c r="I89" s="6" t="s">
        <v>1418</v>
      </c>
      <c r="J89" s="6" t="s">
        <v>967</v>
      </c>
      <c r="K89" s="6" t="s">
        <v>1419</v>
      </c>
      <c r="L89" s="6" t="s">
        <v>1420</v>
      </c>
      <c r="M89" s="6" t="s">
        <v>1421</v>
      </c>
      <c r="N89" s="6" t="s">
        <v>1421</v>
      </c>
      <c r="O89" s="6" t="s">
        <v>967</v>
      </c>
      <c r="P89" s="5" t="s">
        <v>967</v>
      </c>
      <c r="Q89" s="5" t="s">
        <v>967</v>
      </c>
      <c r="R89" s="5" t="s">
        <v>967</v>
      </c>
      <c r="S89" s="5" t="s">
        <v>967</v>
      </c>
      <c r="T89" s="5" t="s">
        <v>967</v>
      </c>
    </row>
    <row r="90" ht="49.5" spans="1:20">
      <c r="A90" s="4">
        <v>89</v>
      </c>
      <c r="B90" s="5" t="s">
        <v>966</v>
      </c>
      <c r="C90" s="5" t="s">
        <v>259</v>
      </c>
      <c r="D90" s="5" t="s">
        <v>260</v>
      </c>
      <c r="E90" s="5" t="s">
        <v>261</v>
      </c>
      <c r="F90" s="4" t="s">
        <v>32</v>
      </c>
      <c r="G90" s="6" t="s">
        <v>1422</v>
      </c>
      <c r="H90" s="6" t="s">
        <v>1422</v>
      </c>
      <c r="I90" s="6" t="s">
        <v>1422</v>
      </c>
      <c r="J90" s="6" t="s">
        <v>967</v>
      </c>
      <c r="K90" s="6" t="s">
        <v>1423</v>
      </c>
      <c r="L90" s="6" t="s">
        <v>1424</v>
      </c>
      <c r="M90" s="6" t="s">
        <v>1425</v>
      </c>
      <c r="N90" s="6" t="s">
        <v>1425</v>
      </c>
      <c r="O90" s="6" t="s">
        <v>967</v>
      </c>
      <c r="P90" s="5" t="s">
        <v>967</v>
      </c>
      <c r="Q90" s="5" t="s">
        <v>967</v>
      </c>
      <c r="R90" s="5" t="s">
        <v>967</v>
      </c>
      <c r="S90" s="5" t="s">
        <v>967</v>
      </c>
      <c r="T90" s="5" t="s">
        <v>967</v>
      </c>
    </row>
    <row r="91" ht="33" spans="1:20">
      <c r="A91" s="4">
        <v>90</v>
      </c>
      <c r="B91" s="5" t="s">
        <v>966</v>
      </c>
      <c r="C91" s="5" t="s">
        <v>262</v>
      </c>
      <c r="D91" s="5" t="s">
        <v>263</v>
      </c>
      <c r="E91" s="5" t="s">
        <v>264</v>
      </c>
      <c r="F91" s="4" t="s">
        <v>32</v>
      </c>
      <c r="G91" s="6" t="s">
        <v>1426</v>
      </c>
      <c r="H91" s="6" t="s">
        <v>1426</v>
      </c>
      <c r="I91" s="6" t="s">
        <v>1426</v>
      </c>
      <c r="J91" s="6" t="s">
        <v>967</v>
      </c>
      <c r="K91" s="6" t="s">
        <v>1427</v>
      </c>
      <c r="L91" s="6" t="s">
        <v>1428</v>
      </c>
      <c r="M91" s="6" t="s">
        <v>1429</v>
      </c>
      <c r="N91" s="6" t="s">
        <v>1429</v>
      </c>
      <c r="O91" s="6" t="s">
        <v>967</v>
      </c>
      <c r="P91" s="5" t="s">
        <v>967</v>
      </c>
      <c r="Q91" s="5" t="s">
        <v>265</v>
      </c>
      <c r="R91" s="5" t="s">
        <v>967</v>
      </c>
      <c r="S91" s="5" t="s">
        <v>967</v>
      </c>
      <c r="T91" s="5" t="s">
        <v>967</v>
      </c>
    </row>
    <row r="92" ht="33" spans="1:20">
      <c r="A92" s="4">
        <v>91</v>
      </c>
      <c r="B92" s="5" t="s">
        <v>966</v>
      </c>
      <c r="C92" s="5" t="s">
        <v>967</v>
      </c>
      <c r="D92" s="5" t="s">
        <v>266</v>
      </c>
      <c r="E92" s="5" t="s">
        <v>967</v>
      </c>
      <c r="F92" s="4" t="s">
        <v>967</v>
      </c>
      <c r="G92" s="6" t="s">
        <v>967</v>
      </c>
      <c r="H92" s="6" t="s">
        <v>967</v>
      </c>
      <c r="I92" s="6" t="s">
        <v>967</v>
      </c>
      <c r="J92" s="6" t="s">
        <v>967</v>
      </c>
      <c r="K92" s="6" t="s">
        <v>967</v>
      </c>
      <c r="L92" s="6" t="s">
        <v>967</v>
      </c>
      <c r="M92" s="6" t="s">
        <v>1430</v>
      </c>
      <c r="N92" s="6" t="s">
        <v>1431</v>
      </c>
      <c r="O92" s="6" t="s">
        <v>967</v>
      </c>
      <c r="P92" s="5" t="s">
        <v>967</v>
      </c>
      <c r="Q92" s="5" t="s">
        <v>967</v>
      </c>
      <c r="R92" s="5" t="s">
        <v>967</v>
      </c>
      <c r="S92" s="5" t="s">
        <v>967</v>
      </c>
      <c r="T92" s="5" t="s">
        <v>967</v>
      </c>
    </row>
    <row r="93" ht="82.5" spans="1:20">
      <c r="A93" s="4">
        <v>92</v>
      </c>
      <c r="B93" s="5" t="s">
        <v>966</v>
      </c>
      <c r="C93" s="5" t="s">
        <v>267</v>
      </c>
      <c r="D93" s="5" t="s">
        <v>268</v>
      </c>
      <c r="E93" s="5" t="s">
        <v>269</v>
      </c>
      <c r="F93" s="4" t="s">
        <v>32</v>
      </c>
      <c r="G93" s="6" t="s">
        <v>1432</v>
      </c>
      <c r="H93" s="6" t="s">
        <v>1433</v>
      </c>
      <c r="I93" s="6" t="s">
        <v>1433</v>
      </c>
      <c r="J93" s="6" t="s">
        <v>967</v>
      </c>
      <c r="K93" s="6" t="s">
        <v>1434</v>
      </c>
      <c r="L93" s="6" t="s">
        <v>1435</v>
      </c>
      <c r="M93" s="6" t="s">
        <v>1436</v>
      </c>
      <c r="N93" s="6" t="s">
        <v>1437</v>
      </c>
      <c r="O93" s="6" t="s">
        <v>1437</v>
      </c>
      <c r="P93" s="5" t="s">
        <v>967</v>
      </c>
      <c r="Q93" s="5" t="s">
        <v>967</v>
      </c>
      <c r="R93" s="5" t="s">
        <v>967</v>
      </c>
      <c r="S93" s="5" t="s">
        <v>967</v>
      </c>
      <c r="T93" s="5" t="s">
        <v>967</v>
      </c>
    </row>
    <row r="94" ht="33" spans="1:20">
      <c r="A94" s="4">
        <v>93</v>
      </c>
      <c r="B94" s="5" t="s">
        <v>966</v>
      </c>
      <c r="C94" s="5" t="s">
        <v>270</v>
      </c>
      <c r="D94" s="5" t="s">
        <v>271</v>
      </c>
      <c r="E94" s="5" t="s">
        <v>272</v>
      </c>
      <c r="F94" s="4" t="s">
        <v>32</v>
      </c>
      <c r="G94" s="6" t="s">
        <v>1438</v>
      </c>
      <c r="H94" s="6" t="s">
        <v>1438</v>
      </c>
      <c r="I94" s="6" t="s">
        <v>967</v>
      </c>
      <c r="J94" s="6" t="s">
        <v>967</v>
      </c>
      <c r="K94" s="6" t="s">
        <v>1439</v>
      </c>
      <c r="L94" s="6" t="s">
        <v>1440</v>
      </c>
      <c r="M94" s="6" t="s">
        <v>1441</v>
      </c>
      <c r="N94" s="6" t="s">
        <v>1441</v>
      </c>
      <c r="O94" s="6" t="s">
        <v>967</v>
      </c>
      <c r="P94" s="5" t="s">
        <v>967</v>
      </c>
      <c r="Q94" s="5" t="s">
        <v>967</v>
      </c>
      <c r="R94" s="5" t="s">
        <v>967</v>
      </c>
      <c r="S94" s="5" t="s">
        <v>967</v>
      </c>
      <c r="T94" s="5" t="s">
        <v>967</v>
      </c>
    </row>
    <row r="95" ht="33" spans="1:20">
      <c r="A95" s="4">
        <v>94</v>
      </c>
      <c r="B95" s="5" t="s">
        <v>966</v>
      </c>
      <c r="C95" s="5" t="s">
        <v>273</v>
      </c>
      <c r="D95" s="5" t="s">
        <v>274</v>
      </c>
      <c r="E95" s="5" t="s">
        <v>275</v>
      </c>
      <c r="F95" s="4" t="s">
        <v>32</v>
      </c>
      <c r="G95" s="6" t="s">
        <v>1442</v>
      </c>
      <c r="H95" s="6" t="s">
        <v>1003</v>
      </c>
      <c r="I95" s="6" t="s">
        <v>1443</v>
      </c>
      <c r="J95" s="6" t="s">
        <v>967</v>
      </c>
      <c r="K95" s="6" t="s">
        <v>1444</v>
      </c>
      <c r="L95" s="6" t="s">
        <v>1445</v>
      </c>
      <c r="M95" s="6" t="s">
        <v>1446</v>
      </c>
      <c r="N95" s="6" t="s">
        <v>1003</v>
      </c>
      <c r="O95" s="6" t="s">
        <v>967</v>
      </c>
      <c r="P95" s="5" t="s">
        <v>967</v>
      </c>
      <c r="Q95" s="5" t="s">
        <v>967</v>
      </c>
      <c r="R95" s="5" t="s">
        <v>967</v>
      </c>
      <c r="S95" s="5" t="s">
        <v>967</v>
      </c>
      <c r="T95" s="5" t="s">
        <v>967</v>
      </c>
    </row>
    <row r="96" ht="49.5" spans="1:20">
      <c r="A96" s="4">
        <v>95</v>
      </c>
      <c r="B96" s="5" t="s">
        <v>966</v>
      </c>
      <c r="C96" s="5" t="s">
        <v>276</v>
      </c>
      <c r="D96" s="5" t="s">
        <v>268</v>
      </c>
      <c r="E96" s="5" t="s">
        <v>277</v>
      </c>
      <c r="F96" s="4" t="s">
        <v>32</v>
      </c>
      <c r="G96" s="6" t="s">
        <v>1432</v>
      </c>
      <c r="H96" s="6" t="s">
        <v>1003</v>
      </c>
      <c r="I96" s="6" t="s">
        <v>1003</v>
      </c>
      <c r="J96" s="6" t="s">
        <v>967</v>
      </c>
      <c r="K96" s="6" t="s">
        <v>1434</v>
      </c>
      <c r="L96" s="6" t="s">
        <v>1447</v>
      </c>
      <c r="M96" s="6" t="s">
        <v>1436</v>
      </c>
      <c r="N96" s="6" t="s">
        <v>1448</v>
      </c>
      <c r="O96" s="6" t="s">
        <v>967</v>
      </c>
      <c r="P96" s="5" t="s">
        <v>967</v>
      </c>
      <c r="Q96" s="5" t="s">
        <v>967</v>
      </c>
      <c r="R96" s="5" t="s">
        <v>967</v>
      </c>
      <c r="S96" s="5" t="s">
        <v>967</v>
      </c>
      <c r="T96" s="5" t="s">
        <v>967</v>
      </c>
    </row>
    <row r="97" ht="33" spans="1:20">
      <c r="A97" s="4">
        <v>96</v>
      </c>
      <c r="B97" s="5" t="s">
        <v>966</v>
      </c>
      <c r="C97" s="5" t="s">
        <v>278</v>
      </c>
      <c r="D97" s="5" t="s">
        <v>279</v>
      </c>
      <c r="E97" s="5" t="s">
        <v>280</v>
      </c>
      <c r="F97" s="4" t="s">
        <v>32</v>
      </c>
      <c r="G97" s="6" t="s">
        <v>1449</v>
      </c>
      <c r="H97" s="6" t="s">
        <v>1450</v>
      </c>
      <c r="I97" s="6" t="s">
        <v>967</v>
      </c>
      <c r="J97" s="6" t="s">
        <v>967</v>
      </c>
      <c r="K97" s="6" t="s">
        <v>1451</v>
      </c>
      <c r="L97" s="6" t="s">
        <v>1452</v>
      </c>
      <c r="M97" s="6" t="s">
        <v>1453</v>
      </c>
      <c r="N97" s="6" t="s">
        <v>1454</v>
      </c>
      <c r="O97" s="6" t="s">
        <v>1454</v>
      </c>
      <c r="P97" s="5" t="s">
        <v>967</v>
      </c>
      <c r="Q97" s="5" t="s">
        <v>967</v>
      </c>
      <c r="R97" s="5" t="s">
        <v>967</v>
      </c>
      <c r="S97" s="5" t="s">
        <v>967</v>
      </c>
      <c r="T97" s="5" t="s">
        <v>967</v>
      </c>
    </row>
    <row r="98" ht="33" spans="1:20">
      <c r="A98" s="4">
        <v>97</v>
      </c>
      <c r="B98" s="5" t="s">
        <v>966</v>
      </c>
      <c r="C98" s="5" t="s">
        <v>281</v>
      </c>
      <c r="D98" s="5" t="s">
        <v>282</v>
      </c>
      <c r="E98" s="5" t="s">
        <v>283</v>
      </c>
      <c r="F98" s="4" t="s">
        <v>32</v>
      </c>
      <c r="G98" s="6" t="s">
        <v>1455</v>
      </c>
      <c r="H98" s="6" t="s">
        <v>1450</v>
      </c>
      <c r="I98" s="6" t="s">
        <v>1450</v>
      </c>
      <c r="J98" s="6" t="s">
        <v>967</v>
      </c>
      <c r="K98" s="6" t="s">
        <v>1456</v>
      </c>
      <c r="L98" s="6" t="s">
        <v>1457</v>
      </c>
      <c r="M98" s="6" t="s">
        <v>1458</v>
      </c>
      <c r="N98" s="6" t="s">
        <v>1459</v>
      </c>
      <c r="O98" s="6" t="s">
        <v>1459</v>
      </c>
      <c r="P98" s="5" t="s">
        <v>967</v>
      </c>
      <c r="Q98" s="5" t="s">
        <v>967</v>
      </c>
      <c r="R98" s="5" t="s">
        <v>967</v>
      </c>
      <c r="S98" s="5" t="s">
        <v>967</v>
      </c>
      <c r="T98" s="5" t="s">
        <v>967</v>
      </c>
    </row>
    <row r="99" ht="33" spans="1:20">
      <c r="A99" s="4">
        <v>98</v>
      </c>
      <c r="B99" s="5" t="s">
        <v>966</v>
      </c>
      <c r="C99" s="5" t="s">
        <v>284</v>
      </c>
      <c r="D99" s="5" t="s">
        <v>285</v>
      </c>
      <c r="E99" s="5" t="s">
        <v>286</v>
      </c>
      <c r="F99" s="4" t="s">
        <v>32</v>
      </c>
      <c r="G99" s="6" t="s">
        <v>1460</v>
      </c>
      <c r="H99" s="6" t="s">
        <v>1461</v>
      </c>
      <c r="I99" s="6" t="s">
        <v>967</v>
      </c>
      <c r="J99" s="6" t="s">
        <v>967</v>
      </c>
      <c r="K99" s="6" t="s">
        <v>1462</v>
      </c>
      <c r="L99" s="6" t="s">
        <v>1463</v>
      </c>
      <c r="M99" s="6" t="s">
        <v>1464</v>
      </c>
      <c r="N99" s="6" t="s">
        <v>1465</v>
      </c>
      <c r="O99" s="6" t="s">
        <v>967</v>
      </c>
      <c r="P99" s="5" t="s">
        <v>967</v>
      </c>
      <c r="Q99" s="5" t="s">
        <v>967</v>
      </c>
      <c r="R99" s="5" t="s">
        <v>967</v>
      </c>
      <c r="S99" s="5" t="s">
        <v>967</v>
      </c>
      <c r="T99" s="5" t="s">
        <v>967</v>
      </c>
    </row>
    <row r="100" ht="33" spans="1:20">
      <c r="A100" s="4">
        <v>99</v>
      </c>
      <c r="B100" s="5" t="s">
        <v>966</v>
      </c>
      <c r="C100" s="5" t="s">
        <v>287</v>
      </c>
      <c r="D100" s="5" t="s">
        <v>282</v>
      </c>
      <c r="E100" s="5" t="s">
        <v>288</v>
      </c>
      <c r="F100" s="4" t="s">
        <v>32</v>
      </c>
      <c r="G100" s="6" t="s">
        <v>1455</v>
      </c>
      <c r="H100" s="6" t="s">
        <v>1466</v>
      </c>
      <c r="I100" s="6" t="s">
        <v>967</v>
      </c>
      <c r="J100" s="6" t="s">
        <v>967</v>
      </c>
      <c r="K100" s="6" t="s">
        <v>1467</v>
      </c>
      <c r="L100" s="6" t="s">
        <v>1468</v>
      </c>
      <c r="M100" s="6" t="s">
        <v>1469</v>
      </c>
      <c r="N100" s="6" t="s">
        <v>1470</v>
      </c>
      <c r="O100" s="6" t="s">
        <v>967</v>
      </c>
      <c r="P100" s="5" t="s">
        <v>967</v>
      </c>
      <c r="Q100" s="5" t="s">
        <v>967</v>
      </c>
      <c r="R100" s="5" t="s">
        <v>967</v>
      </c>
      <c r="S100" s="5" t="s">
        <v>967</v>
      </c>
      <c r="T100" s="5" t="s">
        <v>967</v>
      </c>
    </row>
    <row r="101" ht="33" spans="1:20">
      <c r="A101" s="4">
        <v>100</v>
      </c>
      <c r="B101" s="5" t="s">
        <v>966</v>
      </c>
      <c r="C101" s="5" t="s">
        <v>289</v>
      </c>
      <c r="D101" s="5" t="s">
        <v>290</v>
      </c>
      <c r="E101" s="5" t="s">
        <v>291</v>
      </c>
      <c r="F101" s="4" t="s">
        <v>32</v>
      </c>
      <c r="G101" s="6" t="s">
        <v>1471</v>
      </c>
      <c r="H101" s="6" t="s">
        <v>1461</v>
      </c>
      <c r="I101" s="6" t="s">
        <v>967</v>
      </c>
      <c r="J101" s="6" t="s">
        <v>967</v>
      </c>
      <c r="K101" s="6" t="s">
        <v>1472</v>
      </c>
      <c r="L101" s="6" t="s">
        <v>1473</v>
      </c>
      <c r="M101" s="6" t="s">
        <v>1474</v>
      </c>
      <c r="N101" s="6" t="s">
        <v>1475</v>
      </c>
      <c r="O101" s="6" t="s">
        <v>967</v>
      </c>
      <c r="P101" s="5" t="s">
        <v>967</v>
      </c>
      <c r="Q101" s="5" t="s">
        <v>292</v>
      </c>
      <c r="R101" s="5" t="s">
        <v>967</v>
      </c>
      <c r="S101" s="5" t="s">
        <v>967</v>
      </c>
      <c r="T101" s="5" t="s">
        <v>967</v>
      </c>
    </row>
    <row r="102" ht="33" spans="1:20">
      <c r="A102" s="4">
        <v>101</v>
      </c>
      <c r="B102" s="5" t="s">
        <v>966</v>
      </c>
      <c r="C102" s="5" t="s">
        <v>293</v>
      </c>
      <c r="D102" s="5" t="s">
        <v>294</v>
      </c>
      <c r="E102" s="5" t="s">
        <v>295</v>
      </c>
      <c r="F102" s="4" t="s">
        <v>32</v>
      </c>
      <c r="G102" s="6" t="s">
        <v>1476</v>
      </c>
      <c r="H102" s="6" t="s">
        <v>1476</v>
      </c>
      <c r="I102" s="6" t="s">
        <v>967</v>
      </c>
      <c r="J102" s="6" t="s">
        <v>967</v>
      </c>
      <c r="K102" s="6" t="s">
        <v>1477</v>
      </c>
      <c r="L102" s="6" t="s">
        <v>1478</v>
      </c>
      <c r="M102" s="6" t="s">
        <v>1479</v>
      </c>
      <c r="N102" s="6" t="s">
        <v>1479</v>
      </c>
      <c r="O102" s="6" t="s">
        <v>967</v>
      </c>
      <c r="P102" s="5" t="s">
        <v>967</v>
      </c>
      <c r="Q102" s="5" t="s">
        <v>967</v>
      </c>
      <c r="R102" s="5" t="s">
        <v>967</v>
      </c>
      <c r="S102" s="5" t="s">
        <v>967</v>
      </c>
      <c r="T102" s="5" t="s">
        <v>967</v>
      </c>
    </row>
    <row r="103" ht="33" spans="1:20">
      <c r="A103" s="4">
        <v>102</v>
      </c>
      <c r="B103" s="5" t="s">
        <v>966</v>
      </c>
      <c r="C103" s="5" t="s">
        <v>296</v>
      </c>
      <c r="D103" s="5" t="s">
        <v>294</v>
      </c>
      <c r="E103" s="5" t="s">
        <v>297</v>
      </c>
      <c r="F103" s="4" t="s">
        <v>32</v>
      </c>
      <c r="G103" s="6" t="s">
        <v>1476</v>
      </c>
      <c r="H103" s="6" t="s">
        <v>1476</v>
      </c>
      <c r="I103" s="6" t="s">
        <v>1480</v>
      </c>
      <c r="J103" s="6" t="s">
        <v>967</v>
      </c>
      <c r="K103" s="6" t="s">
        <v>1481</v>
      </c>
      <c r="L103" s="6" t="s">
        <v>1478</v>
      </c>
      <c r="M103" s="6" t="s">
        <v>1482</v>
      </c>
      <c r="N103" s="6" t="s">
        <v>1482</v>
      </c>
      <c r="O103" s="6" t="s">
        <v>967</v>
      </c>
      <c r="P103" s="5" t="s">
        <v>967</v>
      </c>
      <c r="Q103" s="5" t="s">
        <v>967</v>
      </c>
      <c r="R103" s="5" t="s">
        <v>967</v>
      </c>
      <c r="S103" s="5" t="s">
        <v>967</v>
      </c>
      <c r="T103" s="5" t="s">
        <v>967</v>
      </c>
    </row>
    <row r="104" ht="33" spans="1:20">
      <c r="A104" s="4">
        <v>103</v>
      </c>
      <c r="B104" s="5" t="s">
        <v>966</v>
      </c>
      <c r="C104" s="5" t="s">
        <v>298</v>
      </c>
      <c r="D104" s="5" t="s">
        <v>299</v>
      </c>
      <c r="E104" s="5" t="s">
        <v>300</v>
      </c>
      <c r="F104" s="4" t="s">
        <v>32</v>
      </c>
      <c r="G104" s="6" t="s">
        <v>1483</v>
      </c>
      <c r="H104" s="6" t="s">
        <v>1484</v>
      </c>
      <c r="I104" s="6" t="s">
        <v>967</v>
      </c>
      <c r="J104" s="6" t="s">
        <v>967</v>
      </c>
      <c r="K104" s="6" t="s">
        <v>1485</v>
      </c>
      <c r="L104" s="6" t="s">
        <v>1486</v>
      </c>
      <c r="M104" s="6" t="s">
        <v>1487</v>
      </c>
      <c r="N104" s="6" t="s">
        <v>1488</v>
      </c>
      <c r="O104" s="6" t="s">
        <v>967</v>
      </c>
      <c r="P104" s="5" t="s">
        <v>967</v>
      </c>
      <c r="Q104" s="5" t="s">
        <v>967</v>
      </c>
      <c r="R104" s="5" t="s">
        <v>967</v>
      </c>
      <c r="S104" s="5" t="s">
        <v>967</v>
      </c>
      <c r="T104" s="5" t="s">
        <v>967</v>
      </c>
    </row>
    <row r="105" ht="49.5" spans="1:20">
      <c r="A105" s="4">
        <v>104</v>
      </c>
      <c r="B105" s="5" t="s">
        <v>966</v>
      </c>
      <c r="C105" s="5" t="s">
        <v>301</v>
      </c>
      <c r="D105" s="5" t="s">
        <v>302</v>
      </c>
      <c r="E105" s="5" t="s">
        <v>303</v>
      </c>
      <c r="F105" s="4" t="s">
        <v>32</v>
      </c>
      <c r="G105" s="6" t="s">
        <v>1483</v>
      </c>
      <c r="H105" s="6" t="s">
        <v>1483</v>
      </c>
      <c r="I105" s="6" t="s">
        <v>967</v>
      </c>
      <c r="J105" s="6" t="s">
        <v>967</v>
      </c>
      <c r="K105" s="6" t="s">
        <v>1489</v>
      </c>
      <c r="L105" s="6" t="s">
        <v>1490</v>
      </c>
      <c r="M105" s="6" t="s">
        <v>1491</v>
      </c>
      <c r="N105" s="6" t="s">
        <v>1491</v>
      </c>
      <c r="O105" s="6" t="s">
        <v>967</v>
      </c>
      <c r="P105" s="5" t="s">
        <v>967</v>
      </c>
      <c r="Q105" s="5" t="s">
        <v>967</v>
      </c>
      <c r="R105" s="5" t="s">
        <v>967</v>
      </c>
      <c r="S105" s="5" t="s">
        <v>967</v>
      </c>
      <c r="T105" s="5" t="s">
        <v>967</v>
      </c>
    </row>
    <row r="106" ht="33" spans="1:20">
      <c r="A106" s="4">
        <v>105</v>
      </c>
      <c r="B106" s="5" t="s">
        <v>966</v>
      </c>
      <c r="C106" s="5" t="s">
        <v>967</v>
      </c>
      <c r="D106" s="5" t="s">
        <v>304</v>
      </c>
      <c r="E106" s="5" t="s">
        <v>967</v>
      </c>
      <c r="F106" s="4" t="s">
        <v>967</v>
      </c>
      <c r="G106" s="6" t="s">
        <v>967</v>
      </c>
      <c r="H106" s="6" t="s">
        <v>967</v>
      </c>
      <c r="I106" s="6" t="s">
        <v>967</v>
      </c>
      <c r="J106" s="6" t="s">
        <v>967</v>
      </c>
      <c r="K106" s="6" t="s">
        <v>967</v>
      </c>
      <c r="L106" s="6" t="s">
        <v>967</v>
      </c>
      <c r="M106" s="6" t="s">
        <v>1492</v>
      </c>
      <c r="N106" s="6" t="s">
        <v>1493</v>
      </c>
      <c r="O106" s="6" t="s">
        <v>967</v>
      </c>
      <c r="P106" s="5" t="s">
        <v>967</v>
      </c>
      <c r="Q106" s="5" t="s">
        <v>967</v>
      </c>
      <c r="R106" s="5" t="s">
        <v>967</v>
      </c>
      <c r="S106" s="5" t="s">
        <v>967</v>
      </c>
      <c r="T106" s="5" t="s">
        <v>967</v>
      </c>
    </row>
    <row r="107" ht="66" spans="1:20">
      <c r="A107" s="4">
        <v>106</v>
      </c>
      <c r="B107" s="5" t="s">
        <v>966</v>
      </c>
      <c r="C107" s="5" t="s">
        <v>305</v>
      </c>
      <c r="D107" s="5" t="s">
        <v>306</v>
      </c>
      <c r="E107" s="5" t="s">
        <v>307</v>
      </c>
      <c r="F107" s="4" t="s">
        <v>32</v>
      </c>
      <c r="G107" s="6" t="s">
        <v>1494</v>
      </c>
      <c r="H107" s="6" t="s">
        <v>1495</v>
      </c>
      <c r="I107" s="6" t="s">
        <v>1496</v>
      </c>
      <c r="J107" s="6" t="s">
        <v>967</v>
      </c>
      <c r="K107" s="6" t="s">
        <v>1497</v>
      </c>
      <c r="L107" s="6" t="s">
        <v>1498</v>
      </c>
      <c r="M107" s="6" t="s">
        <v>1499</v>
      </c>
      <c r="N107" s="6" t="s">
        <v>1500</v>
      </c>
      <c r="O107" s="6" t="s">
        <v>967</v>
      </c>
      <c r="P107" s="5" t="s">
        <v>967</v>
      </c>
      <c r="Q107" s="5" t="s">
        <v>308</v>
      </c>
      <c r="R107" s="5" t="s">
        <v>967</v>
      </c>
      <c r="S107" s="5" t="s">
        <v>967</v>
      </c>
      <c r="T107" s="5" t="s">
        <v>967</v>
      </c>
    </row>
    <row r="108" ht="49.5" spans="1:20">
      <c r="A108" s="4">
        <v>107</v>
      </c>
      <c r="B108" s="5" t="s">
        <v>966</v>
      </c>
      <c r="C108" s="5" t="s">
        <v>309</v>
      </c>
      <c r="D108" s="5" t="s">
        <v>310</v>
      </c>
      <c r="E108" s="5" t="s">
        <v>311</v>
      </c>
      <c r="F108" s="4" t="s">
        <v>32</v>
      </c>
      <c r="G108" s="6" t="s">
        <v>1501</v>
      </c>
      <c r="H108" s="6" t="s">
        <v>1502</v>
      </c>
      <c r="I108" s="6" t="s">
        <v>1502</v>
      </c>
      <c r="J108" s="6" t="s">
        <v>967</v>
      </c>
      <c r="K108" s="6" t="s">
        <v>1503</v>
      </c>
      <c r="L108" s="6" t="s">
        <v>1504</v>
      </c>
      <c r="M108" s="6" t="s">
        <v>1505</v>
      </c>
      <c r="N108" s="6" t="s">
        <v>1506</v>
      </c>
      <c r="O108" s="6" t="s">
        <v>967</v>
      </c>
      <c r="P108" s="5" t="s">
        <v>967</v>
      </c>
      <c r="Q108" s="5" t="s">
        <v>967</v>
      </c>
      <c r="R108" s="5" t="s">
        <v>967</v>
      </c>
      <c r="S108" s="5" t="s">
        <v>967</v>
      </c>
      <c r="T108" s="5" t="s">
        <v>967</v>
      </c>
    </row>
    <row r="109" ht="33" spans="1:20">
      <c r="A109" s="4">
        <v>108</v>
      </c>
      <c r="B109" s="5" t="s">
        <v>966</v>
      </c>
      <c r="C109" s="5" t="s">
        <v>312</v>
      </c>
      <c r="D109" s="5" t="s">
        <v>313</v>
      </c>
      <c r="E109" s="5" t="s">
        <v>314</v>
      </c>
      <c r="F109" s="4" t="s">
        <v>32</v>
      </c>
      <c r="G109" s="6" t="s">
        <v>1471</v>
      </c>
      <c r="H109" s="6" t="s">
        <v>1507</v>
      </c>
      <c r="I109" s="6" t="s">
        <v>967</v>
      </c>
      <c r="J109" s="6" t="s">
        <v>967</v>
      </c>
      <c r="K109" s="6" t="s">
        <v>1508</v>
      </c>
      <c r="L109" s="6" t="s">
        <v>1509</v>
      </c>
      <c r="M109" s="6" t="s">
        <v>1510</v>
      </c>
      <c r="N109" s="6" t="s">
        <v>1511</v>
      </c>
      <c r="O109" s="6" t="s">
        <v>967</v>
      </c>
      <c r="P109" s="5" t="s">
        <v>967</v>
      </c>
      <c r="Q109" s="5" t="s">
        <v>967</v>
      </c>
      <c r="R109" s="5" t="s">
        <v>967</v>
      </c>
      <c r="S109" s="5" t="s">
        <v>967</v>
      </c>
      <c r="T109" s="5" t="s">
        <v>967</v>
      </c>
    </row>
    <row r="110" ht="33" spans="1:20">
      <c r="A110" s="4">
        <v>109</v>
      </c>
      <c r="B110" s="5" t="s">
        <v>966</v>
      </c>
      <c r="C110" s="5" t="s">
        <v>315</v>
      </c>
      <c r="D110" s="5" t="s">
        <v>316</v>
      </c>
      <c r="E110" s="5" t="s">
        <v>317</v>
      </c>
      <c r="F110" s="4" t="s">
        <v>32</v>
      </c>
      <c r="G110" s="6" t="s">
        <v>1483</v>
      </c>
      <c r="H110" s="6" t="s">
        <v>1512</v>
      </c>
      <c r="I110" s="6" t="s">
        <v>1512</v>
      </c>
      <c r="J110" s="6" t="s">
        <v>967</v>
      </c>
      <c r="K110" s="6" t="s">
        <v>1513</v>
      </c>
      <c r="L110" s="6" t="s">
        <v>1514</v>
      </c>
      <c r="M110" s="6" t="s">
        <v>1515</v>
      </c>
      <c r="N110" s="6" t="s">
        <v>1516</v>
      </c>
      <c r="O110" s="6" t="s">
        <v>1516</v>
      </c>
      <c r="P110" s="5" t="s">
        <v>967</v>
      </c>
      <c r="Q110" s="5" t="s">
        <v>967</v>
      </c>
      <c r="R110" s="5" t="s">
        <v>967</v>
      </c>
      <c r="S110" s="5" t="s">
        <v>967</v>
      </c>
      <c r="T110" s="5" t="s">
        <v>967</v>
      </c>
    </row>
    <row r="111" ht="33" spans="1:20">
      <c r="A111" s="4">
        <v>110</v>
      </c>
      <c r="B111" s="5" t="s">
        <v>966</v>
      </c>
      <c r="C111" s="5" t="s">
        <v>967</v>
      </c>
      <c r="D111" s="5" t="s">
        <v>318</v>
      </c>
      <c r="E111" s="5" t="s">
        <v>967</v>
      </c>
      <c r="F111" s="4" t="s">
        <v>967</v>
      </c>
      <c r="G111" s="6" t="s">
        <v>967</v>
      </c>
      <c r="H111" s="6" t="s">
        <v>967</v>
      </c>
      <c r="I111" s="6" t="s">
        <v>967</v>
      </c>
      <c r="J111" s="6" t="s">
        <v>967</v>
      </c>
      <c r="K111" s="6" t="s">
        <v>967</v>
      </c>
      <c r="L111" s="6" t="s">
        <v>967</v>
      </c>
      <c r="M111" s="6" t="s">
        <v>1517</v>
      </c>
      <c r="N111" s="6" t="s">
        <v>1518</v>
      </c>
      <c r="O111" s="6" t="s">
        <v>967</v>
      </c>
      <c r="P111" s="5" t="s">
        <v>967</v>
      </c>
      <c r="Q111" s="5" t="s">
        <v>967</v>
      </c>
      <c r="R111" s="5" t="s">
        <v>967</v>
      </c>
      <c r="S111" s="5" t="s">
        <v>967</v>
      </c>
      <c r="T111" s="5" t="s">
        <v>967</v>
      </c>
    </row>
    <row r="112" ht="49.5" spans="1:20">
      <c r="A112" s="4">
        <v>111</v>
      </c>
      <c r="B112" s="5" t="s">
        <v>966</v>
      </c>
      <c r="C112" s="5" t="s">
        <v>319</v>
      </c>
      <c r="D112" s="5" t="s">
        <v>320</v>
      </c>
      <c r="E112" s="5" t="s">
        <v>321</v>
      </c>
      <c r="F112" s="4" t="s">
        <v>32</v>
      </c>
      <c r="G112" s="6" t="s">
        <v>1519</v>
      </c>
      <c r="H112" s="6" t="s">
        <v>1520</v>
      </c>
      <c r="I112" s="6" t="s">
        <v>1520</v>
      </c>
      <c r="J112" s="6" t="s">
        <v>967</v>
      </c>
      <c r="K112" s="6" t="s">
        <v>1521</v>
      </c>
      <c r="L112" s="6" t="s">
        <v>1522</v>
      </c>
      <c r="M112" s="6" t="s">
        <v>1523</v>
      </c>
      <c r="N112" s="6" t="s">
        <v>1524</v>
      </c>
      <c r="O112" s="6" t="s">
        <v>967</v>
      </c>
      <c r="P112" s="5" t="s">
        <v>967</v>
      </c>
      <c r="Q112" s="5" t="s">
        <v>967</v>
      </c>
      <c r="R112" s="5" t="s">
        <v>967</v>
      </c>
      <c r="S112" s="5" t="s">
        <v>967</v>
      </c>
      <c r="T112" s="5" t="s">
        <v>967</v>
      </c>
    </row>
    <row r="113" ht="33" spans="1:20">
      <c r="A113" s="4">
        <v>112</v>
      </c>
      <c r="B113" s="5" t="s">
        <v>966</v>
      </c>
      <c r="C113" s="5" t="s">
        <v>322</v>
      </c>
      <c r="D113" s="5" t="s">
        <v>323</v>
      </c>
      <c r="E113" s="5" t="s">
        <v>324</v>
      </c>
      <c r="F113" s="4" t="s">
        <v>32</v>
      </c>
      <c r="G113" s="6" t="s">
        <v>1525</v>
      </c>
      <c r="H113" s="6" t="s">
        <v>1526</v>
      </c>
      <c r="I113" s="6" t="s">
        <v>1526</v>
      </c>
      <c r="J113" s="6" t="s">
        <v>967</v>
      </c>
      <c r="K113" s="6" t="s">
        <v>1527</v>
      </c>
      <c r="L113" s="6" t="s">
        <v>1528</v>
      </c>
      <c r="M113" s="6" t="s">
        <v>1529</v>
      </c>
      <c r="N113" s="6" t="s">
        <v>1530</v>
      </c>
      <c r="O113" s="6" t="s">
        <v>1530</v>
      </c>
      <c r="P113" s="5" t="s">
        <v>967</v>
      </c>
      <c r="Q113" s="5" t="s">
        <v>967</v>
      </c>
      <c r="R113" s="5" t="s">
        <v>967</v>
      </c>
      <c r="S113" s="5" t="s">
        <v>967</v>
      </c>
      <c r="T113" s="5" t="s">
        <v>967</v>
      </c>
    </row>
    <row r="114" ht="33" spans="1:20">
      <c r="A114" s="4">
        <v>113</v>
      </c>
      <c r="B114" s="5" t="s">
        <v>966</v>
      </c>
      <c r="C114" s="5" t="s">
        <v>325</v>
      </c>
      <c r="D114" s="5" t="s">
        <v>326</v>
      </c>
      <c r="E114" s="5" t="s">
        <v>327</v>
      </c>
      <c r="F114" s="4" t="s">
        <v>32</v>
      </c>
      <c r="G114" s="6" t="s">
        <v>1531</v>
      </c>
      <c r="H114" s="6" t="s">
        <v>1532</v>
      </c>
      <c r="I114" s="6" t="s">
        <v>1532</v>
      </c>
      <c r="J114" s="6" t="s">
        <v>967</v>
      </c>
      <c r="K114" s="6" t="s">
        <v>1533</v>
      </c>
      <c r="L114" s="6" t="s">
        <v>1534</v>
      </c>
      <c r="M114" s="6" t="s">
        <v>1535</v>
      </c>
      <c r="N114" s="6" t="s">
        <v>1536</v>
      </c>
      <c r="O114" s="6" t="s">
        <v>1536</v>
      </c>
      <c r="P114" s="5" t="s">
        <v>967</v>
      </c>
      <c r="Q114" s="5" t="s">
        <v>967</v>
      </c>
      <c r="R114" s="5" t="s">
        <v>967</v>
      </c>
      <c r="S114" s="5" t="s">
        <v>967</v>
      </c>
      <c r="T114" s="5" t="s">
        <v>967</v>
      </c>
    </row>
    <row r="115" ht="49.5" spans="1:20">
      <c r="A115" s="4">
        <v>114</v>
      </c>
      <c r="B115" s="5" t="s">
        <v>966</v>
      </c>
      <c r="C115" s="5" t="s">
        <v>328</v>
      </c>
      <c r="D115" s="5" t="s">
        <v>329</v>
      </c>
      <c r="E115" s="5" t="s">
        <v>330</v>
      </c>
      <c r="F115" s="4" t="s">
        <v>32</v>
      </c>
      <c r="G115" s="6" t="s">
        <v>1537</v>
      </c>
      <c r="H115" s="6" t="s">
        <v>1538</v>
      </c>
      <c r="I115" s="6" t="s">
        <v>1538</v>
      </c>
      <c r="J115" s="6" t="s">
        <v>967</v>
      </c>
      <c r="K115" s="6" t="s">
        <v>1539</v>
      </c>
      <c r="L115" s="6" t="s">
        <v>1540</v>
      </c>
      <c r="M115" s="6" t="s">
        <v>1541</v>
      </c>
      <c r="N115" s="6" t="s">
        <v>1542</v>
      </c>
      <c r="O115" s="6" t="s">
        <v>967</v>
      </c>
      <c r="P115" s="5" t="s">
        <v>967</v>
      </c>
      <c r="Q115" s="5" t="s">
        <v>967</v>
      </c>
      <c r="R115" s="5" t="s">
        <v>967</v>
      </c>
      <c r="S115" s="5" t="s">
        <v>967</v>
      </c>
      <c r="T115" s="5" t="s">
        <v>967</v>
      </c>
    </row>
    <row r="116" ht="49.5" spans="1:20">
      <c r="A116" s="4">
        <v>115</v>
      </c>
      <c r="B116" s="5" t="s">
        <v>966</v>
      </c>
      <c r="C116" s="5" t="s">
        <v>331</v>
      </c>
      <c r="D116" s="5" t="s">
        <v>332</v>
      </c>
      <c r="E116" s="5" t="s">
        <v>333</v>
      </c>
      <c r="F116" s="4" t="s">
        <v>37</v>
      </c>
      <c r="G116" s="6" t="s">
        <v>1543</v>
      </c>
      <c r="H116" s="6" t="s">
        <v>1544</v>
      </c>
      <c r="I116" s="6" t="s">
        <v>1545</v>
      </c>
      <c r="J116" s="6" t="s">
        <v>967</v>
      </c>
      <c r="K116" s="6" t="s">
        <v>1546</v>
      </c>
      <c r="L116" s="6" t="s">
        <v>1547</v>
      </c>
      <c r="M116" s="6" t="s">
        <v>1548</v>
      </c>
      <c r="N116" s="6" t="s">
        <v>1549</v>
      </c>
      <c r="O116" s="6" t="s">
        <v>967</v>
      </c>
      <c r="P116" s="5" t="s">
        <v>967</v>
      </c>
      <c r="Q116" s="5" t="s">
        <v>967</v>
      </c>
      <c r="R116" s="5" t="s">
        <v>967</v>
      </c>
      <c r="S116" s="5" t="s">
        <v>967</v>
      </c>
      <c r="T116" s="5" t="s">
        <v>967</v>
      </c>
    </row>
    <row r="117" ht="66" spans="1:20">
      <c r="A117" s="4">
        <v>116</v>
      </c>
      <c r="B117" s="5" t="s">
        <v>966</v>
      </c>
      <c r="C117" s="5" t="s">
        <v>334</v>
      </c>
      <c r="D117" s="5" t="s">
        <v>335</v>
      </c>
      <c r="E117" s="5" t="s">
        <v>336</v>
      </c>
      <c r="F117" s="4" t="s">
        <v>32</v>
      </c>
      <c r="G117" s="6" t="s">
        <v>1550</v>
      </c>
      <c r="H117" s="6" t="s">
        <v>1551</v>
      </c>
      <c r="I117" s="6" t="s">
        <v>1552</v>
      </c>
      <c r="J117" s="6" t="s">
        <v>967</v>
      </c>
      <c r="K117" s="6" t="s">
        <v>1553</v>
      </c>
      <c r="L117" s="6" t="s">
        <v>1554</v>
      </c>
      <c r="M117" s="6" t="s">
        <v>1555</v>
      </c>
      <c r="N117" s="6" t="s">
        <v>1556</v>
      </c>
      <c r="O117" s="6" t="s">
        <v>967</v>
      </c>
      <c r="P117" s="5" t="s">
        <v>967</v>
      </c>
      <c r="Q117" s="5" t="s">
        <v>337</v>
      </c>
      <c r="R117" s="5" t="s">
        <v>967</v>
      </c>
      <c r="S117" s="5" t="s">
        <v>967</v>
      </c>
      <c r="T117" s="5" t="s">
        <v>967</v>
      </c>
    </row>
    <row r="118" ht="82.5" spans="1:20">
      <c r="A118" s="4">
        <v>117</v>
      </c>
      <c r="B118" s="5" t="s">
        <v>966</v>
      </c>
      <c r="C118" s="5" t="s">
        <v>338</v>
      </c>
      <c r="D118" s="5" t="s">
        <v>339</v>
      </c>
      <c r="E118" s="5" t="s">
        <v>340</v>
      </c>
      <c r="F118" s="4" t="s">
        <v>32</v>
      </c>
      <c r="G118" s="6" t="s">
        <v>1557</v>
      </c>
      <c r="H118" s="6" t="s">
        <v>1558</v>
      </c>
      <c r="I118" s="6" t="s">
        <v>1558</v>
      </c>
      <c r="J118" s="6" t="s">
        <v>967</v>
      </c>
      <c r="K118" s="6" t="s">
        <v>1553</v>
      </c>
      <c r="L118" s="6" t="s">
        <v>1559</v>
      </c>
      <c r="M118" s="6" t="s">
        <v>1560</v>
      </c>
      <c r="N118" s="6" t="s">
        <v>1561</v>
      </c>
      <c r="O118" s="6" t="s">
        <v>1561</v>
      </c>
      <c r="P118" s="5" t="s">
        <v>967</v>
      </c>
      <c r="Q118" s="5" t="s">
        <v>967</v>
      </c>
      <c r="R118" s="5" t="s">
        <v>967</v>
      </c>
      <c r="S118" s="5" t="s">
        <v>967</v>
      </c>
      <c r="T118" s="5" t="s">
        <v>967</v>
      </c>
    </row>
    <row r="119" ht="82.5" spans="1:20">
      <c r="A119" s="4">
        <v>118</v>
      </c>
      <c r="B119" s="5" t="s">
        <v>966</v>
      </c>
      <c r="C119" s="5" t="s">
        <v>341</v>
      </c>
      <c r="D119" s="5" t="s">
        <v>342</v>
      </c>
      <c r="E119" s="5" t="s">
        <v>343</v>
      </c>
      <c r="F119" s="4" t="s">
        <v>32</v>
      </c>
      <c r="G119" s="6" t="s">
        <v>1562</v>
      </c>
      <c r="H119" s="6" t="s">
        <v>1563</v>
      </c>
      <c r="I119" s="6" t="s">
        <v>1564</v>
      </c>
      <c r="J119" s="6" t="s">
        <v>967</v>
      </c>
      <c r="K119" s="6" t="s">
        <v>1565</v>
      </c>
      <c r="L119" s="6" t="s">
        <v>1566</v>
      </c>
      <c r="M119" s="6" t="s">
        <v>1567</v>
      </c>
      <c r="N119" s="6" t="s">
        <v>1568</v>
      </c>
      <c r="O119" s="6" t="s">
        <v>967</v>
      </c>
      <c r="P119" s="5" t="s">
        <v>967</v>
      </c>
      <c r="Q119" s="5" t="s">
        <v>967</v>
      </c>
      <c r="R119" s="5" t="s">
        <v>967</v>
      </c>
      <c r="S119" s="5" t="s">
        <v>967</v>
      </c>
      <c r="T119" s="5" t="s">
        <v>967</v>
      </c>
    </row>
    <row r="120" ht="66" spans="1:20">
      <c r="A120" s="4">
        <v>119</v>
      </c>
      <c r="B120" s="5" t="s">
        <v>966</v>
      </c>
      <c r="C120" s="5" t="s">
        <v>344</v>
      </c>
      <c r="D120" s="5" t="s">
        <v>345</v>
      </c>
      <c r="E120" s="5" t="s">
        <v>346</v>
      </c>
      <c r="F120" s="4" t="s">
        <v>32</v>
      </c>
      <c r="G120" s="6" t="s">
        <v>970</v>
      </c>
      <c r="H120" s="6" t="s">
        <v>970</v>
      </c>
      <c r="I120" s="6" t="s">
        <v>1569</v>
      </c>
      <c r="J120" s="6" t="s">
        <v>967</v>
      </c>
      <c r="K120" s="6" t="s">
        <v>1570</v>
      </c>
      <c r="L120" s="6" t="s">
        <v>1571</v>
      </c>
      <c r="M120" s="6" t="s">
        <v>1572</v>
      </c>
      <c r="N120" s="6" t="s">
        <v>1572</v>
      </c>
      <c r="O120" s="6" t="s">
        <v>967</v>
      </c>
      <c r="P120" s="5" t="s">
        <v>967</v>
      </c>
      <c r="Q120" s="5" t="s">
        <v>967</v>
      </c>
      <c r="R120" s="5" t="s">
        <v>967</v>
      </c>
      <c r="S120" s="5" t="s">
        <v>967</v>
      </c>
      <c r="T120" s="5" t="s">
        <v>967</v>
      </c>
    </row>
    <row r="121" ht="82.5" spans="1:20">
      <c r="A121" s="4">
        <v>120</v>
      </c>
      <c r="B121" s="5" t="s">
        <v>966</v>
      </c>
      <c r="C121" s="5" t="s">
        <v>347</v>
      </c>
      <c r="D121" s="5" t="s">
        <v>345</v>
      </c>
      <c r="E121" s="5" t="s">
        <v>348</v>
      </c>
      <c r="F121" s="4" t="s">
        <v>32</v>
      </c>
      <c r="G121" s="6" t="s">
        <v>1573</v>
      </c>
      <c r="H121" s="6" t="s">
        <v>1574</v>
      </c>
      <c r="I121" s="6" t="s">
        <v>1574</v>
      </c>
      <c r="J121" s="6" t="s">
        <v>967</v>
      </c>
      <c r="K121" s="6" t="s">
        <v>1575</v>
      </c>
      <c r="L121" s="6" t="s">
        <v>1576</v>
      </c>
      <c r="M121" s="6" t="s">
        <v>1577</v>
      </c>
      <c r="N121" s="6" t="s">
        <v>1578</v>
      </c>
      <c r="O121" s="6" t="s">
        <v>1578</v>
      </c>
      <c r="P121" s="5" t="s">
        <v>967</v>
      </c>
      <c r="Q121" s="5" t="s">
        <v>967</v>
      </c>
      <c r="R121" s="5" t="s">
        <v>967</v>
      </c>
      <c r="S121" s="5" t="s">
        <v>967</v>
      </c>
      <c r="T121" s="5" t="s">
        <v>967</v>
      </c>
    </row>
    <row r="122" ht="49.5" spans="1:20">
      <c r="A122" s="4">
        <v>121</v>
      </c>
      <c r="B122" s="5" t="s">
        <v>966</v>
      </c>
      <c r="C122" s="5" t="s">
        <v>349</v>
      </c>
      <c r="D122" s="5" t="s">
        <v>350</v>
      </c>
      <c r="E122" s="5" t="s">
        <v>351</v>
      </c>
      <c r="F122" s="4" t="s">
        <v>32</v>
      </c>
      <c r="G122" s="6" t="s">
        <v>1579</v>
      </c>
      <c r="H122" s="6" t="s">
        <v>1580</v>
      </c>
      <c r="I122" s="6" t="s">
        <v>1581</v>
      </c>
      <c r="J122" s="6" t="s">
        <v>967</v>
      </c>
      <c r="K122" s="6" t="s">
        <v>1582</v>
      </c>
      <c r="L122" s="6" t="s">
        <v>1583</v>
      </c>
      <c r="M122" s="6" t="s">
        <v>1584</v>
      </c>
      <c r="N122" s="6" t="s">
        <v>1585</v>
      </c>
      <c r="O122" s="6" t="s">
        <v>967</v>
      </c>
      <c r="P122" s="5" t="s">
        <v>967</v>
      </c>
      <c r="Q122" s="5" t="s">
        <v>967</v>
      </c>
      <c r="R122" s="5" t="s">
        <v>967</v>
      </c>
      <c r="S122" s="5" t="s">
        <v>967</v>
      </c>
      <c r="T122" s="5" t="s">
        <v>967</v>
      </c>
    </row>
    <row r="123" ht="66" spans="1:20">
      <c r="A123" s="4">
        <v>122</v>
      </c>
      <c r="B123" s="5" t="s">
        <v>966</v>
      </c>
      <c r="C123" s="5" t="s">
        <v>352</v>
      </c>
      <c r="D123" s="5" t="s">
        <v>353</v>
      </c>
      <c r="E123" s="5" t="s">
        <v>354</v>
      </c>
      <c r="F123" s="4" t="s">
        <v>32</v>
      </c>
      <c r="G123" s="6" t="s">
        <v>1586</v>
      </c>
      <c r="H123" s="6" t="s">
        <v>1587</v>
      </c>
      <c r="I123" s="6" t="s">
        <v>1587</v>
      </c>
      <c r="J123" s="6" t="s">
        <v>967</v>
      </c>
      <c r="K123" s="6" t="s">
        <v>1588</v>
      </c>
      <c r="L123" s="6" t="s">
        <v>1589</v>
      </c>
      <c r="M123" s="6" t="s">
        <v>1590</v>
      </c>
      <c r="N123" s="6" t="s">
        <v>1591</v>
      </c>
      <c r="O123" s="6" t="s">
        <v>967</v>
      </c>
      <c r="P123" s="5" t="s">
        <v>967</v>
      </c>
      <c r="Q123" s="5" t="s">
        <v>967</v>
      </c>
      <c r="R123" s="5" t="s">
        <v>967</v>
      </c>
      <c r="S123" s="5" t="s">
        <v>967</v>
      </c>
      <c r="T123" s="5" t="s">
        <v>967</v>
      </c>
    </row>
    <row r="124" ht="66" spans="1:20">
      <c r="A124" s="4">
        <v>123</v>
      </c>
      <c r="B124" s="5" t="s">
        <v>966</v>
      </c>
      <c r="C124" s="5" t="s">
        <v>355</v>
      </c>
      <c r="D124" s="5" t="s">
        <v>356</v>
      </c>
      <c r="E124" s="5" t="s">
        <v>357</v>
      </c>
      <c r="F124" s="4" t="s">
        <v>32</v>
      </c>
      <c r="G124" s="6" t="s">
        <v>1592</v>
      </c>
      <c r="H124" s="6" t="s">
        <v>1593</v>
      </c>
      <c r="I124" s="6" t="s">
        <v>967</v>
      </c>
      <c r="J124" s="6" t="s">
        <v>967</v>
      </c>
      <c r="K124" s="6" t="s">
        <v>1594</v>
      </c>
      <c r="L124" s="6" t="s">
        <v>1595</v>
      </c>
      <c r="M124" s="6" t="s">
        <v>1596</v>
      </c>
      <c r="N124" s="6" t="s">
        <v>1597</v>
      </c>
      <c r="O124" s="6" t="s">
        <v>1597</v>
      </c>
      <c r="P124" s="5" t="s">
        <v>967</v>
      </c>
      <c r="Q124" s="5" t="s">
        <v>967</v>
      </c>
      <c r="R124" s="5" t="s">
        <v>967</v>
      </c>
      <c r="S124" s="5" t="s">
        <v>967</v>
      </c>
      <c r="T124" s="5" t="s">
        <v>967</v>
      </c>
    </row>
    <row r="125" ht="49.5" spans="1:20">
      <c r="A125" s="4">
        <v>124</v>
      </c>
      <c r="B125" s="5" t="s">
        <v>966</v>
      </c>
      <c r="C125" s="5" t="s">
        <v>358</v>
      </c>
      <c r="D125" s="5" t="s">
        <v>356</v>
      </c>
      <c r="E125" s="5" t="s">
        <v>359</v>
      </c>
      <c r="F125" s="4" t="s">
        <v>32</v>
      </c>
      <c r="G125" s="6" t="s">
        <v>1598</v>
      </c>
      <c r="H125" s="6" t="s">
        <v>1599</v>
      </c>
      <c r="I125" s="6" t="s">
        <v>1600</v>
      </c>
      <c r="J125" s="6" t="s">
        <v>967</v>
      </c>
      <c r="K125" s="6" t="s">
        <v>1601</v>
      </c>
      <c r="L125" s="6" t="s">
        <v>1602</v>
      </c>
      <c r="M125" s="6" t="s">
        <v>1603</v>
      </c>
      <c r="N125" s="6" t="s">
        <v>1604</v>
      </c>
      <c r="O125" s="6" t="s">
        <v>967</v>
      </c>
      <c r="P125" s="5" t="s">
        <v>967</v>
      </c>
      <c r="Q125" s="5" t="s">
        <v>967</v>
      </c>
      <c r="R125" s="5" t="s">
        <v>967</v>
      </c>
      <c r="S125" s="5" t="s">
        <v>967</v>
      </c>
      <c r="T125" s="5" t="s">
        <v>967</v>
      </c>
    </row>
    <row r="126" ht="33" spans="1:20">
      <c r="A126" s="4">
        <v>125</v>
      </c>
      <c r="B126" s="5" t="s">
        <v>966</v>
      </c>
      <c r="C126" s="5" t="s">
        <v>360</v>
      </c>
      <c r="D126" s="5" t="s">
        <v>361</v>
      </c>
      <c r="E126" s="5" t="s">
        <v>362</v>
      </c>
      <c r="F126" s="4" t="s">
        <v>32</v>
      </c>
      <c r="G126" s="6" t="s">
        <v>1605</v>
      </c>
      <c r="H126" s="6" t="s">
        <v>1606</v>
      </c>
      <c r="I126" s="6" t="s">
        <v>967</v>
      </c>
      <c r="J126" s="6" t="s">
        <v>967</v>
      </c>
      <c r="K126" s="6" t="s">
        <v>1607</v>
      </c>
      <c r="L126" s="6" t="s">
        <v>1608</v>
      </c>
      <c r="M126" s="6" t="s">
        <v>1609</v>
      </c>
      <c r="N126" s="6" t="s">
        <v>1610</v>
      </c>
      <c r="O126" s="6" t="s">
        <v>967</v>
      </c>
      <c r="P126" s="5" t="s">
        <v>967</v>
      </c>
      <c r="Q126" s="5" t="s">
        <v>967</v>
      </c>
      <c r="R126" s="5" t="s">
        <v>967</v>
      </c>
      <c r="S126" s="5" t="s">
        <v>967</v>
      </c>
      <c r="T126" s="5" t="s">
        <v>967</v>
      </c>
    </row>
    <row r="127" ht="33" spans="1:20">
      <c r="A127" s="4">
        <v>126</v>
      </c>
      <c r="B127" s="5" t="s">
        <v>966</v>
      </c>
      <c r="C127" s="5" t="s">
        <v>363</v>
      </c>
      <c r="D127" s="5" t="s">
        <v>361</v>
      </c>
      <c r="E127" s="5" t="s">
        <v>364</v>
      </c>
      <c r="F127" s="4" t="s">
        <v>32</v>
      </c>
      <c r="G127" s="6" t="s">
        <v>1611</v>
      </c>
      <c r="H127" s="6" t="s">
        <v>1612</v>
      </c>
      <c r="I127" s="6" t="s">
        <v>967</v>
      </c>
      <c r="J127" s="6" t="s">
        <v>967</v>
      </c>
      <c r="K127" s="6" t="s">
        <v>1607</v>
      </c>
      <c r="L127" s="6" t="s">
        <v>1613</v>
      </c>
      <c r="M127" s="6" t="s">
        <v>1614</v>
      </c>
      <c r="N127" s="6" t="s">
        <v>1615</v>
      </c>
      <c r="O127" s="6" t="s">
        <v>1615</v>
      </c>
      <c r="P127" s="5" t="s">
        <v>967</v>
      </c>
      <c r="Q127" s="5" t="s">
        <v>967</v>
      </c>
      <c r="R127" s="5" t="s">
        <v>967</v>
      </c>
      <c r="S127" s="5" t="s">
        <v>967</v>
      </c>
      <c r="T127" s="5" t="s">
        <v>967</v>
      </c>
    </row>
    <row r="128" ht="33" spans="1:20">
      <c r="A128" s="4">
        <v>127</v>
      </c>
      <c r="B128" s="5" t="s">
        <v>966</v>
      </c>
      <c r="C128" s="5" t="s">
        <v>365</v>
      </c>
      <c r="D128" s="5" t="s">
        <v>366</v>
      </c>
      <c r="E128" s="5" t="s">
        <v>367</v>
      </c>
      <c r="F128" s="4" t="s">
        <v>32</v>
      </c>
      <c r="G128" s="6" t="s">
        <v>1616</v>
      </c>
      <c r="H128" s="6" t="s">
        <v>1616</v>
      </c>
      <c r="I128" s="6" t="s">
        <v>1617</v>
      </c>
      <c r="J128" s="6" t="s">
        <v>967</v>
      </c>
      <c r="K128" s="6" t="s">
        <v>1618</v>
      </c>
      <c r="L128" s="6" t="s">
        <v>1619</v>
      </c>
      <c r="M128" s="6" t="s">
        <v>1620</v>
      </c>
      <c r="N128" s="6" t="s">
        <v>1620</v>
      </c>
      <c r="O128" s="6" t="s">
        <v>967</v>
      </c>
      <c r="P128" s="5" t="s">
        <v>967</v>
      </c>
      <c r="Q128" s="5" t="s">
        <v>967</v>
      </c>
      <c r="R128" s="5" t="s">
        <v>967</v>
      </c>
      <c r="S128" s="5" t="s">
        <v>967</v>
      </c>
      <c r="T128" s="5" t="s">
        <v>967</v>
      </c>
    </row>
    <row r="129" ht="33" spans="1:20">
      <c r="A129" s="4">
        <v>128</v>
      </c>
      <c r="B129" s="5" t="s">
        <v>966</v>
      </c>
      <c r="C129" s="5" t="s">
        <v>967</v>
      </c>
      <c r="D129" s="5" t="s">
        <v>368</v>
      </c>
      <c r="E129" s="5" t="s">
        <v>967</v>
      </c>
      <c r="F129" s="4" t="s">
        <v>967</v>
      </c>
      <c r="G129" s="6" t="s">
        <v>967</v>
      </c>
      <c r="H129" s="6" t="s">
        <v>967</v>
      </c>
      <c r="I129" s="6" t="s">
        <v>967</v>
      </c>
      <c r="J129" s="6" t="s">
        <v>967</v>
      </c>
      <c r="K129" s="6" t="s">
        <v>967</v>
      </c>
      <c r="L129" s="6" t="s">
        <v>967</v>
      </c>
      <c r="M129" s="6" t="s">
        <v>1621</v>
      </c>
      <c r="N129" s="6" t="s">
        <v>1622</v>
      </c>
      <c r="O129" s="6" t="s">
        <v>967</v>
      </c>
      <c r="P129" s="5" t="s">
        <v>967</v>
      </c>
      <c r="Q129" s="5" t="s">
        <v>967</v>
      </c>
      <c r="R129" s="5" t="s">
        <v>967</v>
      </c>
      <c r="S129" s="5" t="s">
        <v>967</v>
      </c>
      <c r="T129" s="5" t="s">
        <v>967</v>
      </c>
    </row>
    <row r="130" ht="148.5" spans="1:20">
      <c r="A130" s="4">
        <v>129</v>
      </c>
      <c r="B130" s="5" t="s">
        <v>966</v>
      </c>
      <c r="C130" s="5" t="s">
        <v>369</v>
      </c>
      <c r="D130" s="5" t="s">
        <v>370</v>
      </c>
      <c r="E130" s="5" t="s">
        <v>371</v>
      </c>
      <c r="F130" s="4" t="s">
        <v>32</v>
      </c>
      <c r="G130" s="6" t="s">
        <v>1623</v>
      </c>
      <c r="H130" s="6" t="s">
        <v>1624</v>
      </c>
      <c r="I130" s="6" t="s">
        <v>1625</v>
      </c>
      <c r="J130" s="6" t="s">
        <v>967</v>
      </c>
      <c r="K130" s="6" t="s">
        <v>1626</v>
      </c>
      <c r="L130" s="6" t="s">
        <v>1627</v>
      </c>
      <c r="M130" s="6" t="s">
        <v>1628</v>
      </c>
      <c r="N130" s="6" t="s">
        <v>1629</v>
      </c>
      <c r="O130" s="6" t="s">
        <v>967</v>
      </c>
      <c r="P130" s="5" t="s">
        <v>967</v>
      </c>
      <c r="Q130" s="5" t="s">
        <v>967</v>
      </c>
      <c r="R130" s="5" t="s">
        <v>967</v>
      </c>
      <c r="S130" s="5" t="s">
        <v>967</v>
      </c>
      <c r="T130" s="5" t="s">
        <v>967</v>
      </c>
    </row>
    <row r="131" ht="99" spans="1:20">
      <c r="A131" s="4">
        <v>130</v>
      </c>
      <c r="B131" s="5" t="s">
        <v>966</v>
      </c>
      <c r="C131" s="5" t="s">
        <v>372</v>
      </c>
      <c r="D131" s="5" t="s">
        <v>373</v>
      </c>
      <c r="E131" s="5" t="s">
        <v>374</v>
      </c>
      <c r="F131" s="4" t="s">
        <v>32</v>
      </c>
      <c r="G131" s="6" t="s">
        <v>1630</v>
      </c>
      <c r="H131" s="6" t="s">
        <v>1631</v>
      </c>
      <c r="I131" s="6" t="s">
        <v>1631</v>
      </c>
      <c r="J131" s="6" t="s">
        <v>967</v>
      </c>
      <c r="K131" s="6" t="s">
        <v>1632</v>
      </c>
      <c r="L131" s="6" t="s">
        <v>1633</v>
      </c>
      <c r="M131" s="6" t="s">
        <v>1634</v>
      </c>
      <c r="N131" s="6" t="s">
        <v>1635</v>
      </c>
      <c r="O131" s="6" t="s">
        <v>967</v>
      </c>
      <c r="P131" s="5" t="s">
        <v>967</v>
      </c>
      <c r="Q131" s="5" t="s">
        <v>967</v>
      </c>
      <c r="R131" s="5" t="s">
        <v>967</v>
      </c>
      <c r="S131" s="5" t="s">
        <v>967</v>
      </c>
      <c r="T131" s="5" t="s">
        <v>967</v>
      </c>
    </row>
    <row r="132" ht="99" spans="1:20">
      <c r="A132" s="4">
        <v>131</v>
      </c>
      <c r="B132" s="5" t="s">
        <v>966</v>
      </c>
      <c r="C132" s="5" t="s">
        <v>375</v>
      </c>
      <c r="D132" s="5" t="s">
        <v>376</v>
      </c>
      <c r="E132" s="5" t="s">
        <v>374</v>
      </c>
      <c r="F132" s="4" t="s">
        <v>32</v>
      </c>
      <c r="G132" s="6" t="s">
        <v>1636</v>
      </c>
      <c r="H132" s="6" t="s">
        <v>1637</v>
      </c>
      <c r="I132" s="6" t="s">
        <v>1637</v>
      </c>
      <c r="J132" s="6" t="s">
        <v>967</v>
      </c>
      <c r="K132" s="6" t="s">
        <v>1632</v>
      </c>
      <c r="L132" s="6" t="s">
        <v>1638</v>
      </c>
      <c r="M132" s="6" t="s">
        <v>1639</v>
      </c>
      <c r="N132" s="6" t="s">
        <v>1640</v>
      </c>
      <c r="O132" s="6" t="s">
        <v>967</v>
      </c>
      <c r="P132" s="5" t="s">
        <v>967</v>
      </c>
      <c r="Q132" s="5" t="s">
        <v>967</v>
      </c>
      <c r="R132" s="5" t="s">
        <v>967</v>
      </c>
      <c r="S132" s="5" t="s">
        <v>967</v>
      </c>
      <c r="T132" s="5" t="s">
        <v>967</v>
      </c>
    </row>
    <row r="133" ht="49.5" spans="1:20">
      <c r="A133" s="4">
        <v>132</v>
      </c>
      <c r="B133" s="5" t="s">
        <v>966</v>
      </c>
      <c r="C133" s="5" t="s">
        <v>377</v>
      </c>
      <c r="D133" s="5" t="s">
        <v>378</v>
      </c>
      <c r="E133" s="5" t="s">
        <v>379</v>
      </c>
      <c r="F133" s="4" t="s">
        <v>32</v>
      </c>
      <c r="G133" s="6" t="s">
        <v>1641</v>
      </c>
      <c r="H133" s="6" t="s">
        <v>1642</v>
      </c>
      <c r="I133" s="6" t="s">
        <v>967</v>
      </c>
      <c r="J133" s="6" t="s">
        <v>967</v>
      </c>
      <c r="K133" s="6" t="s">
        <v>1643</v>
      </c>
      <c r="L133" s="6" t="s">
        <v>1644</v>
      </c>
      <c r="M133" s="6" t="s">
        <v>1645</v>
      </c>
      <c r="N133" s="6" t="s">
        <v>1646</v>
      </c>
      <c r="O133" s="6" t="s">
        <v>967</v>
      </c>
      <c r="P133" s="5" t="s">
        <v>967</v>
      </c>
      <c r="Q133" s="5" t="s">
        <v>967</v>
      </c>
      <c r="R133" s="5" t="s">
        <v>967</v>
      </c>
      <c r="S133" s="5" t="s">
        <v>967</v>
      </c>
      <c r="T133" s="5" t="s">
        <v>967</v>
      </c>
    </row>
    <row r="134" ht="33" spans="1:20">
      <c r="A134" s="4">
        <v>133</v>
      </c>
      <c r="B134" s="5" t="s">
        <v>966</v>
      </c>
      <c r="C134" s="5" t="s">
        <v>380</v>
      </c>
      <c r="D134" s="5" t="s">
        <v>381</v>
      </c>
      <c r="E134" s="5" t="s">
        <v>382</v>
      </c>
      <c r="F134" s="4" t="s">
        <v>32</v>
      </c>
      <c r="G134" s="6" t="s">
        <v>1647</v>
      </c>
      <c r="H134" s="6" t="s">
        <v>1647</v>
      </c>
      <c r="I134" s="6" t="s">
        <v>967</v>
      </c>
      <c r="J134" s="6" t="s">
        <v>967</v>
      </c>
      <c r="K134" s="6" t="s">
        <v>1648</v>
      </c>
      <c r="L134" s="6" t="s">
        <v>1649</v>
      </c>
      <c r="M134" s="6" t="s">
        <v>1650</v>
      </c>
      <c r="N134" s="6" t="s">
        <v>1650</v>
      </c>
      <c r="O134" s="6" t="s">
        <v>967</v>
      </c>
      <c r="P134" s="5" t="s">
        <v>967</v>
      </c>
      <c r="Q134" s="5" t="s">
        <v>967</v>
      </c>
      <c r="R134" s="5" t="s">
        <v>967</v>
      </c>
      <c r="S134" s="5" t="s">
        <v>967</v>
      </c>
      <c r="T134" s="5" t="s">
        <v>967</v>
      </c>
    </row>
    <row r="135" ht="33" spans="1:20">
      <c r="A135" s="4">
        <v>134</v>
      </c>
      <c r="B135" s="5" t="s">
        <v>966</v>
      </c>
      <c r="C135" s="5" t="s">
        <v>383</v>
      </c>
      <c r="D135" s="5" t="s">
        <v>384</v>
      </c>
      <c r="E135" s="5" t="s">
        <v>385</v>
      </c>
      <c r="F135" s="4" t="s">
        <v>32</v>
      </c>
      <c r="G135" s="6" t="s">
        <v>1432</v>
      </c>
      <c r="H135" s="6" t="s">
        <v>1651</v>
      </c>
      <c r="I135" s="6" t="s">
        <v>967</v>
      </c>
      <c r="J135" s="6" t="s">
        <v>967</v>
      </c>
      <c r="K135" s="6" t="s">
        <v>1652</v>
      </c>
      <c r="L135" s="6" t="s">
        <v>1653</v>
      </c>
      <c r="M135" s="6" t="s">
        <v>1654</v>
      </c>
      <c r="N135" s="6" t="s">
        <v>1655</v>
      </c>
      <c r="O135" s="6" t="s">
        <v>967</v>
      </c>
      <c r="P135" s="5" t="s">
        <v>967</v>
      </c>
      <c r="Q135" s="5" t="s">
        <v>967</v>
      </c>
      <c r="R135" s="5" t="s">
        <v>967</v>
      </c>
      <c r="S135" s="5" t="s">
        <v>967</v>
      </c>
      <c r="T135" s="5" t="s">
        <v>967</v>
      </c>
    </row>
    <row r="136" ht="33" spans="1:20">
      <c r="A136" s="4">
        <v>135</v>
      </c>
      <c r="B136" s="5" t="s">
        <v>966</v>
      </c>
      <c r="C136" s="5" t="s">
        <v>386</v>
      </c>
      <c r="D136" s="5" t="s">
        <v>387</v>
      </c>
      <c r="E136" s="5" t="s">
        <v>388</v>
      </c>
      <c r="F136" s="4" t="s">
        <v>32</v>
      </c>
      <c r="G136" s="6" t="s">
        <v>1656</v>
      </c>
      <c r="H136" s="6" t="s">
        <v>1656</v>
      </c>
      <c r="I136" s="6" t="s">
        <v>967</v>
      </c>
      <c r="J136" s="6" t="s">
        <v>967</v>
      </c>
      <c r="K136" s="6" t="s">
        <v>1657</v>
      </c>
      <c r="L136" s="6" t="s">
        <v>1658</v>
      </c>
      <c r="M136" s="6" t="s">
        <v>1659</v>
      </c>
      <c r="N136" s="6" t="s">
        <v>1659</v>
      </c>
      <c r="O136" s="6" t="s">
        <v>967</v>
      </c>
      <c r="P136" s="5" t="s">
        <v>967</v>
      </c>
      <c r="Q136" s="5" t="s">
        <v>967</v>
      </c>
      <c r="R136" s="5" t="s">
        <v>967</v>
      </c>
      <c r="S136" s="5" t="s">
        <v>967</v>
      </c>
      <c r="T136" s="5" t="s">
        <v>967</v>
      </c>
    </row>
    <row r="137" ht="33" spans="1:20">
      <c r="A137" s="4">
        <v>136</v>
      </c>
      <c r="B137" s="5" t="s">
        <v>966</v>
      </c>
      <c r="C137" s="5" t="s">
        <v>389</v>
      </c>
      <c r="D137" s="5" t="s">
        <v>390</v>
      </c>
      <c r="E137" s="5" t="s">
        <v>391</v>
      </c>
      <c r="F137" s="4" t="s">
        <v>32</v>
      </c>
      <c r="G137" s="6" t="s">
        <v>1660</v>
      </c>
      <c r="H137" s="6" t="s">
        <v>1661</v>
      </c>
      <c r="I137" s="6" t="s">
        <v>967</v>
      </c>
      <c r="J137" s="6" t="s">
        <v>967</v>
      </c>
      <c r="K137" s="6" t="s">
        <v>1662</v>
      </c>
      <c r="L137" s="6" t="s">
        <v>1663</v>
      </c>
      <c r="M137" s="6" t="s">
        <v>1664</v>
      </c>
      <c r="N137" s="6" t="s">
        <v>1665</v>
      </c>
      <c r="O137" s="6" t="s">
        <v>967</v>
      </c>
      <c r="P137" s="5" t="s">
        <v>967</v>
      </c>
      <c r="Q137" s="5" t="s">
        <v>392</v>
      </c>
      <c r="R137" s="5" t="s">
        <v>967</v>
      </c>
      <c r="S137" s="5" t="s">
        <v>967</v>
      </c>
      <c r="T137" s="5" t="s">
        <v>967</v>
      </c>
    </row>
    <row r="138" ht="33" spans="1:20">
      <c r="A138" s="4">
        <v>137</v>
      </c>
      <c r="B138" s="5" t="s">
        <v>966</v>
      </c>
      <c r="C138" s="5" t="s">
        <v>393</v>
      </c>
      <c r="D138" s="5" t="s">
        <v>394</v>
      </c>
      <c r="E138" s="5" t="s">
        <v>395</v>
      </c>
      <c r="F138" s="4" t="s">
        <v>32</v>
      </c>
      <c r="G138" s="6" t="s">
        <v>1666</v>
      </c>
      <c r="H138" s="6" t="s">
        <v>1666</v>
      </c>
      <c r="I138" s="6" t="s">
        <v>967</v>
      </c>
      <c r="J138" s="6" t="s">
        <v>967</v>
      </c>
      <c r="K138" s="6" t="s">
        <v>1667</v>
      </c>
      <c r="L138" s="6" t="s">
        <v>1668</v>
      </c>
      <c r="M138" s="6" t="s">
        <v>1669</v>
      </c>
      <c r="N138" s="6" t="s">
        <v>1669</v>
      </c>
      <c r="O138" s="6" t="s">
        <v>967</v>
      </c>
      <c r="P138" s="5" t="s">
        <v>967</v>
      </c>
      <c r="Q138" s="5" t="s">
        <v>967</v>
      </c>
      <c r="R138" s="5" t="s">
        <v>967</v>
      </c>
      <c r="S138" s="5" t="s">
        <v>967</v>
      </c>
      <c r="T138" s="5" t="s">
        <v>967</v>
      </c>
    </row>
    <row r="139" ht="49.5" spans="1:20">
      <c r="A139" s="4">
        <v>138</v>
      </c>
      <c r="B139" s="5" t="s">
        <v>966</v>
      </c>
      <c r="C139" s="5" t="s">
        <v>396</v>
      </c>
      <c r="D139" s="5" t="s">
        <v>397</v>
      </c>
      <c r="E139" s="5" t="s">
        <v>398</v>
      </c>
      <c r="F139" s="4" t="s">
        <v>32</v>
      </c>
      <c r="G139" s="6" t="s">
        <v>1670</v>
      </c>
      <c r="H139" s="6" t="s">
        <v>1670</v>
      </c>
      <c r="I139" s="6" t="s">
        <v>967</v>
      </c>
      <c r="J139" s="6" t="s">
        <v>967</v>
      </c>
      <c r="K139" s="6" t="s">
        <v>1671</v>
      </c>
      <c r="L139" s="6" t="s">
        <v>1672</v>
      </c>
      <c r="M139" s="6" t="s">
        <v>1673</v>
      </c>
      <c r="N139" s="6" t="s">
        <v>1673</v>
      </c>
      <c r="O139" s="6" t="s">
        <v>967</v>
      </c>
      <c r="P139" s="5" t="s">
        <v>967</v>
      </c>
      <c r="Q139" s="5" t="s">
        <v>967</v>
      </c>
      <c r="R139" s="5" t="s">
        <v>967</v>
      </c>
      <c r="S139" s="5" t="s">
        <v>967</v>
      </c>
      <c r="T139" s="5" t="s">
        <v>967</v>
      </c>
    </row>
    <row r="140" ht="49.5" spans="1:20">
      <c r="A140" s="4">
        <v>139</v>
      </c>
      <c r="B140" s="5" t="s">
        <v>966</v>
      </c>
      <c r="C140" s="5" t="s">
        <v>399</v>
      </c>
      <c r="D140" s="5" t="s">
        <v>400</v>
      </c>
      <c r="E140" s="5" t="s">
        <v>401</v>
      </c>
      <c r="F140" s="4" t="s">
        <v>53</v>
      </c>
      <c r="G140" s="6" t="s">
        <v>1674</v>
      </c>
      <c r="H140" s="6" t="s">
        <v>1675</v>
      </c>
      <c r="I140" s="6" t="s">
        <v>967</v>
      </c>
      <c r="J140" s="6" t="s">
        <v>967</v>
      </c>
      <c r="K140" s="6" t="s">
        <v>1676</v>
      </c>
      <c r="L140" s="6" t="s">
        <v>1677</v>
      </c>
      <c r="M140" s="6" t="s">
        <v>1678</v>
      </c>
      <c r="N140" s="6" t="s">
        <v>1679</v>
      </c>
      <c r="O140" s="6" t="s">
        <v>967</v>
      </c>
      <c r="P140" s="5" t="s">
        <v>967</v>
      </c>
      <c r="Q140" s="5" t="s">
        <v>967</v>
      </c>
      <c r="R140" s="5" t="s">
        <v>967</v>
      </c>
      <c r="S140" s="5" t="s">
        <v>967</v>
      </c>
      <c r="T140" s="5" t="s">
        <v>967</v>
      </c>
    </row>
    <row r="141" ht="66" spans="1:20">
      <c r="A141" s="4">
        <v>140</v>
      </c>
      <c r="B141" s="5" t="s">
        <v>966</v>
      </c>
      <c r="C141" s="5" t="s">
        <v>402</v>
      </c>
      <c r="D141" s="5" t="s">
        <v>403</v>
      </c>
      <c r="E141" s="5" t="s">
        <v>404</v>
      </c>
      <c r="F141" s="4" t="s">
        <v>32</v>
      </c>
      <c r="G141" s="6" t="s">
        <v>1680</v>
      </c>
      <c r="H141" s="6" t="s">
        <v>1680</v>
      </c>
      <c r="I141" s="6" t="s">
        <v>1680</v>
      </c>
      <c r="J141" s="6" t="s">
        <v>967</v>
      </c>
      <c r="K141" s="6" t="s">
        <v>1681</v>
      </c>
      <c r="L141" s="6" t="s">
        <v>1682</v>
      </c>
      <c r="M141" s="6" t="s">
        <v>1683</v>
      </c>
      <c r="N141" s="6" t="s">
        <v>1683</v>
      </c>
      <c r="O141" s="6" t="s">
        <v>967</v>
      </c>
      <c r="P141" s="5" t="s">
        <v>967</v>
      </c>
      <c r="Q141" s="5" t="s">
        <v>967</v>
      </c>
      <c r="R141" s="5" t="s">
        <v>967</v>
      </c>
      <c r="S141" s="5" t="s">
        <v>967</v>
      </c>
      <c r="T141" s="5" t="s">
        <v>967</v>
      </c>
    </row>
    <row r="142" ht="49.5" spans="1:20">
      <c r="A142" s="4">
        <v>141</v>
      </c>
      <c r="B142" s="5" t="s">
        <v>966</v>
      </c>
      <c r="C142" s="5" t="s">
        <v>405</v>
      </c>
      <c r="D142" s="5" t="s">
        <v>406</v>
      </c>
      <c r="E142" s="5" t="s">
        <v>407</v>
      </c>
      <c r="F142" s="4" t="s">
        <v>32</v>
      </c>
      <c r="G142" s="6" t="s">
        <v>1684</v>
      </c>
      <c r="H142" s="6" t="s">
        <v>1685</v>
      </c>
      <c r="I142" s="6" t="s">
        <v>967</v>
      </c>
      <c r="J142" s="6" t="s">
        <v>967</v>
      </c>
      <c r="K142" s="6" t="s">
        <v>1686</v>
      </c>
      <c r="L142" s="6" t="s">
        <v>1687</v>
      </c>
      <c r="M142" s="6" t="s">
        <v>1688</v>
      </c>
      <c r="N142" s="6" t="s">
        <v>1689</v>
      </c>
      <c r="O142" s="6" t="s">
        <v>967</v>
      </c>
      <c r="P142" s="5" t="s">
        <v>967</v>
      </c>
      <c r="Q142" s="5" t="s">
        <v>967</v>
      </c>
      <c r="R142" s="5" t="s">
        <v>967</v>
      </c>
      <c r="S142" s="5" t="s">
        <v>967</v>
      </c>
      <c r="T142" s="5" t="s">
        <v>967</v>
      </c>
    </row>
    <row r="143" ht="49.5" spans="1:20">
      <c r="A143" s="4">
        <v>142</v>
      </c>
      <c r="B143" s="5" t="s">
        <v>966</v>
      </c>
      <c r="C143" s="5" t="s">
        <v>408</v>
      </c>
      <c r="D143" s="5" t="s">
        <v>406</v>
      </c>
      <c r="E143" s="5" t="s">
        <v>409</v>
      </c>
      <c r="F143" s="4" t="s">
        <v>32</v>
      </c>
      <c r="G143" s="6" t="s">
        <v>1690</v>
      </c>
      <c r="H143" s="6" t="s">
        <v>1691</v>
      </c>
      <c r="I143" s="6" t="s">
        <v>1003</v>
      </c>
      <c r="J143" s="6" t="s">
        <v>967</v>
      </c>
      <c r="K143" s="6" t="s">
        <v>1373</v>
      </c>
      <c r="L143" s="6" t="s">
        <v>1692</v>
      </c>
      <c r="M143" s="6" t="s">
        <v>1693</v>
      </c>
      <c r="N143" s="6" t="s">
        <v>1694</v>
      </c>
      <c r="O143" s="6" t="s">
        <v>967</v>
      </c>
      <c r="P143" s="5" t="s">
        <v>967</v>
      </c>
      <c r="Q143" s="5" t="s">
        <v>967</v>
      </c>
      <c r="R143" s="5" t="s">
        <v>967</v>
      </c>
      <c r="S143" s="5" t="s">
        <v>967</v>
      </c>
      <c r="T143" s="5" t="s">
        <v>967</v>
      </c>
    </row>
    <row r="144" ht="66" spans="1:20">
      <c r="A144" s="4">
        <v>143</v>
      </c>
      <c r="B144" s="5" t="s">
        <v>966</v>
      </c>
      <c r="C144" s="5" t="s">
        <v>410</v>
      </c>
      <c r="D144" s="5" t="s">
        <v>406</v>
      </c>
      <c r="E144" s="5" t="s">
        <v>411</v>
      </c>
      <c r="F144" s="4" t="s">
        <v>32</v>
      </c>
      <c r="G144" s="6" t="s">
        <v>1695</v>
      </c>
      <c r="H144" s="6" t="s">
        <v>1691</v>
      </c>
      <c r="I144" s="6" t="s">
        <v>1691</v>
      </c>
      <c r="J144" s="6" t="s">
        <v>967</v>
      </c>
      <c r="K144" s="6" t="s">
        <v>1696</v>
      </c>
      <c r="L144" s="6" t="s">
        <v>1697</v>
      </c>
      <c r="M144" s="6" t="s">
        <v>1698</v>
      </c>
      <c r="N144" s="6" t="s">
        <v>1699</v>
      </c>
      <c r="O144" s="6" t="s">
        <v>967</v>
      </c>
      <c r="P144" s="5" t="s">
        <v>967</v>
      </c>
      <c r="Q144" s="5" t="s">
        <v>967</v>
      </c>
      <c r="R144" s="5" t="s">
        <v>967</v>
      </c>
      <c r="S144" s="5" t="s">
        <v>967</v>
      </c>
      <c r="T144" s="5" t="s">
        <v>967</v>
      </c>
    </row>
    <row r="145" ht="82.5" spans="1:20">
      <c r="A145" s="4">
        <v>144</v>
      </c>
      <c r="B145" s="5" t="s">
        <v>966</v>
      </c>
      <c r="C145" s="5" t="s">
        <v>412</v>
      </c>
      <c r="D145" s="5" t="s">
        <v>406</v>
      </c>
      <c r="E145" s="5" t="s">
        <v>413</v>
      </c>
      <c r="F145" s="4" t="s">
        <v>32</v>
      </c>
      <c r="G145" s="6" t="s">
        <v>1700</v>
      </c>
      <c r="H145" s="6" t="s">
        <v>1700</v>
      </c>
      <c r="I145" s="6" t="s">
        <v>967</v>
      </c>
      <c r="J145" s="6" t="s">
        <v>967</v>
      </c>
      <c r="K145" s="6" t="s">
        <v>1701</v>
      </c>
      <c r="L145" s="6" t="s">
        <v>1702</v>
      </c>
      <c r="M145" s="6" t="s">
        <v>1703</v>
      </c>
      <c r="N145" s="6" t="s">
        <v>1703</v>
      </c>
      <c r="O145" s="6" t="s">
        <v>967</v>
      </c>
      <c r="P145" s="5" t="s">
        <v>967</v>
      </c>
      <c r="Q145" s="5" t="s">
        <v>967</v>
      </c>
      <c r="R145" s="5" t="s">
        <v>967</v>
      </c>
      <c r="S145" s="5" t="s">
        <v>967</v>
      </c>
      <c r="T145" s="5" t="s">
        <v>967</v>
      </c>
    </row>
    <row r="146" ht="115.5" spans="1:20">
      <c r="A146" s="4">
        <v>145</v>
      </c>
      <c r="B146" s="5" t="s">
        <v>966</v>
      </c>
      <c r="C146" s="5" t="s">
        <v>414</v>
      </c>
      <c r="D146" s="5" t="s">
        <v>406</v>
      </c>
      <c r="E146" s="5" t="s">
        <v>415</v>
      </c>
      <c r="F146" s="4" t="s">
        <v>32</v>
      </c>
      <c r="G146" s="6" t="s">
        <v>1704</v>
      </c>
      <c r="H146" s="6" t="s">
        <v>1704</v>
      </c>
      <c r="I146" s="6" t="s">
        <v>967</v>
      </c>
      <c r="J146" s="6" t="s">
        <v>967</v>
      </c>
      <c r="K146" s="6" t="s">
        <v>1705</v>
      </c>
      <c r="L146" s="6" t="s">
        <v>1706</v>
      </c>
      <c r="M146" s="6" t="s">
        <v>1707</v>
      </c>
      <c r="N146" s="6" t="s">
        <v>1707</v>
      </c>
      <c r="O146" s="6" t="s">
        <v>967</v>
      </c>
      <c r="P146" s="5" t="s">
        <v>967</v>
      </c>
      <c r="Q146" s="5" t="s">
        <v>967</v>
      </c>
      <c r="R146" s="5" t="s">
        <v>967</v>
      </c>
      <c r="S146" s="5" t="s">
        <v>967</v>
      </c>
      <c r="T146" s="5" t="s">
        <v>967</v>
      </c>
    </row>
    <row r="147" ht="115.5" spans="1:20">
      <c r="A147" s="4">
        <v>146</v>
      </c>
      <c r="B147" s="5" t="s">
        <v>966</v>
      </c>
      <c r="C147" s="5" t="s">
        <v>416</v>
      </c>
      <c r="D147" s="5" t="s">
        <v>406</v>
      </c>
      <c r="E147" s="5" t="s">
        <v>417</v>
      </c>
      <c r="F147" s="4" t="s">
        <v>32</v>
      </c>
      <c r="G147" s="6" t="s">
        <v>1708</v>
      </c>
      <c r="H147" s="6" t="s">
        <v>1709</v>
      </c>
      <c r="I147" s="6" t="s">
        <v>967</v>
      </c>
      <c r="J147" s="6" t="s">
        <v>967</v>
      </c>
      <c r="K147" s="6" t="s">
        <v>1705</v>
      </c>
      <c r="L147" s="6" t="s">
        <v>1710</v>
      </c>
      <c r="M147" s="6" t="s">
        <v>1711</v>
      </c>
      <c r="N147" s="6" t="s">
        <v>1712</v>
      </c>
      <c r="O147" s="6" t="s">
        <v>967</v>
      </c>
      <c r="P147" s="5" t="s">
        <v>967</v>
      </c>
      <c r="Q147" s="5" t="s">
        <v>967</v>
      </c>
      <c r="R147" s="5" t="s">
        <v>967</v>
      </c>
      <c r="S147" s="5" t="s">
        <v>967</v>
      </c>
      <c r="T147" s="5" t="s">
        <v>967</v>
      </c>
    </row>
    <row r="148" ht="115.5" spans="1:20">
      <c r="A148" s="4">
        <v>147</v>
      </c>
      <c r="B148" s="5" t="s">
        <v>966</v>
      </c>
      <c r="C148" s="5" t="s">
        <v>418</v>
      </c>
      <c r="D148" s="5" t="s">
        <v>406</v>
      </c>
      <c r="E148" s="5" t="s">
        <v>419</v>
      </c>
      <c r="F148" s="4" t="s">
        <v>32</v>
      </c>
      <c r="G148" s="6" t="s">
        <v>1713</v>
      </c>
      <c r="H148" s="6" t="s">
        <v>1714</v>
      </c>
      <c r="I148" s="6" t="s">
        <v>967</v>
      </c>
      <c r="J148" s="6" t="s">
        <v>967</v>
      </c>
      <c r="K148" s="6" t="s">
        <v>1715</v>
      </c>
      <c r="L148" s="6" t="s">
        <v>1716</v>
      </c>
      <c r="M148" s="6" t="s">
        <v>1717</v>
      </c>
      <c r="N148" s="6" t="s">
        <v>1718</v>
      </c>
      <c r="O148" s="6" t="s">
        <v>967</v>
      </c>
      <c r="P148" s="5" t="s">
        <v>967</v>
      </c>
      <c r="Q148" s="5" t="s">
        <v>967</v>
      </c>
      <c r="R148" s="5" t="s">
        <v>967</v>
      </c>
      <c r="S148" s="5" t="s">
        <v>967</v>
      </c>
      <c r="T148" s="5" t="s">
        <v>967</v>
      </c>
    </row>
    <row r="149" ht="99" spans="1:20">
      <c r="A149" s="4">
        <v>148</v>
      </c>
      <c r="B149" s="5" t="s">
        <v>966</v>
      </c>
      <c r="C149" s="5" t="s">
        <v>420</v>
      </c>
      <c r="D149" s="5" t="s">
        <v>406</v>
      </c>
      <c r="E149" s="5" t="s">
        <v>421</v>
      </c>
      <c r="F149" s="4" t="s">
        <v>32</v>
      </c>
      <c r="G149" s="6" t="s">
        <v>1719</v>
      </c>
      <c r="H149" s="6" t="s">
        <v>1720</v>
      </c>
      <c r="I149" s="6" t="s">
        <v>1720</v>
      </c>
      <c r="J149" s="6" t="s">
        <v>967</v>
      </c>
      <c r="K149" s="6" t="s">
        <v>1721</v>
      </c>
      <c r="L149" s="6" t="s">
        <v>1722</v>
      </c>
      <c r="M149" s="6" t="s">
        <v>1723</v>
      </c>
      <c r="N149" s="6" t="s">
        <v>1724</v>
      </c>
      <c r="O149" s="6" t="s">
        <v>967</v>
      </c>
      <c r="P149" s="5" t="s">
        <v>967</v>
      </c>
      <c r="Q149" s="5" t="s">
        <v>967</v>
      </c>
      <c r="R149" s="5" t="s">
        <v>967</v>
      </c>
      <c r="S149" s="5" t="s">
        <v>967</v>
      </c>
      <c r="T149" s="5" t="s">
        <v>967</v>
      </c>
    </row>
    <row r="150" ht="115.5" spans="1:20">
      <c r="A150" s="4">
        <v>149</v>
      </c>
      <c r="B150" s="5" t="s">
        <v>966</v>
      </c>
      <c r="C150" s="5" t="s">
        <v>422</v>
      </c>
      <c r="D150" s="5" t="s">
        <v>406</v>
      </c>
      <c r="E150" s="5" t="s">
        <v>423</v>
      </c>
      <c r="F150" s="4" t="s">
        <v>32</v>
      </c>
      <c r="G150" s="6" t="s">
        <v>1725</v>
      </c>
      <c r="H150" s="6" t="s">
        <v>1726</v>
      </c>
      <c r="I150" s="6" t="s">
        <v>1727</v>
      </c>
      <c r="J150" s="6" t="s">
        <v>967</v>
      </c>
      <c r="K150" s="6" t="s">
        <v>1728</v>
      </c>
      <c r="L150" s="6" t="s">
        <v>1722</v>
      </c>
      <c r="M150" s="6" t="s">
        <v>1729</v>
      </c>
      <c r="N150" s="6" t="s">
        <v>1730</v>
      </c>
      <c r="O150" s="6" t="s">
        <v>967</v>
      </c>
      <c r="P150" s="5" t="s">
        <v>967</v>
      </c>
      <c r="Q150" s="5" t="s">
        <v>967</v>
      </c>
      <c r="R150" s="5" t="s">
        <v>967</v>
      </c>
      <c r="S150" s="5" t="s">
        <v>967</v>
      </c>
      <c r="T150" s="5" t="s">
        <v>967</v>
      </c>
    </row>
    <row r="151" ht="99" spans="1:20">
      <c r="A151" s="4">
        <v>150</v>
      </c>
      <c r="B151" s="5" t="s">
        <v>966</v>
      </c>
      <c r="C151" s="5" t="s">
        <v>424</v>
      </c>
      <c r="D151" s="5" t="s">
        <v>406</v>
      </c>
      <c r="E151" s="5" t="s">
        <v>425</v>
      </c>
      <c r="F151" s="4" t="s">
        <v>32</v>
      </c>
      <c r="G151" s="6" t="s">
        <v>1731</v>
      </c>
      <c r="H151" s="6" t="s">
        <v>1732</v>
      </c>
      <c r="I151" s="6" t="s">
        <v>967</v>
      </c>
      <c r="J151" s="6" t="s">
        <v>967</v>
      </c>
      <c r="K151" s="6" t="s">
        <v>1733</v>
      </c>
      <c r="L151" s="6" t="s">
        <v>1734</v>
      </c>
      <c r="M151" s="6" t="s">
        <v>1735</v>
      </c>
      <c r="N151" s="6" t="s">
        <v>1736</v>
      </c>
      <c r="O151" s="6" t="s">
        <v>967</v>
      </c>
      <c r="P151" s="5" t="s">
        <v>967</v>
      </c>
      <c r="Q151" s="5" t="s">
        <v>967</v>
      </c>
      <c r="R151" s="5" t="s">
        <v>967</v>
      </c>
      <c r="S151" s="5" t="s">
        <v>967</v>
      </c>
      <c r="T151" s="5" t="s">
        <v>967</v>
      </c>
    </row>
    <row r="152" ht="82.5" spans="1:20">
      <c r="A152" s="4">
        <v>151</v>
      </c>
      <c r="B152" s="5" t="s">
        <v>966</v>
      </c>
      <c r="C152" s="5" t="s">
        <v>426</v>
      </c>
      <c r="D152" s="5" t="s">
        <v>406</v>
      </c>
      <c r="E152" s="5" t="s">
        <v>427</v>
      </c>
      <c r="F152" s="4" t="s">
        <v>32</v>
      </c>
      <c r="G152" s="6" t="s">
        <v>1737</v>
      </c>
      <c r="H152" s="6" t="s">
        <v>1738</v>
      </c>
      <c r="I152" s="6" t="s">
        <v>967</v>
      </c>
      <c r="J152" s="6" t="s">
        <v>967</v>
      </c>
      <c r="K152" s="6" t="s">
        <v>1739</v>
      </c>
      <c r="L152" s="6" t="s">
        <v>1740</v>
      </c>
      <c r="M152" s="6" t="s">
        <v>1741</v>
      </c>
      <c r="N152" s="6" t="s">
        <v>1742</v>
      </c>
      <c r="O152" s="6" t="s">
        <v>967</v>
      </c>
      <c r="P152" s="5" t="s">
        <v>967</v>
      </c>
      <c r="Q152" s="5" t="s">
        <v>967</v>
      </c>
      <c r="R152" s="5" t="s">
        <v>967</v>
      </c>
      <c r="S152" s="5" t="s">
        <v>967</v>
      </c>
      <c r="T152" s="5" t="s">
        <v>967</v>
      </c>
    </row>
    <row r="153" ht="49.5" spans="1:20">
      <c r="A153" s="4">
        <v>152</v>
      </c>
      <c r="B153" s="5" t="s">
        <v>966</v>
      </c>
      <c r="C153" s="5" t="s">
        <v>428</v>
      </c>
      <c r="D153" s="5" t="s">
        <v>429</v>
      </c>
      <c r="E153" s="5" t="s">
        <v>430</v>
      </c>
      <c r="F153" s="4" t="s">
        <v>32</v>
      </c>
      <c r="G153" s="6" t="s">
        <v>1743</v>
      </c>
      <c r="H153" s="6" t="s">
        <v>1744</v>
      </c>
      <c r="I153" s="6" t="s">
        <v>967</v>
      </c>
      <c r="J153" s="6" t="s">
        <v>967</v>
      </c>
      <c r="K153" s="6" t="s">
        <v>1745</v>
      </c>
      <c r="L153" s="6" t="s">
        <v>1746</v>
      </c>
      <c r="M153" s="6" t="s">
        <v>1747</v>
      </c>
      <c r="N153" s="6" t="s">
        <v>1748</v>
      </c>
      <c r="O153" s="6" t="s">
        <v>1748</v>
      </c>
      <c r="P153" s="5" t="s">
        <v>967</v>
      </c>
      <c r="Q153" s="5" t="s">
        <v>967</v>
      </c>
      <c r="R153" s="5" t="s">
        <v>967</v>
      </c>
      <c r="S153" s="5" t="s">
        <v>967</v>
      </c>
      <c r="T153" s="5" t="s">
        <v>967</v>
      </c>
    </row>
    <row r="154" ht="82.5" spans="1:20">
      <c r="A154" s="4">
        <v>153</v>
      </c>
      <c r="B154" s="5" t="s">
        <v>966</v>
      </c>
      <c r="C154" s="5" t="s">
        <v>431</v>
      </c>
      <c r="D154" s="5" t="s">
        <v>432</v>
      </c>
      <c r="E154" s="5" t="s">
        <v>433</v>
      </c>
      <c r="F154" s="4" t="s">
        <v>53</v>
      </c>
      <c r="G154" s="6" t="s">
        <v>1749</v>
      </c>
      <c r="H154" s="6" t="s">
        <v>1750</v>
      </c>
      <c r="I154" s="6" t="s">
        <v>967</v>
      </c>
      <c r="J154" s="6" t="s">
        <v>967</v>
      </c>
      <c r="K154" s="6" t="s">
        <v>1751</v>
      </c>
      <c r="L154" s="6" t="s">
        <v>1752</v>
      </c>
      <c r="M154" s="6" t="s">
        <v>1753</v>
      </c>
      <c r="N154" s="6" t="s">
        <v>1754</v>
      </c>
      <c r="O154" s="6" t="s">
        <v>967</v>
      </c>
      <c r="P154" s="5" t="s">
        <v>967</v>
      </c>
      <c r="Q154" s="5" t="s">
        <v>967</v>
      </c>
      <c r="R154" s="5" t="s">
        <v>967</v>
      </c>
      <c r="S154" s="5" t="s">
        <v>967</v>
      </c>
      <c r="T154" s="5" t="s">
        <v>967</v>
      </c>
    </row>
    <row r="155" ht="132" spans="1:20">
      <c r="A155" s="4">
        <v>154</v>
      </c>
      <c r="B155" s="5" t="s">
        <v>966</v>
      </c>
      <c r="C155" s="5" t="s">
        <v>434</v>
      </c>
      <c r="D155" s="5" t="s">
        <v>435</v>
      </c>
      <c r="E155" s="5" t="s">
        <v>436</v>
      </c>
      <c r="F155" s="4" t="s">
        <v>32</v>
      </c>
      <c r="G155" s="6" t="s">
        <v>1755</v>
      </c>
      <c r="H155" s="6" t="s">
        <v>1756</v>
      </c>
      <c r="I155" s="6" t="s">
        <v>967</v>
      </c>
      <c r="J155" s="6" t="s">
        <v>967</v>
      </c>
      <c r="K155" s="6" t="s">
        <v>1757</v>
      </c>
      <c r="L155" s="6" t="s">
        <v>1758</v>
      </c>
      <c r="M155" s="6" t="s">
        <v>1759</v>
      </c>
      <c r="N155" s="6" t="s">
        <v>1760</v>
      </c>
      <c r="O155" s="6" t="s">
        <v>967</v>
      </c>
      <c r="P155" s="5" t="s">
        <v>967</v>
      </c>
      <c r="Q155" s="5" t="s">
        <v>967</v>
      </c>
      <c r="R155" s="5" t="s">
        <v>967</v>
      </c>
      <c r="S155" s="5" t="s">
        <v>967</v>
      </c>
      <c r="T155" s="5" t="s">
        <v>967</v>
      </c>
    </row>
    <row r="156" ht="49.5" spans="1:20">
      <c r="A156" s="4">
        <v>155</v>
      </c>
      <c r="B156" s="5" t="s">
        <v>966</v>
      </c>
      <c r="C156" s="5" t="s">
        <v>437</v>
      </c>
      <c r="D156" s="5" t="s">
        <v>438</v>
      </c>
      <c r="E156" s="5" t="s">
        <v>439</v>
      </c>
      <c r="F156" s="4" t="s">
        <v>32</v>
      </c>
      <c r="G156" s="6" t="s">
        <v>1761</v>
      </c>
      <c r="H156" s="6" t="s">
        <v>1762</v>
      </c>
      <c r="I156" s="6" t="s">
        <v>967</v>
      </c>
      <c r="J156" s="6" t="s">
        <v>967</v>
      </c>
      <c r="K156" s="6" t="s">
        <v>1763</v>
      </c>
      <c r="L156" s="6" t="s">
        <v>1764</v>
      </c>
      <c r="M156" s="6" t="s">
        <v>1765</v>
      </c>
      <c r="N156" s="6" t="s">
        <v>1766</v>
      </c>
      <c r="O156" s="6" t="s">
        <v>967</v>
      </c>
      <c r="P156" s="5" t="s">
        <v>967</v>
      </c>
      <c r="Q156" s="5" t="s">
        <v>967</v>
      </c>
      <c r="R156" s="5" t="s">
        <v>967</v>
      </c>
      <c r="S156" s="5" t="s">
        <v>967</v>
      </c>
      <c r="T156" s="5" t="s">
        <v>967</v>
      </c>
    </row>
    <row r="157" ht="33" spans="1:20">
      <c r="A157" s="4">
        <v>156</v>
      </c>
      <c r="B157" s="5" t="s">
        <v>966</v>
      </c>
      <c r="C157" s="5" t="s">
        <v>967</v>
      </c>
      <c r="D157" s="5" t="s">
        <v>440</v>
      </c>
      <c r="E157" s="5" t="s">
        <v>967</v>
      </c>
      <c r="F157" s="4" t="s">
        <v>967</v>
      </c>
      <c r="G157" s="6" t="s">
        <v>967</v>
      </c>
      <c r="H157" s="6" t="s">
        <v>967</v>
      </c>
      <c r="I157" s="6" t="s">
        <v>967</v>
      </c>
      <c r="J157" s="6" t="s">
        <v>967</v>
      </c>
      <c r="K157" s="6" t="s">
        <v>967</v>
      </c>
      <c r="L157" s="6" t="s">
        <v>967</v>
      </c>
      <c r="M157" s="6" t="s">
        <v>1767</v>
      </c>
      <c r="N157" s="6" t="s">
        <v>1768</v>
      </c>
      <c r="O157" s="6" t="s">
        <v>967</v>
      </c>
      <c r="P157" s="5" t="s">
        <v>967</v>
      </c>
      <c r="Q157" s="5" t="s">
        <v>967</v>
      </c>
      <c r="R157" s="5" t="s">
        <v>967</v>
      </c>
      <c r="S157" s="5" t="s">
        <v>967</v>
      </c>
      <c r="T157" s="5" t="s">
        <v>967</v>
      </c>
    </row>
    <row r="158" ht="33" spans="1:20">
      <c r="A158" s="4">
        <v>157</v>
      </c>
      <c r="B158" s="5" t="s">
        <v>966</v>
      </c>
      <c r="C158" s="5" t="s">
        <v>441</v>
      </c>
      <c r="D158" s="5" t="s">
        <v>442</v>
      </c>
      <c r="E158" s="5" t="s">
        <v>443</v>
      </c>
      <c r="F158" s="4" t="s">
        <v>32</v>
      </c>
      <c r="G158" s="6" t="s">
        <v>1769</v>
      </c>
      <c r="H158" s="6" t="s">
        <v>1769</v>
      </c>
      <c r="I158" s="6" t="s">
        <v>967</v>
      </c>
      <c r="J158" s="6" t="s">
        <v>967</v>
      </c>
      <c r="K158" s="6" t="s">
        <v>1770</v>
      </c>
      <c r="L158" s="6" t="s">
        <v>1403</v>
      </c>
      <c r="M158" s="6" t="s">
        <v>1771</v>
      </c>
      <c r="N158" s="6" t="s">
        <v>1771</v>
      </c>
      <c r="O158" s="6" t="s">
        <v>967</v>
      </c>
      <c r="P158" s="5" t="s">
        <v>444</v>
      </c>
      <c r="Q158" s="5" t="s">
        <v>967</v>
      </c>
      <c r="R158" s="5" t="s">
        <v>967</v>
      </c>
      <c r="S158" s="5" t="s">
        <v>967</v>
      </c>
      <c r="T158" s="5" t="s">
        <v>967</v>
      </c>
    </row>
    <row r="159" ht="33" spans="1:20">
      <c r="A159" s="4">
        <v>158</v>
      </c>
      <c r="B159" s="5" t="s">
        <v>966</v>
      </c>
      <c r="C159" s="5" t="s">
        <v>445</v>
      </c>
      <c r="D159" s="5" t="s">
        <v>446</v>
      </c>
      <c r="E159" s="5" t="s">
        <v>447</v>
      </c>
      <c r="F159" s="4" t="s">
        <v>32</v>
      </c>
      <c r="G159" s="6" t="s">
        <v>1772</v>
      </c>
      <c r="H159" s="6" t="s">
        <v>1773</v>
      </c>
      <c r="I159" s="6" t="s">
        <v>1772</v>
      </c>
      <c r="J159" s="6" t="s">
        <v>1774</v>
      </c>
      <c r="K159" s="6" t="s">
        <v>1775</v>
      </c>
      <c r="L159" s="6" t="s">
        <v>1776</v>
      </c>
      <c r="M159" s="6" t="s">
        <v>1777</v>
      </c>
      <c r="N159" s="6" t="s">
        <v>1778</v>
      </c>
      <c r="O159" s="6" t="s">
        <v>967</v>
      </c>
      <c r="P159" s="5" t="s">
        <v>448</v>
      </c>
      <c r="Q159" s="5" t="s">
        <v>967</v>
      </c>
      <c r="R159" s="5" t="s">
        <v>967</v>
      </c>
      <c r="S159" s="5" t="s">
        <v>967</v>
      </c>
      <c r="T159" s="5" t="s">
        <v>967</v>
      </c>
    </row>
    <row r="160" ht="49.5" spans="1:20">
      <c r="A160" s="4">
        <v>159</v>
      </c>
      <c r="B160" s="5" t="s">
        <v>966</v>
      </c>
      <c r="C160" s="5" t="s">
        <v>449</v>
      </c>
      <c r="D160" s="5" t="s">
        <v>450</v>
      </c>
      <c r="E160" s="5" t="s">
        <v>451</v>
      </c>
      <c r="F160" s="4" t="s">
        <v>32</v>
      </c>
      <c r="G160" s="6" t="s">
        <v>1779</v>
      </c>
      <c r="H160" s="6" t="s">
        <v>1779</v>
      </c>
      <c r="I160" s="6" t="s">
        <v>967</v>
      </c>
      <c r="J160" s="6" t="s">
        <v>967</v>
      </c>
      <c r="K160" s="6" t="s">
        <v>1780</v>
      </c>
      <c r="L160" s="6" t="s">
        <v>1781</v>
      </c>
      <c r="M160" s="6" t="s">
        <v>1782</v>
      </c>
      <c r="N160" s="6" t="s">
        <v>1782</v>
      </c>
      <c r="O160" s="6" t="s">
        <v>967</v>
      </c>
      <c r="P160" s="5" t="s">
        <v>452</v>
      </c>
      <c r="Q160" s="5" t="s">
        <v>453</v>
      </c>
      <c r="R160" s="5" t="s">
        <v>967</v>
      </c>
      <c r="S160" s="5" t="s">
        <v>454</v>
      </c>
      <c r="T160" s="5" t="s">
        <v>967</v>
      </c>
    </row>
    <row r="161" ht="33" spans="1:20">
      <c r="A161" s="4">
        <v>160</v>
      </c>
      <c r="B161" s="5" t="s">
        <v>966</v>
      </c>
      <c r="C161" s="5" t="s">
        <v>455</v>
      </c>
      <c r="D161" s="5" t="s">
        <v>456</v>
      </c>
      <c r="E161" s="5" t="s">
        <v>457</v>
      </c>
      <c r="F161" s="4" t="s">
        <v>32</v>
      </c>
      <c r="G161" s="6" t="s">
        <v>1783</v>
      </c>
      <c r="H161" s="6" t="s">
        <v>1784</v>
      </c>
      <c r="I161" s="6" t="s">
        <v>967</v>
      </c>
      <c r="J161" s="6" t="s">
        <v>967</v>
      </c>
      <c r="K161" s="6" t="s">
        <v>1775</v>
      </c>
      <c r="L161" s="6" t="s">
        <v>1785</v>
      </c>
      <c r="M161" s="6" t="s">
        <v>1786</v>
      </c>
      <c r="N161" s="6" t="s">
        <v>1787</v>
      </c>
      <c r="O161" s="6" t="s">
        <v>967</v>
      </c>
      <c r="P161" s="5" t="s">
        <v>967</v>
      </c>
      <c r="Q161" s="5" t="s">
        <v>967</v>
      </c>
      <c r="R161" s="5" t="s">
        <v>967</v>
      </c>
      <c r="S161" s="5" t="s">
        <v>967</v>
      </c>
      <c r="T161" s="5" t="s">
        <v>967</v>
      </c>
    </row>
    <row r="162" ht="82.5" spans="1:20">
      <c r="A162" s="4">
        <v>161</v>
      </c>
      <c r="B162" s="5" t="s">
        <v>966</v>
      </c>
      <c r="C162" s="5" t="s">
        <v>458</v>
      </c>
      <c r="D162" s="5" t="s">
        <v>459</v>
      </c>
      <c r="E162" s="5" t="s">
        <v>460</v>
      </c>
      <c r="F162" s="4" t="s">
        <v>32</v>
      </c>
      <c r="G162" s="6" t="s">
        <v>1788</v>
      </c>
      <c r="H162" s="6" t="s">
        <v>1789</v>
      </c>
      <c r="I162" s="6" t="s">
        <v>967</v>
      </c>
      <c r="J162" s="6" t="s">
        <v>967</v>
      </c>
      <c r="K162" s="6" t="s">
        <v>1790</v>
      </c>
      <c r="L162" s="6" t="s">
        <v>1791</v>
      </c>
      <c r="M162" s="6" t="s">
        <v>1792</v>
      </c>
      <c r="N162" s="6" t="s">
        <v>1793</v>
      </c>
      <c r="O162" s="6" t="s">
        <v>967</v>
      </c>
      <c r="P162" s="5" t="s">
        <v>967</v>
      </c>
      <c r="Q162" s="5" t="s">
        <v>967</v>
      </c>
      <c r="R162" s="5" t="s">
        <v>967</v>
      </c>
      <c r="S162" s="5" t="s">
        <v>967</v>
      </c>
      <c r="T162" s="5" t="s">
        <v>967</v>
      </c>
    </row>
    <row r="163" ht="99" spans="1:20">
      <c r="A163" s="4">
        <v>162</v>
      </c>
      <c r="B163" s="5" t="s">
        <v>966</v>
      </c>
      <c r="C163" s="5" t="s">
        <v>461</v>
      </c>
      <c r="D163" s="5" t="s">
        <v>459</v>
      </c>
      <c r="E163" s="5" t="s">
        <v>462</v>
      </c>
      <c r="F163" s="4" t="s">
        <v>32</v>
      </c>
      <c r="G163" s="6" t="s">
        <v>1794</v>
      </c>
      <c r="H163" s="6" t="s">
        <v>1795</v>
      </c>
      <c r="I163" s="6" t="s">
        <v>967</v>
      </c>
      <c r="J163" s="6" t="s">
        <v>967</v>
      </c>
      <c r="K163" s="6" t="s">
        <v>1796</v>
      </c>
      <c r="L163" s="6" t="s">
        <v>1797</v>
      </c>
      <c r="M163" s="6" t="s">
        <v>1798</v>
      </c>
      <c r="N163" s="6" t="s">
        <v>1799</v>
      </c>
      <c r="O163" s="6" t="s">
        <v>967</v>
      </c>
      <c r="P163" s="5" t="s">
        <v>967</v>
      </c>
      <c r="Q163" s="5" t="s">
        <v>967</v>
      </c>
      <c r="R163" s="5" t="s">
        <v>967</v>
      </c>
      <c r="S163" s="5" t="s">
        <v>967</v>
      </c>
      <c r="T163" s="5" t="s">
        <v>967</v>
      </c>
    </row>
    <row r="164" ht="49.5" spans="1:20">
      <c r="A164" s="4">
        <v>163</v>
      </c>
      <c r="B164" s="5" t="s">
        <v>966</v>
      </c>
      <c r="C164" s="5" t="s">
        <v>463</v>
      </c>
      <c r="D164" s="5" t="s">
        <v>459</v>
      </c>
      <c r="E164" s="5" t="s">
        <v>464</v>
      </c>
      <c r="F164" s="4" t="s">
        <v>32</v>
      </c>
      <c r="G164" s="6" t="s">
        <v>1800</v>
      </c>
      <c r="H164" s="6" t="s">
        <v>1801</v>
      </c>
      <c r="I164" s="6" t="s">
        <v>967</v>
      </c>
      <c r="J164" s="6" t="s">
        <v>967</v>
      </c>
      <c r="K164" s="6" t="s">
        <v>1802</v>
      </c>
      <c r="L164" s="6" t="s">
        <v>1803</v>
      </c>
      <c r="M164" s="6" t="s">
        <v>1804</v>
      </c>
      <c r="N164" s="6" t="s">
        <v>1805</v>
      </c>
      <c r="O164" s="6" t="s">
        <v>1805</v>
      </c>
      <c r="P164" s="5" t="s">
        <v>967</v>
      </c>
      <c r="Q164" s="5" t="s">
        <v>967</v>
      </c>
      <c r="R164" s="5" t="s">
        <v>967</v>
      </c>
      <c r="S164" s="5" t="s">
        <v>967</v>
      </c>
      <c r="T164" s="5" t="s">
        <v>967</v>
      </c>
    </row>
    <row r="165" ht="33" spans="1:20">
      <c r="A165" s="4">
        <v>164</v>
      </c>
      <c r="B165" s="5" t="s">
        <v>966</v>
      </c>
      <c r="C165" s="5" t="s">
        <v>465</v>
      </c>
      <c r="D165" s="5" t="s">
        <v>466</v>
      </c>
      <c r="E165" s="5" t="s">
        <v>467</v>
      </c>
      <c r="F165" s="4" t="s">
        <v>32</v>
      </c>
      <c r="G165" s="6" t="s">
        <v>1806</v>
      </c>
      <c r="H165" s="6" t="s">
        <v>1807</v>
      </c>
      <c r="I165" s="6" t="s">
        <v>1807</v>
      </c>
      <c r="J165" s="6" t="s">
        <v>967</v>
      </c>
      <c r="K165" s="6" t="s">
        <v>1808</v>
      </c>
      <c r="L165" s="6" t="s">
        <v>1809</v>
      </c>
      <c r="M165" s="6" t="s">
        <v>1810</v>
      </c>
      <c r="N165" s="6" t="s">
        <v>1811</v>
      </c>
      <c r="O165" s="6" t="s">
        <v>967</v>
      </c>
      <c r="P165" s="5" t="s">
        <v>967</v>
      </c>
      <c r="Q165" s="5" t="s">
        <v>967</v>
      </c>
      <c r="R165" s="5" t="s">
        <v>967</v>
      </c>
      <c r="S165" s="5" t="s">
        <v>967</v>
      </c>
      <c r="T165" s="5" t="s">
        <v>967</v>
      </c>
    </row>
    <row r="166" ht="82.5" spans="1:20">
      <c r="A166" s="4">
        <v>165</v>
      </c>
      <c r="B166" s="5" t="s">
        <v>966</v>
      </c>
      <c r="C166" s="5" t="s">
        <v>468</v>
      </c>
      <c r="D166" s="5" t="s">
        <v>459</v>
      </c>
      <c r="E166" s="5" t="s">
        <v>469</v>
      </c>
      <c r="F166" s="4" t="s">
        <v>32</v>
      </c>
      <c r="G166" s="6" t="s">
        <v>1812</v>
      </c>
      <c r="H166" s="6" t="s">
        <v>1813</v>
      </c>
      <c r="I166" s="6" t="s">
        <v>1813</v>
      </c>
      <c r="J166" s="6" t="s">
        <v>967</v>
      </c>
      <c r="K166" s="6" t="s">
        <v>1814</v>
      </c>
      <c r="L166" s="6" t="s">
        <v>1815</v>
      </c>
      <c r="M166" s="6" t="s">
        <v>1816</v>
      </c>
      <c r="N166" s="6" t="s">
        <v>1817</v>
      </c>
      <c r="O166" s="6" t="s">
        <v>967</v>
      </c>
      <c r="P166" s="5" t="s">
        <v>967</v>
      </c>
      <c r="Q166" s="5" t="s">
        <v>967</v>
      </c>
      <c r="R166" s="5" t="s">
        <v>967</v>
      </c>
      <c r="S166" s="5" t="s">
        <v>967</v>
      </c>
      <c r="T166" s="5" t="s">
        <v>967</v>
      </c>
    </row>
    <row r="167" ht="33" spans="1:20">
      <c r="A167" s="4">
        <v>166</v>
      </c>
      <c r="B167" s="5" t="s">
        <v>966</v>
      </c>
      <c r="C167" s="5" t="s">
        <v>967</v>
      </c>
      <c r="D167" s="5" t="s">
        <v>470</v>
      </c>
      <c r="E167" s="5" t="s">
        <v>967</v>
      </c>
      <c r="F167" s="4" t="s">
        <v>967</v>
      </c>
      <c r="G167" s="6" t="s">
        <v>967</v>
      </c>
      <c r="H167" s="6" t="s">
        <v>967</v>
      </c>
      <c r="I167" s="6" t="s">
        <v>967</v>
      </c>
      <c r="J167" s="6" t="s">
        <v>967</v>
      </c>
      <c r="K167" s="6" t="s">
        <v>967</v>
      </c>
      <c r="L167" s="6" t="s">
        <v>967</v>
      </c>
      <c r="M167" s="6" t="s">
        <v>1818</v>
      </c>
      <c r="N167" s="6" t="s">
        <v>1819</v>
      </c>
      <c r="O167" s="6" t="s">
        <v>967</v>
      </c>
      <c r="P167" s="5" t="s">
        <v>967</v>
      </c>
      <c r="Q167" s="5" t="s">
        <v>967</v>
      </c>
      <c r="R167" s="5" t="s">
        <v>967</v>
      </c>
      <c r="S167" s="5" t="s">
        <v>967</v>
      </c>
      <c r="T167" s="5" t="s">
        <v>967</v>
      </c>
    </row>
    <row r="168" ht="82.5" spans="1:20">
      <c r="A168" s="4">
        <v>167</v>
      </c>
      <c r="B168" s="5" t="s">
        <v>966</v>
      </c>
      <c r="C168" s="5" t="s">
        <v>471</v>
      </c>
      <c r="D168" s="5" t="s">
        <v>472</v>
      </c>
      <c r="E168" s="5" t="s">
        <v>473</v>
      </c>
      <c r="F168" s="4" t="s">
        <v>32</v>
      </c>
      <c r="G168" s="6" t="s">
        <v>1820</v>
      </c>
      <c r="H168" s="6" t="s">
        <v>1821</v>
      </c>
      <c r="I168" s="6" t="s">
        <v>1821</v>
      </c>
      <c r="J168" s="6" t="s">
        <v>967</v>
      </c>
      <c r="K168" s="6" t="s">
        <v>1822</v>
      </c>
      <c r="L168" s="6" t="s">
        <v>1823</v>
      </c>
      <c r="M168" s="6" t="s">
        <v>1824</v>
      </c>
      <c r="N168" s="6" t="s">
        <v>1825</v>
      </c>
      <c r="O168" s="6" t="s">
        <v>1825</v>
      </c>
      <c r="P168" s="5" t="s">
        <v>967</v>
      </c>
      <c r="Q168" s="5" t="s">
        <v>967</v>
      </c>
      <c r="R168" s="5" t="s">
        <v>967</v>
      </c>
      <c r="S168" s="5" t="s">
        <v>967</v>
      </c>
      <c r="T168" s="5" t="s">
        <v>967</v>
      </c>
    </row>
    <row r="169" ht="66" spans="1:20">
      <c r="A169" s="4">
        <v>168</v>
      </c>
      <c r="B169" s="5" t="s">
        <v>966</v>
      </c>
      <c r="C169" s="5" t="s">
        <v>474</v>
      </c>
      <c r="D169" s="5" t="s">
        <v>475</v>
      </c>
      <c r="E169" s="5" t="s">
        <v>476</v>
      </c>
      <c r="F169" s="4" t="s">
        <v>53</v>
      </c>
      <c r="G169" s="6" t="s">
        <v>1826</v>
      </c>
      <c r="H169" s="6" t="s">
        <v>1827</v>
      </c>
      <c r="I169" s="6" t="s">
        <v>967</v>
      </c>
      <c r="J169" s="6" t="s">
        <v>967</v>
      </c>
      <c r="K169" s="6" t="s">
        <v>1828</v>
      </c>
      <c r="L169" s="6" t="s">
        <v>1829</v>
      </c>
      <c r="M169" s="6" t="s">
        <v>1830</v>
      </c>
      <c r="N169" s="6" t="s">
        <v>1831</v>
      </c>
      <c r="O169" s="6" t="s">
        <v>967</v>
      </c>
      <c r="P169" s="5" t="s">
        <v>967</v>
      </c>
      <c r="Q169" s="5" t="s">
        <v>967</v>
      </c>
      <c r="R169" s="5" t="s">
        <v>967</v>
      </c>
      <c r="S169" s="5" t="s">
        <v>967</v>
      </c>
      <c r="T169" s="5" t="s">
        <v>967</v>
      </c>
    </row>
    <row r="170" ht="99" spans="1:20">
      <c r="A170" s="4">
        <v>169</v>
      </c>
      <c r="B170" s="5" t="s">
        <v>966</v>
      </c>
      <c r="C170" s="5" t="s">
        <v>477</v>
      </c>
      <c r="D170" s="5" t="s">
        <v>478</v>
      </c>
      <c r="E170" s="5" t="s">
        <v>479</v>
      </c>
      <c r="F170" s="4" t="s">
        <v>53</v>
      </c>
      <c r="G170" s="6" t="s">
        <v>1832</v>
      </c>
      <c r="H170" s="6" t="s">
        <v>1833</v>
      </c>
      <c r="I170" s="6" t="s">
        <v>967</v>
      </c>
      <c r="J170" s="6" t="s">
        <v>967</v>
      </c>
      <c r="K170" s="6" t="s">
        <v>1834</v>
      </c>
      <c r="L170" s="6" t="s">
        <v>1835</v>
      </c>
      <c r="M170" s="6" t="s">
        <v>1836</v>
      </c>
      <c r="N170" s="6" t="s">
        <v>1837</v>
      </c>
      <c r="O170" s="6" t="s">
        <v>967</v>
      </c>
      <c r="P170" s="5" t="s">
        <v>967</v>
      </c>
      <c r="Q170" s="5" t="s">
        <v>967</v>
      </c>
      <c r="R170" s="5" t="s">
        <v>967</v>
      </c>
      <c r="S170" s="5" t="s">
        <v>967</v>
      </c>
      <c r="T170" s="5" t="s">
        <v>967</v>
      </c>
    </row>
    <row r="171" ht="82.5" spans="1:20">
      <c r="A171" s="4">
        <v>170</v>
      </c>
      <c r="B171" s="5" t="s">
        <v>966</v>
      </c>
      <c r="C171" s="5" t="s">
        <v>480</v>
      </c>
      <c r="D171" s="5" t="s">
        <v>481</v>
      </c>
      <c r="E171" s="5" t="s">
        <v>482</v>
      </c>
      <c r="F171" s="4" t="s">
        <v>53</v>
      </c>
      <c r="G171" s="6" t="s">
        <v>1838</v>
      </c>
      <c r="H171" s="6" t="s">
        <v>1839</v>
      </c>
      <c r="I171" s="6" t="s">
        <v>1839</v>
      </c>
      <c r="J171" s="6" t="s">
        <v>967</v>
      </c>
      <c r="K171" s="6" t="s">
        <v>1840</v>
      </c>
      <c r="L171" s="6" t="s">
        <v>1841</v>
      </c>
      <c r="M171" s="6" t="s">
        <v>1842</v>
      </c>
      <c r="N171" s="6" t="s">
        <v>1843</v>
      </c>
      <c r="O171" s="6" t="s">
        <v>1843</v>
      </c>
      <c r="P171" s="5" t="s">
        <v>967</v>
      </c>
      <c r="Q171" s="5" t="s">
        <v>967</v>
      </c>
      <c r="R171" s="5" t="s">
        <v>967</v>
      </c>
      <c r="S171" s="5" t="s">
        <v>967</v>
      </c>
      <c r="T171" s="5" t="s">
        <v>967</v>
      </c>
    </row>
    <row r="172" ht="82.5" spans="1:20">
      <c r="A172" s="4">
        <v>171</v>
      </c>
      <c r="B172" s="5" t="s">
        <v>966</v>
      </c>
      <c r="C172" s="5" t="s">
        <v>483</v>
      </c>
      <c r="D172" s="5" t="s">
        <v>481</v>
      </c>
      <c r="E172" s="5" t="s">
        <v>484</v>
      </c>
      <c r="F172" s="4" t="s">
        <v>53</v>
      </c>
      <c r="G172" s="6" t="s">
        <v>1844</v>
      </c>
      <c r="H172" s="6" t="s">
        <v>1844</v>
      </c>
      <c r="I172" s="6" t="s">
        <v>1003</v>
      </c>
      <c r="J172" s="6" t="s">
        <v>967</v>
      </c>
      <c r="K172" s="6" t="s">
        <v>1845</v>
      </c>
      <c r="L172" s="6" t="s">
        <v>1846</v>
      </c>
      <c r="M172" s="6" t="s">
        <v>1847</v>
      </c>
      <c r="N172" s="6" t="s">
        <v>1847</v>
      </c>
      <c r="O172" s="6" t="s">
        <v>967</v>
      </c>
      <c r="P172" s="5" t="s">
        <v>967</v>
      </c>
      <c r="Q172" s="5" t="s">
        <v>967</v>
      </c>
      <c r="R172" s="5" t="s">
        <v>967</v>
      </c>
      <c r="S172" s="5" t="s">
        <v>967</v>
      </c>
      <c r="T172" s="5" t="s">
        <v>967</v>
      </c>
    </row>
    <row r="173" ht="82.5" spans="1:20">
      <c r="A173" s="4">
        <v>172</v>
      </c>
      <c r="B173" s="5" t="s">
        <v>966</v>
      </c>
      <c r="C173" s="5" t="s">
        <v>485</v>
      </c>
      <c r="D173" s="5" t="s">
        <v>481</v>
      </c>
      <c r="E173" s="5" t="s">
        <v>486</v>
      </c>
      <c r="F173" s="4" t="s">
        <v>53</v>
      </c>
      <c r="G173" s="6" t="s">
        <v>1848</v>
      </c>
      <c r="H173" s="6" t="s">
        <v>1848</v>
      </c>
      <c r="I173" s="6" t="s">
        <v>1003</v>
      </c>
      <c r="J173" s="6" t="s">
        <v>967</v>
      </c>
      <c r="K173" s="6" t="s">
        <v>1849</v>
      </c>
      <c r="L173" s="6" t="s">
        <v>1850</v>
      </c>
      <c r="M173" s="6" t="s">
        <v>1851</v>
      </c>
      <c r="N173" s="6" t="s">
        <v>1851</v>
      </c>
      <c r="O173" s="6" t="s">
        <v>967</v>
      </c>
      <c r="P173" s="5" t="s">
        <v>967</v>
      </c>
      <c r="Q173" s="5" t="s">
        <v>967</v>
      </c>
      <c r="R173" s="5" t="s">
        <v>967</v>
      </c>
      <c r="S173" s="5" t="s">
        <v>967</v>
      </c>
      <c r="T173" s="5" t="s">
        <v>967</v>
      </c>
    </row>
    <row r="174" ht="82.5" spans="1:20">
      <c r="A174" s="4">
        <v>173</v>
      </c>
      <c r="B174" s="5" t="s">
        <v>966</v>
      </c>
      <c r="C174" s="5" t="s">
        <v>487</v>
      </c>
      <c r="D174" s="5" t="s">
        <v>481</v>
      </c>
      <c r="E174" s="5" t="s">
        <v>488</v>
      </c>
      <c r="F174" s="4" t="s">
        <v>53</v>
      </c>
      <c r="G174" s="6" t="s">
        <v>1852</v>
      </c>
      <c r="H174" s="6" t="s">
        <v>1853</v>
      </c>
      <c r="I174" s="6" t="s">
        <v>1853</v>
      </c>
      <c r="J174" s="6" t="s">
        <v>967</v>
      </c>
      <c r="K174" s="6" t="s">
        <v>1854</v>
      </c>
      <c r="L174" s="6" t="s">
        <v>1855</v>
      </c>
      <c r="M174" s="6" t="s">
        <v>1856</v>
      </c>
      <c r="N174" s="6" t="s">
        <v>1857</v>
      </c>
      <c r="O174" s="6" t="s">
        <v>967</v>
      </c>
      <c r="P174" s="5" t="s">
        <v>967</v>
      </c>
      <c r="Q174" s="5" t="s">
        <v>967</v>
      </c>
      <c r="R174" s="5" t="s">
        <v>967</v>
      </c>
      <c r="S174" s="5" t="s">
        <v>967</v>
      </c>
      <c r="T174" s="5" t="s">
        <v>967</v>
      </c>
    </row>
    <row r="175" ht="82.5" spans="1:20">
      <c r="A175" s="4">
        <v>174</v>
      </c>
      <c r="B175" s="5" t="s">
        <v>966</v>
      </c>
      <c r="C175" s="5" t="s">
        <v>489</v>
      </c>
      <c r="D175" s="5" t="s">
        <v>481</v>
      </c>
      <c r="E175" s="5" t="s">
        <v>490</v>
      </c>
      <c r="F175" s="4" t="s">
        <v>53</v>
      </c>
      <c r="G175" s="6" t="s">
        <v>1858</v>
      </c>
      <c r="H175" s="6" t="s">
        <v>1858</v>
      </c>
      <c r="I175" s="6" t="s">
        <v>967</v>
      </c>
      <c r="J175" s="6" t="s">
        <v>967</v>
      </c>
      <c r="K175" s="6" t="s">
        <v>1840</v>
      </c>
      <c r="L175" s="6" t="s">
        <v>1841</v>
      </c>
      <c r="M175" s="6" t="s">
        <v>1859</v>
      </c>
      <c r="N175" s="6" t="s">
        <v>1859</v>
      </c>
      <c r="O175" s="6" t="s">
        <v>967</v>
      </c>
      <c r="P175" s="5" t="s">
        <v>967</v>
      </c>
      <c r="Q175" s="5" t="s">
        <v>491</v>
      </c>
      <c r="R175" s="5" t="s">
        <v>967</v>
      </c>
      <c r="S175" s="5" t="s">
        <v>967</v>
      </c>
      <c r="T175" s="5" t="s">
        <v>492</v>
      </c>
    </row>
    <row r="176" ht="66" spans="1:20">
      <c r="A176" s="4">
        <v>175</v>
      </c>
      <c r="B176" s="5" t="s">
        <v>966</v>
      </c>
      <c r="C176" s="5" t="s">
        <v>493</v>
      </c>
      <c r="D176" s="5" t="s">
        <v>481</v>
      </c>
      <c r="E176" s="5" t="s">
        <v>494</v>
      </c>
      <c r="F176" s="4" t="s">
        <v>53</v>
      </c>
      <c r="G176" s="6" t="s">
        <v>1860</v>
      </c>
      <c r="H176" s="6" t="s">
        <v>1861</v>
      </c>
      <c r="I176" s="6" t="s">
        <v>1862</v>
      </c>
      <c r="J176" s="6" t="s">
        <v>967</v>
      </c>
      <c r="K176" s="6" t="s">
        <v>1863</v>
      </c>
      <c r="L176" s="6" t="s">
        <v>1864</v>
      </c>
      <c r="M176" s="6" t="s">
        <v>1865</v>
      </c>
      <c r="N176" s="6" t="s">
        <v>1866</v>
      </c>
      <c r="O176" s="6" t="s">
        <v>967</v>
      </c>
      <c r="P176" s="5" t="s">
        <v>495</v>
      </c>
      <c r="Q176" s="5" t="s">
        <v>967</v>
      </c>
      <c r="R176" s="5" t="s">
        <v>967</v>
      </c>
      <c r="S176" s="5" t="s">
        <v>967</v>
      </c>
      <c r="T176" s="5" t="s">
        <v>967</v>
      </c>
    </row>
    <row r="177" ht="33" spans="1:20">
      <c r="A177" s="4">
        <v>176</v>
      </c>
      <c r="B177" s="5" t="s">
        <v>966</v>
      </c>
      <c r="C177" s="5" t="s">
        <v>496</v>
      </c>
      <c r="D177" s="5" t="s">
        <v>497</v>
      </c>
      <c r="E177" s="5" t="s">
        <v>498</v>
      </c>
      <c r="F177" s="4" t="s">
        <v>53</v>
      </c>
      <c r="G177" s="6" t="s">
        <v>1867</v>
      </c>
      <c r="H177" s="6" t="s">
        <v>1867</v>
      </c>
      <c r="I177" s="6" t="s">
        <v>1003</v>
      </c>
      <c r="J177" s="6" t="s">
        <v>967</v>
      </c>
      <c r="K177" s="6" t="s">
        <v>1868</v>
      </c>
      <c r="L177" s="6" t="s">
        <v>1869</v>
      </c>
      <c r="M177" s="6" t="s">
        <v>1870</v>
      </c>
      <c r="N177" s="6" t="s">
        <v>1870</v>
      </c>
      <c r="O177" s="6" t="s">
        <v>967</v>
      </c>
      <c r="P177" s="5" t="s">
        <v>967</v>
      </c>
      <c r="Q177" s="5" t="s">
        <v>967</v>
      </c>
      <c r="R177" s="5" t="s">
        <v>967</v>
      </c>
      <c r="S177" s="5" t="s">
        <v>967</v>
      </c>
      <c r="T177" s="5" t="s">
        <v>967</v>
      </c>
    </row>
    <row r="178" ht="49.5" spans="1:20">
      <c r="A178" s="4">
        <v>177</v>
      </c>
      <c r="B178" s="5" t="s">
        <v>966</v>
      </c>
      <c r="C178" s="5" t="s">
        <v>499</v>
      </c>
      <c r="D178" s="5" t="s">
        <v>497</v>
      </c>
      <c r="E178" s="5" t="s">
        <v>500</v>
      </c>
      <c r="F178" s="4" t="s">
        <v>53</v>
      </c>
      <c r="G178" s="6" t="s">
        <v>1543</v>
      </c>
      <c r="H178" s="6" t="s">
        <v>1543</v>
      </c>
      <c r="I178" s="6" t="s">
        <v>967</v>
      </c>
      <c r="J178" s="6" t="s">
        <v>1871</v>
      </c>
      <c r="K178" s="6" t="s">
        <v>1872</v>
      </c>
      <c r="L178" s="6" t="s">
        <v>1873</v>
      </c>
      <c r="M178" s="6" t="s">
        <v>1874</v>
      </c>
      <c r="N178" s="6" t="s">
        <v>1874</v>
      </c>
      <c r="O178" s="6" t="s">
        <v>967</v>
      </c>
      <c r="P178" s="5" t="s">
        <v>501</v>
      </c>
      <c r="Q178" s="5" t="s">
        <v>967</v>
      </c>
      <c r="R178" s="5" t="s">
        <v>967</v>
      </c>
      <c r="S178" s="5" t="s">
        <v>967</v>
      </c>
      <c r="T178" s="5" t="s">
        <v>502</v>
      </c>
    </row>
    <row r="179" ht="33" spans="1:20">
      <c r="A179" s="4">
        <v>178</v>
      </c>
      <c r="B179" s="5" t="s">
        <v>966</v>
      </c>
      <c r="C179" s="5" t="s">
        <v>503</v>
      </c>
      <c r="D179" s="5" t="s">
        <v>504</v>
      </c>
      <c r="E179" s="5" t="s">
        <v>505</v>
      </c>
      <c r="F179" s="4" t="s">
        <v>32</v>
      </c>
      <c r="G179" s="6" t="s">
        <v>1875</v>
      </c>
      <c r="H179" s="6" t="s">
        <v>1875</v>
      </c>
      <c r="I179" s="6" t="s">
        <v>1875</v>
      </c>
      <c r="J179" s="6" t="s">
        <v>967</v>
      </c>
      <c r="K179" s="6" t="s">
        <v>1876</v>
      </c>
      <c r="L179" s="6" t="s">
        <v>1877</v>
      </c>
      <c r="M179" s="6" t="s">
        <v>1878</v>
      </c>
      <c r="N179" s="6" t="s">
        <v>1878</v>
      </c>
      <c r="O179" s="6" t="s">
        <v>967</v>
      </c>
      <c r="P179" s="5" t="s">
        <v>967</v>
      </c>
      <c r="Q179" s="5" t="s">
        <v>967</v>
      </c>
      <c r="R179" s="5" t="s">
        <v>967</v>
      </c>
      <c r="S179" s="5" t="s">
        <v>967</v>
      </c>
      <c r="T179" s="5" t="s">
        <v>967</v>
      </c>
    </row>
    <row r="180" ht="82.5" spans="1:20">
      <c r="A180" s="4">
        <v>179</v>
      </c>
      <c r="B180" s="5" t="s">
        <v>966</v>
      </c>
      <c r="C180" s="5" t="s">
        <v>506</v>
      </c>
      <c r="D180" s="5" t="s">
        <v>507</v>
      </c>
      <c r="E180" s="5" t="s">
        <v>508</v>
      </c>
      <c r="F180" s="4" t="s">
        <v>32</v>
      </c>
      <c r="G180" s="6" t="s">
        <v>1879</v>
      </c>
      <c r="H180" s="6" t="s">
        <v>1879</v>
      </c>
      <c r="I180" s="6" t="s">
        <v>1879</v>
      </c>
      <c r="J180" s="6" t="s">
        <v>967</v>
      </c>
      <c r="K180" s="6" t="s">
        <v>1880</v>
      </c>
      <c r="L180" s="6" t="s">
        <v>1881</v>
      </c>
      <c r="M180" s="6" t="s">
        <v>1882</v>
      </c>
      <c r="N180" s="6" t="s">
        <v>1882</v>
      </c>
      <c r="O180" s="6" t="s">
        <v>967</v>
      </c>
      <c r="P180" s="5" t="s">
        <v>967</v>
      </c>
      <c r="Q180" s="5" t="s">
        <v>967</v>
      </c>
      <c r="R180" s="5" t="s">
        <v>967</v>
      </c>
      <c r="S180" s="5" t="s">
        <v>967</v>
      </c>
      <c r="T180" s="5" t="s">
        <v>967</v>
      </c>
    </row>
    <row r="181" ht="49.5" spans="1:20">
      <c r="A181" s="4">
        <v>180</v>
      </c>
      <c r="B181" s="5" t="s">
        <v>966</v>
      </c>
      <c r="C181" s="5" t="s">
        <v>509</v>
      </c>
      <c r="D181" s="5" t="s">
        <v>510</v>
      </c>
      <c r="E181" s="5" t="s">
        <v>511</v>
      </c>
      <c r="F181" s="4" t="s">
        <v>32</v>
      </c>
      <c r="G181" s="6" t="s">
        <v>1879</v>
      </c>
      <c r="H181" s="6" t="s">
        <v>1879</v>
      </c>
      <c r="I181" s="6" t="s">
        <v>1879</v>
      </c>
      <c r="J181" s="6" t="s">
        <v>967</v>
      </c>
      <c r="K181" s="6" t="s">
        <v>1883</v>
      </c>
      <c r="L181" s="6" t="s">
        <v>1884</v>
      </c>
      <c r="M181" s="6" t="s">
        <v>1885</v>
      </c>
      <c r="N181" s="6" t="s">
        <v>1885</v>
      </c>
      <c r="O181" s="6" t="s">
        <v>967</v>
      </c>
      <c r="P181" s="5" t="s">
        <v>967</v>
      </c>
      <c r="Q181" s="5" t="s">
        <v>967</v>
      </c>
      <c r="R181" s="5" t="s">
        <v>967</v>
      </c>
      <c r="S181" s="5" t="s">
        <v>967</v>
      </c>
      <c r="T181" s="5" t="s">
        <v>967</v>
      </c>
    </row>
    <row r="182" ht="33" spans="1:20">
      <c r="A182" s="4">
        <v>181</v>
      </c>
      <c r="B182" s="5" t="s">
        <v>966</v>
      </c>
      <c r="C182" s="5" t="s">
        <v>512</v>
      </c>
      <c r="D182" s="5" t="s">
        <v>400</v>
      </c>
      <c r="E182" s="5" t="s">
        <v>513</v>
      </c>
      <c r="F182" s="4" t="s">
        <v>53</v>
      </c>
      <c r="G182" s="6" t="s">
        <v>1886</v>
      </c>
      <c r="H182" s="6" t="s">
        <v>1887</v>
      </c>
      <c r="I182" s="6" t="s">
        <v>967</v>
      </c>
      <c r="J182" s="6" t="s">
        <v>967</v>
      </c>
      <c r="K182" s="6" t="s">
        <v>1888</v>
      </c>
      <c r="L182" s="6" t="s">
        <v>1889</v>
      </c>
      <c r="M182" s="6" t="s">
        <v>1890</v>
      </c>
      <c r="N182" s="6" t="s">
        <v>1891</v>
      </c>
      <c r="O182" s="6" t="s">
        <v>967</v>
      </c>
      <c r="P182" s="5" t="s">
        <v>967</v>
      </c>
      <c r="Q182" s="5" t="s">
        <v>967</v>
      </c>
      <c r="R182" s="5" t="s">
        <v>967</v>
      </c>
      <c r="S182" s="5" t="s">
        <v>967</v>
      </c>
      <c r="T182" s="5" t="s">
        <v>967</v>
      </c>
    </row>
    <row r="183" ht="33" spans="1:20">
      <c r="A183" s="4">
        <v>182</v>
      </c>
      <c r="B183" s="5" t="s">
        <v>966</v>
      </c>
      <c r="C183" s="5" t="s">
        <v>514</v>
      </c>
      <c r="D183" s="5" t="s">
        <v>515</v>
      </c>
      <c r="E183" s="5" t="s">
        <v>516</v>
      </c>
      <c r="F183" s="4" t="s">
        <v>67</v>
      </c>
      <c r="G183" s="6" t="s">
        <v>1892</v>
      </c>
      <c r="H183" s="6" t="s">
        <v>1892</v>
      </c>
      <c r="I183" s="6" t="s">
        <v>1892</v>
      </c>
      <c r="J183" s="6" t="s">
        <v>967</v>
      </c>
      <c r="K183" s="6" t="s">
        <v>1893</v>
      </c>
      <c r="L183" s="6" t="s">
        <v>1894</v>
      </c>
      <c r="M183" s="6" t="s">
        <v>1895</v>
      </c>
      <c r="N183" s="6" t="s">
        <v>1895</v>
      </c>
      <c r="O183" s="6" t="s">
        <v>967</v>
      </c>
      <c r="P183" s="5" t="s">
        <v>967</v>
      </c>
      <c r="Q183" s="5" t="s">
        <v>967</v>
      </c>
      <c r="R183" s="5" t="s">
        <v>967</v>
      </c>
      <c r="S183" s="5" t="s">
        <v>967</v>
      </c>
      <c r="T183" s="5" t="s">
        <v>967</v>
      </c>
    </row>
    <row r="184" ht="33" spans="1:20">
      <c r="A184" s="4">
        <v>183</v>
      </c>
      <c r="B184" s="5" t="s">
        <v>966</v>
      </c>
      <c r="C184" s="5" t="s">
        <v>517</v>
      </c>
      <c r="D184" s="5" t="s">
        <v>515</v>
      </c>
      <c r="E184" s="5" t="s">
        <v>518</v>
      </c>
      <c r="F184" s="4" t="s">
        <v>67</v>
      </c>
      <c r="G184" s="6" t="s">
        <v>1896</v>
      </c>
      <c r="H184" s="6" t="s">
        <v>1896</v>
      </c>
      <c r="I184" s="6" t="s">
        <v>1896</v>
      </c>
      <c r="J184" s="6" t="s">
        <v>967</v>
      </c>
      <c r="K184" s="6" t="s">
        <v>1897</v>
      </c>
      <c r="L184" s="6" t="s">
        <v>1898</v>
      </c>
      <c r="M184" s="6" t="s">
        <v>1897</v>
      </c>
      <c r="N184" s="6" t="s">
        <v>1897</v>
      </c>
      <c r="O184" s="6" t="s">
        <v>967</v>
      </c>
      <c r="P184" s="5" t="s">
        <v>967</v>
      </c>
      <c r="Q184" s="5" t="s">
        <v>967</v>
      </c>
      <c r="R184" s="5" t="s">
        <v>967</v>
      </c>
      <c r="S184" s="5" t="s">
        <v>967</v>
      </c>
      <c r="T184" s="5" t="s">
        <v>967</v>
      </c>
    </row>
    <row r="185" ht="33" spans="1:20">
      <c r="A185" s="4">
        <v>184</v>
      </c>
      <c r="B185" s="5" t="s">
        <v>966</v>
      </c>
      <c r="C185" s="5" t="s">
        <v>519</v>
      </c>
      <c r="D185" s="5" t="s">
        <v>520</v>
      </c>
      <c r="E185" s="5" t="s">
        <v>521</v>
      </c>
      <c r="F185" s="4" t="s">
        <v>32</v>
      </c>
      <c r="G185" s="6" t="s">
        <v>1899</v>
      </c>
      <c r="H185" s="6" t="s">
        <v>1900</v>
      </c>
      <c r="I185" s="6" t="s">
        <v>967</v>
      </c>
      <c r="J185" s="6" t="s">
        <v>1900</v>
      </c>
      <c r="K185" s="6" t="s">
        <v>1901</v>
      </c>
      <c r="L185" s="6" t="s">
        <v>1892</v>
      </c>
      <c r="M185" s="6" t="s">
        <v>1902</v>
      </c>
      <c r="N185" s="6" t="s">
        <v>1903</v>
      </c>
      <c r="O185" s="6" t="s">
        <v>967</v>
      </c>
      <c r="P185" s="5" t="s">
        <v>967</v>
      </c>
      <c r="Q185" s="5" t="s">
        <v>967</v>
      </c>
      <c r="R185" s="5" t="s">
        <v>967</v>
      </c>
      <c r="S185" s="5" t="s">
        <v>967</v>
      </c>
      <c r="T185" s="5" t="s">
        <v>967</v>
      </c>
    </row>
    <row r="186" ht="33" spans="1:20">
      <c r="A186" s="4">
        <v>185</v>
      </c>
      <c r="B186" s="5" t="s">
        <v>966</v>
      </c>
      <c r="C186" s="5" t="s">
        <v>967</v>
      </c>
      <c r="D186" s="5" t="s">
        <v>522</v>
      </c>
      <c r="E186" s="5" t="s">
        <v>967</v>
      </c>
      <c r="F186" s="4" t="s">
        <v>967</v>
      </c>
      <c r="G186" s="6" t="s">
        <v>967</v>
      </c>
      <c r="H186" s="6" t="s">
        <v>967</v>
      </c>
      <c r="I186" s="6" t="s">
        <v>967</v>
      </c>
      <c r="J186" s="6" t="s">
        <v>967</v>
      </c>
      <c r="K186" s="6" t="s">
        <v>967</v>
      </c>
      <c r="L186" s="6" t="s">
        <v>967</v>
      </c>
      <c r="M186" s="6" t="s">
        <v>1904</v>
      </c>
      <c r="N186" s="6" t="s">
        <v>1905</v>
      </c>
      <c r="O186" s="6" t="s">
        <v>967</v>
      </c>
      <c r="P186" s="5" t="s">
        <v>967</v>
      </c>
      <c r="Q186" s="5" t="s">
        <v>967</v>
      </c>
      <c r="R186" s="5" t="s">
        <v>967</v>
      </c>
      <c r="S186" s="5" t="s">
        <v>967</v>
      </c>
      <c r="T186" s="5" t="s">
        <v>967</v>
      </c>
    </row>
    <row r="187" ht="33" spans="1:20">
      <c r="A187" s="4">
        <v>186</v>
      </c>
      <c r="B187" s="5" t="s">
        <v>966</v>
      </c>
      <c r="C187" s="5" t="s">
        <v>967</v>
      </c>
      <c r="D187" s="5" t="s">
        <v>523</v>
      </c>
      <c r="E187" s="5" t="s">
        <v>967</v>
      </c>
      <c r="F187" s="4" t="s">
        <v>967</v>
      </c>
      <c r="G187" s="6" t="s">
        <v>967</v>
      </c>
      <c r="H187" s="6" t="s">
        <v>967</v>
      </c>
      <c r="I187" s="6" t="s">
        <v>967</v>
      </c>
      <c r="J187" s="6" t="s">
        <v>967</v>
      </c>
      <c r="K187" s="6" t="s">
        <v>967</v>
      </c>
      <c r="L187" s="6" t="s">
        <v>967</v>
      </c>
      <c r="M187" s="6" t="s">
        <v>1906</v>
      </c>
      <c r="N187" s="6" t="s">
        <v>1907</v>
      </c>
      <c r="O187" s="6" t="s">
        <v>967</v>
      </c>
      <c r="P187" s="5" t="s">
        <v>967</v>
      </c>
      <c r="Q187" s="5" t="s">
        <v>967</v>
      </c>
      <c r="R187" s="5" t="s">
        <v>967</v>
      </c>
      <c r="S187" s="5" t="s">
        <v>967</v>
      </c>
      <c r="T187" s="5" t="s">
        <v>967</v>
      </c>
    </row>
    <row r="188" ht="33" spans="1:20">
      <c r="A188" s="4">
        <v>187</v>
      </c>
      <c r="B188" s="5" t="s">
        <v>966</v>
      </c>
      <c r="C188" s="5" t="s">
        <v>967</v>
      </c>
      <c r="D188" s="5" t="s">
        <v>524</v>
      </c>
      <c r="E188" s="5" t="s">
        <v>967</v>
      </c>
      <c r="F188" s="4" t="s">
        <v>967</v>
      </c>
      <c r="G188" s="6" t="s">
        <v>967</v>
      </c>
      <c r="H188" s="6" t="s">
        <v>967</v>
      </c>
      <c r="I188" s="6" t="s">
        <v>967</v>
      </c>
      <c r="J188" s="6" t="s">
        <v>967</v>
      </c>
      <c r="K188" s="6" t="s">
        <v>967</v>
      </c>
      <c r="L188" s="6" t="s">
        <v>967</v>
      </c>
      <c r="M188" s="6" t="s">
        <v>967</v>
      </c>
      <c r="N188" s="6" t="s">
        <v>967</v>
      </c>
      <c r="O188" s="6" t="s">
        <v>967</v>
      </c>
      <c r="P188" s="5" t="s">
        <v>967</v>
      </c>
      <c r="Q188" s="5" t="s">
        <v>967</v>
      </c>
      <c r="R188" s="5" t="s">
        <v>967</v>
      </c>
      <c r="S188" s="5" t="s">
        <v>967</v>
      </c>
      <c r="T188" s="5" t="s">
        <v>967</v>
      </c>
    </row>
    <row r="189" ht="33" spans="1:20">
      <c r="A189" s="4">
        <v>188</v>
      </c>
      <c r="B189" s="5" t="s">
        <v>966</v>
      </c>
      <c r="C189" s="5" t="s">
        <v>519</v>
      </c>
      <c r="D189" s="5" t="s">
        <v>526</v>
      </c>
      <c r="E189" s="5" t="s">
        <v>967</v>
      </c>
      <c r="F189" s="4" t="s">
        <v>967</v>
      </c>
      <c r="G189" s="6" t="s">
        <v>967</v>
      </c>
      <c r="H189" s="6" t="s">
        <v>967</v>
      </c>
      <c r="I189" s="6" t="s">
        <v>967</v>
      </c>
      <c r="J189" s="6" t="s">
        <v>967</v>
      </c>
      <c r="K189" s="6" t="s">
        <v>967</v>
      </c>
      <c r="L189" s="6" t="s">
        <v>967</v>
      </c>
      <c r="M189" s="6" t="s">
        <v>1908</v>
      </c>
      <c r="N189" s="6" t="s">
        <v>1908</v>
      </c>
      <c r="O189" s="6" t="s">
        <v>967</v>
      </c>
      <c r="P189" s="5" t="s">
        <v>967</v>
      </c>
      <c r="Q189" s="5" t="s">
        <v>967</v>
      </c>
      <c r="R189" s="5" t="s">
        <v>967</v>
      </c>
      <c r="S189" s="5" t="s">
        <v>967</v>
      </c>
      <c r="T189" s="5" t="s">
        <v>967</v>
      </c>
    </row>
    <row r="190" ht="49.5" spans="1:20">
      <c r="A190" s="4">
        <v>189</v>
      </c>
      <c r="B190" s="5" t="s">
        <v>966</v>
      </c>
      <c r="C190" s="5" t="s">
        <v>527</v>
      </c>
      <c r="D190" s="5" t="s">
        <v>528</v>
      </c>
      <c r="E190" s="5" t="s">
        <v>529</v>
      </c>
      <c r="F190" s="4" t="s">
        <v>32</v>
      </c>
      <c r="G190" s="6" t="s">
        <v>1909</v>
      </c>
      <c r="H190" s="6" t="s">
        <v>1910</v>
      </c>
      <c r="I190" s="6" t="s">
        <v>967</v>
      </c>
      <c r="J190" s="6" t="s">
        <v>967</v>
      </c>
      <c r="K190" s="6" t="s">
        <v>1911</v>
      </c>
      <c r="L190" s="6" t="s">
        <v>1912</v>
      </c>
      <c r="M190" s="6" t="s">
        <v>1913</v>
      </c>
      <c r="N190" s="6" t="s">
        <v>1914</v>
      </c>
      <c r="O190" s="6" t="s">
        <v>967</v>
      </c>
      <c r="P190" s="5" t="s">
        <v>967</v>
      </c>
      <c r="Q190" s="5" t="s">
        <v>967</v>
      </c>
      <c r="R190" s="5" t="s">
        <v>967</v>
      </c>
      <c r="S190" s="5" t="s">
        <v>967</v>
      </c>
      <c r="T190" s="5" t="s">
        <v>967</v>
      </c>
    </row>
    <row r="191" ht="33" spans="1:20">
      <c r="A191" s="4">
        <v>190</v>
      </c>
      <c r="B191" s="5" t="s">
        <v>966</v>
      </c>
      <c r="C191" s="5" t="s">
        <v>530</v>
      </c>
      <c r="D191" s="5" t="s">
        <v>531</v>
      </c>
      <c r="E191" s="5" t="s">
        <v>532</v>
      </c>
      <c r="F191" s="4" t="s">
        <v>71</v>
      </c>
      <c r="G191" s="6" t="s">
        <v>1915</v>
      </c>
      <c r="H191" s="6" t="s">
        <v>1915</v>
      </c>
      <c r="I191" s="6" t="s">
        <v>1915</v>
      </c>
      <c r="J191" s="6" t="s">
        <v>967</v>
      </c>
      <c r="K191" s="6" t="s">
        <v>1916</v>
      </c>
      <c r="L191" s="6" t="s">
        <v>1917</v>
      </c>
      <c r="M191" s="6" t="s">
        <v>1918</v>
      </c>
      <c r="N191" s="6" t="s">
        <v>1918</v>
      </c>
      <c r="O191" s="6" t="s">
        <v>967</v>
      </c>
      <c r="P191" s="5" t="s">
        <v>967</v>
      </c>
      <c r="Q191" s="5" t="s">
        <v>967</v>
      </c>
      <c r="R191" s="5" t="s">
        <v>967</v>
      </c>
      <c r="S191" s="5" t="s">
        <v>967</v>
      </c>
      <c r="T191" s="5" t="s">
        <v>967</v>
      </c>
    </row>
    <row r="192" ht="33" spans="1:20">
      <c r="A192" s="4">
        <v>191</v>
      </c>
      <c r="B192" s="5" t="s">
        <v>966</v>
      </c>
      <c r="C192" s="5" t="s">
        <v>967</v>
      </c>
      <c r="D192" s="5" t="s">
        <v>533</v>
      </c>
      <c r="E192" s="5" t="s">
        <v>967</v>
      </c>
      <c r="F192" s="4" t="s">
        <v>967</v>
      </c>
      <c r="G192" s="6" t="s">
        <v>967</v>
      </c>
      <c r="H192" s="6" t="s">
        <v>967</v>
      </c>
      <c r="I192" s="6" t="s">
        <v>967</v>
      </c>
      <c r="J192" s="6" t="s">
        <v>967</v>
      </c>
      <c r="K192" s="6" t="s">
        <v>967</v>
      </c>
      <c r="L192" s="6" t="s">
        <v>967</v>
      </c>
      <c r="M192" s="6" t="s">
        <v>967</v>
      </c>
      <c r="N192" s="6" t="s">
        <v>967</v>
      </c>
      <c r="O192" s="6" t="s">
        <v>967</v>
      </c>
      <c r="P192" s="5" t="s">
        <v>967</v>
      </c>
      <c r="Q192" s="5" t="s">
        <v>967</v>
      </c>
      <c r="R192" s="5" t="s">
        <v>967</v>
      </c>
      <c r="S192" s="5" t="s">
        <v>967</v>
      </c>
      <c r="T192" s="5" t="s">
        <v>967</v>
      </c>
    </row>
    <row r="193" ht="49.5" spans="1:20">
      <c r="A193" s="4">
        <v>192</v>
      </c>
      <c r="B193" s="5" t="s">
        <v>966</v>
      </c>
      <c r="C193" s="5" t="s">
        <v>534</v>
      </c>
      <c r="D193" s="5" t="s">
        <v>535</v>
      </c>
      <c r="E193" s="5" t="s">
        <v>536</v>
      </c>
      <c r="F193" s="4" t="s">
        <v>32</v>
      </c>
      <c r="G193" s="6" t="s">
        <v>1919</v>
      </c>
      <c r="H193" s="6" t="s">
        <v>1920</v>
      </c>
      <c r="I193" s="6" t="s">
        <v>1920</v>
      </c>
      <c r="J193" s="6" t="s">
        <v>967</v>
      </c>
      <c r="K193" s="6" t="s">
        <v>1921</v>
      </c>
      <c r="L193" s="6" t="s">
        <v>1922</v>
      </c>
      <c r="M193" s="6" t="s">
        <v>1923</v>
      </c>
      <c r="N193" s="6" t="s">
        <v>1924</v>
      </c>
      <c r="O193" s="6" t="s">
        <v>967</v>
      </c>
      <c r="P193" s="5" t="s">
        <v>967</v>
      </c>
      <c r="Q193" s="5" t="s">
        <v>967</v>
      </c>
      <c r="R193" s="5" t="s">
        <v>967</v>
      </c>
      <c r="S193" s="5" t="s">
        <v>967</v>
      </c>
      <c r="T193" s="5" t="s">
        <v>967</v>
      </c>
    </row>
    <row r="194" ht="49.5" spans="1:20">
      <c r="A194" s="4">
        <v>193</v>
      </c>
      <c r="B194" s="5" t="s">
        <v>966</v>
      </c>
      <c r="C194" s="5" t="s">
        <v>537</v>
      </c>
      <c r="D194" s="5" t="s">
        <v>535</v>
      </c>
      <c r="E194" s="5" t="s">
        <v>538</v>
      </c>
      <c r="F194" s="4" t="s">
        <v>32</v>
      </c>
      <c r="G194" s="6" t="s">
        <v>1925</v>
      </c>
      <c r="H194" s="6" t="s">
        <v>1926</v>
      </c>
      <c r="I194" s="6" t="s">
        <v>1926</v>
      </c>
      <c r="J194" s="6" t="s">
        <v>967</v>
      </c>
      <c r="K194" s="6" t="s">
        <v>1927</v>
      </c>
      <c r="L194" s="6" t="s">
        <v>1928</v>
      </c>
      <c r="M194" s="6" t="s">
        <v>1929</v>
      </c>
      <c r="N194" s="6" t="s">
        <v>1930</v>
      </c>
      <c r="O194" s="6" t="s">
        <v>967</v>
      </c>
      <c r="P194" s="5" t="s">
        <v>967</v>
      </c>
      <c r="Q194" s="5" t="s">
        <v>967</v>
      </c>
      <c r="R194" s="5" t="s">
        <v>967</v>
      </c>
      <c r="S194" s="5" t="s">
        <v>967</v>
      </c>
      <c r="T194" s="5" t="s">
        <v>967</v>
      </c>
    </row>
    <row r="195" ht="49.5" spans="1:20">
      <c r="A195" s="4">
        <v>194</v>
      </c>
      <c r="B195" s="5" t="s">
        <v>966</v>
      </c>
      <c r="C195" s="5" t="s">
        <v>539</v>
      </c>
      <c r="D195" s="5" t="s">
        <v>535</v>
      </c>
      <c r="E195" s="5" t="s">
        <v>540</v>
      </c>
      <c r="F195" s="4" t="s">
        <v>32</v>
      </c>
      <c r="G195" s="6" t="s">
        <v>1931</v>
      </c>
      <c r="H195" s="6" t="s">
        <v>1932</v>
      </c>
      <c r="I195" s="6" t="s">
        <v>1932</v>
      </c>
      <c r="J195" s="6" t="s">
        <v>967</v>
      </c>
      <c r="K195" s="6" t="s">
        <v>1933</v>
      </c>
      <c r="L195" s="6" t="s">
        <v>1934</v>
      </c>
      <c r="M195" s="6" t="s">
        <v>1935</v>
      </c>
      <c r="N195" s="6" t="s">
        <v>1936</v>
      </c>
      <c r="O195" s="6" t="s">
        <v>1936</v>
      </c>
      <c r="P195" s="5" t="s">
        <v>967</v>
      </c>
      <c r="Q195" s="5" t="s">
        <v>967</v>
      </c>
      <c r="R195" s="5" t="s">
        <v>967</v>
      </c>
      <c r="S195" s="5" t="s">
        <v>967</v>
      </c>
      <c r="T195" s="5" t="s">
        <v>967</v>
      </c>
    </row>
    <row r="196" ht="49.5" spans="1:20">
      <c r="A196" s="4">
        <v>195</v>
      </c>
      <c r="B196" s="5" t="s">
        <v>966</v>
      </c>
      <c r="C196" s="5" t="s">
        <v>541</v>
      </c>
      <c r="D196" s="5" t="s">
        <v>542</v>
      </c>
      <c r="E196" s="5" t="s">
        <v>543</v>
      </c>
      <c r="F196" s="4" t="s">
        <v>32</v>
      </c>
      <c r="G196" s="6" t="s">
        <v>1937</v>
      </c>
      <c r="H196" s="6" t="s">
        <v>1938</v>
      </c>
      <c r="I196" s="6" t="s">
        <v>1939</v>
      </c>
      <c r="J196" s="6" t="s">
        <v>967</v>
      </c>
      <c r="K196" s="6" t="s">
        <v>1940</v>
      </c>
      <c r="L196" s="6" t="s">
        <v>1941</v>
      </c>
      <c r="M196" s="6" t="s">
        <v>1942</v>
      </c>
      <c r="N196" s="6" t="s">
        <v>1943</v>
      </c>
      <c r="O196" s="6" t="s">
        <v>967</v>
      </c>
      <c r="P196" s="5" t="s">
        <v>967</v>
      </c>
      <c r="Q196" s="5" t="s">
        <v>544</v>
      </c>
      <c r="R196" s="5" t="s">
        <v>967</v>
      </c>
      <c r="S196" s="5" t="s">
        <v>967</v>
      </c>
      <c r="T196" s="5" t="s">
        <v>967</v>
      </c>
    </row>
    <row r="197" ht="49.5" spans="1:20">
      <c r="A197" s="4">
        <v>196</v>
      </c>
      <c r="B197" s="5" t="s">
        <v>966</v>
      </c>
      <c r="C197" s="5" t="s">
        <v>545</v>
      </c>
      <c r="D197" s="5" t="s">
        <v>542</v>
      </c>
      <c r="E197" s="5" t="s">
        <v>546</v>
      </c>
      <c r="F197" s="4" t="s">
        <v>32</v>
      </c>
      <c r="G197" s="6" t="s">
        <v>1944</v>
      </c>
      <c r="H197" s="6" t="s">
        <v>1945</v>
      </c>
      <c r="I197" s="6" t="s">
        <v>1946</v>
      </c>
      <c r="J197" s="6" t="s">
        <v>967</v>
      </c>
      <c r="K197" s="6" t="s">
        <v>1940</v>
      </c>
      <c r="L197" s="6" t="s">
        <v>1941</v>
      </c>
      <c r="M197" s="6" t="s">
        <v>1947</v>
      </c>
      <c r="N197" s="6" t="s">
        <v>1948</v>
      </c>
      <c r="O197" s="6" t="s">
        <v>967</v>
      </c>
      <c r="P197" s="5" t="s">
        <v>967</v>
      </c>
      <c r="Q197" s="5" t="s">
        <v>967</v>
      </c>
      <c r="R197" s="5" t="s">
        <v>967</v>
      </c>
      <c r="S197" s="5" t="s">
        <v>967</v>
      </c>
      <c r="T197" s="5" t="s">
        <v>967</v>
      </c>
    </row>
    <row r="198" ht="49.5" spans="1:20">
      <c r="A198" s="4">
        <v>197</v>
      </c>
      <c r="B198" s="5" t="s">
        <v>966</v>
      </c>
      <c r="C198" s="5" t="s">
        <v>547</v>
      </c>
      <c r="D198" s="5" t="s">
        <v>542</v>
      </c>
      <c r="E198" s="5" t="s">
        <v>548</v>
      </c>
      <c r="F198" s="4" t="s">
        <v>32</v>
      </c>
      <c r="G198" s="6" t="s">
        <v>1949</v>
      </c>
      <c r="H198" s="6" t="s">
        <v>1950</v>
      </c>
      <c r="I198" s="6" t="s">
        <v>1950</v>
      </c>
      <c r="J198" s="6" t="s">
        <v>967</v>
      </c>
      <c r="K198" s="6" t="s">
        <v>1951</v>
      </c>
      <c r="L198" s="6" t="s">
        <v>1952</v>
      </c>
      <c r="M198" s="6" t="s">
        <v>1953</v>
      </c>
      <c r="N198" s="6" t="s">
        <v>1954</v>
      </c>
      <c r="O198" s="6" t="s">
        <v>967</v>
      </c>
      <c r="P198" s="5" t="s">
        <v>967</v>
      </c>
      <c r="Q198" s="5" t="s">
        <v>967</v>
      </c>
      <c r="R198" s="5" t="s">
        <v>967</v>
      </c>
      <c r="S198" s="5" t="s">
        <v>967</v>
      </c>
      <c r="T198" s="5" t="s">
        <v>967</v>
      </c>
    </row>
    <row r="199" ht="49.5" spans="1:20">
      <c r="A199" s="4">
        <v>198</v>
      </c>
      <c r="B199" s="5" t="s">
        <v>966</v>
      </c>
      <c r="C199" s="5" t="s">
        <v>549</v>
      </c>
      <c r="D199" s="5" t="s">
        <v>542</v>
      </c>
      <c r="E199" s="5" t="s">
        <v>550</v>
      </c>
      <c r="F199" s="4" t="s">
        <v>32</v>
      </c>
      <c r="G199" s="6" t="s">
        <v>1955</v>
      </c>
      <c r="H199" s="6" t="s">
        <v>1956</v>
      </c>
      <c r="I199" s="6" t="s">
        <v>1956</v>
      </c>
      <c r="J199" s="6" t="s">
        <v>967</v>
      </c>
      <c r="K199" s="6" t="s">
        <v>1957</v>
      </c>
      <c r="L199" s="6" t="s">
        <v>1952</v>
      </c>
      <c r="M199" s="6" t="s">
        <v>1958</v>
      </c>
      <c r="N199" s="6" t="s">
        <v>1959</v>
      </c>
      <c r="O199" s="6" t="s">
        <v>1959</v>
      </c>
      <c r="P199" s="5" t="s">
        <v>967</v>
      </c>
      <c r="Q199" s="5" t="s">
        <v>967</v>
      </c>
      <c r="R199" s="5" t="s">
        <v>967</v>
      </c>
      <c r="S199" s="5" t="s">
        <v>967</v>
      </c>
      <c r="T199" s="5" t="s">
        <v>967</v>
      </c>
    </row>
    <row r="200" ht="49.5" spans="1:20">
      <c r="A200" s="4">
        <v>199</v>
      </c>
      <c r="B200" s="5" t="s">
        <v>966</v>
      </c>
      <c r="C200" s="5" t="s">
        <v>551</v>
      </c>
      <c r="D200" s="5" t="s">
        <v>542</v>
      </c>
      <c r="E200" s="5" t="s">
        <v>552</v>
      </c>
      <c r="F200" s="4" t="s">
        <v>32</v>
      </c>
      <c r="G200" s="6" t="s">
        <v>1960</v>
      </c>
      <c r="H200" s="6" t="s">
        <v>1961</v>
      </c>
      <c r="I200" s="6" t="s">
        <v>1961</v>
      </c>
      <c r="J200" s="6" t="s">
        <v>967</v>
      </c>
      <c r="K200" s="6" t="s">
        <v>1962</v>
      </c>
      <c r="L200" s="6" t="s">
        <v>1952</v>
      </c>
      <c r="M200" s="6" t="s">
        <v>1963</v>
      </c>
      <c r="N200" s="6" t="s">
        <v>1964</v>
      </c>
      <c r="O200" s="6" t="s">
        <v>967</v>
      </c>
      <c r="P200" s="5" t="s">
        <v>967</v>
      </c>
      <c r="Q200" s="5" t="s">
        <v>967</v>
      </c>
      <c r="R200" s="5" t="s">
        <v>967</v>
      </c>
      <c r="S200" s="5" t="s">
        <v>967</v>
      </c>
      <c r="T200" s="5" t="s">
        <v>967</v>
      </c>
    </row>
    <row r="201" ht="33" spans="1:20">
      <c r="A201" s="4">
        <v>200</v>
      </c>
      <c r="B201" s="5" t="s">
        <v>966</v>
      </c>
      <c r="C201" s="5" t="s">
        <v>553</v>
      </c>
      <c r="D201" s="5" t="s">
        <v>554</v>
      </c>
      <c r="E201" s="5" t="s">
        <v>555</v>
      </c>
      <c r="F201" s="4" t="s">
        <v>32</v>
      </c>
      <c r="G201" s="6" t="s">
        <v>1965</v>
      </c>
      <c r="H201" s="6" t="s">
        <v>1966</v>
      </c>
      <c r="I201" s="6" t="s">
        <v>967</v>
      </c>
      <c r="J201" s="6" t="s">
        <v>967</v>
      </c>
      <c r="K201" s="6" t="s">
        <v>1967</v>
      </c>
      <c r="L201" s="6" t="s">
        <v>1968</v>
      </c>
      <c r="M201" s="6" t="s">
        <v>1969</v>
      </c>
      <c r="N201" s="6" t="s">
        <v>1970</v>
      </c>
      <c r="O201" s="6" t="s">
        <v>967</v>
      </c>
      <c r="P201" s="5" t="s">
        <v>967</v>
      </c>
      <c r="Q201" s="5" t="s">
        <v>967</v>
      </c>
      <c r="R201" s="5" t="s">
        <v>967</v>
      </c>
      <c r="S201" s="5" t="s">
        <v>967</v>
      </c>
      <c r="T201" s="5" t="s">
        <v>967</v>
      </c>
    </row>
    <row r="202" ht="33" spans="1:20">
      <c r="A202" s="4">
        <v>201</v>
      </c>
      <c r="B202" s="5" t="s">
        <v>966</v>
      </c>
      <c r="C202" s="5" t="s">
        <v>556</v>
      </c>
      <c r="D202" s="5" t="s">
        <v>557</v>
      </c>
      <c r="E202" s="5" t="s">
        <v>558</v>
      </c>
      <c r="F202" s="4" t="s">
        <v>32</v>
      </c>
      <c r="G202" s="6" t="s">
        <v>1971</v>
      </c>
      <c r="H202" s="6" t="s">
        <v>1972</v>
      </c>
      <c r="I202" s="6" t="s">
        <v>1973</v>
      </c>
      <c r="J202" s="6" t="s">
        <v>967</v>
      </c>
      <c r="K202" s="6" t="s">
        <v>1974</v>
      </c>
      <c r="L202" s="6" t="s">
        <v>1975</v>
      </c>
      <c r="M202" s="6" t="s">
        <v>1976</v>
      </c>
      <c r="N202" s="6" t="s">
        <v>1977</v>
      </c>
      <c r="O202" s="6" t="s">
        <v>967</v>
      </c>
      <c r="P202" s="5" t="s">
        <v>967</v>
      </c>
      <c r="Q202" s="5" t="s">
        <v>967</v>
      </c>
      <c r="R202" s="5" t="s">
        <v>967</v>
      </c>
      <c r="S202" s="5" t="s">
        <v>967</v>
      </c>
      <c r="T202" s="5" t="s">
        <v>967</v>
      </c>
    </row>
    <row r="203" ht="33" spans="1:20">
      <c r="A203" s="4">
        <v>202</v>
      </c>
      <c r="B203" s="5" t="s">
        <v>966</v>
      </c>
      <c r="C203" s="5" t="s">
        <v>559</v>
      </c>
      <c r="D203" s="5" t="s">
        <v>557</v>
      </c>
      <c r="E203" s="5" t="s">
        <v>560</v>
      </c>
      <c r="F203" s="4" t="s">
        <v>32</v>
      </c>
      <c r="G203" s="6" t="s">
        <v>1978</v>
      </c>
      <c r="H203" s="6" t="s">
        <v>1979</v>
      </c>
      <c r="I203" s="6" t="s">
        <v>967</v>
      </c>
      <c r="J203" s="6" t="s">
        <v>967</v>
      </c>
      <c r="K203" s="6" t="s">
        <v>1980</v>
      </c>
      <c r="L203" s="6" t="s">
        <v>1981</v>
      </c>
      <c r="M203" s="6" t="s">
        <v>1982</v>
      </c>
      <c r="N203" s="6" t="s">
        <v>1983</v>
      </c>
      <c r="O203" s="6" t="s">
        <v>967</v>
      </c>
      <c r="P203" s="5" t="s">
        <v>967</v>
      </c>
      <c r="Q203" s="5" t="s">
        <v>967</v>
      </c>
      <c r="R203" s="5" t="s">
        <v>967</v>
      </c>
      <c r="S203" s="5" t="s">
        <v>967</v>
      </c>
      <c r="T203" s="5" t="s">
        <v>967</v>
      </c>
    </row>
    <row r="204" ht="33" spans="1:20">
      <c r="A204" s="4">
        <v>203</v>
      </c>
      <c r="B204" s="5" t="s">
        <v>966</v>
      </c>
      <c r="C204" s="5" t="s">
        <v>561</v>
      </c>
      <c r="D204" s="5" t="s">
        <v>557</v>
      </c>
      <c r="E204" s="5" t="s">
        <v>562</v>
      </c>
      <c r="F204" s="4" t="s">
        <v>32</v>
      </c>
      <c r="G204" s="6" t="s">
        <v>1984</v>
      </c>
      <c r="H204" s="6" t="s">
        <v>1985</v>
      </c>
      <c r="I204" s="6" t="s">
        <v>1985</v>
      </c>
      <c r="J204" s="6" t="s">
        <v>967</v>
      </c>
      <c r="K204" s="6" t="s">
        <v>1986</v>
      </c>
      <c r="L204" s="6" t="s">
        <v>1987</v>
      </c>
      <c r="M204" s="6" t="s">
        <v>1988</v>
      </c>
      <c r="N204" s="6" t="s">
        <v>1989</v>
      </c>
      <c r="O204" s="6" t="s">
        <v>967</v>
      </c>
      <c r="P204" s="5" t="s">
        <v>967</v>
      </c>
      <c r="Q204" s="5" t="s">
        <v>967</v>
      </c>
      <c r="R204" s="5" t="s">
        <v>967</v>
      </c>
      <c r="S204" s="5" t="s">
        <v>967</v>
      </c>
      <c r="T204" s="5" t="s">
        <v>967</v>
      </c>
    </row>
    <row r="205" ht="33" spans="1:20">
      <c r="A205" s="4">
        <v>204</v>
      </c>
      <c r="B205" s="5" t="s">
        <v>966</v>
      </c>
      <c r="C205" s="5" t="s">
        <v>563</v>
      </c>
      <c r="D205" s="5" t="s">
        <v>557</v>
      </c>
      <c r="E205" s="5" t="s">
        <v>564</v>
      </c>
      <c r="F205" s="4" t="s">
        <v>32</v>
      </c>
      <c r="G205" s="6" t="s">
        <v>1990</v>
      </c>
      <c r="H205" s="6" t="s">
        <v>1991</v>
      </c>
      <c r="I205" s="6" t="s">
        <v>967</v>
      </c>
      <c r="J205" s="6" t="s">
        <v>967</v>
      </c>
      <c r="K205" s="6" t="s">
        <v>1992</v>
      </c>
      <c r="L205" s="6" t="s">
        <v>1993</v>
      </c>
      <c r="M205" s="6" t="s">
        <v>1994</v>
      </c>
      <c r="N205" s="6" t="s">
        <v>1995</v>
      </c>
      <c r="O205" s="6" t="s">
        <v>967</v>
      </c>
      <c r="P205" s="5" t="s">
        <v>967</v>
      </c>
      <c r="Q205" s="5" t="s">
        <v>967</v>
      </c>
      <c r="R205" s="5" t="s">
        <v>967</v>
      </c>
      <c r="S205" s="5" t="s">
        <v>967</v>
      </c>
      <c r="T205" s="5" t="s">
        <v>967</v>
      </c>
    </row>
    <row r="206" ht="33" spans="1:20">
      <c r="A206" s="4">
        <v>205</v>
      </c>
      <c r="B206" s="5" t="s">
        <v>966</v>
      </c>
      <c r="C206" s="5" t="s">
        <v>565</v>
      </c>
      <c r="D206" s="5" t="s">
        <v>557</v>
      </c>
      <c r="E206" s="5" t="s">
        <v>566</v>
      </c>
      <c r="F206" s="4" t="s">
        <v>32</v>
      </c>
      <c r="G206" s="6" t="s">
        <v>1996</v>
      </c>
      <c r="H206" s="6" t="s">
        <v>1003</v>
      </c>
      <c r="I206" s="6" t="s">
        <v>1003</v>
      </c>
      <c r="J206" s="6" t="s">
        <v>967</v>
      </c>
      <c r="K206" s="6" t="s">
        <v>1997</v>
      </c>
      <c r="L206" s="6" t="s">
        <v>1998</v>
      </c>
      <c r="M206" s="6" t="s">
        <v>1999</v>
      </c>
      <c r="N206" s="6" t="s">
        <v>1003</v>
      </c>
      <c r="O206" s="6" t="s">
        <v>1003</v>
      </c>
      <c r="P206" s="5" t="s">
        <v>967</v>
      </c>
      <c r="Q206" s="5" t="s">
        <v>967</v>
      </c>
      <c r="R206" s="5" t="s">
        <v>967</v>
      </c>
      <c r="S206" s="5" t="s">
        <v>967</v>
      </c>
      <c r="T206" s="5" t="s">
        <v>967</v>
      </c>
    </row>
    <row r="207" ht="33" spans="1:20">
      <c r="A207" s="4">
        <v>206</v>
      </c>
      <c r="B207" s="5" t="s">
        <v>966</v>
      </c>
      <c r="C207" s="5" t="s">
        <v>567</v>
      </c>
      <c r="D207" s="5" t="s">
        <v>557</v>
      </c>
      <c r="E207" s="5" t="s">
        <v>568</v>
      </c>
      <c r="F207" s="4" t="s">
        <v>32</v>
      </c>
      <c r="G207" s="6" t="s">
        <v>2000</v>
      </c>
      <c r="H207" s="6" t="s">
        <v>1003</v>
      </c>
      <c r="I207" s="6" t="s">
        <v>1003</v>
      </c>
      <c r="J207" s="6" t="s">
        <v>967</v>
      </c>
      <c r="K207" s="6" t="s">
        <v>2001</v>
      </c>
      <c r="L207" s="6" t="s">
        <v>2002</v>
      </c>
      <c r="M207" s="6" t="s">
        <v>2003</v>
      </c>
      <c r="N207" s="6" t="s">
        <v>1003</v>
      </c>
      <c r="O207" s="6" t="s">
        <v>967</v>
      </c>
      <c r="P207" s="5" t="s">
        <v>967</v>
      </c>
      <c r="Q207" s="5" t="s">
        <v>967</v>
      </c>
      <c r="R207" s="5" t="s">
        <v>967</v>
      </c>
      <c r="S207" s="5" t="s">
        <v>967</v>
      </c>
      <c r="T207" s="5" t="s">
        <v>967</v>
      </c>
    </row>
    <row r="208" ht="33" spans="1:20">
      <c r="A208" s="4">
        <v>207</v>
      </c>
      <c r="B208" s="5" t="s">
        <v>966</v>
      </c>
      <c r="C208" s="5" t="s">
        <v>569</v>
      </c>
      <c r="D208" s="5" t="s">
        <v>557</v>
      </c>
      <c r="E208" s="5" t="s">
        <v>570</v>
      </c>
      <c r="F208" s="4" t="s">
        <v>32</v>
      </c>
      <c r="G208" s="6" t="s">
        <v>2004</v>
      </c>
      <c r="H208" s="6" t="s">
        <v>1003</v>
      </c>
      <c r="I208" s="6" t="s">
        <v>967</v>
      </c>
      <c r="J208" s="6" t="s">
        <v>967</v>
      </c>
      <c r="K208" s="6" t="s">
        <v>2005</v>
      </c>
      <c r="L208" s="6" t="s">
        <v>2006</v>
      </c>
      <c r="M208" s="6" t="s">
        <v>2007</v>
      </c>
      <c r="N208" s="6" t="s">
        <v>1003</v>
      </c>
      <c r="O208" s="6" t="s">
        <v>967</v>
      </c>
      <c r="P208" s="5" t="s">
        <v>571</v>
      </c>
      <c r="Q208" s="5" t="s">
        <v>572</v>
      </c>
      <c r="R208" s="5" t="s">
        <v>967</v>
      </c>
      <c r="S208" s="5" t="s">
        <v>967</v>
      </c>
      <c r="T208" s="5" t="s">
        <v>967</v>
      </c>
    </row>
    <row r="209" ht="33" spans="1:20">
      <c r="A209" s="4">
        <v>208</v>
      </c>
      <c r="B209" s="5" t="s">
        <v>966</v>
      </c>
      <c r="C209" s="5" t="s">
        <v>573</v>
      </c>
      <c r="D209" s="5" t="s">
        <v>557</v>
      </c>
      <c r="E209" s="5" t="s">
        <v>574</v>
      </c>
      <c r="F209" s="4" t="s">
        <v>32</v>
      </c>
      <c r="G209" s="6" t="s">
        <v>2008</v>
      </c>
      <c r="H209" s="6" t="s">
        <v>2009</v>
      </c>
      <c r="I209" s="6" t="s">
        <v>2009</v>
      </c>
      <c r="J209" s="6" t="s">
        <v>967</v>
      </c>
      <c r="K209" s="6" t="s">
        <v>2010</v>
      </c>
      <c r="L209" s="6" t="s">
        <v>2011</v>
      </c>
      <c r="M209" s="6" t="s">
        <v>2012</v>
      </c>
      <c r="N209" s="6" t="s">
        <v>2013</v>
      </c>
      <c r="O209" s="6" t="s">
        <v>967</v>
      </c>
      <c r="P209" s="5" t="s">
        <v>967</v>
      </c>
      <c r="Q209" s="5" t="s">
        <v>967</v>
      </c>
      <c r="R209" s="5" t="s">
        <v>967</v>
      </c>
      <c r="S209" s="5" t="s">
        <v>967</v>
      </c>
      <c r="T209" s="5" t="s">
        <v>967</v>
      </c>
    </row>
    <row r="210" ht="33" spans="1:20">
      <c r="A210" s="4">
        <v>209</v>
      </c>
      <c r="B210" s="5" t="s">
        <v>966</v>
      </c>
      <c r="C210" s="5" t="s">
        <v>575</v>
      </c>
      <c r="D210" s="5" t="s">
        <v>557</v>
      </c>
      <c r="E210" s="5" t="s">
        <v>576</v>
      </c>
      <c r="F210" s="4" t="s">
        <v>32</v>
      </c>
      <c r="G210" s="6" t="s">
        <v>2014</v>
      </c>
      <c r="H210" s="6" t="s">
        <v>2015</v>
      </c>
      <c r="I210" s="6" t="s">
        <v>1812</v>
      </c>
      <c r="J210" s="6" t="s">
        <v>967</v>
      </c>
      <c r="K210" s="6" t="s">
        <v>2016</v>
      </c>
      <c r="L210" s="6" t="s">
        <v>2017</v>
      </c>
      <c r="M210" s="6" t="s">
        <v>2018</v>
      </c>
      <c r="N210" s="6" t="s">
        <v>2019</v>
      </c>
      <c r="O210" s="6" t="s">
        <v>967</v>
      </c>
      <c r="P210" s="5" t="s">
        <v>967</v>
      </c>
      <c r="Q210" s="5" t="s">
        <v>967</v>
      </c>
      <c r="R210" s="5" t="s">
        <v>967</v>
      </c>
      <c r="S210" s="5" t="s">
        <v>967</v>
      </c>
      <c r="T210" s="5" t="s">
        <v>967</v>
      </c>
    </row>
    <row r="211" ht="33" spans="1:20">
      <c r="A211" s="4">
        <v>210</v>
      </c>
      <c r="B211" s="5" t="s">
        <v>966</v>
      </c>
      <c r="C211" s="5" t="s">
        <v>577</v>
      </c>
      <c r="D211" s="5" t="s">
        <v>557</v>
      </c>
      <c r="E211" s="5" t="s">
        <v>578</v>
      </c>
      <c r="F211" s="4" t="s">
        <v>32</v>
      </c>
      <c r="G211" s="6" t="s">
        <v>2020</v>
      </c>
      <c r="H211" s="6" t="s">
        <v>2021</v>
      </c>
      <c r="I211" s="6" t="s">
        <v>967</v>
      </c>
      <c r="J211" s="6" t="s">
        <v>967</v>
      </c>
      <c r="K211" s="6" t="s">
        <v>2022</v>
      </c>
      <c r="L211" s="6" t="s">
        <v>2023</v>
      </c>
      <c r="M211" s="6" t="s">
        <v>2024</v>
      </c>
      <c r="N211" s="6" t="s">
        <v>2025</v>
      </c>
      <c r="O211" s="6" t="s">
        <v>967</v>
      </c>
      <c r="P211" s="5" t="s">
        <v>967</v>
      </c>
      <c r="Q211" s="5" t="s">
        <v>967</v>
      </c>
      <c r="R211" s="5" t="s">
        <v>967</v>
      </c>
      <c r="S211" s="5" t="s">
        <v>967</v>
      </c>
      <c r="T211" s="5" t="s">
        <v>967</v>
      </c>
    </row>
    <row r="212" ht="33" spans="1:20">
      <c r="A212" s="4">
        <v>211</v>
      </c>
      <c r="B212" s="5" t="s">
        <v>966</v>
      </c>
      <c r="C212" s="5" t="s">
        <v>579</v>
      </c>
      <c r="D212" s="5" t="s">
        <v>557</v>
      </c>
      <c r="E212" s="5" t="s">
        <v>580</v>
      </c>
      <c r="F212" s="4" t="s">
        <v>32</v>
      </c>
      <c r="G212" s="6" t="s">
        <v>2026</v>
      </c>
      <c r="H212" s="6" t="s">
        <v>1003</v>
      </c>
      <c r="I212" s="6" t="s">
        <v>1003</v>
      </c>
      <c r="J212" s="6" t="s">
        <v>967</v>
      </c>
      <c r="K212" s="6" t="s">
        <v>2027</v>
      </c>
      <c r="L212" s="6" t="s">
        <v>2028</v>
      </c>
      <c r="M212" s="6" t="s">
        <v>2029</v>
      </c>
      <c r="N212" s="6" t="s">
        <v>1003</v>
      </c>
      <c r="O212" s="6" t="s">
        <v>967</v>
      </c>
      <c r="P212" s="5" t="s">
        <v>967</v>
      </c>
      <c r="Q212" s="5" t="s">
        <v>967</v>
      </c>
      <c r="R212" s="5" t="s">
        <v>967</v>
      </c>
      <c r="S212" s="5" t="s">
        <v>967</v>
      </c>
      <c r="T212" s="5" t="s">
        <v>967</v>
      </c>
    </row>
    <row r="213" ht="33" spans="1:20">
      <c r="A213" s="4">
        <v>212</v>
      </c>
      <c r="B213" s="5" t="s">
        <v>966</v>
      </c>
      <c r="C213" s="5" t="s">
        <v>581</v>
      </c>
      <c r="D213" s="5" t="s">
        <v>557</v>
      </c>
      <c r="E213" s="5" t="s">
        <v>582</v>
      </c>
      <c r="F213" s="4" t="s">
        <v>32</v>
      </c>
      <c r="G213" s="6" t="s">
        <v>2030</v>
      </c>
      <c r="H213" s="6" t="s">
        <v>1003</v>
      </c>
      <c r="I213" s="6" t="s">
        <v>1003</v>
      </c>
      <c r="J213" s="6" t="s">
        <v>967</v>
      </c>
      <c r="K213" s="6" t="s">
        <v>2031</v>
      </c>
      <c r="L213" s="6" t="s">
        <v>2032</v>
      </c>
      <c r="M213" s="6" t="s">
        <v>2033</v>
      </c>
      <c r="N213" s="6" t="s">
        <v>1003</v>
      </c>
      <c r="O213" s="6" t="s">
        <v>1003</v>
      </c>
      <c r="P213" s="5" t="s">
        <v>967</v>
      </c>
      <c r="Q213" s="5" t="s">
        <v>967</v>
      </c>
      <c r="R213" s="5" t="s">
        <v>967</v>
      </c>
      <c r="S213" s="5" t="s">
        <v>967</v>
      </c>
      <c r="T213" s="5" t="s">
        <v>967</v>
      </c>
    </row>
    <row r="214" ht="33" spans="1:20">
      <c r="A214" s="4">
        <v>213</v>
      </c>
      <c r="B214" s="5" t="s">
        <v>966</v>
      </c>
      <c r="C214" s="5" t="s">
        <v>583</v>
      </c>
      <c r="D214" s="5" t="s">
        <v>112</v>
      </c>
      <c r="E214" s="5" t="s">
        <v>584</v>
      </c>
      <c r="F214" s="4" t="s">
        <v>32</v>
      </c>
      <c r="G214" s="6" t="s">
        <v>2034</v>
      </c>
      <c r="H214" s="6" t="s">
        <v>2035</v>
      </c>
      <c r="I214" s="6" t="s">
        <v>2035</v>
      </c>
      <c r="J214" s="6" t="s">
        <v>967</v>
      </c>
      <c r="K214" s="6" t="s">
        <v>1974</v>
      </c>
      <c r="L214" s="6" t="s">
        <v>2036</v>
      </c>
      <c r="M214" s="6" t="s">
        <v>2037</v>
      </c>
      <c r="N214" s="6" t="s">
        <v>2038</v>
      </c>
      <c r="O214" s="6" t="s">
        <v>2038</v>
      </c>
      <c r="P214" s="5" t="s">
        <v>967</v>
      </c>
      <c r="Q214" s="5" t="s">
        <v>967</v>
      </c>
      <c r="R214" s="5" t="s">
        <v>967</v>
      </c>
      <c r="S214" s="5" t="s">
        <v>967</v>
      </c>
      <c r="T214" s="5" t="s">
        <v>967</v>
      </c>
    </row>
    <row r="215" ht="33" spans="1:20">
      <c r="A215" s="4">
        <v>214</v>
      </c>
      <c r="B215" s="5" t="s">
        <v>966</v>
      </c>
      <c r="C215" s="5" t="s">
        <v>585</v>
      </c>
      <c r="D215" s="5" t="s">
        <v>112</v>
      </c>
      <c r="E215" s="5" t="s">
        <v>586</v>
      </c>
      <c r="F215" s="4" t="s">
        <v>32</v>
      </c>
      <c r="G215" s="6" t="s">
        <v>2039</v>
      </c>
      <c r="H215" s="6" t="s">
        <v>2040</v>
      </c>
      <c r="I215" s="6" t="s">
        <v>2040</v>
      </c>
      <c r="J215" s="6" t="s">
        <v>967</v>
      </c>
      <c r="K215" s="6" t="s">
        <v>1980</v>
      </c>
      <c r="L215" s="6" t="s">
        <v>2041</v>
      </c>
      <c r="M215" s="6" t="s">
        <v>2042</v>
      </c>
      <c r="N215" s="6" t="s">
        <v>2043</v>
      </c>
      <c r="O215" s="6" t="s">
        <v>2043</v>
      </c>
      <c r="P215" s="5" t="s">
        <v>967</v>
      </c>
      <c r="Q215" s="5" t="s">
        <v>967</v>
      </c>
      <c r="R215" s="5" t="s">
        <v>967</v>
      </c>
      <c r="S215" s="5" t="s">
        <v>967</v>
      </c>
      <c r="T215" s="5" t="s">
        <v>967</v>
      </c>
    </row>
    <row r="216" ht="33" spans="1:20">
      <c r="A216" s="4">
        <v>215</v>
      </c>
      <c r="B216" s="5" t="s">
        <v>966</v>
      </c>
      <c r="C216" s="5" t="s">
        <v>587</v>
      </c>
      <c r="D216" s="5" t="s">
        <v>588</v>
      </c>
      <c r="E216" s="5" t="s">
        <v>589</v>
      </c>
      <c r="F216" s="4" t="s">
        <v>32</v>
      </c>
      <c r="G216" s="6" t="s">
        <v>2044</v>
      </c>
      <c r="H216" s="6" t="s">
        <v>2045</v>
      </c>
      <c r="I216" s="6" t="s">
        <v>2045</v>
      </c>
      <c r="J216" s="6" t="s">
        <v>967</v>
      </c>
      <c r="K216" s="6" t="s">
        <v>2046</v>
      </c>
      <c r="L216" s="6" t="s">
        <v>2047</v>
      </c>
      <c r="M216" s="6" t="s">
        <v>2048</v>
      </c>
      <c r="N216" s="6" t="s">
        <v>2049</v>
      </c>
      <c r="O216" s="6" t="s">
        <v>967</v>
      </c>
      <c r="P216" s="5" t="s">
        <v>967</v>
      </c>
      <c r="Q216" s="5" t="s">
        <v>967</v>
      </c>
      <c r="R216" s="5" t="s">
        <v>967</v>
      </c>
      <c r="S216" s="5" t="s">
        <v>967</v>
      </c>
      <c r="T216" s="5" t="s">
        <v>967</v>
      </c>
    </row>
    <row r="217" ht="33" spans="1:20">
      <c r="A217" s="4">
        <v>216</v>
      </c>
      <c r="B217" s="5" t="s">
        <v>966</v>
      </c>
      <c r="C217" s="5" t="s">
        <v>590</v>
      </c>
      <c r="D217" s="5" t="s">
        <v>588</v>
      </c>
      <c r="E217" s="5" t="s">
        <v>591</v>
      </c>
      <c r="F217" s="4" t="s">
        <v>32</v>
      </c>
      <c r="G217" s="6" t="s">
        <v>2050</v>
      </c>
      <c r="H217" s="6" t="s">
        <v>2051</v>
      </c>
      <c r="I217" s="6" t="s">
        <v>967</v>
      </c>
      <c r="J217" s="6" t="s">
        <v>967</v>
      </c>
      <c r="K217" s="6" t="s">
        <v>2052</v>
      </c>
      <c r="L217" s="6" t="s">
        <v>2053</v>
      </c>
      <c r="M217" s="6" t="s">
        <v>2054</v>
      </c>
      <c r="N217" s="6" t="s">
        <v>2055</v>
      </c>
      <c r="O217" s="6" t="s">
        <v>967</v>
      </c>
      <c r="P217" s="5" t="s">
        <v>967</v>
      </c>
      <c r="Q217" s="5" t="s">
        <v>967</v>
      </c>
      <c r="R217" s="5" t="s">
        <v>967</v>
      </c>
      <c r="S217" s="5" t="s">
        <v>967</v>
      </c>
      <c r="T217" s="5" t="s">
        <v>967</v>
      </c>
    </row>
    <row r="218" ht="33" spans="1:20">
      <c r="A218" s="4">
        <v>217</v>
      </c>
      <c r="B218" s="5" t="s">
        <v>966</v>
      </c>
      <c r="C218" s="5" t="s">
        <v>592</v>
      </c>
      <c r="D218" s="5" t="s">
        <v>588</v>
      </c>
      <c r="E218" s="5" t="s">
        <v>593</v>
      </c>
      <c r="F218" s="4" t="s">
        <v>32</v>
      </c>
      <c r="G218" s="6" t="s">
        <v>2056</v>
      </c>
      <c r="H218" s="6" t="s">
        <v>1003</v>
      </c>
      <c r="I218" s="6" t="s">
        <v>1003</v>
      </c>
      <c r="J218" s="6" t="s">
        <v>967</v>
      </c>
      <c r="K218" s="6" t="s">
        <v>2057</v>
      </c>
      <c r="L218" s="6" t="s">
        <v>2058</v>
      </c>
      <c r="M218" s="6" t="s">
        <v>2059</v>
      </c>
      <c r="N218" s="6" t="s">
        <v>2060</v>
      </c>
      <c r="O218" s="6" t="s">
        <v>967</v>
      </c>
      <c r="P218" s="5" t="s">
        <v>967</v>
      </c>
      <c r="Q218" s="5" t="s">
        <v>967</v>
      </c>
      <c r="R218" s="5" t="s">
        <v>967</v>
      </c>
      <c r="S218" s="5" t="s">
        <v>967</v>
      </c>
      <c r="T218" s="5" t="s">
        <v>967</v>
      </c>
    </row>
    <row r="219" ht="33" spans="1:20">
      <c r="A219" s="4">
        <v>218</v>
      </c>
      <c r="B219" s="5" t="s">
        <v>966</v>
      </c>
      <c r="C219" s="5" t="s">
        <v>594</v>
      </c>
      <c r="D219" s="5" t="s">
        <v>588</v>
      </c>
      <c r="E219" s="5" t="s">
        <v>595</v>
      </c>
      <c r="F219" s="4" t="s">
        <v>32</v>
      </c>
      <c r="G219" s="6" t="s">
        <v>2061</v>
      </c>
      <c r="H219" s="6" t="s">
        <v>1003</v>
      </c>
      <c r="I219" s="6" t="s">
        <v>1003</v>
      </c>
      <c r="J219" s="6" t="s">
        <v>967</v>
      </c>
      <c r="K219" s="6" t="s">
        <v>2062</v>
      </c>
      <c r="L219" s="6" t="s">
        <v>2063</v>
      </c>
      <c r="M219" s="6" t="s">
        <v>2064</v>
      </c>
      <c r="N219" s="6" t="s">
        <v>1003</v>
      </c>
      <c r="O219" s="6" t="s">
        <v>1003</v>
      </c>
      <c r="P219" s="5" t="s">
        <v>967</v>
      </c>
      <c r="Q219" s="5" t="s">
        <v>967</v>
      </c>
      <c r="R219" s="5" t="s">
        <v>967</v>
      </c>
      <c r="S219" s="5" t="s">
        <v>967</v>
      </c>
      <c r="T219" s="5" t="s">
        <v>967</v>
      </c>
    </row>
    <row r="220" ht="33" spans="1:20">
      <c r="A220" s="4">
        <v>219</v>
      </c>
      <c r="B220" s="5" t="s">
        <v>966</v>
      </c>
      <c r="C220" s="5" t="s">
        <v>596</v>
      </c>
      <c r="D220" s="5" t="s">
        <v>588</v>
      </c>
      <c r="E220" s="5" t="s">
        <v>597</v>
      </c>
      <c r="F220" s="4" t="s">
        <v>32</v>
      </c>
      <c r="G220" s="6" t="s">
        <v>2061</v>
      </c>
      <c r="H220" s="6" t="s">
        <v>2065</v>
      </c>
      <c r="I220" s="6" t="s">
        <v>967</v>
      </c>
      <c r="J220" s="6" t="s">
        <v>967</v>
      </c>
      <c r="K220" s="6" t="s">
        <v>2066</v>
      </c>
      <c r="L220" s="6" t="s">
        <v>2067</v>
      </c>
      <c r="M220" s="6" t="s">
        <v>2068</v>
      </c>
      <c r="N220" s="6" t="s">
        <v>2069</v>
      </c>
      <c r="O220" s="6" t="s">
        <v>967</v>
      </c>
      <c r="P220" s="5" t="s">
        <v>598</v>
      </c>
      <c r="Q220" s="5" t="s">
        <v>599</v>
      </c>
      <c r="R220" s="5" t="s">
        <v>967</v>
      </c>
      <c r="S220" s="5" t="s">
        <v>967</v>
      </c>
      <c r="T220" s="5" t="s">
        <v>967</v>
      </c>
    </row>
    <row r="221" ht="33" spans="1:20">
      <c r="A221" s="4">
        <v>220</v>
      </c>
      <c r="B221" s="5" t="s">
        <v>966</v>
      </c>
      <c r="C221" s="5" t="s">
        <v>600</v>
      </c>
      <c r="D221" s="5" t="s">
        <v>588</v>
      </c>
      <c r="E221" s="5" t="s">
        <v>601</v>
      </c>
      <c r="F221" s="4" t="s">
        <v>32</v>
      </c>
      <c r="G221" s="6" t="s">
        <v>2070</v>
      </c>
      <c r="H221" s="6" t="s">
        <v>2071</v>
      </c>
      <c r="I221" s="6" t="s">
        <v>2072</v>
      </c>
      <c r="J221" s="6" t="s">
        <v>967</v>
      </c>
      <c r="K221" s="6" t="s">
        <v>2073</v>
      </c>
      <c r="L221" s="6" t="s">
        <v>2074</v>
      </c>
      <c r="M221" s="6" t="s">
        <v>2075</v>
      </c>
      <c r="N221" s="6" t="s">
        <v>2076</v>
      </c>
      <c r="O221" s="6" t="s">
        <v>967</v>
      </c>
      <c r="P221" s="5" t="s">
        <v>967</v>
      </c>
      <c r="Q221" s="5" t="s">
        <v>967</v>
      </c>
      <c r="R221" s="5" t="s">
        <v>967</v>
      </c>
      <c r="S221" s="5" t="s">
        <v>967</v>
      </c>
      <c r="T221" s="5" t="s">
        <v>967</v>
      </c>
    </row>
    <row r="222" ht="33" spans="1:20">
      <c r="A222" s="4">
        <v>221</v>
      </c>
      <c r="B222" s="5" t="s">
        <v>966</v>
      </c>
      <c r="C222" s="5" t="s">
        <v>602</v>
      </c>
      <c r="D222" s="5" t="s">
        <v>120</v>
      </c>
      <c r="E222" s="5" t="s">
        <v>603</v>
      </c>
      <c r="F222" s="4" t="s">
        <v>32</v>
      </c>
      <c r="G222" s="6" t="s">
        <v>2077</v>
      </c>
      <c r="H222" s="6" t="s">
        <v>2078</v>
      </c>
      <c r="I222" s="6" t="s">
        <v>967</v>
      </c>
      <c r="J222" s="6" t="s">
        <v>967</v>
      </c>
      <c r="K222" s="6" t="s">
        <v>2079</v>
      </c>
      <c r="L222" s="6" t="s">
        <v>2080</v>
      </c>
      <c r="M222" s="6" t="s">
        <v>2081</v>
      </c>
      <c r="N222" s="6" t="s">
        <v>2082</v>
      </c>
      <c r="O222" s="6" t="s">
        <v>967</v>
      </c>
      <c r="P222" s="5" t="s">
        <v>967</v>
      </c>
      <c r="Q222" s="5" t="s">
        <v>967</v>
      </c>
      <c r="R222" s="5" t="s">
        <v>967</v>
      </c>
      <c r="S222" s="5" t="s">
        <v>967</v>
      </c>
      <c r="T222" s="5" t="s">
        <v>967</v>
      </c>
    </row>
    <row r="223" ht="33" spans="1:20">
      <c r="A223" s="4">
        <v>222</v>
      </c>
      <c r="B223" s="5" t="s">
        <v>966</v>
      </c>
      <c r="C223" s="5" t="s">
        <v>604</v>
      </c>
      <c r="D223" s="5" t="s">
        <v>120</v>
      </c>
      <c r="E223" s="5" t="s">
        <v>605</v>
      </c>
      <c r="F223" s="4" t="s">
        <v>32</v>
      </c>
      <c r="G223" s="6" t="s">
        <v>2083</v>
      </c>
      <c r="H223" s="6" t="s">
        <v>2084</v>
      </c>
      <c r="I223" s="6" t="s">
        <v>2085</v>
      </c>
      <c r="J223" s="6" t="s">
        <v>967</v>
      </c>
      <c r="K223" s="6" t="s">
        <v>2086</v>
      </c>
      <c r="L223" s="6" t="s">
        <v>2080</v>
      </c>
      <c r="M223" s="6" t="s">
        <v>2087</v>
      </c>
      <c r="N223" s="6" t="s">
        <v>2088</v>
      </c>
      <c r="O223" s="6" t="s">
        <v>967</v>
      </c>
      <c r="P223" s="5" t="s">
        <v>967</v>
      </c>
      <c r="Q223" s="5" t="s">
        <v>967</v>
      </c>
      <c r="R223" s="5" t="s">
        <v>967</v>
      </c>
      <c r="S223" s="5" t="s">
        <v>967</v>
      </c>
      <c r="T223" s="5" t="s">
        <v>967</v>
      </c>
    </row>
    <row r="224" ht="33" spans="1:20">
      <c r="A224" s="4">
        <v>223</v>
      </c>
      <c r="B224" s="5" t="s">
        <v>966</v>
      </c>
      <c r="C224" s="5" t="s">
        <v>606</v>
      </c>
      <c r="D224" s="5" t="s">
        <v>120</v>
      </c>
      <c r="E224" s="5" t="s">
        <v>607</v>
      </c>
      <c r="F224" s="4" t="s">
        <v>32</v>
      </c>
      <c r="G224" s="6" t="s">
        <v>2089</v>
      </c>
      <c r="H224" s="6" t="s">
        <v>1003</v>
      </c>
      <c r="I224" s="6" t="s">
        <v>1003</v>
      </c>
      <c r="J224" s="6" t="s">
        <v>967</v>
      </c>
      <c r="K224" s="6" t="s">
        <v>2090</v>
      </c>
      <c r="L224" s="6" t="s">
        <v>2080</v>
      </c>
      <c r="M224" s="6" t="s">
        <v>2091</v>
      </c>
      <c r="N224" s="6" t="s">
        <v>1003</v>
      </c>
      <c r="O224" s="6" t="s">
        <v>1003</v>
      </c>
      <c r="P224" s="5" t="s">
        <v>967</v>
      </c>
      <c r="Q224" s="5" t="s">
        <v>967</v>
      </c>
      <c r="R224" s="5" t="s">
        <v>967</v>
      </c>
      <c r="S224" s="5" t="s">
        <v>967</v>
      </c>
      <c r="T224" s="5" t="s">
        <v>967</v>
      </c>
    </row>
    <row r="225" ht="33" spans="1:20">
      <c r="A225" s="4">
        <v>224</v>
      </c>
      <c r="B225" s="5" t="s">
        <v>966</v>
      </c>
      <c r="C225" s="5" t="s">
        <v>608</v>
      </c>
      <c r="D225" s="5" t="s">
        <v>120</v>
      </c>
      <c r="E225" s="5" t="s">
        <v>609</v>
      </c>
      <c r="F225" s="4" t="s">
        <v>32</v>
      </c>
      <c r="G225" s="6" t="s">
        <v>2092</v>
      </c>
      <c r="H225" s="6" t="s">
        <v>1003</v>
      </c>
      <c r="I225" s="6" t="s">
        <v>1003</v>
      </c>
      <c r="J225" s="6" t="s">
        <v>967</v>
      </c>
      <c r="K225" s="6" t="s">
        <v>2093</v>
      </c>
      <c r="L225" s="6" t="s">
        <v>2094</v>
      </c>
      <c r="M225" s="6" t="s">
        <v>2095</v>
      </c>
      <c r="N225" s="6" t="s">
        <v>1003</v>
      </c>
      <c r="O225" s="6" t="s">
        <v>967</v>
      </c>
      <c r="P225" s="5" t="s">
        <v>967</v>
      </c>
      <c r="Q225" s="5" t="s">
        <v>967</v>
      </c>
      <c r="R225" s="5" t="s">
        <v>967</v>
      </c>
      <c r="S225" s="5" t="s">
        <v>967</v>
      </c>
      <c r="T225" s="5" t="s">
        <v>967</v>
      </c>
    </row>
    <row r="226" ht="33" spans="1:20">
      <c r="A226" s="4">
        <v>225</v>
      </c>
      <c r="B226" s="5" t="s">
        <v>966</v>
      </c>
      <c r="C226" s="5" t="s">
        <v>610</v>
      </c>
      <c r="D226" s="5" t="s">
        <v>115</v>
      </c>
      <c r="E226" s="5" t="s">
        <v>611</v>
      </c>
      <c r="F226" s="4" t="s">
        <v>32</v>
      </c>
      <c r="G226" s="6" t="s">
        <v>2096</v>
      </c>
      <c r="H226" s="6" t="s">
        <v>2097</v>
      </c>
      <c r="I226" s="6" t="s">
        <v>967</v>
      </c>
      <c r="J226" s="6" t="s">
        <v>967</v>
      </c>
      <c r="K226" s="6" t="s">
        <v>2098</v>
      </c>
      <c r="L226" s="6" t="s">
        <v>2099</v>
      </c>
      <c r="M226" s="6" t="s">
        <v>2100</v>
      </c>
      <c r="N226" s="6" t="s">
        <v>2101</v>
      </c>
      <c r="O226" s="6" t="s">
        <v>967</v>
      </c>
      <c r="P226" s="5" t="s">
        <v>612</v>
      </c>
      <c r="Q226" s="5" t="s">
        <v>967</v>
      </c>
      <c r="R226" s="5" t="s">
        <v>967</v>
      </c>
      <c r="S226" s="5" t="s">
        <v>967</v>
      </c>
      <c r="T226" s="5" t="s">
        <v>967</v>
      </c>
    </row>
    <row r="227" ht="33" spans="1:20">
      <c r="A227" s="4">
        <v>226</v>
      </c>
      <c r="B227" s="5" t="s">
        <v>966</v>
      </c>
      <c r="C227" s="5" t="s">
        <v>613</v>
      </c>
      <c r="D227" s="5" t="s">
        <v>115</v>
      </c>
      <c r="E227" s="5" t="s">
        <v>614</v>
      </c>
      <c r="F227" s="4" t="s">
        <v>32</v>
      </c>
      <c r="G227" s="6" t="s">
        <v>2102</v>
      </c>
      <c r="H227" s="6" t="s">
        <v>2103</v>
      </c>
      <c r="I227" s="6" t="s">
        <v>967</v>
      </c>
      <c r="J227" s="6" t="s">
        <v>967</v>
      </c>
      <c r="K227" s="6" t="s">
        <v>2104</v>
      </c>
      <c r="L227" s="6" t="s">
        <v>2105</v>
      </c>
      <c r="M227" s="6" t="s">
        <v>2106</v>
      </c>
      <c r="N227" s="6" t="s">
        <v>2107</v>
      </c>
      <c r="O227" s="6" t="s">
        <v>967</v>
      </c>
      <c r="P227" s="5" t="s">
        <v>612</v>
      </c>
      <c r="Q227" s="5" t="s">
        <v>967</v>
      </c>
      <c r="R227" s="5" t="s">
        <v>967</v>
      </c>
      <c r="S227" s="5" t="s">
        <v>967</v>
      </c>
      <c r="T227" s="5" t="s">
        <v>967</v>
      </c>
    </row>
    <row r="228" ht="33" spans="1:20">
      <c r="A228" s="4">
        <v>227</v>
      </c>
      <c r="B228" s="5" t="s">
        <v>966</v>
      </c>
      <c r="C228" s="5" t="s">
        <v>615</v>
      </c>
      <c r="D228" s="5" t="s">
        <v>115</v>
      </c>
      <c r="E228" s="5" t="s">
        <v>616</v>
      </c>
      <c r="F228" s="4" t="s">
        <v>32</v>
      </c>
      <c r="G228" s="6" t="s">
        <v>2108</v>
      </c>
      <c r="H228" s="6" t="s">
        <v>2109</v>
      </c>
      <c r="I228" s="6" t="s">
        <v>2110</v>
      </c>
      <c r="J228" s="6" t="s">
        <v>967</v>
      </c>
      <c r="K228" s="6" t="s">
        <v>2111</v>
      </c>
      <c r="L228" s="6" t="s">
        <v>2112</v>
      </c>
      <c r="M228" s="6" t="s">
        <v>2113</v>
      </c>
      <c r="N228" s="6" t="s">
        <v>2114</v>
      </c>
      <c r="O228" s="6" t="s">
        <v>967</v>
      </c>
      <c r="P228" s="5" t="s">
        <v>967</v>
      </c>
      <c r="Q228" s="5" t="s">
        <v>967</v>
      </c>
      <c r="R228" s="5" t="s">
        <v>967</v>
      </c>
      <c r="S228" s="5" t="s">
        <v>967</v>
      </c>
      <c r="T228" s="5" t="s">
        <v>967</v>
      </c>
    </row>
    <row r="229" ht="33" spans="1:20">
      <c r="A229" s="4">
        <v>228</v>
      </c>
      <c r="B229" s="5" t="s">
        <v>966</v>
      </c>
      <c r="C229" s="5" t="s">
        <v>617</v>
      </c>
      <c r="D229" s="5" t="s">
        <v>115</v>
      </c>
      <c r="E229" s="5" t="s">
        <v>618</v>
      </c>
      <c r="F229" s="4" t="s">
        <v>32</v>
      </c>
      <c r="G229" s="6" t="s">
        <v>2115</v>
      </c>
      <c r="H229" s="6" t="s">
        <v>1003</v>
      </c>
      <c r="I229" s="6" t="s">
        <v>1003</v>
      </c>
      <c r="J229" s="6" t="s">
        <v>967</v>
      </c>
      <c r="K229" s="6" t="s">
        <v>2116</v>
      </c>
      <c r="L229" s="6" t="s">
        <v>2117</v>
      </c>
      <c r="M229" s="6" t="s">
        <v>2118</v>
      </c>
      <c r="N229" s="6" t="s">
        <v>1003</v>
      </c>
      <c r="O229" s="6" t="s">
        <v>967</v>
      </c>
      <c r="P229" s="5" t="s">
        <v>967</v>
      </c>
      <c r="Q229" s="5" t="s">
        <v>967</v>
      </c>
      <c r="R229" s="5" t="s">
        <v>967</v>
      </c>
      <c r="S229" s="5" t="s">
        <v>967</v>
      </c>
      <c r="T229" s="5" t="s">
        <v>967</v>
      </c>
    </row>
    <row r="230" ht="33" spans="1:20">
      <c r="A230" s="4">
        <v>229</v>
      </c>
      <c r="B230" s="5" t="s">
        <v>966</v>
      </c>
      <c r="C230" s="5" t="s">
        <v>619</v>
      </c>
      <c r="D230" s="5" t="s">
        <v>115</v>
      </c>
      <c r="E230" s="5" t="s">
        <v>620</v>
      </c>
      <c r="F230" s="4" t="s">
        <v>32</v>
      </c>
      <c r="G230" s="6" t="s">
        <v>2119</v>
      </c>
      <c r="H230" s="6" t="s">
        <v>1003</v>
      </c>
      <c r="I230" s="6" t="s">
        <v>1003</v>
      </c>
      <c r="J230" s="6" t="s">
        <v>967</v>
      </c>
      <c r="K230" s="6" t="s">
        <v>2120</v>
      </c>
      <c r="L230" s="6" t="s">
        <v>2121</v>
      </c>
      <c r="M230" s="6" t="s">
        <v>2122</v>
      </c>
      <c r="N230" s="6" t="s">
        <v>1003</v>
      </c>
      <c r="O230" s="6" t="s">
        <v>967</v>
      </c>
      <c r="P230" s="5" t="s">
        <v>967</v>
      </c>
      <c r="Q230" s="5" t="s">
        <v>967</v>
      </c>
      <c r="R230" s="5" t="s">
        <v>967</v>
      </c>
      <c r="S230" s="5" t="s">
        <v>967</v>
      </c>
      <c r="T230" s="5" t="s">
        <v>967</v>
      </c>
    </row>
    <row r="231" ht="33" spans="1:20">
      <c r="A231" s="4">
        <v>230</v>
      </c>
      <c r="B231" s="5" t="s">
        <v>966</v>
      </c>
      <c r="C231" s="5" t="s">
        <v>621</v>
      </c>
      <c r="D231" s="5" t="s">
        <v>118</v>
      </c>
      <c r="E231" s="5" t="s">
        <v>622</v>
      </c>
      <c r="F231" s="4" t="s">
        <v>32</v>
      </c>
      <c r="G231" s="6" t="s">
        <v>2123</v>
      </c>
      <c r="H231" s="6" t="s">
        <v>2124</v>
      </c>
      <c r="I231" s="6" t="s">
        <v>1003</v>
      </c>
      <c r="J231" s="6" t="s">
        <v>967</v>
      </c>
      <c r="K231" s="6" t="s">
        <v>2125</v>
      </c>
      <c r="L231" s="6" t="s">
        <v>2126</v>
      </c>
      <c r="M231" s="6" t="s">
        <v>2127</v>
      </c>
      <c r="N231" s="6" t="s">
        <v>2128</v>
      </c>
      <c r="O231" s="6" t="s">
        <v>967</v>
      </c>
      <c r="P231" s="5" t="s">
        <v>967</v>
      </c>
      <c r="Q231" s="5" t="s">
        <v>967</v>
      </c>
      <c r="R231" s="5" t="s">
        <v>967</v>
      </c>
      <c r="S231" s="5" t="s">
        <v>967</v>
      </c>
      <c r="T231" s="5" t="s">
        <v>967</v>
      </c>
    </row>
    <row r="232" ht="33" spans="1:20">
      <c r="A232" s="4">
        <v>231</v>
      </c>
      <c r="B232" s="5" t="s">
        <v>966</v>
      </c>
      <c r="C232" s="5" t="s">
        <v>623</v>
      </c>
      <c r="D232" s="5" t="s">
        <v>624</v>
      </c>
      <c r="E232" s="5" t="s">
        <v>625</v>
      </c>
      <c r="F232" s="4" t="s">
        <v>32</v>
      </c>
      <c r="G232" s="6" t="s">
        <v>2129</v>
      </c>
      <c r="H232" s="6" t="s">
        <v>2130</v>
      </c>
      <c r="I232" s="6" t="s">
        <v>967</v>
      </c>
      <c r="J232" s="6" t="s">
        <v>967</v>
      </c>
      <c r="K232" s="6" t="s">
        <v>2131</v>
      </c>
      <c r="L232" s="6" t="s">
        <v>2132</v>
      </c>
      <c r="M232" s="6" t="s">
        <v>2133</v>
      </c>
      <c r="N232" s="6" t="s">
        <v>2134</v>
      </c>
      <c r="O232" s="6" t="s">
        <v>967</v>
      </c>
      <c r="P232" s="5" t="s">
        <v>967</v>
      </c>
      <c r="Q232" s="5" t="s">
        <v>967</v>
      </c>
      <c r="R232" s="5" t="s">
        <v>967</v>
      </c>
      <c r="S232" s="5" t="s">
        <v>967</v>
      </c>
      <c r="T232" s="5" t="s">
        <v>967</v>
      </c>
    </row>
    <row r="233" ht="33" spans="1:20">
      <c r="A233" s="4">
        <v>232</v>
      </c>
      <c r="B233" s="5" t="s">
        <v>966</v>
      </c>
      <c r="C233" s="5" t="s">
        <v>626</v>
      </c>
      <c r="D233" s="5" t="s">
        <v>624</v>
      </c>
      <c r="E233" s="5" t="s">
        <v>627</v>
      </c>
      <c r="F233" s="4" t="s">
        <v>32</v>
      </c>
      <c r="G233" s="6" t="s">
        <v>2135</v>
      </c>
      <c r="H233" s="6" t="s">
        <v>1003</v>
      </c>
      <c r="I233" s="6" t="s">
        <v>1003</v>
      </c>
      <c r="J233" s="6" t="s">
        <v>967</v>
      </c>
      <c r="K233" s="6" t="s">
        <v>2136</v>
      </c>
      <c r="L233" s="6" t="s">
        <v>2137</v>
      </c>
      <c r="M233" s="6" t="s">
        <v>2138</v>
      </c>
      <c r="N233" s="6" t="s">
        <v>1003</v>
      </c>
      <c r="O233" s="6" t="s">
        <v>967</v>
      </c>
      <c r="P233" s="5" t="s">
        <v>967</v>
      </c>
      <c r="Q233" s="5" t="s">
        <v>967</v>
      </c>
      <c r="R233" s="5" t="s">
        <v>967</v>
      </c>
      <c r="S233" s="5" t="s">
        <v>967</v>
      </c>
      <c r="T233" s="5" t="s">
        <v>967</v>
      </c>
    </row>
    <row r="234" ht="33" spans="1:20">
      <c r="A234" s="4">
        <v>233</v>
      </c>
      <c r="B234" s="5" t="s">
        <v>966</v>
      </c>
      <c r="C234" s="5" t="s">
        <v>628</v>
      </c>
      <c r="D234" s="5" t="s">
        <v>624</v>
      </c>
      <c r="E234" s="5" t="s">
        <v>629</v>
      </c>
      <c r="F234" s="4" t="s">
        <v>32</v>
      </c>
      <c r="G234" s="6" t="s">
        <v>2139</v>
      </c>
      <c r="H234" s="6" t="s">
        <v>2140</v>
      </c>
      <c r="I234" s="6" t="s">
        <v>2141</v>
      </c>
      <c r="J234" s="6" t="s">
        <v>967</v>
      </c>
      <c r="K234" s="6" t="s">
        <v>2142</v>
      </c>
      <c r="L234" s="6" t="s">
        <v>2137</v>
      </c>
      <c r="M234" s="6" t="s">
        <v>2143</v>
      </c>
      <c r="N234" s="6" t="s">
        <v>2144</v>
      </c>
      <c r="O234" s="6" t="s">
        <v>967</v>
      </c>
      <c r="P234" s="5" t="s">
        <v>967</v>
      </c>
      <c r="Q234" s="5" t="s">
        <v>967</v>
      </c>
      <c r="R234" s="5" t="s">
        <v>967</v>
      </c>
      <c r="S234" s="5" t="s">
        <v>967</v>
      </c>
      <c r="T234" s="5" t="s">
        <v>967</v>
      </c>
    </row>
    <row r="235" ht="33" spans="1:20">
      <c r="A235" s="4">
        <v>234</v>
      </c>
      <c r="B235" s="5" t="s">
        <v>966</v>
      </c>
      <c r="C235" s="5" t="s">
        <v>630</v>
      </c>
      <c r="D235" s="5" t="s">
        <v>624</v>
      </c>
      <c r="E235" s="5" t="s">
        <v>631</v>
      </c>
      <c r="F235" s="4" t="s">
        <v>32</v>
      </c>
      <c r="G235" s="6" t="s">
        <v>1155</v>
      </c>
      <c r="H235" s="6" t="s">
        <v>1003</v>
      </c>
      <c r="I235" s="6" t="s">
        <v>1003</v>
      </c>
      <c r="J235" s="6" t="s">
        <v>967</v>
      </c>
      <c r="K235" s="6" t="s">
        <v>2145</v>
      </c>
      <c r="L235" s="6" t="s">
        <v>2146</v>
      </c>
      <c r="M235" s="6" t="s">
        <v>2147</v>
      </c>
      <c r="N235" s="6" t="s">
        <v>1003</v>
      </c>
      <c r="O235" s="6" t="s">
        <v>967</v>
      </c>
      <c r="P235" s="5" t="s">
        <v>967</v>
      </c>
      <c r="Q235" s="5" t="s">
        <v>967</v>
      </c>
      <c r="R235" s="5" t="s">
        <v>967</v>
      </c>
      <c r="S235" s="5" t="s">
        <v>967</v>
      </c>
      <c r="T235" s="5" t="s">
        <v>967</v>
      </c>
    </row>
    <row r="236" ht="33" spans="1:20">
      <c r="A236" s="4">
        <v>235</v>
      </c>
      <c r="B236" s="5" t="s">
        <v>966</v>
      </c>
      <c r="C236" s="5" t="s">
        <v>632</v>
      </c>
      <c r="D236" s="5" t="s">
        <v>633</v>
      </c>
      <c r="E236" s="5" t="s">
        <v>634</v>
      </c>
      <c r="F236" s="4" t="s">
        <v>32</v>
      </c>
      <c r="G236" s="6" t="s">
        <v>2148</v>
      </c>
      <c r="H236" s="6" t="s">
        <v>2149</v>
      </c>
      <c r="I236" s="6" t="s">
        <v>967</v>
      </c>
      <c r="J236" s="6" t="s">
        <v>967</v>
      </c>
      <c r="K236" s="6" t="s">
        <v>2150</v>
      </c>
      <c r="L236" s="6" t="s">
        <v>2151</v>
      </c>
      <c r="M236" s="6" t="s">
        <v>2152</v>
      </c>
      <c r="N236" s="6" t="s">
        <v>2153</v>
      </c>
      <c r="O236" s="6" t="s">
        <v>967</v>
      </c>
      <c r="P236" s="5" t="s">
        <v>635</v>
      </c>
      <c r="Q236" s="5" t="s">
        <v>967</v>
      </c>
      <c r="R236" s="5" t="s">
        <v>967</v>
      </c>
      <c r="S236" s="5" t="s">
        <v>967</v>
      </c>
      <c r="T236" s="5" t="s">
        <v>967</v>
      </c>
    </row>
    <row r="237" ht="33" spans="1:20">
      <c r="A237" s="4">
        <v>236</v>
      </c>
      <c r="B237" s="5" t="s">
        <v>966</v>
      </c>
      <c r="C237" s="5" t="s">
        <v>636</v>
      </c>
      <c r="D237" s="5" t="s">
        <v>633</v>
      </c>
      <c r="E237" s="5" t="s">
        <v>625</v>
      </c>
      <c r="F237" s="4" t="s">
        <v>32</v>
      </c>
      <c r="G237" s="6" t="s">
        <v>2154</v>
      </c>
      <c r="H237" s="6" t="s">
        <v>2155</v>
      </c>
      <c r="I237" s="6" t="s">
        <v>967</v>
      </c>
      <c r="J237" s="6" t="s">
        <v>967</v>
      </c>
      <c r="K237" s="6" t="s">
        <v>2131</v>
      </c>
      <c r="L237" s="6" t="s">
        <v>2156</v>
      </c>
      <c r="M237" s="6" t="s">
        <v>2157</v>
      </c>
      <c r="N237" s="6" t="s">
        <v>2158</v>
      </c>
      <c r="O237" s="6" t="s">
        <v>967</v>
      </c>
      <c r="P237" s="5" t="s">
        <v>967</v>
      </c>
      <c r="Q237" s="5" t="s">
        <v>967</v>
      </c>
      <c r="R237" s="5" t="s">
        <v>967</v>
      </c>
      <c r="S237" s="5" t="s">
        <v>967</v>
      </c>
      <c r="T237" s="5" t="s">
        <v>967</v>
      </c>
    </row>
    <row r="238" ht="33" spans="1:20">
      <c r="A238" s="4">
        <v>237</v>
      </c>
      <c r="B238" s="5" t="s">
        <v>966</v>
      </c>
      <c r="C238" s="5" t="s">
        <v>637</v>
      </c>
      <c r="D238" s="5" t="s">
        <v>633</v>
      </c>
      <c r="E238" s="5" t="s">
        <v>627</v>
      </c>
      <c r="F238" s="4" t="s">
        <v>32</v>
      </c>
      <c r="G238" s="6" t="s">
        <v>2159</v>
      </c>
      <c r="H238" s="6" t="s">
        <v>2160</v>
      </c>
      <c r="I238" s="6" t="s">
        <v>967</v>
      </c>
      <c r="J238" s="6" t="s">
        <v>967</v>
      </c>
      <c r="K238" s="6" t="s">
        <v>2136</v>
      </c>
      <c r="L238" s="6" t="s">
        <v>2161</v>
      </c>
      <c r="M238" s="6" t="s">
        <v>2162</v>
      </c>
      <c r="N238" s="6" t="s">
        <v>2163</v>
      </c>
      <c r="O238" s="6" t="s">
        <v>967</v>
      </c>
      <c r="P238" s="5" t="s">
        <v>967</v>
      </c>
      <c r="Q238" s="5" t="s">
        <v>967</v>
      </c>
      <c r="R238" s="5" t="s">
        <v>967</v>
      </c>
      <c r="S238" s="5" t="s">
        <v>967</v>
      </c>
      <c r="T238" s="5" t="s">
        <v>967</v>
      </c>
    </row>
    <row r="239" ht="33" spans="1:20">
      <c r="A239" s="4">
        <v>238</v>
      </c>
      <c r="B239" s="5" t="s">
        <v>966</v>
      </c>
      <c r="C239" s="5" t="s">
        <v>638</v>
      </c>
      <c r="D239" s="5" t="s">
        <v>633</v>
      </c>
      <c r="E239" s="5" t="s">
        <v>639</v>
      </c>
      <c r="F239" s="4" t="s">
        <v>32</v>
      </c>
      <c r="G239" s="6" t="s">
        <v>2164</v>
      </c>
      <c r="H239" s="6" t="s">
        <v>2165</v>
      </c>
      <c r="I239" s="6" t="s">
        <v>2166</v>
      </c>
      <c r="J239" s="6" t="s">
        <v>967</v>
      </c>
      <c r="K239" s="6" t="s">
        <v>2167</v>
      </c>
      <c r="L239" s="6" t="s">
        <v>2168</v>
      </c>
      <c r="M239" s="6" t="s">
        <v>2169</v>
      </c>
      <c r="N239" s="6" t="s">
        <v>2170</v>
      </c>
      <c r="O239" s="6" t="s">
        <v>967</v>
      </c>
      <c r="P239" s="5" t="s">
        <v>967</v>
      </c>
      <c r="Q239" s="5" t="s">
        <v>967</v>
      </c>
      <c r="R239" s="5" t="s">
        <v>967</v>
      </c>
      <c r="S239" s="5" t="s">
        <v>967</v>
      </c>
      <c r="T239" s="5" t="s">
        <v>967</v>
      </c>
    </row>
    <row r="240" ht="33" spans="1:20">
      <c r="A240" s="4">
        <v>239</v>
      </c>
      <c r="B240" s="5" t="s">
        <v>966</v>
      </c>
      <c r="C240" s="5" t="s">
        <v>640</v>
      </c>
      <c r="D240" s="5" t="s">
        <v>633</v>
      </c>
      <c r="E240" s="5" t="s">
        <v>641</v>
      </c>
      <c r="F240" s="4" t="s">
        <v>32</v>
      </c>
      <c r="G240" s="6" t="s">
        <v>2171</v>
      </c>
      <c r="H240" s="6" t="s">
        <v>2172</v>
      </c>
      <c r="I240" s="6" t="s">
        <v>2173</v>
      </c>
      <c r="J240" s="6" t="s">
        <v>967</v>
      </c>
      <c r="K240" s="6" t="s">
        <v>2174</v>
      </c>
      <c r="L240" s="6" t="s">
        <v>2175</v>
      </c>
      <c r="M240" s="6" t="s">
        <v>2176</v>
      </c>
      <c r="N240" s="6" t="s">
        <v>2177</v>
      </c>
      <c r="O240" s="6" t="s">
        <v>967</v>
      </c>
      <c r="P240" s="5" t="s">
        <v>967</v>
      </c>
      <c r="Q240" s="5" t="s">
        <v>967</v>
      </c>
      <c r="R240" s="5" t="s">
        <v>967</v>
      </c>
      <c r="S240" s="5" t="s">
        <v>967</v>
      </c>
      <c r="T240" s="5" t="s">
        <v>967</v>
      </c>
    </row>
    <row r="241" ht="33" spans="1:20">
      <c r="A241" s="4">
        <v>240</v>
      </c>
      <c r="B241" s="5" t="s">
        <v>966</v>
      </c>
      <c r="C241" s="5" t="s">
        <v>642</v>
      </c>
      <c r="D241" s="5" t="s">
        <v>633</v>
      </c>
      <c r="E241" s="5" t="s">
        <v>643</v>
      </c>
      <c r="F241" s="4" t="s">
        <v>32</v>
      </c>
      <c r="G241" s="6" t="s">
        <v>2178</v>
      </c>
      <c r="H241" s="6" t="s">
        <v>1003</v>
      </c>
      <c r="I241" s="6" t="s">
        <v>1003</v>
      </c>
      <c r="J241" s="6" t="s">
        <v>967</v>
      </c>
      <c r="K241" s="6" t="s">
        <v>2179</v>
      </c>
      <c r="L241" s="6" t="s">
        <v>2180</v>
      </c>
      <c r="M241" s="6" t="s">
        <v>2181</v>
      </c>
      <c r="N241" s="6" t="s">
        <v>1003</v>
      </c>
      <c r="O241" s="6" t="s">
        <v>1003</v>
      </c>
      <c r="P241" s="5" t="s">
        <v>967</v>
      </c>
      <c r="Q241" s="5" t="s">
        <v>967</v>
      </c>
      <c r="R241" s="5" t="s">
        <v>967</v>
      </c>
      <c r="S241" s="5" t="s">
        <v>967</v>
      </c>
      <c r="T241" s="5" t="s">
        <v>967</v>
      </c>
    </row>
    <row r="242" ht="33" spans="1:20">
      <c r="A242" s="4">
        <v>241</v>
      </c>
      <c r="B242" s="5" t="s">
        <v>966</v>
      </c>
      <c r="C242" s="5" t="s">
        <v>644</v>
      </c>
      <c r="D242" s="5" t="s">
        <v>633</v>
      </c>
      <c r="E242" s="5" t="s">
        <v>645</v>
      </c>
      <c r="F242" s="4" t="s">
        <v>32</v>
      </c>
      <c r="G242" s="6" t="s">
        <v>2182</v>
      </c>
      <c r="H242" s="6" t="s">
        <v>2183</v>
      </c>
      <c r="I242" s="6" t="s">
        <v>967</v>
      </c>
      <c r="J242" s="6" t="s">
        <v>967</v>
      </c>
      <c r="K242" s="6" t="s">
        <v>2184</v>
      </c>
      <c r="L242" s="6" t="s">
        <v>2185</v>
      </c>
      <c r="M242" s="6" t="s">
        <v>2186</v>
      </c>
      <c r="N242" s="6" t="s">
        <v>2187</v>
      </c>
      <c r="O242" s="6" t="s">
        <v>967</v>
      </c>
      <c r="P242" s="5" t="s">
        <v>967</v>
      </c>
      <c r="Q242" s="5" t="s">
        <v>967</v>
      </c>
      <c r="R242" s="5" t="s">
        <v>967</v>
      </c>
      <c r="S242" s="5" t="s">
        <v>967</v>
      </c>
      <c r="T242" s="5" t="s">
        <v>967</v>
      </c>
    </row>
    <row r="243" ht="33" spans="1:20">
      <c r="A243" s="4">
        <v>242</v>
      </c>
      <c r="B243" s="5" t="s">
        <v>966</v>
      </c>
      <c r="C243" s="5" t="s">
        <v>646</v>
      </c>
      <c r="D243" s="5" t="s">
        <v>633</v>
      </c>
      <c r="E243" s="5" t="s">
        <v>647</v>
      </c>
      <c r="F243" s="4" t="s">
        <v>32</v>
      </c>
      <c r="G243" s="6" t="s">
        <v>2188</v>
      </c>
      <c r="H243" s="6" t="s">
        <v>1236</v>
      </c>
      <c r="I243" s="6" t="s">
        <v>967</v>
      </c>
      <c r="J243" s="6" t="s">
        <v>967</v>
      </c>
      <c r="K243" s="6" t="s">
        <v>2052</v>
      </c>
      <c r="L243" s="6" t="s">
        <v>2189</v>
      </c>
      <c r="M243" s="6" t="s">
        <v>2190</v>
      </c>
      <c r="N243" s="6" t="s">
        <v>2191</v>
      </c>
      <c r="O243" s="6" t="s">
        <v>967</v>
      </c>
      <c r="P243" s="5" t="s">
        <v>967</v>
      </c>
      <c r="Q243" s="5" t="s">
        <v>967</v>
      </c>
      <c r="R243" s="5" t="s">
        <v>967</v>
      </c>
      <c r="S243" s="5" t="s">
        <v>967</v>
      </c>
      <c r="T243" s="5" t="s">
        <v>967</v>
      </c>
    </row>
    <row r="244" ht="33" spans="1:20">
      <c r="A244" s="4">
        <v>243</v>
      </c>
      <c r="B244" s="5" t="s">
        <v>966</v>
      </c>
      <c r="C244" s="5" t="s">
        <v>648</v>
      </c>
      <c r="D244" s="5" t="s">
        <v>633</v>
      </c>
      <c r="E244" s="5" t="s">
        <v>649</v>
      </c>
      <c r="F244" s="4" t="s">
        <v>32</v>
      </c>
      <c r="G244" s="6" t="s">
        <v>2192</v>
      </c>
      <c r="H244" s="6" t="s">
        <v>1003</v>
      </c>
      <c r="I244" s="6" t="s">
        <v>1003</v>
      </c>
      <c r="J244" s="6" t="s">
        <v>967</v>
      </c>
      <c r="K244" s="6" t="s">
        <v>2193</v>
      </c>
      <c r="L244" s="6" t="s">
        <v>2194</v>
      </c>
      <c r="M244" s="6" t="s">
        <v>2195</v>
      </c>
      <c r="N244" s="6" t="s">
        <v>1003</v>
      </c>
      <c r="O244" s="6" t="s">
        <v>967</v>
      </c>
      <c r="P244" s="5" t="s">
        <v>967</v>
      </c>
      <c r="Q244" s="5" t="s">
        <v>967</v>
      </c>
      <c r="R244" s="5" t="s">
        <v>967</v>
      </c>
      <c r="S244" s="5" t="s">
        <v>967</v>
      </c>
      <c r="T244" s="5" t="s">
        <v>967</v>
      </c>
    </row>
    <row r="245" ht="33" spans="1:20">
      <c r="A245" s="4">
        <v>244</v>
      </c>
      <c r="B245" s="5" t="s">
        <v>966</v>
      </c>
      <c r="C245" s="5" t="s">
        <v>650</v>
      </c>
      <c r="D245" s="5" t="s">
        <v>633</v>
      </c>
      <c r="E245" s="5" t="s">
        <v>651</v>
      </c>
      <c r="F245" s="4" t="s">
        <v>32</v>
      </c>
      <c r="G245" s="6" t="s">
        <v>2196</v>
      </c>
      <c r="H245" s="6" t="s">
        <v>1003</v>
      </c>
      <c r="I245" s="6" t="s">
        <v>1003</v>
      </c>
      <c r="J245" s="6" t="s">
        <v>967</v>
      </c>
      <c r="K245" s="6" t="s">
        <v>2197</v>
      </c>
      <c r="L245" s="6" t="s">
        <v>2198</v>
      </c>
      <c r="M245" s="6" t="s">
        <v>2199</v>
      </c>
      <c r="N245" s="6" t="s">
        <v>1003</v>
      </c>
      <c r="O245" s="6" t="s">
        <v>967</v>
      </c>
      <c r="P245" s="5" t="s">
        <v>967</v>
      </c>
      <c r="Q245" s="5" t="s">
        <v>967</v>
      </c>
      <c r="R245" s="5" t="s">
        <v>967</v>
      </c>
      <c r="S245" s="5" t="s">
        <v>967</v>
      </c>
      <c r="T245" s="5" t="s">
        <v>967</v>
      </c>
    </row>
    <row r="246" ht="33" spans="1:20">
      <c r="A246" s="4">
        <v>245</v>
      </c>
      <c r="B246" s="5" t="s">
        <v>966</v>
      </c>
      <c r="C246" s="5" t="s">
        <v>652</v>
      </c>
      <c r="D246" s="5" t="s">
        <v>633</v>
      </c>
      <c r="E246" s="5" t="s">
        <v>653</v>
      </c>
      <c r="F246" s="4" t="s">
        <v>32</v>
      </c>
      <c r="G246" s="6" t="s">
        <v>2200</v>
      </c>
      <c r="H246" s="6" t="s">
        <v>1003</v>
      </c>
      <c r="I246" s="6" t="s">
        <v>1003</v>
      </c>
      <c r="J246" s="6" t="s">
        <v>967</v>
      </c>
      <c r="K246" s="6" t="s">
        <v>2201</v>
      </c>
      <c r="L246" s="6" t="s">
        <v>2202</v>
      </c>
      <c r="M246" s="6" t="s">
        <v>2203</v>
      </c>
      <c r="N246" s="6" t="s">
        <v>1003</v>
      </c>
      <c r="O246" s="6" t="s">
        <v>967</v>
      </c>
      <c r="P246" s="5" t="s">
        <v>967</v>
      </c>
      <c r="Q246" s="5" t="s">
        <v>967</v>
      </c>
      <c r="R246" s="5" t="s">
        <v>967</v>
      </c>
      <c r="S246" s="5" t="s">
        <v>967</v>
      </c>
      <c r="T246" s="5" t="s">
        <v>967</v>
      </c>
    </row>
    <row r="247" ht="49.5" spans="1:20">
      <c r="A247" s="4">
        <v>246</v>
      </c>
      <c r="B247" s="5" t="s">
        <v>966</v>
      </c>
      <c r="C247" s="5" t="s">
        <v>654</v>
      </c>
      <c r="D247" s="5" t="s">
        <v>655</v>
      </c>
      <c r="E247" s="5" t="s">
        <v>656</v>
      </c>
      <c r="F247" s="4" t="s">
        <v>32</v>
      </c>
      <c r="G247" s="6" t="s">
        <v>2204</v>
      </c>
      <c r="H247" s="6" t="s">
        <v>2205</v>
      </c>
      <c r="I247" s="6" t="s">
        <v>967</v>
      </c>
      <c r="J247" s="6" t="s">
        <v>967</v>
      </c>
      <c r="K247" s="6" t="s">
        <v>2150</v>
      </c>
      <c r="L247" s="6" t="s">
        <v>2180</v>
      </c>
      <c r="M247" s="6" t="s">
        <v>2206</v>
      </c>
      <c r="N247" s="6" t="s">
        <v>2207</v>
      </c>
      <c r="O247" s="6" t="s">
        <v>967</v>
      </c>
      <c r="P247" s="5" t="s">
        <v>967</v>
      </c>
      <c r="Q247" s="5" t="s">
        <v>967</v>
      </c>
      <c r="R247" s="5" t="s">
        <v>967</v>
      </c>
      <c r="S247" s="5" t="s">
        <v>967</v>
      </c>
      <c r="T247" s="5" t="s">
        <v>967</v>
      </c>
    </row>
    <row r="248" ht="49.5" spans="1:20">
      <c r="A248" s="4">
        <v>247</v>
      </c>
      <c r="B248" s="5" t="s">
        <v>966</v>
      </c>
      <c r="C248" s="5" t="s">
        <v>657</v>
      </c>
      <c r="D248" s="5" t="s">
        <v>658</v>
      </c>
      <c r="E248" s="5" t="s">
        <v>659</v>
      </c>
      <c r="F248" s="4" t="s">
        <v>32</v>
      </c>
      <c r="G248" s="6" t="s">
        <v>2208</v>
      </c>
      <c r="H248" s="6" t="s">
        <v>2209</v>
      </c>
      <c r="I248" s="6" t="s">
        <v>967</v>
      </c>
      <c r="J248" s="6" t="s">
        <v>967</v>
      </c>
      <c r="K248" s="6" t="s">
        <v>2098</v>
      </c>
      <c r="L248" s="6" t="s">
        <v>2099</v>
      </c>
      <c r="M248" s="6" t="s">
        <v>2210</v>
      </c>
      <c r="N248" s="6" t="s">
        <v>2211</v>
      </c>
      <c r="O248" s="6" t="s">
        <v>967</v>
      </c>
      <c r="P248" s="5" t="s">
        <v>967</v>
      </c>
      <c r="Q248" s="5" t="s">
        <v>967</v>
      </c>
      <c r="R248" s="5" t="s">
        <v>967</v>
      </c>
      <c r="S248" s="5" t="s">
        <v>967</v>
      </c>
      <c r="T248" s="5" t="s">
        <v>967</v>
      </c>
    </row>
    <row r="249" ht="49.5" spans="1:20">
      <c r="A249" s="4">
        <v>248</v>
      </c>
      <c r="B249" s="5" t="s">
        <v>966</v>
      </c>
      <c r="C249" s="5" t="s">
        <v>660</v>
      </c>
      <c r="D249" s="5" t="s">
        <v>661</v>
      </c>
      <c r="E249" s="5" t="s">
        <v>662</v>
      </c>
      <c r="F249" s="4" t="s">
        <v>32</v>
      </c>
      <c r="G249" s="6" t="s">
        <v>2212</v>
      </c>
      <c r="H249" s="6" t="s">
        <v>2213</v>
      </c>
      <c r="I249" s="6" t="s">
        <v>1003</v>
      </c>
      <c r="J249" s="6" t="s">
        <v>967</v>
      </c>
      <c r="K249" s="6" t="s">
        <v>2079</v>
      </c>
      <c r="L249" s="6" t="s">
        <v>2080</v>
      </c>
      <c r="M249" s="6" t="s">
        <v>2214</v>
      </c>
      <c r="N249" s="6" t="s">
        <v>2215</v>
      </c>
      <c r="O249" s="6" t="s">
        <v>967</v>
      </c>
      <c r="P249" s="5" t="s">
        <v>967</v>
      </c>
      <c r="Q249" s="5" t="s">
        <v>967</v>
      </c>
      <c r="R249" s="5" t="s">
        <v>967</v>
      </c>
      <c r="S249" s="5" t="s">
        <v>967</v>
      </c>
      <c r="T249" s="5" t="s">
        <v>967</v>
      </c>
    </row>
    <row r="250" ht="33" spans="1:20">
      <c r="A250" s="4">
        <v>249</v>
      </c>
      <c r="B250" s="5" t="s">
        <v>966</v>
      </c>
      <c r="C250" s="5" t="s">
        <v>663</v>
      </c>
      <c r="D250" s="5" t="s">
        <v>664</v>
      </c>
      <c r="E250" s="5" t="s">
        <v>665</v>
      </c>
      <c r="F250" s="4" t="s">
        <v>32</v>
      </c>
      <c r="G250" s="6" t="s">
        <v>2216</v>
      </c>
      <c r="H250" s="6" t="s">
        <v>2217</v>
      </c>
      <c r="I250" s="6" t="s">
        <v>967</v>
      </c>
      <c r="J250" s="6" t="s">
        <v>967</v>
      </c>
      <c r="K250" s="6" t="s">
        <v>2218</v>
      </c>
      <c r="L250" s="6" t="s">
        <v>2219</v>
      </c>
      <c r="M250" s="6" t="s">
        <v>2220</v>
      </c>
      <c r="N250" s="6" t="s">
        <v>2221</v>
      </c>
      <c r="O250" s="6" t="s">
        <v>967</v>
      </c>
      <c r="P250" s="5" t="s">
        <v>967</v>
      </c>
      <c r="Q250" s="5" t="s">
        <v>967</v>
      </c>
      <c r="R250" s="5" t="s">
        <v>967</v>
      </c>
      <c r="S250" s="5" t="s">
        <v>967</v>
      </c>
      <c r="T250" s="5" t="s">
        <v>967</v>
      </c>
    </row>
    <row r="251" ht="33" spans="1:20">
      <c r="A251" s="4">
        <v>250</v>
      </c>
      <c r="B251" s="5" t="s">
        <v>966</v>
      </c>
      <c r="C251" s="5" t="s">
        <v>666</v>
      </c>
      <c r="D251" s="5" t="s">
        <v>141</v>
      </c>
      <c r="E251" s="5" t="s">
        <v>667</v>
      </c>
      <c r="F251" s="4" t="s">
        <v>32</v>
      </c>
      <c r="G251" s="6" t="s">
        <v>2222</v>
      </c>
      <c r="H251" s="6" t="s">
        <v>2223</v>
      </c>
      <c r="I251" s="6" t="s">
        <v>967</v>
      </c>
      <c r="J251" s="6" t="s">
        <v>967</v>
      </c>
      <c r="K251" s="6" t="s">
        <v>2224</v>
      </c>
      <c r="L251" s="6" t="s">
        <v>2225</v>
      </c>
      <c r="M251" s="6" t="s">
        <v>2226</v>
      </c>
      <c r="N251" s="6" t="s">
        <v>2227</v>
      </c>
      <c r="O251" s="6" t="s">
        <v>967</v>
      </c>
      <c r="P251" s="5" t="s">
        <v>967</v>
      </c>
      <c r="Q251" s="5" t="s">
        <v>967</v>
      </c>
      <c r="R251" s="5" t="s">
        <v>967</v>
      </c>
      <c r="S251" s="5" t="s">
        <v>967</v>
      </c>
      <c r="T251" s="5" t="s">
        <v>967</v>
      </c>
    </row>
    <row r="252" ht="33" spans="1:20">
      <c r="A252" s="4">
        <v>251</v>
      </c>
      <c r="B252" s="5" t="s">
        <v>966</v>
      </c>
      <c r="C252" s="5" t="s">
        <v>668</v>
      </c>
      <c r="D252" s="5" t="s">
        <v>669</v>
      </c>
      <c r="E252" s="5" t="s">
        <v>670</v>
      </c>
      <c r="F252" s="4" t="s">
        <v>32</v>
      </c>
      <c r="G252" s="6" t="s">
        <v>2228</v>
      </c>
      <c r="H252" s="6" t="s">
        <v>2229</v>
      </c>
      <c r="I252" s="6" t="s">
        <v>967</v>
      </c>
      <c r="J252" s="6" t="s">
        <v>967</v>
      </c>
      <c r="K252" s="6" t="s">
        <v>2230</v>
      </c>
      <c r="L252" s="6" t="s">
        <v>2231</v>
      </c>
      <c r="M252" s="6" t="s">
        <v>2232</v>
      </c>
      <c r="N252" s="6" t="s">
        <v>2233</v>
      </c>
      <c r="O252" s="6" t="s">
        <v>967</v>
      </c>
      <c r="P252" s="5" t="s">
        <v>967</v>
      </c>
      <c r="Q252" s="5" t="s">
        <v>967</v>
      </c>
      <c r="R252" s="5" t="s">
        <v>967</v>
      </c>
      <c r="S252" s="5" t="s">
        <v>967</v>
      </c>
      <c r="T252" s="5" t="s">
        <v>967</v>
      </c>
    </row>
    <row r="253" ht="33" spans="1:20">
      <c r="A253" s="4">
        <v>252</v>
      </c>
      <c r="B253" s="5" t="s">
        <v>966</v>
      </c>
      <c r="C253" s="5" t="s">
        <v>671</v>
      </c>
      <c r="D253" s="5" t="s">
        <v>672</v>
      </c>
      <c r="E253" s="5" t="s">
        <v>673</v>
      </c>
      <c r="F253" s="4" t="s">
        <v>32</v>
      </c>
      <c r="G253" s="6" t="s">
        <v>2234</v>
      </c>
      <c r="H253" s="6" t="s">
        <v>2235</v>
      </c>
      <c r="I253" s="6" t="s">
        <v>967</v>
      </c>
      <c r="J253" s="6" t="s">
        <v>967</v>
      </c>
      <c r="K253" s="6" t="s">
        <v>2236</v>
      </c>
      <c r="L253" s="6" t="s">
        <v>2237</v>
      </c>
      <c r="M253" s="6" t="s">
        <v>2238</v>
      </c>
      <c r="N253" s="6" t="s">
        <v>2239</v>
      </c>
      <c r="O253" s="6" t="s">
        <v>967</v>
      </c>
      <c r="P253" s="5" t="s">
        <v>967</v>
      </c>
      <c r="Q253" s="5" t="s">
        <v>967</v>
      </c>
      <c r="R253" s="5" t="s">
        <v>967</v>
      </c>
      <c r="S253" s="5" t="s">
        <v>967</v>
      </c>
      <c r="T253" s="5" t="s">
        <v>967</v>
      </c>
    </row>
    <row r="254" ht="33" spans="1:20">
      <c r="A254" s="4">
        <v>253</v>
      </c>
      <c r="B254" s="5" t="s">
        <v>966</v>
      </c>
      <c r="C254" s="5" t="s">
        <v>674</v>
      </c>
      <c r="D254" s="5" t="s">
        <v>675</v>
      </c>
      <c r="E254" s="5" t="s">
        <v>676</v>
      </c>
      <c r="F254" s="4" t="s">
        <v>32</v>
      </c>
      <c r="G254" s="6" t="s">
        <v>2240</v>
      </c>
      <c r="H254" s="6" t="s">
        <v>2241</v>
      </c>
      <c r="I254" s="6" t="s">
        <v>967</v>
      </c>
      <c r="J254" s="6" t="s">
        <v>967</v>
      </c>
      <c r="K254" s="6" t="s">
        <v>2242</v>
      </c>
      <c r="L254" s="6" t="s">
        <v>2243</v>
      </c>
      <c r="M254" s="6" t="s">
        <v>2244</v>
      </c>
      <c r="N254" s="6" t="s">
        <v>2245</v>
      </c>
      <c r="O254" s="6" t="s">
        <v>967</v>
      </c>
      <c r="P254" s="5" t="s">
        <v>967</v>
      </c>
      <c r="Q254" s="5" t="s">
        <v>967</v>
      </c>
      <c r="R254" s="5" t="s">
        <v>967</v>
      </c>
      <c r="S254" s="5" t="s">
        <v>967</v>
      </c>
      <c r="T254" s="5" t="s">
        <v>967</v>
      </c>
    </row>
    <row r="255" ht="33" spans="1:20">
      <c r="A255" s="4">
        <v>254</v>
      </c>
      <c r="B255" s="5" t="s">
        <v>966</v>
      </c>
      <c r="C255" s="5" t="s">
        <v>677</v>
      </c>
      <c r="D255" s="5" t="s">
        <v>678</v>
      </c>
      <c r="E255" s="5" t="s">
        <v>679</v>
      </c>
      <c r="F255" s="4" t="s">
        <v>32</v>
      </c>
      <c r="G255" s="6" t="s">
        <v>2246</v>
      </c>
      <c r="H255" s="6" t="s">
        <v>1900</v>
      </c>
      <c r="I255" s="6" t="s">
        <v>967</v>
      </c>
      <c r="J255" s="6" t="s">
        <v>967</v>
      </c>
      <c r="K255" s="6" t="s">
        <v>2247</v>
      </c>
      <c r="L255" s="6" t="s">
        <v>2248</v>
      </c>
      <c r="M255" s="6" t="s">
        <v>2249</v>
      </c>
      <c r="N255" s="6" t="s">
        <v>2250</v>
      </c>
      <c r="O255" s="6" t="s">
        <v>967</v>
      </c>
      <c r="P255" s="5" t="s">
        <v>967</v>
      </c>
      <c r="Q255" s="5" t="s">
        <v>680</v>
      </c>
      <c r="R255" s="5" t="s">
        <v>967</v>
      </c>
      <c r="S255" s="5" t="s">
        <v>967</v>
      </c>
      <c r="T255" s="5" t="s">
        <v>967</v>
      </c>
    </row>
    <row r="256" ht="33" spans="1:20">
      <c r="A256" s="4">
        <v>255</v>
      </c>
      <c r="B256" s="5" t="s">
        <v>966</v>
      </c>
      <c r="C256" s="5" t="s">
        <v>681</v>
      </c>
      <c r="D256" s="5" t="s">
        <v>682</v>
      </c>
      <c r="E256" s="5" t="s">
        <v>683</v>
      </c>
      <c r="F256" s="4" t="s">
        <v>684</v>
      </c>
      <c r="G256" s="6" t="s">
        <v>1896</v>
      </c>
      <c r="H256" s="6" t="s">
        <v>1896</v>
      </c>
      <c r="I256" s="6" t="s">
        <v>1896</v>
      </c>
      <c r="J256" s="6" t="s">
        <v>967</v>
      </c>
      <c r="K256" s="6" t="s">
        <v>2251</v>
      </c>
      <c r="L256" s="6" t="s">
        <v>2252</v>
      </c>
      <c r="M256" s="6" t="s">
        <v>2251</v>
      </c>
      <c r="N256" s="6" t="s">
        <v>2251</v>
      </c>
      <c r="O256" s="6" t="s">
        <v>967</v>
      </c>
      <c r="P256" s="5" t="s">
        <v>967</v>
      </c>
      <c r="Q256" s="5" t="s">
        <v>967</v>
      </c>
      <c r="R256" s="5" t="s">
        <v>967</v>
      </c>
      <c r="S256" s="5" t="s">
        <v>967</v>
      </c>
      <c r="T256" s="5" t="s">
        <v>967</v>
      </c>
    </row>
    <row r="257" ht="33" spans="1:20">
      <c r="A257" s="4">
        <v>256</v>
      </c>
      <c r="B257" s="5" t="s">
        <v>966</v>
      </c>
      <c r="C257" s="5" t="s">
        <v>967</v>
      </c>
      <c r="D257" s="5" t="s">
        <v>686</v>
      </c>
      <c r="E257" s="5" t="s">
        <v>967</v>
      </c>
      <c r="F257" s="4" t="s">
        <v>967</v>
      </c>
      <c r="G257" s="6" t="s">
        <v>967</v>
      </c>
      <c r="H257" s="6" t="s">
        <v>967</v>
      </c>
      <c r="I257" s="6" t="s">
        <v>967</v>
      </c>
      <c r="J257" s="6" t="s">
        <v>967</v>
      </c>
      <c r="K257" s="6" t="s">
        <v>967</v>
      </c>
      <c r="L257" s="6" t="s">
        <v>967</v>
      </c>
      <c r="M257" s="6" t="s">
        <v>2253</v>
      </c>
      <c r="N257" s="6" t="s">
        <v>2254</v>
      </c>
      <c r="O257" s="6" t="s">
        <v>967</v>
      </c>
      <c r="P257" s="5" t="s">
        <v>967</v>
      </c>
      <c r="Q257" s="5" t="s">
        <v>967</v>
      </c>
      <c r="R257" s="5" t="s">
        <v>967</v>
      </c>
      <c r="S257" s="5" t="s">
        <v>967</v>
      </c>
      <c r="T257" s="5" t="s">
        <v>967</v>
      </c>
    </row>
    <row r="258" ht="33" spans="1:20">
      <c r="A258" s="4">
        <v>257</v>
      </c>
      <c r="B258" s="5" t="s">
        <v>966</v>
      </c>
      <c r="C258" s="5" t="s">
        <v>967</v>
      </c>
      <c r="D258" s="5" t="s">
        <v>688</v>
      </c>
      <c r="E258" s="5" t="s">
        <v>967</v>
      </c>
      <c r="F258" s="4" t="s">
        <v>967</v>
      </c>
      <c r="G258" s="6" t="s">
        <v>967</v>
      </c>
      <c r="H258" s="6" t="s">
        <v>967</v>
      </c>
      <c r="I258" s="6" t="s">
        <v>967</v>
      </c>
      <c r="J258" s="6" t="s">
        <v>967</v>
      </c>
      <c r="K258" s="6" t="s">
        <v>967</v>
      </c>
      <c r="L258" s="6" t="s">
        <v>967</v>
      </c>
      <c r="M258" s="6" t="s">
        <v>2255</v>
      </c>
      <c r="N258" s="6" t="s">
        <v>2256</v>
      </c>
      <c r="O258" s="6" t="s">
        <v>967</v>
      </c>
      <c r="P258" s="5" t="s">
        <v>967</v>
      </c>
      <c r="Q258" s="5" t="s">
        <v>967</v>
      </c>
      <c r="R258" s="5" t="s">
        <v>967</v>
      </c>
      <c r="S258" s="5" t="s">
        <v>967</v>
      </c>
      <c r="T258" s="5" t="s">
        <v>967</v>
      </c>
    </row>
    <row r="259" ht="33" spans="1:20">
      <c r="A259" s="4">
        <v>258</v>
      </c>
      <c r="B259" s="5" t="s">
        <v>966</v>
      </c>
      <c r="C259" s="5" t="s">
        <v>967</v>
      </c>
      <c r="D259" s="5" t="s">
        <v>690</v>
      </c>
      <c r="E259" s="5" t="s">
        <v>967</v>
      </c>
      <c r="F259" s="4" t="s">
        <v>967</v>
      </c>
      <c r="G259" s="6" t="s">
        <v>967</v>
      </c>
      <c r="H259" s="6" t="s">
        <v>967</v>
      </c>
      <c r="I259" s="6" t="s">
        <v>967</v>
      </c>
      <c r="J259" s="6" t="s">
        <v>967</v>
      </c>
      <c r="K259" s="6" t="s">
        <v>967</v>
      </c>
      <c r="L259" s="6" t="s">
        <v>967</v>
      </c>
      <c r="M259" s="6" t="s">
        <v>2257</v>
      </c>
      <c r="N259" s="6" t="s">
        <v>2258</v>
      </c>
      <c r="O259" s="6" t="s">
        <v>967</v>
      </c>
      <c r="P259" s="5" t="s">
        <v>967</v>
      </c>
      <c r="Q259" s="5" t="s">
        <v>967</v>
      </c>
      <c r="R259" s="5" t="s">
        <v>967</v>
      </c>
      <c r="S259" s="5" t="s">
        <v>967</v>
      </c>
      <c r="T259" s="5" t="s">
        <v>967</v>
      </c>
    </row>
    <row r="260" ht="33" spans="1:20">
      <c r="A260" s="4">
        <v>259</v>
      </c>
      <c r="B260" s="5" t="s">
        <v>2259</v>
      </c>
      <c r="C260" s="5" t="s">
        <v>967</v>
      </c>
      <c r="D260" s="5" t="s">
        <v>28</v>
      </c>
      <c r="E260" s="5" t="s">
        <v>967</v>
      </c>
      <c r="F260" s="4" t="s">
        <v>967</v>
      </c>
      <c r="G260" s="6" t="s">
        <v>967</v>
      </c>
      <c r="H260" s="6" t="s">
        <v>967</v>
      </c>
      <c r="I260" s="6" t="s">
        <v>967</v>
      </c>
      <c r="J260" s="6" t="s">
        <v>967</v>
      </c>
      <c r="K260" s="6" t="s">
        <v>967</v>
      </c>
      <c r="L260" s="6" t="s">
        <v>967</v>
      </c>
      <c r="M260" s="6" t="s">
        <v>2260</v>
      </c>
      <c r="N260" s="6" t="s">
        <v>967</v>
      </c>
      <c r="O260" s="6" t="s">
        <v>967</v>
      </c>
      <c r="P260" s="5" t="s">
        <v>967</v>
      </c>
      <c r="Q260" s="5" t="s">
        <v>967</v>
      </c>
      <c r="R260" s="5" t="s">
        <v>967</v>
      </c>
      <c r="S260" s="5" t="s">
        <v>967</v>
      </c>
      <c r="T260" s="5" t="s">
        <v>967</v>
      </c>
    </row>
    <row r="261" ht="33" spans="1:20">
      <c r="A261" s="4">
        <v>260</v>
      </c>
      <c r="B261" s="5" t="s">
        <v>2259</v>
      </c>
      <c r="C261" s="5" t="s">
        <v>29</v>
      </c>
      <c r="D261" s="5" t="s">
        <v>30</v>
      </c>
      <c r="E261" s="5" t="s">
        <v>31</v>
      </c>
      <c r="F261" s="4" t="s">
        <v>32</v>
      </c>
      <c r="G261" s="6" t="s">
        <v>2261</v>
      </c>
      <c r="H261" s="6" t="s">
        <v>2261</v>
      </c>
      <c r="I261" s="6" t="s">
        <v>2261</v>
      </c>
      <c r="J261" s="6" t="s">
        <v>967</v>
      </c>
      <c r="K261" s="6" t="s">
        <v>970</v>
      </c>
      <c r="L261" s="6" t="s">
        <v>971</v>
      </c>
      <c r="M261" s="6" t="s">
        <v>967</v>
      </c>
      <c r="N261" s="6" t="s">
        <v>967</v>
      </c>
      <c r="O261" s="6" t="s">
        <v>967</v>
      </c>
      <c r="P261" s="5" t="s">
        <v>33</v>
      </c>
      <c r="Q261" s="5" t="s">
        <v>967</v>
      </c>
      <c r="R261" s="5" t="s">
        <v>967</v>
      </c>
      <c r="S261" s="5" t="s">
        <v>967</v>
      </c>
      <c r="T261" s="5" t="s">
        <v>967</v>
      </c>
    </row>
    <row r="262" ht="33" spans="1:20">
      <c r="A262" s="4">
        <v>261</v>
      </c>
      <c r="B262" s="5" t="s">
        <v>2259</v>
      </c>
      <c r="C262" s="5" t="s">
        <v>38</v>
      </c>
      <c r="D262" s="5" t="s">
        <v>39</v>
      </c>
      <c r="E262" s="5" t="s">
        <v>40</v>
      </c>
      <c r="F262" s="4" t="s">
        <v>37</v>
      </c>
      <c r="G262" s="6" t="s">
        <v>2262</v>
      </c>
      <c r="H262" s="6" t="s">
        <v>2262</v>
      </c>
      <c r="I262" s="6" t="s">
        <v>2262</v>
      </c>
      <c r="J262" s="6" t="s">
        <v>967</v>
      </c>
      <c r="K262" s="6" t="s">
        <v>978</v>
      </c>
      <c r="L262" s="6" t="s">
        <v>979</v>
      </c>
      <c r="M262" s="6" t="s">
        <v>2263</v>
      </c>
      <c r="N262" s="6" t="s">
        <v>967</v>
      </c>
      <c r="O262" s="6" t="s">
        <v>967</v>
      </c>
      <c r="P262" s="5" t="s">
        <v>33</v>
      </c>
      <c r="Q262" s="5" t="s">
        <v>967</v>
      </c>
      <c r="R262" s="5" t="s">
        <v>967</v>
      </c>
      <c r="S262" s="5" t="s">
        <v>967</v>
      </c>
      <c r="T262" s="5" t="s">
        <v>967</v>
      </c>
    </row>
    <row r="263" ht="33" spans="1:20">
      <c r="A263" s="4">
        <v>262</v>
      </c>
      <c r="B263" s="5" t="s">
        <v>2259</v>
      </c>
      <c r="C263" s="5" t="s">
        <v>692</v>
      </c>
      <c r="D263" s="5" t="s">
        <v>42</v>
      </c>
      <c r="E263" s="5" t="s">
        <v>40</v>
      </c>
      <c r="F263" s="4" t="s">
        <v>37</v>
      </c>
      <c r="G263" s="6" t="s">
        <v>2264</v>
      </c>
      <c r="H263" s="6" t="s">
        <v>2264</v>
      </c>
      <c r="I263" s="6" t="s">
        <v>2264</v>
      </c>
      <c r="J263" s="6" t="s">
        <v>967</v>
      </c>
      <c r="K263" s="6" t="s">
        <v>982</v>
      </c>
      <c r="L263" s="6" t="s">
        <v>983</v>
      </c>
      <c r="M263" s="6" t="s">
        <v>2265</v>
      </c>
      <c r="N263" s="6" t="s">
        <v>967</v>
      </c>
      <c r="O263" s="6" t="s">
        <v>967</v>
      </c>
      <c r="P263" s="5" t="s">
        <v>33</v>
      </c>
      <c r="Q263" s="5" t="s">
        <v>967</v>
      </c>
      <c r="R263" s="5" t="s">
        <v>967</v>
      </c>
      <c r="S263" s="5" t="s">
        <v>967</v>
      </c>
      <c r="T263" s="5" t="s">
        <v>967</v>
      </c>
    </row>
    <row r="264" ht="33" spans="1:20">
      <c r="A264" s="4">
        <v>263</v>
      </c>
      <c r="B264" s="5" t="s">
        <v>2259</v>
      </c>
      <c r="C264" s="5" t="s">
        <v>43</v>
      </c>
      <c r="D264" s="5" t="s">
        <v>44</v>
      </c>
      <c r="E264" s="5" t="s">
        <v>45</v>
      </c>
      <c r="F264" s="4" t="s">
        <v>37</v>
      </c>
      <c r="G264" s="6" t="s">
        <v>2266</v>
      </c>
      <c r="H264" s="6" t="s">
        <v>2266</v>
      </c>
      <c r="I264" s="6" t="s">
        <v>2266</v>
      </c>
      <c r="J264" s="6" t="s">
        <v>967</v>
      </c>
      <c r="K264" s="6" t="s">
        <v>986</v>
      </c>
      <c r="L264" s="6" t="s">
        <v>987</v>
      </c>
      <c r="M264" s="6" t="s">
        <v>2267</v>
      </c>
      <c r="N264" s="6" t="s">
        <v>967</v>
      </c>
      <c r="O264" s="6" t="s">
        <v>967</v>
      </c>
      <c r="P264" s="5" t="s">
        <v>33</v>
      </c>
      <c r="Q264" s="5" t="s">
        <v>967</v>
      </c>
      <c r="R264" s="5" t="s">
        <v>967</v>
      </c>
      <c r="S264" s="5" t="s">
        <v>967</v>
      </c>
      <c r="T264" s="5" t="s">
        <v>967</v>
      </c>
    </row>
    <row r="265" ht="33" spans="1:20">
      <c r="A265" s="4">
        <v>264</v>
      </c>
      <c r="B265" s="5" t="s">
        <v>2259</v>
      </c>
      <c r="C265" s="5" t="s">
        <v>693</v>
      </c>
      <c r="D265" s="5" t="s">
        <v>47</v>
      </c>
      <c r="E265" s="5" t="s">
        <v>694</v>
      </c>
      <c r="F265" s="4" t="s">
        <v>37</v>
      </c>
      <c r="G265" s="6" t="s">
        <v>2268</v>
      </c>
      <c r="H265" s="6" t="s">
        <v>2269</v>
      </c>
      <c r="I265" s="6" t="s">
        <v>2269</v>
      </c>
      <c r="J265" s="6" t="s">
        <v>967</v>
      </c>
      <c r="K265" s="6" t="s">
        <v>990</v>
      </c>
      <c r="L265" s="6" t="s">
        <v>991</v>
      </c>
      <c r="M265" s="6" t="s">
        <v>2270</v>
      </c>
      <c r="N265" s="6" t="s">
        <v>967</v>
      </c>
      <c r="O265" s="6" t="s">
        <v>967</v>
      </c>
      <c r="P265" s="5" t="s">
        <v>33</v>
      </c>
      <c r="Q265" s="5" t="s">
        <v>967</v>
      </c>
      <c r="R265" s="5" t="s">
        <v>967</v>
      </c>
      <c r="S265" s="5" t="s">
        <v>967</v>
      </c>
      <c r="T265" s="5" t="s">
        <v>967</v>
      </c>
    </row>
    <row r="266" ht="33" spans="1:20">
      <c r="A266" s="4">
        <v>265</v>
      </c>
      <c r="B266" s="5" t="s">
        <v>2259</v>
      </c>
      <c r="C266" s="5" t="s">
        <v>967</v>
      </c>
      <c r="D266" s="5" t="s">
        <v>49</v>
      </c>
      <c r="E266" s="5" t="s">
        <v>967</v>
      </c>
      <c r="F266" s="4" t="s">
        <v>967</v>
      </c>
      <c r="G266" s="6" t="s">
        <v>967</v>
      </c>
      <c r="H266" s="6" t="s">
        <v>967</v>
      </c>
      <c r="I266" s="6" t="s">
        <v>967</v>
      </c>
      <c r="J266" s="6" t="s">
        <v>967</v>
      </c>
      <c r="K266" s="6" t="s">
        <v>967</v>
      </c>
      <c r="L266" s="6" t="s">
        <v>967</v>
      </c>
      <c r="M266" s="6" t="s">
        <v>967</v>
      </c>
      <c r="N266" s="6" t="s">
        <v>967</v>
      </c>
      <c r="O266" s="6" t="s">
        <v>967</v>
      </c>
      <c r="P266" s="5" t="s">
        <v>967</v>
      </c>
      <c r="Q266" s="5" t="s">
        <v>967</v>
      </c>
      <c r="R266" s="5" t="s">
        <v>967</v>
      </c>
      <c r="S266" s="5" t="s">
        <v>967</v>
      </c>
      <c r="T266" s="5" t="s">
        <v>967</v>
      </c>
    </row>
    <row r="267" ht="115.5" spans="1:20">
      <c r="A267" s="4">
        <v>266</v>
      </c>
      <c r="B267" s="5" t="s">
        <v>2259</v>
      </c>
      <c r="C267" s="5" t="s">
        <v>57</v>
      </c>
      <c r="D267" s="5" t="s">
        <v>51</v>
      </c>
      <c r="E267" s="5" t="s">
        <v>695</v>
      </c>
      <c r="F267" s="4" t="s">
        <v>53</v>
      </c>
      <c r="G267" s="6" t="s">
        <v>2271</v>
      </c>
      <c r="H267" s="6" t="s">
        <v>2272</v>
      </c>
      <c r="I267" s="6" t="s">
        <v>2273</v>
      </c>
      <c r="J267" s="6" t="s">
        <v>967</v>
      </c>
      <c r="K267" s="6" t="s">
        <v>2274</v>
      </c>
      <c r="L267" s="6" t="s">
        <v>2275</v>
      </c>
      <c r="M267" s="6" t="s">
        <v>967</v>
      </c>
      <c r="N267" s="6" t="s">
        <v>967</v>
      </c>
      <c r="O267" s="6" t="s">
        <v>967</v>
      </c>
      <c r="P267" s="5" t="s">
        <v>967</v>
      </c>
      <c r="Q267" s="5" t="s">
        <v>967</v>
      </c>
      <c r="R267" s="5" t="s">
        <v>967</v>
      </c>
      <c r="S267" s="5" t="s">
        <v>967</v>
      </c>
      <c r="T267" s="5" t="s">
        <v>967</v>
      </c>
    </row>
    <row r="268" ht="115.5" spans="1:20">
      <c r="A268" s="4">
        <v>267</v>
      </c>
      <c r="B268" s="5" t="s">
        <v>2259</v>
      </c>
      <c r="C268" s="5" t="s">
        <v>696</v>
      </c>
      <c r="D268" s="5" t="s">
        <v>55</v>
      </c>
      <c r="E268" s="5" t="s">
        <v>697</v>
      </c>
      <c r="F268" s="4" t="s">
        <v>53</v>
      </c>
      <c r="G268" s="6" t="s">
        <v>2276</v>
      </c>
      <c r="H268" s="6" t="s">
        <v>1003</v>
      </c>
      <c r="I268" s="6" t="s">
        <v>1003</v>
      </c>
      <c r="J268" s="6" t="s">
        <v>967</v>
      </c>
      <c r="K268" s="6" t="s">
        <v>2277</v>
      </c>
      <c r="L268" s="6" t="s">
        <v>2278</v>
      </c>
      <c r="M268" s="6" t="s">
        <v>967</v>
      </c>
      <c r="N268" s="6" t="s">
        <v>967</v>
      </c>
      <c r="O268" s="6" t="s">
        <v>967</v>
      </c>
      <c r="P268" s="5" t="s">
        <v>967</v>
      </c>
      <c r="Q268" s="5" t="s">
        <v>967</v>
      </c>
      <c r="R268" s="5" t="s">
        <v>967</v>
      </c>
      <c r="S268" s="5" t="s">
        <v>967</v>
      </c>
      <c r="T268" s="5" t="s">
        <v>967</v>
      </c>
    </row>
    <row r="269" ht="33" spans="1:20">
      <c r="A269" s="4">
        <v>268</v>
      </c>
      <c r="B269" s="5" t="s">
        <v>2259</v>
      </c>
      <c r="C269" s="5" t="s">
        <v>698</v>
      </c>
      <c r="D269" s="5" t="s">
        <v>58</v>
      </c>
      <c r="E269" s="5" t="s">
        <v>59</v>
      </c>
      <c r="F269" s="4" t="s">
        <v>53</v>
      </c>
      <c r="G269" s="6" t="s">
        <v>2279</v>
      </c>
      <c r="H269" s="6" t="s">
        <v>2280</v>
      </c>
      <c r="I269" s="6" t="s">
        <v>2280</v>
      </c>
      <c r="J269" s="6" t="s">
        <v>967</v>
      </c>
      <c r="K269" s="6" t="s">
        <v>1009</v>
      </c>
      <c r="L269" s="6" t="s">
        <v>1010</v>
      </c>
      <c r="M269" s="6" t="s">
        <v>967</v>
      </c>
      <c r="N269" s="6" t="s">
        <v>967</v>
      </c>
      <c r="O269" s="6" t="s">
        <v>967</v>
      </c>
      <c r="P269" s="5" t="s">
        <v>967</v>
      </c>
      <c r="Q269" s="5" t="s">
        <v>967</v>
      </c>
      <c r="R269" s="5" t="s">
        <v>967</v>
      </c>
      <c r="S269" s="5" t="s">
        <v>967</v>
      </c>
      <c r="T269" s="5" t="s">
        <v>967</v>
      </c>
    </row>
    <row r="270" ht="49.5" spans="1:20">
      <c r="A270" s="4">
        <v>269</v>
      </c>
      <c r="B270" s="5" t="s">
        <v>2259</v>
      </c>
      <c r="C270" s="5" t="s">
        <v>60</v>
      </c>
      <c r="D270" s="5" t="s">
        <v>61</v>
      </c>
      <c r="E270" s="5" t="s">
        <v>62</v>
      </c>
      <c r="F270" s="4" t="s">
        <v>63</v>
      </c>
      <c r="G270" s="6" t="s">
        <v>2281</v>
      </c>
      <c r="H270" s="6" t="s">
        <v>2282</v>
      </c>
      <c r="I270" s="6" t="s">
        <v>2282</v>
      </c>
      <c r="J270" s="6" t="s">
        <v>967</v>
      </c>
      <c r="K270" s="6" t="s">
        <v>1014</v>
      </c>
      <c r="L270" s="6" t="s">
        <v>1015</v>
      </c>
      <c r="M270" s="6" t="s">
        <v>967</v>
      </c>
      <c r="N270" s="6" t="s">
        <v>967</v>
      </c>
      <c r="O270" s="6" t="s">
        <v>967</v>
      </c>
      <c r="P270" s="5" t="s">
        <v>967</v>
      </c>
      <c r="Q270" s="5" t="s">
        <v>967</v>
      </c>
      <c r="R270" s="5" t="s">
        <v>967</v>
      </c>
      <c r="S270" s="5" t="s">
        <v>967</v>
      </c>
      <c r="T270" s="5" t="s">
        <v>967</v>
      </c>
    </row>
    <row r="271" ht="49.5" spans="1:20">
      <c r="A271" s="4">
        <v>270</v>
      </c>
      <c r="B271" s="5" t="s">
        <v>2259</v>
      </c>
      <c r="C271" s="5" t="s">
        <v>64</v>
      </c>
      <c r="D271" s="5" t="s">
        <v>65</v>
      </c>
      <c r="E271" s="5" t="s">
        <v>66</v>
      </c>
      <c r="F271" s="4" t="s">
        <v>67</v>
      </c>
      <c r="G271" s="6" t="s">
        <v>2281</v>
      </c>
      <c r="H271" s="6" t="s">
        <v>2282</v>
      </c>
      <c r="I271" s="6" t="s">
        <v>2282</v>
      </c>
      <c r="J271" s="6" t="s">
        <v>967</v>
      </c>
      <c r="K271" s="6" t="s">
        <v>1017</v>
      </c>
      <c r="L271" s="6" t="s">
        <v>1018</v>
      </c>
      <c r="M271" s="6" t="s">
        <v>967</v>
      </c>
      <c r="N271" s="6" t="s">
        <v>967</v>
      </c>
      <c r="O271" s="6" t="s">
        <v>967</v>
      </c>
      <c r="P271" s="5" t="s">
        <v>967</v>
      </c>
      <c r="Q271" s="5" t="s">
        <v>967</v>
      </c>
      <c r="R271" s="5" t="s">
        <v>967</v>
      </c>
      <c r="S271" s="5" t="s">
        <v>967</v>
      </c>
      <c r="T271" s="5" t="s">
        <v>967</v>
      </c>
    </row>
    <row r="272" ht="33" spans="1:20">
      <c r="A272" s="4">
        <v>271</v>
      </c>
      <c r="B272" s="5" t="s">
        <v>2259</v>
      </c>
      <c r="C272" s="5" t="s">
        <v>699</v>
      </c>
      <c r="D272" s="5" t="s">
        <v>69</v>
      </c>
      <c r="E272" s="5" t="s">
        <v>70</v>
      </c>
      <c r="F272" s="4" t="s">
        <v>71</v>
      </c>
      <c r="G272" s="6" t="s">
        <v>2283</v>
      </c>
      <c r="H272" s="6" t="s">
        <v>2284</v>
      </c>
      <c r="I272" s="6" t="s">
        <v>2285</v>
      </c>
      <c r="J272" s="6" t="s">
        <v>967</v>
      </c>
      <c r="K272" s="6" t="s">
        <v>1022</v>
      </c>
      <c r="L272" s="6" t="s">
        <v>1023</v>
      </c>
      <c r="M272" s="6" t="s">
        <v>967</v>
      </c>
      <c r="N272" s="6" t="s">
        <v>967</v>
      </c>
      <c r="O272" s="6" t="s">
        <v>967</v>
      </c>
      <c r="P272" s="5" t="s">
        <v>967</v>
      </c>
      <c r="Q272" s="5" t="s">
        <v>967</v>
      </c>
      <c r="R272" s="5" t="s">
        <v>967</v>
      </c>
      <c r="S272" s="5" t="s">
        <v>967</v>
      </c>
      <c r="T272" s="5" t="s">
        <v>967</v>
      </c>
    </row>
    <row r="273" ht="33" spans="1:20">
      <c r="A273" s="4">
        <v>272</v>
      </c>
      <c r="B273" s="5" t="s">
        <v>2259</v>
      </c>
      <c r="C273" s="5" t="s">
        <v>967</v>
      </c>
      <c r="D273" s="5" t="s">
        <v>72</v>
      </c>
      <c r="E273" s="5" t="s">
        <v>967</v>
      </c>
      <c r="F273" s="4" t="s">
        <v>967</v>
      </c>
      <c r="G273" s="6" t="s">
        <v>967</v>
      </c>
      <c r="H273" s="6" t="s">
        <v>967</v>
      </c>
      <c r="I273" s="6" t="s">
        <v>967</v>
      </c>
      <c r="J273" s="6" t="s">
        <v>967</v>
      </c>
      <c r="K273" s="6" t="s">
        <v>967</v>
      </c>
      <c r="L273" s="6" t="s">
        <v>967</v>
      </c>
      <c r="M273" s="6" t="s">
        <v>967</v>
      </c>
      <c r="N273" s="6" t="s">
        <v>967</v>
      </c>
      <c r="O273" s="6" t="s">
        <v>967</v>
      </c>
      <c r="P273" s="5" t="s">
        <v>967</v>
      </c>
      <c r="Q273" s="5" t="s">
        <v>967</v>
      </c>
      <c r="R273" s="5" t="s">
        <v>967</v>
      </c>
      <c r="S273" s="5" t="s">
        <v>967</v>
      </c>
      <c r="T273" s="5" t="s">
        <v>967</v>
      </c>
    </row>
    <row r="274" ht="66" spans="1:20">
      <c r="A274" s="4">
        <v>273</v>
      </c>
      <c r="B274" s="5" t="s">
        <v>2259</v>
      </c>
      <c r="C274" s="5" t="s">
        <v>73</v>
      </c>
      <c r="D274" s="5" t="s">
        <v>44</v>
      </c>
      <c r="E274" s="5" t="s">
        <v>74</v>
      </c>
      <c r="F274" s="4" t="s">
        <v>37</v>
      </c>
      <c r="G274" s="6" t="s">
        <v>2286</v>
      </c>
      <c r="H274" s="6" t="s">
        <v>2287</v>
      </c>
      <c r="I274" s="6" t="s">
        <v>2288</v>
      </c>
      <c r="J274" s="6" t="s">
        <v>967</v>
      </c>
      <c r="K274" s="6" t="s">
        <v>1030</v>
      </c>
      <c r="L274" s="6" t="s">
        <v>2289</v>
      </c>
      <c r="M274" s="6" t="s">
        <v>967</v>
      </c>
      <c r="N274" s="6" t="s">
        <v>967</v>
      </c>
      <c r="O274" s="6" t="s">
        <v>967</v>
      </c>
      <c r="P274" s="5" t="s">
        <v>967</v>
      </c>
      <c r="Q274" s="5" t="s">
        <v>967</v>
      </c>
      <c r="R274" s="5" t="s">
        <v>967</v>
      </c>
      <c r="S274" s="5" t="s">
        <v>967</v>
      </c>
      <c r="T274" s="5" t="s">
        <v>967</v>
      </c>
    </row>
    <row r="275" ht="82.5" spans="1:20">
      <c r="A275" s="4">
        <v>274</v>
      </c>
      <c r="B275" s="5" t="s">
        <v>2259</v>
      </c>
      <c r="C275" s="5" t="s">
        <v>78</v>
      </c>
      <c r="D275" s="5" t="s">
        <v>76</v>
      </c>
      <c r="E275" s="5" t="s">
        <v>77</v>
      </c>
      <c r="F275" s="4" t="s">
        <v>37</v>
      </c>
      <c r="G275" s="6" t="s">
        <v>2290</v>
      </c>
      <c r="H275" s="6" t="s">
        <v>2291</v>
      </c>
      <c r="I275" s="6" t="s">
        <v>2292</v>
      </c>
      <c r="J275" s="6" t="s">
        <v>967</v>
      </c>
      <c r="K275" s="6" t="s">
        <v>1036</v>
      </c>
      <c r="L275" s="6" t="s">
        <v>1037</v>
      </c>
      <c r="M275" s="6" t="s">
        <v>967</v>
      </c>
      <c r="N275" s="6" t="s">
        <v>967</v>
      </c>
      <c r="O275" s="6" t="s">
        <v>967</v>
      </c>
      <c r="P275" s="5" t="s">
        <v>967</v>
      </c>
      <c r="Q275" s="5" t="s">
        <v>967</v>
      </c>
      <c r="R275" s="5" t="s">
        <v>967</v>
      </c>
      <c r="S275" s="5" t="s">
        <v>967</v>
      </c>
      <c r="T275" s="5" t="s">
        <v>967</v>
      </c>
    </row>
    <row r="276" ht="82.5" spans="1:20">
      <c r="A276" s="4">
        <v>275</v>
      </c>
      <c r="B276" s="5" t="s">
        <v>2259</v>
      </c>
      <c r="C276" s="5" t="s">
        <v>700</v>
      </c>
      <c r="D276" s="5" t="s">
        <v>76</v>
      </c>
      <c r="E276" s="5" t="s">
        <v>79</v>
      </c>
      <c r="F276" s="4" t="s">
        <v>37</v>
      </c>
      <c r="G276" s="6" t="s">
        <v>2293</v>
      </c>
      <c r="H276" s="6" t="s">
        <v>2294</v>
      </c>
      <c r="I276" s="6" t="s">
        <v>2294</v>
      </c>
      <c r="J276" s="6" t="s">
        <v>967</v>
      </c>
      <c r="K276" s="6" t="s">
        <v>1043</v>
      </c>
      <c r="L276" s="6" t="s">
        <v>1044</v>
      </c>
      <c r="M276" s="6" t="s">
        <v>967</v>
      </c>
      <c r="N276" s="6" t="s">
        <v>967</v>
      </c>
      <c r="O276" s="6" t="s">
        <v>967</v>
      </c>
      <c r="P276" s="5" t="s">
        <v>967</v>
      </c>
      <c r="Q276" s="5" t="s">
        <v>967</v>
      </c>
      <c r="R276" s="5" t="s">
        <v>967</v>
      </c>
      <c r="S276" s="5" t="s">
        <v>967</v>
      </c>
      <c r="T276" s="5" t="s">
        <v>967</v>
      </c>
    </row>
    <row r="277" ht="82.5" spans="1:20">
      <c r="A277" s="4">
        <v>276</v>
      </c>
      <c r="B277" s="5" t="s">
        <v>2259</v>
      </c>
      <c r="C277" s="5" t="s">
        <v>80</v>
      </c>
      <c r="D277" s="5" t="s">
        <v>76</v>
      </c>
      <c r="E277" s="5" t="s">
        <v>81</v>
      </c>
      <c r="F277" s="4" t="s">
        <v>37</v>
      </c>
      <c r="G277" s="6" t="s">
        <v>2295</v>
      </c>
      <c r="H277" s="6" t="s">
        <v>2296</v>
      </c>
      <c r="I277" s="6" t="s">
        <v>2296</v>
      </c>
      <c r="J277" s="6" t="s">
        <v>967</v>
      </c>
      <c r="K277" s="6" t="s">
        <v>2297</v>
      </c>
      <c r="L277" s="6" t="s">
        <v>1050</v>
      </c>
      <c r="M277" s="6" t="s">
        <v>967</v>
      </c>
      <c r="N277" s="6" t="s">
        <v>967</v>
      </c>
      <c r="O277" s="6" t="s">
        <v>967</v>
      </c>
      <c r="P277" s="5" t="s">
        <v>967</v>
      </c>
      <c r="Q277" s="5" t="s">
        <v>967</v>
      </c>
      <c r="R277" s="5" t="s">
        <v>967</v>
      </c>
      <c r="S277" s="5" t="s">
        <v>967</v>
      </c>
      <c r="T277" s="5" t="s">
        <v>967</v>
      </c>
    </row>
    <row r="278" ht="82.5" spans="1:20">
      <c r="A278" s="4">
        <v>277</v>
      </c>
      <c r="B278" s="5" t="s">
        <v>2259</v>
      </c>
      <c r="C278" s="5" t="s">
        <v>86</v>
      </c>
      <c r="D278" s="5" t="s">
        <v>76</v>
      </c>
      <c r="E278" s="5" t="s">
        <v>83</v>
      </c>
      <c r="F278" s="4" t="s">
        <v>37</v>
      </c>
      <c r="G278" s="6" t="s">
        <v>2298</v>
      </c>
      <c r="H278" s="6" t="s">
        <v>2299</v>
      </c>
      <c r="I278" s="6" t="s">
        <v>2299</v>
      </c>
      <c r="J278" s="6" t="s">
        <v>967</v>
      </c>
      <c r="K278" s="6" t="s">
        <v>1055</v>
      </c>
      <c r="L278" s="6" t="s">
        <v>1050</v>
      </c>
      <c r="M278" s="6" t="s">
        <v>967</v>
      </c>
      <c r="N278" s="6" t="s">
        <v>967</v>
      </c>
      <c r="O278" s="6" t="s">
        <v>967</v>
      </c>
      <c r="P278" s="5" t="s">
        <v>967</v>
      </c>
      <c r="Q278" s="5" t="s">
        <v>967</v>
      </c>
      <c r="R278" s="5" t="s">
        <v>967</v>
      </c>
      <c r="S278" s="5" t="s">
        <v>967</v>
      </c>
      <c r="T278" s="5" t="s">
        <v>967</v>
      </c>
    </row>
    <row r="279" ht="66" spans="1:20">
      <c r="A279" s="4">
        <v>278</v>
      </c>
      <c r="B279" s="5" t="s">
        <v>2259</v>
      </c>
      <c r="C279" s="5" t="s">
        <v>84</v>
      </c>
      <c r="D279" s="5" t="s">
        <v>76</v>
      </c>
      <c r="E279" s="5" t="s">
        <v>701</v>
      </c>
      <c r="F279" s="4" t="s">
        <v>37</v>
      </c>
      <c r="G279" s="6" t="s">
        <v>2300</v>
      </c>
      <c r="H279" s="6" t="s">
        <v>2301</v>
      </c>
      <c r="I279" s="6" t="s">
        <v>2302</v>
      </c>
      <c r="J279" s="6" t="s">
        <v>967</v>
      </c>
      <c r="K279" s="6" t="s">
        <v>1064</v>
      </c>
      <c r="L279" s="6" t="s">
        <v>1065</v>
      </c>
      <c r="M279" s="6" t="s">
        <v>967</v>
      </c>
      <c r="N279" s="6" t="s">
        <v>967</v>
      </c>
      <c r="O279" s="6" t="s">
        <v>967</v>
      </c>
      <c r="P279" s="5" t="s">
        <v>967</v>
      </c>
      <c r="Q279" s="5" t="s">
        <v>967</v>
      </c>
      <c r="R279" s="5" t="s">
        <v>967</v>
      </c>
      <c r="S279" s="5" t="s">
        <v>967</v>
      </c>
      <c r="T279" s="5" t="s">
        <v>967</v>
      </c>
    </row>
    <row r="280" ht="49.5" spans="1:20">
      <c r="A280" s="4">
        <v>279</v>
      </c>
      <c r="B280" s="5" t="s">
        <v>2259</v>
      </c>
      <c r="C280" s="5" t="s">
        <v>702</v>
      </c>
      <c r="D280" s="5" t="s">
        <v>89</v>
      </c>
      <c r="E280" s="5" t="s">
        <v>703</v>
      </c>
      <c r="F280" s="4" t="s">
        <v>32</v>
      </c>
      <c r="G280" s="6" t="s">
        <v>2303</v>
      </c>
      <c r="H280" s="6" t="s">
        <v>2303</v>
      </c>
      <c r="I280" s="6" t="s">
        <v>2304</v>
      </c>
      <c r="J280" s="6" t="s">
        <v>967</v>
      </c>
      <c r="K280" s="6" t="s">
        <v>2305</v>
      </c>
      <c r="L280" s="6" t="s">
        <v>1071</v>
      </c>
      <c r="M280" s="6" t="s">
        <v>967</v>
      </c>
      <c r="N280" s="6" t="s">
        <v>967</v>
      </c>
      <c r="O280" s="6" t="s">
        <v>967</v>
      </c>
      <c r="P280" s="5" t="s">
        <v>967</v>
      </c>
      <c r="Q280" s="5" t="s">
        <v>967</v>
      </c>
      <c r="R280" s="5" t="s">
        <v>967</v>
      </c>
      <c r="S280" s="5" t="s">
        <v>967</v>
      </c>
      <c r="T280" s="5" t="s">
        <v>967</v>
      </c>
    </row>
    <row r="281" ht="49.5" spans="1:20">
      <c r="A281" s="4">
        <v>280</v>
      </c>
      <c r="B281" s="5" t="s">
        <v>2259</v>
      </c>
      <c r="C281" s="5" t="s">
        <v>704</v>
      </c>
      <c r="D281" s="5" t="s">
        <v>89</v>
      </c>
      <c r="E281" s="5" t="s">
        <v>705</v>
      </c>
      <c r="F281" s="4" t="s">
        <v>37</v>
      </c>
      <c r="G281" s="6" t="s">
        <v>2306</v>
      </c>
      <c r="H281" s="6" t="s">
        <v>2307</v>
      </c>
      <c r="I281" s="6" t="s">
        <v>2308</v>
      </c>
      <c r="J281" s="6" t="s">
        <v>967</v>
      </c>
      <c r="K281" s="6" t="s">
        <v>2309</v>
      </c>
      <c r="L281" s="6" t="s">
        <v>1077</v>
      </c>
      <c r="M281" s="6" t="s">
        <v>967</v>
      </c>
      <c r="N281" s="6" t="s">
        <v>967</v>
      </c>
      <c r="O281" s="6" t="s">
        <v>967</v>
      </c>
      <c r="P281" s="5" t="s">
        <v>967</v>
      </c>
      <c r="Q281" s="5" t="s">
        <v>967</v>
      </c>
      <c r="R281" s="5" t="s">
        <v>967</v>
      </c>
      <c r="S281" s="5" t="s">
        <v>967</v>
      </c>
      <c r="T281" s="5" t="s">
        <v>967</v>
      </c>
    </row>
    <row r="282" ht="66" spans="1:20">
      <c r="A282" s="4">
        <v>281</v>
      </c>
      <c r="B282" s="5" t="s">
        <v>2259</v>
      </c>
      <c r="C282" s="5" t="s">
        <v>706</v>
      </c>
      <c r="D282" s="5" t="s">
        <v>707</v>
      </c>
      <c r="E282" s="5" t="s">
        <v>708</v>
      </c>
      <c r="F282" s="4" t="s">
        <v>37</v>
      </c>
      <c r="G282" s="6" t="s">
        <v>2310</v>
      </c>
      <c r="H282" s="6" t="s">
        <v>2311</v>
      </c>
      <c r="I282" s="6" t="s">
        <v>2312</v>
      </c>
      <c r="J282" s="6" t="s">
        <v>967</v>
      </c>
      <c r="K282" s="6" t="s">
        <v>2313</v>
      </c>
      <c r="L282" s="6" t="s">
        <v>2314</v>
      </c>
      <c r="M282" s="6" t="s">
        <v>967</v>
      </c>
      <c r="N282" s="6" t="s">
        <v>967</v>
      </c>
      <c r="O282" s="6" t="s">
        <v>967</v>
      </c>
      <c r="P282" s="5" t="s">
        <v>967</v>
      </c>
      <c r="Q282" s="5" t="s">
        <v>967</v>
      </c>
      <c r="R282" s="5" t="s">
        <v>967</v>
      </c>
      <c r="S282" s="5" t="s">
        <v>967</v>
      </c>
      <c r="T282" s="5" t="s">
        <v>967</v>
      </c>
    </row>
    <row r="283" ht="33" spans="1:20">
      <c r="A283" s="4">
        <v>282</v>
      </c>
      <c r="B283" s="5" t="s">
        <v>2259</v>
      </c>
      <c r="C283" s="5" t="s">
        <v>967</v>
      </c>
      <c r="D283" s="5" t="s">
        <v>93</v>
      </c>
      <c r="E283" s="5" t="s">
        <v>967</v>
      </c>
      <c r="F283" s="4" t="s">
        <v>967</v>
      </c>
      <c r="G283" s="6" t="s">
        <v>967</v>
      </c>
      <c r="H283" s="6" t="s">
        <v>967</v>
      </c>
      <c r="I283" s="6" t="s">
        <v>967</v>
      </c>
      <c r="J283" s="6" t="s">
        <v>967</v>
      </c>
      <c r="K283" s="6" t="s">
        <v>967</v>
      </c>
      <c r="L283" s="6" t="s">
        <v>967</v>
      </c>
      <c r="M283" s="6" t="s">
        <v>967</v>
      </c>
      <c r="N283" s="6" t="s">
        <v>967</v>
      </c>
      <c r="O283" s="6" t="s">
        <v>967</v>
      </c>
      <c r="P283" s="5" t="s">
        <v>967</v>
      </c>
      <c r="Q283" s="5" t="s">
        <v>967</v>
      </c>
      <c r="R283" s="5" t="s">
        <v>967</v>
      </c>
      <c r="S283" s="5" t="s">
        <v>967</v>
      </c>
      <c r="T283" s="5" t="s">
        <v>967</v>
      </c>
    </row>
    <row r="284" ht="66" spans="1:20">
      <c r="A284" s="4">
        <v>283</v>
      </c>
      <c r="B284" s="5" t="s">
        <v>2259</v>
      </c>
      <c r="C284" s="5" t="s">
        <v>709</v>
      </c>
      <c r="D284" s="5" t="s">
        <v>95</v>
      </c>
      <c r="E284" s="5" t="s">
        <v>96</v>
      </c>
      <c r="F284" s="4" t="s">
        <v>37</v>
      </c>
      <c r="G284" s="6" t="s">
        <v>2315</v>
      </c>
      <c r="H284" s="6" t="s">
        <v>2316</v>
      </c>
      <c r="I284" s="6" t="s">
        <v>2316</v>
      </c>
      <c r="J284" s="6" t="s">
        <v>967</v>
      </c>
      <c r="K284" s="6" t="s">
        <v>1084</v>
      </c>
      <c r="L284" s="6" t="s">
        <v>1085</v>
      </c>
      <c r="M284" s="6" t="s">
        <v>967</v>
      </c>
      <c r="N284" s="6" t="s">
        <v>967</v>
      </c>
      <c r="O284" s="6" t="s">
        <v>967</v>
      </c>
      <c r="P284" s="5" t="s">
        <v>967</v>
      </c>
      <c r="Q284" s="5" t="s">
        <v>967</v>
      </c>
      <c r="R284" s="5" t="s">
        <v>967</v>
      </c>
      <c r="S284" s="5" t="s">
        <v>967</v>
      </c>
      <c r="T284" s="5" t="s">
        <v>967</v>
      </c>
    </row>
    <row r="285" ht="66" spans="1:20">
      <c r="A285" s="4">
        <v>284</v>
      </c>
      <c r="B285" s="5" t="s">
        <v>2259</v>
      </c>
      <c r="C285" s="5" t="s">
        <v>98</v>
      </c>
      <c r="D285" s="5" t="s">
        <v>99</v>
      </c>
      <c r="E285" s="5" t="s">
        <v>710</v>
      </c>
      <c r="F285" s="4" t="s">
        <v>37</v>
      </c>
      <c r="G285" s="6" t="s">
        <v>2317</v>
      </c>
      <c r="H285" s="6" t="s">
        <v>2318</v>
      </c>
      <c r="I285" s="6" t="s">
        <v>967</v>
      </c>
      <c r="J285" s="6" t="s">
        <v>967</v>
      </c>
      <c r="K285" s="6" t="s">
        <v>1090</v>
      </c>
      <c r="L285" s="6" t="s">
        <v>2319</v>
      </c>
      <c r="M285" s="6" t="s">
        <v>967</v>
      </c>
      <c r="N285" s="6" t="s">
        <v>967</v>
      </c>
      <c r="O285" s="6" t="s">
        <v>967</v>
      </c>
      <c r="P285" s="5" t="s">
        <v>967</v>
      </c>
      <c r="Q285" s="5" t="s">
        <v>967</v>
      </c>
      <c r="R285" s="5" t="s">
        <v>967</v>
      </c>
      <c r="S285" s="5" t="s">
        <v>967</v>
      </c>
      <c r="T285" s="5" t="s">
        <v>967</v>
      </c>
    </row>
    <row r="286" ht="66" spans="1:20">
      <c r="A286" s="4">
        <v>285</v>
      </c>
      <c r="B286" s="5" t="s">
        <v>2259</v>
      </c>
      <c r="C286" s="5" t="s">
        <v>101</v>
      </c>
      <c r="D286" s="5" t="s">
        <v>102</v>
      </c>
      <c r="E286" s="5" t="s">
        <v>711</v>
      </c>
      <c r="F286" s="4" t="s">
        <v>37</v>
      </c>
      <c r="G286" s="6" t="s">
        <v>2320</v>
      </c>
      <c r="H286" s="6" t="s">
        <v>2321</v>
      </c>
      <c r="I286" s="6" t="s">
        <v>2321</v>
      </c>
      <c r="J286" s="6" t="s">
        <v>967</v>
      </c>
      <c r="K286" s="6" t="s">
        <v>1097</v>
      </c>
      <c r="L286" s="6" t="s">
        <v>2322</v>
      </c>
      <c r="M286" s="6" t="s">
        <v>967</v>
      </c>
      <c r="N286" s="6" t="s">
        <v>967</v>
      </c>
      <c r="O286" s="6" t="s">
        <v>967</v>
      </c>
      <c r="P286" s="5" t="s">
        <v>967</v>
      </c>
      <c r="Q286" s="5" t="s">
        <v>967</v>
      </c>
      <c r="R286" s="5" t="s">
        <v>967</v>
      </c>
      <c r="S286" s="5" t="s">
        <v>967</v>
      </c>
      <c r="T286" s="5" t="s">
        <v>967</v>
      </c>
    </row>
    <row r="287" ht="66" spans="1:20">
      <c r="A287" s="4">
        <v>286</v>
      </c>
      <c r="B287" s="5" t="s">
        <v>2259</v>
      </c>
      <c r="C287" s="5" t="s">
        <v>712</v>
      </c>
      <c r="D287" s="5" t="s">
        <v>105</v>
      </c>
      <c r="E287" s="5" t="s">
        <v>713</v>
      </c>
      <c r="F287" s="4" t="s">
        <v>37</v>
      </c>
      <c r="G287" s="6" t="s">
        <v>2323</v>
      </c>
      <c r="H287" s="6" t="s">
        <v>2324</v>
      </c>
      <c r="I287" s="6" t="s">
        <v>2325</v>
      </c>
      <c r="J287" s="6" t="s">
        <v>967</v>
      </c>
      <c r="K287" s="6" t="s">
        <v>1103</v>
      </c>
      <c r="L287" s="6" t="s">
        <v>2326</v>
      </c>
      <c r="M287" s="6" t="s">
        <v>967</v>
      </c>
      <c r="N287" s="6" t="s">
        <v>967</v>
      </c>
      <c r="O287" s="6" t="s">
        <v>967</v>
      </c>
      <c r="P287" s="5" t="s">
        <v>967</v>
      </c>
      <c r="Q287" s="5" t="s">
        <v>967</v>
      </c>
      <c r="R287" s="5" t="s">
        <v>967</v>
      </c>
      <c r="S287" s="5" t="s">
        <v>967</v>
      </c>
      <c r="T287" s="5" t="s">
        <v>967</v>
      </c>
    </row>
    <row r="288" ht="66" spans="1:20">
      <c r="A288" s="4">
        <v>287</v>
      </c>
      <c r="B288" s="5" t="s">
        <v>2259</v>
      </c>
      <c r="C288" s="5" t="s">
        <v>714</v>
      </c>
      <c r="D288" s="5" t="s">
        <v>557</v>
      </c>
      <c r="E288" s="5" t="s">
        <v>715</v>
      </c>
      <c r="F288" s="4" t="s">
        <v>37</v>
      </c>
      <c r="G288" s="6" t="s">
        <v>2327</v>
      </c>
      <c r="H288" s="6" t="s">
        <v>2328</v>
      </c>
      <c r="I288" s="6" t="s">
        <v>2329</v>
      </c>
      <c r="J288" s="6" t="s">
        <v>967</v>
      </c>
      <c r="K288" s="6" t="s">
        <v>2330</v>
      </c>
      <c r="L288" s="6" t="s">
        <v>2331</v>
      </c>
      <c r="M288" s="6" t="s">
        <v>967</v>
      </c>
      <c r="N288" s="6" t="s">
        <v>967</v>
      </c>
      <c r="O288" s="6" t="s">
        <v>967</v>
      </c>
      <c r="P288" s="5" t="s">
        <v>967</v>
      </c>
      <c r="Q288" s="5" t="s">
        <v>967</v>
      </c>
      <c r="R288" s="5" t="s">
        <v>967</v>
      </c>
      <c r="S288" s="5" t="s">
        <v>967</v>
      </c>
      <c r="T288" s="5" t="s">
        <v>967</v>
      </c>
    </row>
    <row r="289" ht="66" spans="1:20">
      <c r="A289" s="4">
        <v>288</v>
      </c>
      <c r="B289" s="5" t="s">
        <v>2259</v>
      </c>
      <c r="C289" s="5" t="s">
        <v>716</v>
      </c>
      <c r="D289" s="5" t="s">
        <v>557</v>
      </c>
      <c r="E289" s="5" t="s">
        <v>717</v>
      </c>
      <c r="F289" s="4" t="s">
        <v>37</v>
      </c>
      <c r="G289" s="6" t="s">
        <v>2332</v>
      </c>
      <c r="H289" s="6" t="s">
        <v>2333</v>
      </c>
      <c r="I289" s="6" t="s">
        <v>2334</v>
      </c>
      <c r="J289" s="6" t="s">
        <v>967</v>
      </c>
      <c r="K289" s="6" t="s">
        <v>2335</v>
      </c>
      <c r="L289" s="6" t="s">
        <v>2336</v>
      </c>
      <c r="M289" s="6" t="s">
        <v>967</v>
      </c>
      <c r="N289" s="6" t="s">
        <v>967</v>
      </c>
      <c r="O289" s="6" t="s">
        <v>967</v>
      </c>
      <c r="P289" s="5" t="s">
        <v>967</v>
      </c>
      <c r="Q289" s="5" t="s">
        <v>967</v>
      </c>
      <c r="R289" s="5" t="s">
        <v>967</v>
      </c>
      <c r="S289" s="5" t="s">
        <v>967</v>
      </c>
      <c r="T289" s="5" t="s">
        <v>967</v>
      </c>
    </row>
    <row r="290" ht="66" spans="1:20">
      <c r="A290" s="4">
        <v>289</v>
      </c>
      <c r="B290" s="5" t="s">
        <v>2259</v>
      </c>
      <c r="C290" s="5" t="s">
        <v>718</v>
      </c>
      <c r="D290" s="5" t="s">
        <v>557</v>
      </c>
      <c r="E290" s="5" t="s">
        <v>719</v>
      </c>
      <c r="F290" s="4" t="s">
        <v>37</v>
      </c>
      <c r="G290" s="6" t="s">
        <v>2337</v>
      </c>
      <c r="H290" s="6" t="s">
        <v>2338</v>
      </c>
      <c r="I290" s="6" t="s">
        <v>2339</v>
      </c>
      <c r="J290" s="6" t="s">
        <v>967</v>
      </c>
      <c r="K290" s="6" t="s">
        <v>1108</v>
      </c>
      <c r="L290" s="6" t="s">
        <v>1109</v>
      </c>
      <c r="M290" s="6" t="s">
        <v>967</v>
      </c>
      <c r="N290" s="6" t="s">
        <v>967</v>
      </c>
      <c r="O290" s="6" t="s">
        <v>967</v>
      </c>
      <c r="P290" s="5" t="s">
        <v>967</v>
      </c>
      <c r="Q290" s="5" t="s">
        <v>967</v>
      </c>
      <c r="R290" s="5" t="s">
        <v>967</v>
      </c>
      <c r="S290" s="5" t="s">
        <v>967</v>
      </c>
      <c r="T290" s="5" t="s">
        <v>967</v>
      </c>
    </row>
    <row r="291" ht="66" spans="1:20">
      <c r="A291" s="4">
        <v>290</v>
      </c>
      <c r="B291" s="5" t="s">
        <v>2259</v>
      </c>
      <c r="C291" s="5" t="s">
        <v>720</v>
      </c>
      <c r="D291" s="5" t="s">
        <v>588</v>
      </c>
      <c r="E291" s="5" t="s">
        <v>721</v>
      </c>
      <c r="F291" s="4" t="s">
        <v>37</v>
      </c>
      <c r="G291" s="6" t="s">
        <v>2340</v>
      </c>
      <c r="H291" s="6" t="s">
        <v>2341</v>
      </c>
      <c r="I291" s="6" t="s">
        <v>2341</v>
      </c>
      <c r="J291" s="6" t="s">
        <v>967</v>
      </c>
      <c r="K291" s="6" t="s">
        <v>2330</v>
      </c>
      <c r="L291" s="6" t="s">
        <v>2331</v>
      </c>
      <c r="M291" s="6" t="s">
        <v>967</v>
      </c>
      <c r="N291" s="6" t="s">
        <v>967</v>
      </c>
      <c r="O291" s="6" t="s">
        <v>967</v>
      </c>
      <c r="P291" s="5" t="s">
        <v>967</v>
      </c>
      <c r="Q291" s="5" t="s">
        <v>967</v>
      </c>
      <c r="R291" s="5" t="s">
        <v>967</v>
      </c>
      <c r="S291" s="5" t="s">
        <v>967</v>
      </c>
      <c r="T291" s="5" t="s">
        <v>967</v>
      </c>
    </row>
    <row r="292" ht="66" spans="1:20">
      <c r="A292" s="4">
        <v>291</v>
      </c>
      <c r="B292" s="5" t="s">
        <v>2259</v>
      </c>
      <c r="C292" s="5" t="s">
        <v>722</v>
      </c>
      <c r="D292" s="5" t="s">
        <v>588</v>
      </c>
      <c r="E292" s="5" t="s">
        <v>723</v>
      </c>
      <c r="F292" s="4" t="s">
        <v>37</v>
      </c>
      <c r="G292" s="6" t="s">
        <v>2342</v>
      </c>
      <c r="H292" s="6" t="s">
        <v>2343</v>
      </c>
      <c r="I292" s="6" t="s">
        <v>2343</v>
      </c>
      <c r="J292" s="6" t="s">
        <v>967</v>
      </c>
      <c r="K292" s="6" t="s">
        <v>2335</v>
      </c>
      <c r="L292" s="6" t="s">
        <v>2336</v>
      </c>
      <c r="M292" s="6" t="s">
        <v>967</v>
      </c>
      <c r="N292" s="6" t="s">
        <v>967</v>
      </c>
      <c r="O292" s="6" t="s">
        <v>967</v>
      </c>
      <c r="P292" s="5" t="s">
        <v>967</v>
      </c>
      <c r="Q292" s="5" t="s">
        <v>967</v>
      </c>
      <c r="R292" s="5" t="s">
        <v>967</v>
      </c>
      <c r="S292" s="5" t="s">
        <v>967</v>
      </c>
      <c r="T292" s="5" t="s">
        <v>967</v>
      </c>
    </row>
    <row r="293" ht="49.5" spans="1:20">
      <c r="A293" s="4">
        <v>292</v>
      </c>
      <c r="B293" s="5" t="s">
        <v>2259</v>
      </c>
      <c r="C293" s="5" t="s">
        <v>111</v>
      </c>
      <c r="D293" s="5" t="s">
        <v>112</v>
      </c>
      <c r="E293" s="5" t="s">
        <v>113</v>
      </c>
      <c r="F293" s="4" t="s">
        <v>37</v>
      </c>
      <c r="G293" s="6" t="s">
        <v>2344</v>
      </c>
      <c r="H293" s="6" t="s">
        <v>2344</v>
      </c>
      <c r="I293" s="6" t="s">
        <v>2345</v>
      </c>
      <c r="J293" s="6" t="s">
        <v>967</v>
      </c>
      <c r="K293" s="6" t="s">
        <v>1114</v>
      </c>
      <c r="L293" s="6" t="s">
        <v>1115</v>
      </c>
      <c r="M293" s="6" t="s">
        <v>967</v>
      </c>
      <c r="N293" s="6" t="s">
        <v>967</v>
      </c>
      <c r="O293" s="6" t="s">
        <v>967</v>
      </c>
      <c r="P293" s="5" t="s">
        <v>967</v>
      </c>
      <c r="Q293" s="5" t="s">
        <v>967</v>
      </c>
      <c r="R293" s="5" t="s">
        <v>967</v>
      </c>
      <c r="S293" s="5" t="s">
        <v>967</v>
      </c>
      <c r="T293" s="5" t="s">
        <v>967</v>
      </c>
    </row>
    <row r="294" ht="66" spans="1:20">
      <c r="A294" s="4">
        <v>293</v>
      </c>
      <c r="B294" s="5" t="s">
        <v>2259</v>
      </c>
      <c r="C294" s="5" t="s">
        <v>724</v>
      </c>
      <c r="D294" s="5" t="s">
        <v>120</v>
      </c>
      <c r="E294" s="5" t="s">
        <v>725</v>
      </c>
      <c r="F294" s="4" t="s">
        <v>37</v>
      </c>
      <c r="G294" s="6" t="s">
        <v>2346</v>
      </c>
      <c r="H294" s="6" t="s">
        <v>1317</v>
      </c>
      <c r="I294" s="6" t="s">
        <v>1317</v>
      </c>
      <c r="J294" s="6" t="s">
        <v>967</v>
      </c>
      <c r="K294" s="6" t="s">
        <v>2347</v>
      </c>
      <c r="L294" s="6" t="s">
        <v>2348</v>
      </c>
      <c r="M294" s="6" t="s">
        <v>967</v>
      </c>
      <c r="N294" s="6" t="s">
        <v>967</v>
      </c>
      <c r="O294" s="6" t="s">
        <v>967</v>
      </c>
      <c r="P294" s="5" t="s">
        <v>967</v>
      </c>
      <c r="Q294" s="5" t="s">
        <v>967</v>
      </c>
      <c r="R294" s="5" t="s">
        <v>967</v>
      </c>
      <c r="S294" s="5" t="s">
        <v>967</v>
      </c>
      <c r="T294" s="5" t="s">
        <v>967</v>
      </c>
    </row>
    <row r="295" ht="66" spans="1:20">
      <c r="A295" s="4">
        <v>294</v>
      </c>
      <c r="B295" s="5" t="s">
        <v>2259</v>
      </c>
      <c r="C295" s="5" t="s">
        <v>726</v>
      </c>
      <c r="D295" s="5" t="s">
        <v>120</v>
      </c>
      <c r="E295" s="5" t="s">
        <v>727</v>
      </c>
      <c r="F295" s="4" t="s">
        <v>37</v>
      </c>
      <c r="G295" s="6" t="s">
        <v>2349</v>
      </c>
      <c r="H295" s="6" t="s">
        <v>2350</v>
      </c>
      <c r="I295" s="6" t="s">
        <v>2351</v>
      </c>
      <c r="J295" s="6" t="s">
        <v>967</v>
      </c>
      <c r="K295" s="6" t="s">
        <v>1131</v>
      </c>
      <c r="L295" s="6" t="s">
        <v>1132</v>
      </c>
      <c r="M295" s="6" t="s">
        <v>967</v>
      </c>
      <c r="N295" s="6" t="s">
        <v>967</v>
      </c>
      <c r="O295" s="6" t="s">
        <v>967</v>
      </c>
      <c r="P295" s="5" t="s">
        <v>967</v>
      </c>
      <c r="Q295" s="5" t="s">
        <v>967</v>
      </c>
      <c r="R295" s="5" t="s">
        <v>967</v>
      </c>
      <c r="S295" s="5" t="s">
        <v>967</v>
      </c>
      <c r="T295" s="5" t="s">
        <v>967</v>
      </c>
    </row>
    <row r="296" ht="66" spans="1:20">
      <c r="A296" s="4">
        <v>295</v>
      </c>
      <c r="B296" s="5" t="s">
        <v>2259</v>
      </c>
      <c r="C296" s="5" t="s">
        <v>114</v>
      </c>
      <c r="D296" s="5" t="s">
        <v>115</v>
      </c>
      <c r="E296" s="5" t="s">
        <v>116</v>
      </c>
      <c r="F296" s="4" t="s">
        <v>37</v>
      </c>
      <c r="G296" s="6" t="s">
        <v>2352</v>
      </c>
      <c r="H296" s="6" t="s">
        <v>2353</v>
      </c>
      <c r="I296" s="6" t="s">
        <v>967</v>
      </c>
      <c r="J296" s="6" t="s">
        <v>967</v>
      </c>
      <c r="K296" s="6" t="s">
        <v>1120</v>
      </c>
      <c r="L296" s="6" t="s">
        <v>1121</v>
      </c>
      <c r="M296" s="6" t="s">
        <v>967</v>
      </c>
      <c r="N296" s="6" t="s">
        <v>967</v>
      </c>
      <c r="O296" s="6" t="s">
        <v>967</v>
      </c>
      <c r="P296" s="5" t="s">
        <v>967</v>
      </c>
      <c r="Q296" s="5" t="s">
        <v>967</v>
      </c>
      <c r="R296" s="5" t="s">
        <v>967</v>
      </c>
      <c r="S296" s="5" t="s">
        <v>967</v>
      </c>
      <c r="T296" s="5" t="s">
        <v>967</v>
      </c>
    </row>
    <row r="297" ht="66" spans="1:20">
      <c r="A297" s="4">
        <v>296</v>
      </c>
      <c r="B297" s="5" t="s">
        <v>2259</v>
      </c>
      <c r="C297" s="5" t="s">
        <v>728</v>
      </c>
      <c r="D297" s="5" t="s">
        <v>118</v>
      </c>
      <c r="E297" s="5" t="s">
        <v>116</v>
      </c>
      <c r="F297" s="4" t="s">
        <v>37</v>
      </c>
      <c r="G297" s="6" t="s">
        <v>2354</v>
      </c>
      <c r="H297" s="6" t="s">
        <v>2355</v>
      </c>
      <c r="I297" s="6" t="s">
        <v>2355</v>
      </c>
      <c r="J297" s="6" t="s">
        <v>967</v>
      </c>
      <c r="K297" s="6" t="s">
        <v>1120</v>
      </c>
      <c r="L297" s="6" t="s">
        <v>1126</v>
      </c>
      <c r="M297" s="6" t="s">
        <v>967</v>
      </c>
      <c r="N297" s="6" t="s">
        <v>967</v>
      </c>
      <c r="O297" s="6" t="s">
        <v>967</v>
      </c>
      <c r="P297" s="5" t="s">
        <v>967</v>
      </c>
      <c r="Q297" s="5" t="s">
        <v>967</v>
      </c>
      <c r="R297" s="5" t="s">
        <v>967</v>
      </c>
      <c r="S297" s="5" t="s">
        <v>967</v>
      </c>
      <c r="T297" s="5" t="s">
        <v>967</v>
      </c>
    </row>
    <row r="298" ht="49.5" spans="1:20">
      <c r="A298" s="4">
        <v>297</v>
      </c>
      <c r="B298" s="5" t="s">
        <v>2259</v>
      </c>
      <c r="C298" s="5" t="s">
        <v>729</v>
      </c>
      <c r="D298" s="5" t="s">
        <v>126</v>
      </c>
      <c r="E298" s="5" t="s">
        <v>730</v>
      </c>
      <c r="F298" s="4" t="s">
        <v>37</v>
      </c>
      <c r="G298" s="6" t="s">
        <v>2356</v>
      </c>
      <c r="H298" s="6" t="s">
        <v>2357</v>
      </c>
      <c r="I298" s="6" t="s">
        <v>967</v>
      </c>
      <c r="J298" s="6" t="s">
        <v>967</v>
      </c>
      <c r="K298" s="6" t="s">
        <v>1144</v>
      </c>
      <c r="L298" s="6" t="s">
        <v>2358</v>
      </c>
      <c r="M298" s="6" t="s">
        <v>967</v>
      </c>
      <c r="N298" s="6" t="s">
        <v>967</v>
      </c>
      <c r="O298" s="6" t="s">
        <v>967</v>
      </c>
      <c r="P298" s="5" t="s">
        <v>967</v>
      </c>
      <c r="Q298" s="5" t="s">
        <v>967</v>
      </c>
      <c r="R298" s="5" t="s">
        <v>967</v>
      </c>
      <c r="S298" s="5" t="s">
        <v>967</v>
      </c>
      <c r="T298" s="5" t="s">
        <v>967</v>
      </c>
    </row>
    <row r="299" ht="33" spans="1:20">
      <c r="A299" s="4">
        <v>298</v>
      </c>
      <c r="B299" s="5" t="s">
        <v>2259</v>
      </c>
      <c r="C299" s="5" t="s">
        <v>731</v>
      </c>
      <c r="D299" s="5" t="s">
        <v>141</v>
      </c>
      <c r="E299" s="5" t="s">
        <v>732</v>
      </c>
      <c r="F299" s="4" t="s">
        <v>37</v>
      </c>
      <c r="G299" s="6" t="s">
        <v>2359</v>
      </c>
      <c r="H299" s="6" t="s">
        <v>2360</v>
      </c>
      <c r="I299" s="6" t="s">
        <v>2360</v>
      </c>
      <c r="J299" s="6" t="s">
        <v>967</v>
      </c>
      <c r="K299" s="6" t="s">
        <v>1173</v>
      </c>
      <c r="L299" s="6" t="s">
        <v>2361</v>
      </c>
      <c r="M299" s="6" t="s">
        <v>967</v>
      </c>
      <c r="N299" s="6" t="s">
        <v>967</v>
      </c>
      <c r="O299" s="6" t="s">
        <v>967</v>
      </c>
      <c r="P299" s="5" t="s">
        <v>967</v>
      </c>
      <c r="Q299" s="5" t="s">
        <v>967</v>
      </c>
      <c r="R299" s="5" t="s">
        <v>967</v>
      </c>
      <c r="S299" s="5" t="s">
        <v>967</v>
      </c>
      <c r="T299" s="5" t="s">
        <v>967</v>
      </c>
    </row>
    <row r="300" ht="49.5" spans="1:20">
      <c r="A300" s="4">
        <v>299</v>
      </c>
      <c r="B300" s="5" t="s">
        <v>2259</v>
      </c>
      <c r="C300" s="5" t="s">
        <v>733</v>
      </c>
      <c r="D300" s="5" t="s">
        <v>734</v>
      </c>
      <c r="E300" s="5" t="s">
        <v>735</v>
      </c>
      <c r="F300" s="4" t="s">
        <v>37</v>
      </c>
      <c r="G300" s="6" t="s">
        <v>2362</v>
      </c>
      <c r="H300" s="6" t="s">
        <v>2362</v>
      </c>
      <c r="I300" s="6" t="s">
        <v>2362</v>
      </c>
      <c r="J300" s="6" t="s">
        <v>967</v>
      </c>
      <c r="K300" s="6" t="s">
        <v>1163</v>
      </c>
      <c r="L300" s="6" t="s">
        <v>1168</v>
      </c>
      <c r="M300" s="6" t="s">
        <v>967</v>
      </c>
      <c r="N300" s="6" t="s">
        <v>967</v>
      </c>
      <c r="O300" s="6" t="s">
        <v>967</v>
      </c>
      <c r="P300" s="5" t="s">
        <v>967</v>
      </c>
      <c r="Q300" s="5" t="s">
        <v>967</v>
      </c>
      <c r="R300" s="5" t="s">
        <v>967</v>
      </c>
      <c r="S300" s="5" t="s">
        <v>967</v>
      </c>
      <c r="T300" s="5" t="s">
        <v>967</v>
      </c>
    </row>
    <row r="301" ht="49.5" spans="1:20">
      <c r="A301" s="4">
        <v>300</v>
      </c>
      <c r="B301" s="5" t="s">
        <v>2259</v>
      </c>
      <c r="C301" s="5" t="s">
        <v>736</v>
      </c>
      <c r="D301" s="5" t="s">
        <v>138</v>
      </c>
      <c r="E301" s="5" t="s">
        <v>139</v>
      </c>
      <c r="F301" s="4" t="s">
        <v>37</v>
      </c>
      <c r="G301" s="6" t="s">
        <v>2363</v>
      </c>
      <c r="H301" s="6" t="s">
        <v>2363</v>
      </c>
      <c r="I301" s="6" t="s">
        <v>2363</v>
      </c>
      <c r="J301" s="6" t="s">
        <v>967</v>
      </c>
      <c r="K301" s="6" t="s">
        <v>1163</v>
      </c>
      <c r="L301" s="6" t="s">
        <v>1168</v>
      </c>
      <c r="M301" s="6" t="s">
        <v>967</v>
      </c>
      <c r="N301" s="6" t="s">
        <v>967</v>
      </c>
      <c r="O301" s="6" t="s">
        <v>967</v>
      </c>
      <c r="P301" s="5" t="s">
        <v>967</v>
      </c>
      <c r="Q301" s="5" t="s">
        <v>967</v>
      </c>
      <c r="R301" s="5" t="s">
        <v>967</v>
      </c>
      <c r="S301" s="5" t="s">
        <v>967</v>
      </c>
      <c r="T301" s="5" t="s">
        <v>967</v>
      </c>
    </row>
    <row r="302" ht="49.5" spans="1:20">
      <c r="A302" s="4">
        <v>301</v>
      </c>
      <c r="B302" s="5" t="s">
        <v>2259</v>
      </c>
      <c r="C302" s="5" t="s">
        <v>737</v>
      </c>
      <c r="D302" s="5" t="s">
        <v>130</v>
      </c>
      <c r="E302" s="5" t="s">
        <v>738</v>
      </c>
      <c r="F302" s="4" t="s">
        <v>37</v>
      </c>
      <c r="G302" s="6" t="s">
        <v>2364</v>
      </c>
      <c r="H302" s="6" t="s">
        <v>1003</v>
      </c>
      <c r="I302" s="6" t="s">
        <v>1003</v>
      </c>
      <c r="J302" s="6" t="s">
        <v>967</v>
      </c>
      <c r="K302" s="6" t="s">
        <v>2365</v>
      </c>
      <c r="L302" s="6" t="s">
        <v>2366</v>
      </c>
      <c r="M302" s="6" t="s">
        <v>967</v>
      </c>
      <c r="N302" s="6" t="s">
        <v>967</v>
      </c>
      <c r="O302" s="6" t="s">
        <v>967</v>
      </c>
      <c r="P302" s="5" t="s">
        <v>967</v>
      </c>
      <c r="Q302" s="5" t="s">
        <v>967</v>
      </c>
      <c r="R302" s="5" t="s">
        <v>967</v>
      </c>
      <c r="S302" s="5" t="s">
        <v>967</v>
      </c>
      <c r="T302" s="5" t="s">
        <v>967</v>
      </c>
    </row>
    <row r="303" ht="49.5" spans="1:20">
      <c r="A303" s="4">
        <v>302</v>
      </c>
      <c r="B303" s="5" t="s">
        <v>2259</v>
      </c>
      <c r="C303" s="5" t="s">
        <v>739</v>
      </c>
      <c r="D303" s="5" t="s">
        <v>123</v>
      </c>
      <c r="E303" s="5" t="s">
        <v>124</v>
      </c>
      <c r="F303" s="4" t="s">
        <v>37</v>
      </c>
      <c r="G303" s="6" t="s">
        <v>2367</v>
      </c>
      <c r="H303" s="6" t="s">
        <v>2368</v>
      </c>
      <c r="I303" s="6" t="s">
        <v>2369</v>
      </c>
      <c r="J303" s="6" t="s">
        <v>967</v>
      </c>
      <c r="K303" s="6" t="s">
        <v>1138</v>
      </c>
      <c r="L303" s="6" t="s">
        <v>1139</v>
      </c>
      <c r="M303" s="6" t="s">
        <v>967</v>
      </c>
      <c r="N303" s="6" t="s">
        <v>967</v>
      </c>
      <c r="O303" s="6" t="s">
        <v>967</v>
      </c>
      <c r="P303" s="5" t="s">
        <v>967</v>
      </c>
      <c r="Q303" s="5" t="s">
        <v>967</v>
      </c>
      <c r="R303" s="5" t="s">
        <v>967</v>
      </c>
      <c r="S303" s="5" t="s">
        <v>967</v>
      </c>
      <c r="T303" s="5" t="s">
        <v>967</v>
      </c>
    </row>
    <row r="304" ht="49.5" spans="1:20">
      <c r="A304" s="4">
        <v>303</v>
      </c>
      <c r="B304" s="5" t="s">
        <v>2259</v>
      </c>
      <c r="C304" s="5" t="s">
        <v>740</v>
      </c>
      <c r="D304" s="5" t="s">
        <v>144</v>
      </c>
      <c r="E304" s="5" t="s">
        <v>145</v>
      </c>
      <c r="F304" s="4" t="s">
        <v>32</v>
      </c>
      <c r="G304" s="6" t="s">
        <v>2370</v>
      </c>
      <c r="H304" s="6" t="s">
        <v>2371</v>
      </c>
      <c r="I304" s="6" t="s">
        <v>1003</v>
      </c>
      <c r="J304" s="6" t="s">
        <v>967</v>
      </c>
      <c r="K304" s="6" t="s">
        <v>1178</v>
      </c>
      <c r="L304" s="6" t="s">
        <v>1179</v>
      </c>
      <c r="M304" s="6" t="s">
        <v>967</v>
      </c>
      <c r="N304" s="6" t="s">
        <v>967</v>
      </c>
      <c r="O304" s="6" t="s">
        <v>967</v>
      </c>
      <c r="P304" s="5" t="s">
        <v>967</v>
      </c>
      <c r="Q304" s="5" t="s">
        <v>967</v>
      </c>
      <c r="R304" s="5" t="s">
        <v>967</v>
      </c>
      <c r="S304" s="5" t="s">
        <v>967</v>
      </c>
      <c r="T304" s="5" t="s">
        <v>967</v>
      </c>
    </row>
    <row r="305" ht="33" spans="1:20">
      <c r="A305" s="4">
        <v>304</v>
      </c>
      <c r="B305" s="5" t="s">
        <v>2259</v>
      </c>
      <c r="C305" s="5" t="s">
        <v>741</v>
      </c>
      <c r="D305" s="5" t="s">
        <v>69</v>
      </c>
      <c r="E305" s="5" t="s">
        <v>148</v>
      </c>
      <c r="F305" s="4" t="s">
        <v>71</v>
      </c>
      <c r="G305" s="6" t="s">
        <v>2372</v>
      </c>
      <c r="H305" s="6" t="s">
        <v>2373</v>
      </c>
      <c r="I305" s="6" t="s">
        <v>2374</v>
      </c>
      <c r="J305" s="6" t="s">
        <v>967</v>
      </c>
      <c r="K305" s="6" t="s">
        <v>1183</v>
      </c>
      <c r="L305" s="6" t="s">
        <v>1184</v>
      </c>
      <c r="M305" s="6" t="s">
        <v>967</v>
      </c>
      <c r="N305" s="6" t="s">
        <v>967</v>
      </c>
      <c r="O305" s="6" t="s">
        <v>967</v>
      </c>
      <c r="P305" s="5" t="s">
        <v>967</v>
      </c>
      <c r="Q305" s="5" t="s">
        <v>967</v>
      </c>
      <c r="R305" s="5" t="s">
        <v>967</v>
      </c>
      <c r="S305" s="5" t="s">
        <v>967</v>
      </c>
      <c r="T305" s="5" t="s">
        <v>967</v>
      </c>
    </row>
    <row r="306" ht="33" spans="1:20">
      <c r="A306" s="4">
        <v>305</v>
      </c>
      <c r="B306" s="5" t="s">
        <v>2259</v>
      </c>
      <c r="C306" s="5" t="s">
        <v>742</v>
      </c>
      <c r="D306" s="5" t="s">
        <v>69</v>
      </c>
      <c r="E306" s="5" t="s">
        <v>150</v>
      </c>
      <c r="F306" s="4" t="s">
        <v>71</v>
      </c>
      <c r="G306" s="6" t="s">
        <v>2375</v>
      </c>
      <c r="H306" s="6" t="s">
        <v>2376</v>
      </c>
      <c r="I306" s="6" t="s">
        <v>2377</v>
      </c>
      <c r="J306" s="6" t="s">
        <v>967</v>
      </c>
      <c r="K306" s="6" t="s">
        <v>1183</v>
      </c>
      <c r="L306" s="6" t="s">
        <v>1189</v>
      </c>
      <c r="M306" s="6" t="s">
        <v>967</v>
      </c>
      <c r="N306" s="6" t="s">
        <v>967</v>
      </c>
      <c r="O306" s="6" t="s">
        <v>967</v>
      </c>
      <c r="P306" s="5" t="s">
        <v>967</v>
      </c>
      <c r="Q306" s="5" t="s">
        <v>967</v>
      </c>
      <c r="R306" s="5" t="s">
        <v>967</v>
      </c>
      <c r="S306" s="5" t="s">
        <v>967</v>
      </c>
      <c r="T306" s="5" t="s">
        <v>967</v>
      </c>
    </row>
    <row r="307" ht="33" spans="1:20">
      <c r="A307" s="4">
        <v>306</v>
      </c>
      <c r="B307" s="5" t="s">
        <v>2259</v>
      </c>
      <c r="C307" s="5" t="s">
        <v>743</v>
      </c>
      <c r="D307" s="5" t="s">
        <v>69</v>
      </c>
      <c r="E307" s="5" t="s">
        <v>152</v>
      </c>
      <c r="F307" s="4" t="s">
        <v>71</v>
      </c>
      <c r="G307" s="6" t="s">
        <v>2378</v>
      </c>
      <c r="H307" s="6" t="s">
        <v>2379</v>
      </c>
      <c r="I307" s="6" t="s">
        <v>2380</v>
      </c>
      <c r="J307" s="6" t="s">
        <v>967</v>
      </c>
      <c r="K307" s="6" t="s">
        <v>1194</v>
      </c>
      <c r="L307" s="6" t="s">
        <v>1195</v>
      </c>
      <c r="M307" s="6" t="s">
        <v>967</v>
      </c>
      <c r="N307" s="6" t="s">
        <v>967</v>
      </c>
      <c r="O307" s="6" t="s">
        <v>967</v>
      </c>
      <c r="P307" s="5" t="s">
        <v>967</v>
      </c>
      <c r="Q307" s="5" t="s">
        <v>967</v>
      </c>
      <c r="R307" s="5" t="s">
        <v>967</v>
      </c>
      <c r="S307" s="5" t="s">
        <v>967</v>
      </c>
      <c r="T307" s="5" t="s">
        <v>967</v>
      </c>
    </row>
    <row r="308" ht="33" spans="1:20">
      <c r="A308" s="4">
        <v>307</v>
      </c>
      <c r="B308" s="5" t="s">
        <v>2259</v>
      </c>
      <c r="C308" s="5" t="s">
        <v>744</v>
      </c>
      <c r="D308" s="5" t="s">
        <v>69</v>
      </c>
      <c r="E308" s="5" t="s">
        <v>154</v>
      </c>
      <c r="F308" s="4" t="s">
        <v>71</v>
      </c>
      <c r="G308" s="6" t="s">
        <v>2381</v>
      </c>
      <c r="H308" s="6" t="s">
        <v>2382</v>
      </c>
      <c r="I308" s="6" t="s">
        <v>2383</v>
      </c>
      <c r="J308" s="6" t="s">
        <v>967</v>
      </c>
      <c r="K308" s="6" t="s">
        <v>1194</v>
      </c>
      <c r="L308" s="6" t="s">
        <v>1200</v>
      </c>
      <c r="M308" s="6" t="s">
        <v>967</v>
      </c>
      <c r="N308" s="6" t="s">
        <v>967</v>
      </c>
      <c r="O308" s="6" t="s">
        <v>967</v>
      </c>
      <c r="P308" s="5" t="s">
        <v>967</v>
      </c>
      <c r="Q308" s="5" t="s">
        <v>967</v>
      </c>
      <c r="R308" s="5" t="s">
        <v>967</v>
      </c>
      <c r="S308" s="5" t="s">
        <v>967</v>
      </c>
      <c r="T308" s="5" t="s">
        <v>967</v>
      </c>
    </row>
    <row r="309" ht="33" spans="1:20">
      <c r="A309" s="4">
        <v>308</v>
      </c>
      <c r="B309" s="5" t="s">
        <v>2259</v>
      </c>
      <c r="C309" s="5" t="s">
        <v>745</v>
      </c>
      <c r="D309" s="5" t="s">
        <v>69</v>
      </c>
      <c r="E309" s="5" t="s">
        <v>156</v>
      </c>
      <c r="F309" s="4" t="s">
        <v>71</v>
      </c>
      <c r="G309" s="6" t="s">
        <v>2384</v>
      </c>
      <c r="H309" s="6" t="s">
        <v>2385</v>
      </c>
      <c r="I309" s="6" t="s">
        <v>2386</v>
      </c>
      <c r="J309" s="6" t="s">
        <v>967</v>
      </c>
      <c r="K309" s="6" t="s">
        <v>1206</v>
      </c>
      <c r="L309" s="6" t="s">
        <v>1207</v>
      </c>
      <c r="M309" s="6" t="s">
        <v>967</v>
      </c>
      <c r="N309" s="6" t="s">
        <v>967</v>
      </c>
      <c r="O309" s="6" t="s">
        <v>967</v>
      </c>
      <c r="P309" s="5" t="s">
        <v>967</v>
      </c>
      <c r="Q309" s="5" t="s">
        <v>967</v>
      </c>
      <c r="R309" s="5" t="s">
        <v>967</v>
      </c>
      <c r="S309" s="5" t="s">
        <v>967</v>
      </c>
      <c r="T309" s="5" t="s">
        <v>967</v>
      </c>
    </row>
    <row r="310" ht="33" spans="1:20">
      <c r="A310" s="4">
        <v>309</v>
      </c>
      <c r="B310" s="5" t="s">
        <v>2259</v>
      </c>
      <c r="C310" s="5" t="s">
        <v>746</v>
      </c>
      <c r="D310" s="5" t="s">
        <v>69</v>
      </c>
      <c r="E310" s="5" t="s">
        <v>158</v>
      </c>
      <c r="F310" s="4" t="s">
        <v>71</v>
      </c>
      <c r="G310" s="6" t="s">
        <v>2387</v>
      </c>
      <c r="H310" s="6" t="s">
        <v>2388</v>
      </c>
      <c r="I310" s="6" t="s">
        <v>2389</v>
      </c>
      <c r="J310" s="6" t="s">
        <v>967</v>
      </c>
      <c r="K310" s="6" t="s">
        <v>1212</v>
      </c>
      <c r="L310" s="6" t="s">
        <v>1213</v>
      </c>
      <c r="M310" s="6" t="s">
        <v>967</v>
      </c>
      <c r="N310" s="6" t="s">
        <v>967</v>
      </c>
      <c r="O310" s="6" t="s">
        <v>967</v>
      </c>
      <c r="P310" s="5" t="s">
        <v>967</v>
      </c>
      <c r="Q310" s="5" t="s">
        <v>967</v>
      </c>
      <c r="R310" s="5" t="s">
        <v>967</v>
      </c>
      <c r="S310" s="5" t="s">
        <v>967</v>
      </c>
      <c r="T310" s="5" t="s">
        <v>967</v>
      </c>
    </row>
    <row r="311" ht="33" spans="1:20">
      <c r="A311" s="4">
        <v>310</v>
      </c>
      <c r="B311" s="5" t="s">
        <v>2259</v>
      </c>
      <c r="C311" s="5" t="s">
        <v>747</v>
      </c>
      <c r="D311" s="5" t="s">
        <v>69</v>
      </c>
      <c r="E311" s="5" t="s">
        <v>748</v>
      </c>
      <c r="F311" s="4" t="s">
        <v>71</v>
      </c>
      <c r="G311" s="6" t="s">
        <v>2390</v>
      </c>
      <c r="H311" s="6" t="s">
        <v>2391</v>
      </c>
      <c r="I311" s="6" t="s">
        <v>2392</v>
      </c>
      <c r="J311" s="6" t="s">
        <v>967</v>
      </c>
      <c r="K311" s="6" t="s">
        <v>2393</v>
      </c>
      <c r="L311" s="6" t="s">
        <v>2394</v>
      </c>
      <c r="M311" s="6" t="s">
        <v>967</v>
      </c>
      <c r="N311" s="6" t="s">
        <v>967</v>
      </c>
      <c r="O311" s="6" t="s">
        <v>967</v>
      </c>
      <c r="P311" s="5" t="s">
        <v>967</v>
      </c>
      <c r="Q311" s="5" t="s">
        <v>967</v>
      </c>
      <c r="R311" s="5" t="s">
        <v>967</v>
      </c>
      <c r="S311" s="5" t="s">
        <v>967</v>
      </c>
      <c r="T311" s="5" t="s">
        <v>967</v>
      </c>
    </row>
    <row r="312" ht="33" spans="1:20">
      <c r="A312" s="4">
        <v>311</v>
      </c>
      <c r="B312" s="5" t="s">
        <v>2259</v>
      </c>
      <c r="C312" s="5" t="s">
        <v>159</v>
      </c>
      <c r="D312" s="5" t="s">
        <v>160</v>
      </c>
      <c r="E312" s="5" t="s">
        <v>161</v>
      </c>
      <c r="F312" s="4" t="s">
        <v>67</v>
      </c>
      <c r="G312" s="6" t="s">
        <v>2395</v>
      </c>
      <c r="H312" s="6" t="s">
        <v>1003</v>
      </c>
      <c r="I312" s="6" t="s">
        <v>1003</v>
      </c>
      <c r="J312" s="6" t="s">
        <v>967</v>
      </c>
      <c r="K312" s="6" t="s">
        <v>1217</v>
      </c>
      <c r="L312" s="6" t="s">
        <v>982</v>
      </c>
      <c r="M312" s="6" t="s">
        <v>967</v>
      </c>
      <c r="N312" s="6" t="s">
        <v>967</v>
      </c>
      <c r="O312" s="6" t="s">
        <v>967</v>
      </c>
      <c r="P312" s="5" t="s">
        <v>967</v>
      </c>
      <c r="Q312" s="5" t="s">
        <v>967</v>
      </c>
      <c r="R312" s="5" t="s">
        <v>967</v>
      </c>
      <c r="S312" s="5" t="s">
        <v>967</v>
      </c>
      <c r="T312" s="5" t="s">
        <v>967</v>
      </c>
    </row>
    <row r="313" ht="33" spans="1:20">
      <c r="A313" s="4">
        <v>312</v>
      </c>
      <c r="B313" s="5" t="s">
        <v>2259</v>
      </c>
      <c r="C313" s="5" t="s">
        <v>162</v>
      </c>
      <c r="D313" s="5" t="s">
        <v>160</v>
      </c>
      <c r="E313" s="5" t="s">
        <v>163</v>
      </c>
      <c r="F313" s="4" t="s">
        <v>67</v>
      </c>
      <c r="G313" s="6" t="s">
        <v>2396</v>
      </c>
      <c r="H313" s="6" t="s">
        <v>1003</v>
      </c>
      <c r="I313" s="6" t="s">
        <v>1003</v>
      </c>
      <c r="J313" s="6" t="s">
        <v>967</v>
      </c>
      <c r="K313" s="6" t="s">
        <v>1220</v>
      </c>
      <c r="L313" s="6" t="s">
        <v>1221</v>
      </c>
      <c r="M313" s="6" t="s">
        <v>967</v>
      </c>
      <c r="N313" s="6" t="s">
        <v>967</v>
      </c>
      <c r="O313" s="6" t="s">
        <v>967</v>
      </c>
      <c r="P313" s="5" t="s">
        <v>967</v>
      </c>
      <c r="Q313" s="5" t="s">
        <v>967</v>
      </c>
      <c r="R313" s="5" t="s">
        <v>967</v>
      </c>
      <c r="S313" s="5" t="s">
        <v>967</v>
      </c>
      <c r="T313" s="5" t="s">
        <v>967</v>
      </c>
    </row>
    <row r="314" ht="33" spans="1:20">
      <c r="A314" s="4">
        <v>313</v>
      </c>
      <c r="B314" s="5" t="s">
        <v>2259</v>
      </c>
      <c r="C314" s="5" t="s">
        <v>164</v>
      </c>
      <c r="D314" s="5" t="s">
        <v>165</v>
      </c>
      <c r="E314" s="5" t="s">
        <v>166</v>
      </c>
      <c r="F314" s="4" t="s">
        <v>67</v>
      </c>
      <c r="G314" s="6" t="s">
        <v>2397</v>
      </c>
      <c r="H314" s="6" t="s">
        <v>1003</v>
      </c>
      <c r="I314" s="6" t="s">
        <v>1003</v>
      </c>
      <c r="J314" s="6" t="s">
        <v>967</v>
      </c>
      <c r="K314" s="6" t="s">
        <v>1224</v>
      </c>
      <c r="L314" s="6" t="s">
        <v>1225</v>
      </c>
      <c r="M314" s="6" t="s">
        <v>967</v>
      </c>
      <c r="N314" s="6" t="s">
        <v>967</v>
      </c>
      <c r="O314" s="6" t="s">
        <v>967</v>
      </c>
      <c r="P314" s="5" t="s">
        <v>967</v>
      </c>
      <c r="Q314" s="5" t="s">
        <v>967</v>
      </c>
      <c r="R314" s="5" t="s">
        <v>967</v>
      </c>
      <c r="S314" s="5" t="s">
        <v>967</v>
      </c>
      <c r="T314" s="5" t="s">
        <v>967</v>
      </c>
    </row>
    <row r="315" ht="33" spans="1:20">
      <c r="A315" s="4">
        <v>314</v>
      </c>
      <c r="B315" s="5" t="s">
        <v>2259</v>
      </c>
      <c r="C315" s="5" t="s">
        <v>967</v>
      </c>
      <c r="D315" s="5" t="s">
        <v>167</v>
      </c>
      <c r="E315" s="5" t="s">
        <v>967</v>
      </c>
      <c r="F315" s="4" t="s">
        <v>967</v>
      </c>
      <c r="G315" s="6" t="s">
        <v>967</v>
      </c>
      <c r="H315" s="6" t="s">
        <v>967</v>
      </c>
      <c r="I315" s="6" t="s">
        <v>967</v>
      </c>
      <c r="J315" s="6" t="s">
        <v>967</v>
      </c>
      <c r="K315" s="6" t="s">
        <v>967</v>
      </c>
      <c r="L315" s="6" t="s">
        <v>967</v>
      </c>
      <c r="M315" s="6" t="s">
        <v>967</v>
      </c>
      <c r="N315" s="6" t="s">
        <v>967</v>
      </c>
      <c r="O315" s="6" t="s">
        <v>967</v>
      </c>
      <c r="P315" s="5" t="s">
        <v>967</v>
      </c>
      <c r="Q315" s="5" t="s">
        <v>967</v>
      </c>
      <c r="R315" s="5" t="s">
        <v>967</v>
      </c>
      <c r="S315" s="5" t="s">
        <v>967</v>
      </c>
      <c r="T315" s="5" t="s">
        <v>967</v>
      </c>
    </row>
    <row r="316" ht="33" spans="1:20">
      <c r="A316" s="4">
        <v>315</v>
      </c>
      <c r="B316" s="5" t="s">
        <v>2259</v>
      </c>
      <c r="C316" s="5" t="s">
        <v>168</v>
      </c>
      <c r="D316" s="5" t="s">
        <v>169</v>
      </c>
      <c r="E316" s="5" t="s">
        <v>170</v>
      </c>
      <c r="F316" s="4" t="s">
        <v>32</v>
      </c>
      <c r="G316" s="6" t="s">
        <v>2398</v>
      </c>
      <c r="H316" s="6" t="s">
        <v>2399</v>
      </c>
      <c r="I316" s="6" t="s">
        <v>2399</v>
      </c>
      <c r="J316" s="6" t="s">
        <v>967</v>
      </c>
      <c r="K316" s="6" t="s">
        <v>1231</v>
      </c>
      <c r="L316" s="6" t="s">
        <v>1232</v>
      </c>
      <c r="M316" s="6" t="s">
        <v>967</v>
      </c>
      <c r="N316" s="6" t="s">
        <v>967</v>
      </c>
      <c r="O316" s="6" t="s">
        <v>967</v>
      </c>
      <c r="P316" s="5" t="s">
        <v>967</v>
      </c>
      <c r="Q316" s="5" t="s">
        <v>967</v>
      </c>
      <c r="R316" s="5" t="s">
        <v>967</v>
      </c>
      <c r="S316" s="5" t="s">
        <v>967</v>
      </c>
      <c r="T316" s="5" t="s">
        <v>967</v>
      </c>
    </row>
    <row r="317" ht="33" spans="1:20">
      <c r="A317" s="4">
        <v>316</v>
      </c>
      <c r="B317" s="5" t="s">
        <v>2259</v>
      </c>
      <c r="C317" s="5" t="s">
        <v>171</v>
      </c>
      <c r="D317" s="5" t="s">
        <v>169</v>
      </c>
      <c r="E317" s="5" t="s">
        <v>172</v>
      </c>
      <c r="F317" s="4" t="s">
        <v>32</v>
      </c>
      <c r="G317" s="6" t="s">
        <v>2400</v>
      </c>
      <c r="H317" s="6" t="s">
        <v>2401</v>
      </c>
      <c r="I317" s="6" t="s">
        <v>2401</v>
      </c>
      <c r="J317" s="6" t="s">
        <v>967</v>
      </c>
      <c r="K317" s="6" t="s">
        <v>1238</v>
      </c>
      <c r="L317" s="6" t="s">
        <v>1239</v>
      </c>
      <c r="M317" s="6" t="s">
        <v>967</v>
      </c>
      <c r="N317" s="6" t="s">
        <v>967</v>
      </c>
      <c r="O317" s="6" t="s">
        <v>967</v>
      </c>
      <c r="P317" s="5" t="s">
        <v>967</v>
      </c>
      <c r="Q317" s="5" t="s">
        <v>967</v>
      </c>
      <c r="R317" s="5" t="s">
        <v>967</v>
      </c>
      <c r="S317" s="5" t="s">
        <v>967</v>
      </c>
      <c r="T317" s="5" t="s">
        <v>967</v>
      </c>
    </row>
    <row r="318" ht="49.5" spans="1:20">
      <c r="A318" s="4">
        <v>317</v>
      </c>
      <c r="B318" s="5" t="s">
        <v>2259</v>
      </c>
      <c r="C318" s="5" t="s">
        <v>749</v>
      </c>
      <c r="D318" s="5" t="s">
        <v>750</v>
      </c>
      <c r="E318" s="5" t="s">
        <v>751</v>
      </c>
      <c r="F318" s="4" t="s">
        <v>71</v>
      </c>
      <c r="G318" s="6" t="s">
        <v>2402</v>
      </c>
      <c r="H318" s="6" t="s">
        <v>2402</v>
      </c>
      <c r="I318" s="6" t="s">
        <v>2402</v>
      </c>
      <c r="J318" s="6" t="s">
        <v>967</v>
      </c>
      <c r="K318" s="6" t="s">
        <v>2403</v>
      </c>
      <c r="L318" s="6" t="s">
        <v>2404</v>
      </c>
      <c r="M318" s="6" t="s">
        <v>967</v>
      </c>
      <c r="N318" s="6" t="s">
        <v>967</v>
      </c>
      <c r="O318" s="6" t="s">
        <v>967</v>
      </c>
      <c r="P318" s="5" t="s">
        <v>967</v>
      </c>
      <c r="Q318" s="5" t="s">
        <v>967</v>
      </c>
      <c r="R318" s="5" t="s">
        <v>967</v>
      </c>
      <c r="S318" s="5" t="s">
        <v>967</v>
      </c>
      <c r="T318" s="5" t="s">
        <v>967</v>
      </c>
    </row>
    <row r="319" ht="33" spans="1:20">
      <c r="A319" s="4">
        <v>318</v>
      </c>
      <c r="B319" s="5" t="s">
        <v>2259</v>
      </c>
      <c r="C319" s="5" t="s">
        <v>967</v>
      </c>
      <c r="D319" s="5" t="s">
        <v>213</v>
      </c>
      <c r="E319" s="5" t="s">
        <v>967</v>
      </c>
      <c r="F319" s="4" t="s">
        <v>967</v>
      </c>
      <c r="G319" s="6" t="s">
        <v>967</v>
      </c>
      <c r="H319" s="6" t="s">
        <v>967</v>
      </c>
      <c r="I319" s="6" t="s">
        <v>967</v>
      </c>
      <c r="J319" s="6" t="s">
        <v>967</v>
      </c>
      <c r="K319" s="6" t="s">
        <v>967</v>
      </c>
      <c r="L319" s="6" t="s">
        <v>967</v>
      </c>
      <c r="M319" s="6" t="s">
        <v>967</v>
      </c>
      <c r="N319" s="6" t="s">
        <v>967</v>
      </c>
      <c r="O319" s="6" t="s">
        <v>967</v>
      </c>
      <c r="P319" s="5" t="s">
        <v>967</v>
      </c>
      <c r="Q319" s="5" t="s">
        <v>967</v>
      </c>
      <c r="R319" s="5" t="s">
        <v>967</v>
      </c>
      <c r="S319" s="5" t="s">
        <v>967</v>
      </c>
      <c r="T319" s="5" t="s">
        <v>967</v>
      </c>
    </row>
    <row r="320" ht="49.5" spans="1:20">
      <c r="A320" s="4">
        <v>319</v>
      </c>
      <c r="B320" s="5" t="s">
        <v>2259</v>
      </c>
      <c r="C320" s="5" t="s">
        <v>752</v>
      </c>
      <c r="D320" s="5" t="s">
        <v>215</v>
      </c>
      <c r="E320" s="5" t="s">
        <v>753</v>
      </c>
      <c r="F320" s="4" t="s">
        <v>32</v>
      </c>
      <c r="G320" s="6" t="s">
        <v>2405</v>
      </c>
      <c r="H320" s="6" t="s">
        <v>2405</v>
      </c>
      <c r="I320" s="6" t="s">
        <v>2405</v>
      </c>
      <c r="J320" s="6" t="s">
        <v>967</v>
      </c>
      <c r="K320" s="6" t="s">
        <v>2406</v>
      </c>
      <c r="L320" s="6" t="s">
        <v>2407</v>
      </c>
      <c r="M320" s="6" t="s">
        <v>967</v>
      </c>
      <c r="N320" s="6" t="s">
        <v>967</v>
      </c>
      <c r="O320" s="6" t="s">
        <v>967</v>
      </c>
      <c r="P320" s="5" t="s">
        <v>967</v>
      </c>
      <c r="Q320" s="5" t="s">
        <v>967</v>
      </c>
      <c r="R320" s="5" t="s">
        <v>967</v>
      </c>
      <c r="S320" s="5" t="s">
        <v>967</v>
      </c>
      <c r="T320" s="5" t="s">
        <v>967</v>
      </c>
    </row>
    <row r="321" ht="49.5" spans="1:20">
      <c r="A321" s="4">
        <v>320</v>
      </c>
      <c r="B321" s="5" t="s">
        <v>2259</v>
      </c>
      <c r="C321" s="5" t="s">
        <v>754</v>
      </c>
      <c r="D321" s="5" t="s">
        <v>215</v>
      </c>
      <c r="E321" s="5" t="s">
        <v>216</v>
      </c>
      <c r="F321" s="4" t="s">
        <v>32</v>
      </c>
      <c r="G321" s="6" t="s">
        <v>2408</v>
      </c>
      <c r="H321" s="6" t="s">
        <v>2409</v>
      </c>
      <c r="I321" s="6" t="s">
        <v>2409</v>
      </c>
      <c r="J321" s="6" t="s">
        <v>967</v>
      </c>
      <c r="K321" s="6" t="s">
        <v>2410</v>
      </c>
      <c r="L321" s="6" t="s">
        <v>2411</v>
      </c>
      <c r="M321" s="6" t="s">
        <v>967</v>
      </c>
      <c r="N321" s="6" t="s">
        <v>967</v>
      </c>
      <c r="O321" s="6" t="s">
        <v>967</v>
      </c>
      <c r="P321" s="5" t="s">
        <v>967</v>
      </c>
      <c r="Q321" s="5" t="s">
        <v>967</v>
      </c>
      <c r="R321" s="5" t="s">
        <v>967</v>
      </c>
      <c r="S321" s="5" t="s">
        <v>967</v>
      </c>
      <c r="T321" s="5" t="s">
        <v>967</v>
      </c>
    </row>
    <row r="322" ht="49.5" spans="1:20">
      <c r="A322" s="4">
        <v>321</v>
      </c>
      <c r="B322" s="5" t="s">
        <v>2259</v>
      </c>
      <c r="C322" s="5" t="s">
        <v>755</v>
      </c>
      <c r="D322" s="5" t="s">
        <v>215</v>
      </c>
      <c r="E322" s="5" t="s">
        <v>224</v>
      </c>
      <c r="F322" s="4" t="s">
        <v>32</v>
      </c>
      <c r="G322" s="6" t="s">
        <v>2412</v>
      </c>
      <c r="H322" s="6" t="s">
        <v>2412</v>
      </c>
      <c r="I322" s="6" t="s">
        <v>2412</v>
      </c>
      <c r="J322" s="6" t="s">
        <v>967</v>
      </c>
      <c r="K322" s="6" t="s">
        <v>1337</v>
      </c>
      <c r="L322" s="6" t="s">
        <v>2413</v>
      </c>
      <c r="M322" s="6" t="s">
        <v>967</v>
      </c>
      <c r="N322" s="6" t="s">
        <v>967</v>
      </c>
      <c r="O322" s="6" t="s">
        <v>967</v>
      </c>
      <c r="P322" s="5" t="s">
        <v>967</v>
      </c>
      <c r="Q322" s="5" t="s">
        <v>967</v>
      </c>
      <c r="R322" s="5" t="s">
        <v>967</v>
      </c>
      <c r="S322" s="5" t="s">
        <v>967</v>
      </c>
      <c r="T322" s="5" t="s">
        <v>967</v>
      </c>
    </row>
    <row r="323" ht="49.5" spans="1:20">
      <c r="A323" s="4">
        <v>322</v>
      </c>
      <c r="B323" s="5" t="s">
        <v>2259</v>
      </c>
      <c r="C323" s="5" t="s">
        <v>756</v>
      </c>
      <c r="D323" s="5" t="s">
        <v>215</v>
      </c>
      <c r="E323" s="5" t="s">
        <v>218</v>
      </c>
      <c r="F323" s="4" t="s">
        <v>32</v>
      </c>
      <c r="G323" s="6" t="s">
        <v>2414</v>
      </c>
      <c r="H323" s="6" t="s">
        <v>2415</v>
      </c>
      <c r="I323" s="6" t="s">
        <v>2415</v>
      </c>
      <c r="J323" s="6" t="s">
        <v>967</v>
      </c>
      <c r="K323" s="6" t="s">
        <v>1337</v>
      </c>
      <c r="L323" s="6" t="s">
        <v>2416</v>
      </c>
      <c r="M323" s="6" t="s">
        <v>967</v>
      </c>
      <c r="N323" s="6" t="s">
        <v>967</v>
      </c>
      <c r="O323" s="6" t="s">
        <v>967</v>
      </c>
      <c r="P323" s="5" t="s">
        <v>967</v>
      </c>
      <c r="Q323" s="5" t="s">
        <v>967</v>
      </c>
      <c r="R323" s="5" t="s">
        <v>967</v>
      </c>
      <c r="S323" s="5" t="s">
        <v>967</v>
      </c>
      <c r="T323" s="5" t="s">
        <v>967</v>
      </c>
    </row>
    <row r="324" ht="49.5" spans="1:20">
      <c r="A324" s="4">
        <v>323</v>
      </c>
      <c r="B324" s="5" t="s">
        <v>2259</v>
      </c>
      <c r="C324" s="5" t="s">
        <v>230</v>
      </c>
      <c r="D324" s="5" t="s">
        <v>228</v>
      </c>
      <c r="E324" s="5" t="s">
        <v>757</v>
      </c>
      <c r="F324" s="4" t="s">
        <v>32</v>
      </c>
      <c r="G324" s="6" t="s">
        <v>2417</v>
      </c>
      <c r="H324" s="6" t="s">
        <v>2164</v>
      </c>
      <c r="I324" s="6" t="s">
        <v>2164</v>
      </c>
      <c r="J324" s="6" t="s">
        <v>967</v>
      </c>
      <c r="K324" s="6" t="s">
        <v>2418</v>
      </c>
      <c r="L324" s="6" t="s">
        <v>2419</v>
      </c>
      <c r="M324" s="6" t="s">
        <v>967</v>
      </c>
      <c r="N324" s="6" t="s">
        <v>967</v>
      </c>
      <c r="O324" s="6" t="s">
        <v>967</v>
      </c>
      <c r="P324" s="5" t="s">
        <v>967</v>
      </c>
      <c r="Q324" s="5" t="s">
        <v>967</v>
      </c>
      <c r="R324" s="5" t="s">
        <v>967</v>
      </c>
      <c r="S324" s="5" t="s">
        <v>967</v>
      </c>
      <c r="T324" s="5" t="s">
        <v>967</v>
      </c>
    </row>
    <row r="325" ht="66" spans="1:20">
      <c r="A325" s="4">
        <v>324</v>
      </c>
      <c r="B325" s="5" t="s">
        <v>2259</v>
      </c>
      <c r="C325" s="5" t="s">
        <v>232</v>
      </c>
      <c r="D325" s="5" t="s">
        <v>228</v>
      </c>
      <c r="E325" s="5" t="s">
        <v>758</v>
      </c>
      <c r="F325" s="4" t="s">
        <v>32</v>
      </c>
      <c r="G325" s="6" t="s">
        <v>2420</v>
      </c>
      <c r="H325" s="6" t="s">
        <v>2420</v>
      </c>
      <c r="I325" s="6" t="s">
        <v>2420</v>
      </c>
      <c r="J325" s="6" t="s">
        <v>967</v>
      </c>
      <c r="K325" s="6" t="s">
        <v>2421</v>
      </c>
      <c r="L325" s="6" t="s">
        <v>2422</v>
      </c>
      <c r="M325" s="6" t="s">
        <v>967</v>
      </c>
      <c r="N325" s="6" t="s">
        <v>967</v>
      </c>
      <c r="O325" s="6" t="s">
        <v>967</v>
      </c>
      <c r="P325" s="5" t="s">
        <v>967</v>
      </c>
      <c r="Q325" s="5" t="s">
        <v>967</v>
      </c>
      <c r="R325" s="5" t="s">
        <v>967</v>
      </c>
      <c r="S325" s="5" t="s">
        <v>967</v>
      </c>
      <c r="T325" s="5" t="s">
        <v>967</v>
      </c>
    </row>
    <row r="326" ht="82.5" spans="1:20">
      <c r="A326" s="4">
        <v>325</v>
      </c>
      <c r="B326" s="5" t="s">
        <v>2259</v>
      </c>
      <c r="C326" s="5" t="s">
        <v>759</v>
      </c>
      <c r="D326" s="5" t="s">
        <v>241</v>
      </c>
      <c r="E326" s="5" t="s">
        <v>760</v>
      </c>
      <c r="F326" s="4" t="s">
        <v>32</v>
      </c>
      <c r="G326" s="6" t="s">
        <v>2423</v>
      </c>
      <c r="H326" s="6" t="s">
        <v>2423</v>
      </c>
      <c r="I326" s="6" t="s">
        <v>2424</v>
      </c>
      <c r="J326" s="6" t="s">
        <v>967</v>
      </c>
      <c r="K326" s="6" t="s">
        <v>1394</v>
      </c>
      <c r="L326" s="6" t="s">
        <v>2425</v>
      </c>
      <c r="M326" s="6" t="s">
        <v>967</v>
      </c>
      <c r="N326" s="6" t="s">
        <v>967</v>
      </c>
      <c r="O326" s="6" t="s">
        <v>967</v>
      </c>
      <c r="P326" s="5" t="s">
        <v>967</v>
      </c>
      <c r="Q326" s="5" t="s">
        <v>967</v>
      </c>
      <c r="R326" s="5" t="s">
        <v>967</v>
      </c>
      <c r="S326" s="5" t="s">
        <v>967</v>
      </c>
      <c r="T326" s="5" t="s">
        <v>967</v>
      </c>
    </row>
    <row r="327" ht="66" spans="1:20">
      <c r="A327" s="4">
        <v>326</v>
      </c>
      <c r="B327" s="5" t="s">
        <v>2259</v>
      </c>
      <c r="C327" s="5" t="s">
        <v>761</v>
      </c>
      <c r="D327" s="5" t="s">
        <v>241</v>
      </c>
      <c r="E327" s="5" t="s">
        <v>248</v>
      </c>
      <c r="F327" s="4" t="s">
        <v>32</v>
      </c>
      <c r="G327" s="6" t="s">
        <v>2426</v>
      </c>
      <c r="H327" s="6" t="s">
        <v>1156</v>
      </c>
      <c r="I327" s="6" t="s">
        <v>1156</v>
      </c>
      <c r="J327" s="6" t="s">
        <v>967</v>
      </c>
      <c r="K327" s="6" t="s">
        <v>1399</v>
      </c>
      <c r="L327" s="6" t="s">
        <v>2427</v>
      </c>
      <c r="M327" s="6" t="s">
        <v>967</v>
      </c>
      <c r="N327" s="6" t="s">
        <v>967</v>
      </c>
      <c r="O327" s="6" t="s">
        <v>967</v>
      </c>
      <c r="P327" s="5" t="s">
        <v>967</v>
      </c>
      <c r="Q327" s="5" t="s">
        <v>967</v>
      </c>
      <c r="R327" s="5" t="s">
        <v>967</v>
      </c>
      <c r="S327" s="5" t="s">
        <v>967</v>
      </c>
      <c r="T327" s="5" t="s">
        <v>967</v>
      </c>
    </row>
    <row r="328" ht="66" spans="1:20">
      <c r="A328" s="4">
        <v>327</v>
      </c>
      <c r="B328" s="5" t="s">
        <v>2259</v>
      </c>
      <c r="C328" s="5" t="s">
        <v>762</v>
      </c>
      <c r="D328" s="5" t="s">
        <v>241</v>
      </c>
      <c r="E328" s="5" t="s">
        <v>250</v>
      </c>
      <c r="F328" s="4" t="s">
        <v>32</v>
      </c>
      <c r="G328" s="6" t="s">
        <v>2428</v>
      </c>
      <c r="H328" s="6" t="s">
        <v>2429</v>
      </c>
      <c r="I328" s="6" t="s">
        <v>2429</v>
      </c>
      <c r="J328" s="6" t="s">
        <v>967</v>
      </c>
      <c r="K328" s="6" t="s">
        <v>1405</v>
      </c>
      <c r="L328" s="6" t="s">
        <v>2430</v>
      </c>
      <c r="M328" s="6" t="s">
        <v>967</v>
      </c>
      <c r="N328" s="6" t="s">
        <v>967</v>
      </c>
      <c r="O328" s="6" t="s">
        <v>967</v>
      </c>
      <c r="P328" s="5" t="s">
        <v>967</v>
      </c>
      <c r="Q328" s="5" t="s">
        <v>967</v>
      </c>
      <c r="R328" s="5" t="s">
        <v>967</v>
      </c>
      <c r="S328" s="5" t="s">
        <v>967</v>
      </c>
      <c r="T328" s="5" t="s">
        <v>967</v>
      </c>
    </row>
    <row r="329" ht="33" spans="1:20">
      <c r="A329" s="4">
        <v>328</v>
      </c>
      <c r="B329" s="5" t="s">
        <v>2259</v>
      </c>
      <c r="C329" s="5" t="s">
        <v>763</v>
      </c>
      <c r="D329" s="5" t="s">
        <v>764</v>
      </c>
      <c r="E329" s="5" t="s">
        <v>765</v>
      </c>
      <c r="F329" s="4" t="s">
        <v>32</v>
      </c>
      <c r="G329" s="6" t="s">
        <v>2431</v>
      </c>
      <c r="H329" s="6" t="s">
        <v>2431</v>
      </c>
      <c r="I329" s="6" t="s">
        <v>2431</v>
      </c>
      <c r="J329" s="6" t="s">
        <v>967</v>
      </c>
      <c r="K329" s="6" t="s">
        <v>2432</v>
      </c>
      <c r="L329" s="6" t="s">
        <v>2433</v>
      </c>
      <c r="M329" s="6" t="s">
        <v>967</v>
      </c>
      <c r="N329" s="6" t="s">
        <v>967</v>
      </c>
      <c r="O329" s="6" t="s">
        <v>967</v>
      </c>
      <c r="P329" s="5" t="s">
        <v>967</v>
      </c>
      <c r="Q329" s="5" t="s">
        <v>967</v>
      </c>
      <c r="R329" s="5" t="s">
        <v>967</v>
      </c>
      <c r="S329" s="5" t="s">
        <v>967</v>
      </c>
      <c r="T329" s="5" t="s">
        <v>967</v>
      </c>
    </row>
    <row r="330" ht="33" spans="1:20">
      <c r="A330" s="4">
        <v>329</v>
      </c>
      <c r="B330" s="5" t="s">
        <v>2259</v>
      </c>
      <c r="C330" s="5" t="s">
        <v>766</v>
      </c>
      <c r="D330" s="5" t="s">
        <v>252</v>
      </c>
      <c r="E330" s="5" t="s">
        <v>253</v>
      </c>
      <c r="F330" s="4" t="s">
        <v>32</v>
      </c>
      <c r="G330" s="6" t="s">
        <v>2434</v>
      </c>
      <c r="H330" s="6" t="s">
        <v>2434</v>
      </c>
      <c r="I330" s="6" t="s">
        <v>2434</v>
      </c>
      <c r="J330" s="6" t="s">
        <v>967</v>
      </c>
      <c r="K330" s="6" t="s">
        <v>1411</v>
      </c>
      <c r="L330" s="6" t="s">
        <v>2435</v>
      </c>
      <c r="M330" s="6" t="s">
        <v>967</v>
      </c>
      <c r="N330" s="6" t="s">
        <v>967</v>
      </c>
      <c r="O330" s="6" t="s">
        <v>967</v>
      </c>
      <c r="P330" s="5" t="s">
        <v>967</v>
      </c>
      <c r="Q330" s="5" t="s">
        <v>967</v>
      </c>
      <c r="R330" s="5" t="s">
        <v>967</v>
      </c>
      <c r="S330" s="5" t="s">
        <v>967</v>
      </c>
      <c r="T330" s="5" t="s">
        <v>967</v>
      </c>
    </row>
    <row r="331" ht="66" spans="1:20">
      <c r="A331" s="4">
        <v>330</v>
      </c>
      <c r="B331" s="5" t="s">
        <v>2259</v>
      </c>
      <c r="C331" s="5" t="s">
        <v>254</v>
      </c>
      <c r="D331" s="5" t="s">
        <v>252</v>
      </c>
      <c r="E331" s="5" t="s">
        <v>255</v>
      </c>
      <c r="F331" s="4" t="s">
        <v>32</v>
      </c>
      <c r="G331" s="6" t="s">
        <v>2436</v>
      </c>
      <c r="H331" s="6" t="s">
        <v>2436</v>
      </c>
      <c r="I331" s="6" t="s">
        <v>2436</v>
      </c>
      <c r="J331" s="6" t="s">
        <v>967</v>
      </c>
      <c r="K331" s="6" t="s">
        <v>1411</v>
      </c>
      <c r="L331" s="6" t="s">
        <v>1416</v>
      </c>
      <c r="M331" s="6" t="s">
        <v>967</v>
      </c>
      <c r="N331" s="6" t="s">
        <v>967</v>
      </c>
      <c r="O331" s="6" t="s">
        <v>967</v>
      </c>
      <c r="P331" s="5" t="s">
        <v>967</v>
      </c>
      <c r="Q331" s="5" t="s">
        <v>967</v>
      </c>
      <c r="R331" s="5" t="s">
        <v>967</v>
      </c>
      <c r="S331" s="5" t="s">
        <v>967</v>
      </c>
      <c r="T331" s="5" t="s">
        <v>967</v>
      </c>
    </row>
    <row r="332" ht="49.5" spans="1:20">
      <c r="A332" s="4">
        <v>331</v>
      </c>
      <c r="B332" s="5" t="s">
        <v>2259</v>
      </c>
      <c r="C332" s="5" t="s">
        <v>256</v>
      </c>
      <c r="D332" s="5" t="s">
        <v>767</v>
      </c>
      <c r="E332" s="5" t="s">
        <v>768</v>
      </c>
      <c r="F332" s="4" t="s">
        <v>53</v>
      </c>
      <c r="G332" s="6" t="s">
        <v>2437</v>
      </c>
      <c r="H332" s="6" t="s">
        <v>2438</v>
      </c>
      <c r="I332" s="6" t="s">
        <v>2438</v>
      </c>
      <c r="J332" s="6" t="s">
        <v>967</v>
      </c>
      <c r="K332" s="6" t="s">
        <v>2439</v>
      </c>
      <c r="L332" s="6" t="s">
        <v>2440</v>
      </c>
      <c r="M332" s="6" t="s">
        <v>967</v>
      </c>
      <c r="N332" s="6" t="s">
        <v>967</v>
      </c>
      <c r="O332" s="6" t="s">
        <v>967</v>
      </c>
      <c r="P332" s="5" t="s">
        <v>967</v>
      </c>
      <c r="Q332" s="5" t="s">
        <v>967</v>
      </c>
      <c r="R332" s="5" t="s">
        <v>967</v>
      </c>
      <c r="S332" s="5" t="s">
        <v>967</v>
      </c>
      <c r="T332" s="5" t="s">
        <v>967</v>
      </c>
    </row>
    <row r="333" ht="33" spans="1:20">
      <c r="A333" s="4">
        <v>332</v>
      </c>
      <c r="B333" s="5" t="s">
        <v>2259</v>
      </c>
      <c r="C333" s="5" t="s">
        <v>967</v>
      </c>
      <c r="D333" s="5" t="s">
        <v>266</v>
      </c>
      <c r="E333" s="5" t="s">
        <v>967</v>
      </c>
      <c r="F333" s="4" t="s">
        <v>967</v>
      </c>
      <c r="G333" s="6" t="s">
        <v>967</v>
      </c>
      <c r="H333" s="6" t="s">
        <v>967</v>
      </c>
      <c r="I333" s="6" t="s">
        <v>967</v>
      </c>
      <c r="J333" s="6" t="s">
        <v>967</v>
      </c>
      <c r="K333" s="6" t="s">
        <v>967</v>
      </c>
      <c r="L333" s="6" t="s">
        <v>967</v>
      </c>
      <c r="M333" s="6" t="s">
        <v>967</v>
      </c>
      <c r="N333" s="6" t="s">
        <v>967</v>
      </c>
      <c r="O333" s="6" t="s">
        <v>967</v>
      </c>
      <c r="P333" s="5" t="s">
        <v>967</v>
      </c>
      <c r="Q333" s="5" t="s">
        <v>967</v>
      </c>
      <c r="R333" s="5" t="s">
        <v>967</v>
      </c>
      <c r="S333" s="5" t="s">
        <v>967</v>
      </c>
      <c r="T333" s="5" t="s">
        <v>967</v>
      </c>
    </row>
    <row r="334" ht="33" spans="1:20">
      <c r="A334" s="4">
        <v>333</v>
      </c>
      <c r="B334" s="5" t="s">
        <v>2259</v>
      </c>
      <c r="C334" s="5" t="s">
        <v>769</v>
      </c>
      <c r="D334" s="5" t="s">
        <v>279</v>
      </c>
      <c r="E334" s="5" t="s">
        <v>280</v>
      </c>
      <c r="F334" s="4" t="s">
        <v>32</v>
      </c>
      <c r="G334" s="6" t="s">
        <v>2441</v>
      </c>
      <c r="H334" s="6" t="s">
        <v>2441</v>
      </c>
      <c r="I334" s="6" t="s">
        <v>2441</v>
      </c>
      <c r="J334" s="6" t="s">
        <v>967</v>
      </c>
      <c r="K334" s="6" t="s">
        <v>2442</v>
      </c>
      <c r="L334" s="6" t="s">
        <v>1452</v>
      </c>
      <c r="M334" s="6" t="s">
        <v>967</v>
      </c>
      <c r="N334" s="6" t="s">
        <v>967</v>
      </c>
      <c r="O334" s="6" t="s">
        <v>967</v>
      </c>
      <c r="P334" s="5" t="s">
        <v>967</v>
      </c>
      <c r="Q334" s="5" t="s">
        <v>967</v>
      </c>
      <c r="R334" s="5" t="s">
        <v>967</v>
      </c>
      <c r="S334" s="5" t="s">
        <v>967</v>
      </c>
      <c r="T334" s="5" t="s">
        <v>967</v>
      </c>
    </row>
    <row r="335" ht="33" spans="1:20">
      <c r="A335" s="4">
        <v>334</v>
      </c>
      <c r="B335" s="5" t="s">
        <v>2259</v>
      </c>
      <c r="C335" s="5" t="s">
        <v>770</v>
      </c>
      <c r="D335" s="5" t="s">
        <v>282</v>
      </c>
      <c r="E335" s="5" t="s">
        <v>283</v>
      </c>
      <c r="F335" s="4" t="s">
        <v>32</v>
      </c>
      <c r="G335" s="6" t="s">
        <v>2443</v>
      </c>
      <c r="H335" s="6" t="s">
        <v>2444</v>
      </c>
      <c r="I335" s="6" t="s">
        <v>967</v>
      </c>
      <c r="J335" s="6" t="s">
        <v>967</v>
      </c>
      <c r="K335" s="6" t="s">
        <v>1456</v>
      </c>
      <c r="L335" s="6" t="s">
        <v>1457</v>
      </c>
      <c r="M335" s="6" t="s">
        <v>967</v>
      </c>
      <c r="N335" s="6" t="s">
        <v>967</v>
      </c>
      <c r="O335" s="6" t="s">
        <v>967</v>
      </c>
      <c r="P335" s="5" t="s">
        <v>967</v>
      </c>
      <c r="Q335" s="5" t="s">
        <v>967</v>
      </c>
      <c r="R335" s="5" t="s">
        <v>967</v>
      </c>
      <c r="S335" s="5" t="s">
        <v>967</v>
      </c>
      <c r="T335" s="5" t="s">
        <v>967</v>
      </c>
    </row>
    <row r="336" ht="33" spans="1:20">
      <c r="A336" s="4">
        <v>335</v>
      </c>
      <c r="B336" s="5" t="s">
        <v>2259</v>
      </c>
      <c r="C336" s="5" t="s">
        <v>771</v>
      </c>
      <c r="D336" s="5" t="s">
        <v>772</v>
      </c>
      <c r="E336" s="5" t="s">
        <v>286</v>
      </c>
      <c r="F336" s="4" t="s">
        <v>32</v>
      </c>
      <c r="G336" s="6" t="s">
        <v>2445</v>
      </c>
      <c r="H336" s="6" t="s">
        <v>2446</v>
      </c>
      <c r="I336" s="6" t="s">
        <v>967</v>
      </c>
      <c r="J336" s="6" t="s">
        <v>967</v>
      </c>
      <c r="K336" s="6" t="s">
        <v>1462</v>
      </c>
      <c r="L336" s="6" t="s">
        <v>1463</v>
      </c>
      <c r="M336" s="6" t="s">
        <v>967</v>
      </c>
      <c r="N336" s="6" t="s">
        <v>967</v>
      </c>
      <c r="O336" s="6" t="s">
        <v>967</v>
      </c>
      <c r="P336" s="5" t="s">
        <v>967</v>
      </c>
      <c r="Q336" s="5" t="s">
        <v>967</v>
      </c>
      <c r="R336" s="5" t="s">
        <v>967</v>
      </c>
      <c r="S336" s="5" t="s">
        <v>967</v>
      </c>
      <c r="T336" s="5" t="s">
        <v>967</v>
      </c>
    </row>
    <row r="337" ht="33" spans="1:20">
      <c r="A337" s="4">
        <v>336</v>
      </c>
      <c r="B337" s="5" t="s">
        <v>2259</v>
      </c>
      <c r="C337" s="5" t="s">
        <v>773</v>
      </c>
      <c r="D337" s="5" t="s">
        <v>282</v>
      </c>
      <c r="E337" s="5" t="s">
        <v>288</v>
      </c>
      <c r="F337" s="4" t="s">
        <v>32</v>
      </c>
      <c r="G337" s="6" t="s">
        <v>2447</v>
      </c>
      <c r="H337" s="6" t="s">
        <v>2448</v>
      </c>
      <c r="I337" s="6" t="s">
        <v>967</v>
      </c>
      <c r="J337" s="6" t="s">
        <v>967</v>
      </c>
      <c r="K337" s="6" t="s">
        <v>1467</v>
      </c>
      <c r="L337" s="6" t="s">
        <v>2449</v>
      </c>
      <c r="M337" s="6" t="s">
        <v>967</v>
      </c>
      <c r="N337" s="6" t="s">
        <v>967</v>
      </c>
      <c r="O337" s="6" t="s">
        <v>967</v>
      </c>
      <c r="P337" s="5" t="s">
        <v>967</v>
      </c>
      <c r="Q337" s="5" t="s">
        <v>967</v>
      </c>
      <c r="R337" s="5" t="s">
        <v>967</v>
      </c>
      <c r="S337" s="5" t="s">
        <v>967</v>
      </c>
      <c r="T337" s="5" t="s">
        <v>967</v>
      </c>
    </row>
    <row r="338" ht="33" spans="1:20">
      <c r="A338" s="4">
        <v>337</v>
      </c>
      <c r="B338" s="5" t="s">
        <v>2259</v>
      </c>
      <c r="C338" s="5" t="s">
        <v>774</v>
      </c>
      <c r="D338" s="5" t="s">
        <v>775</v>
      </c>
      <c r="E338" s="5" t="s">
        <v>291</v>
      </c>
      <c r="F338" s="4" t="s">
        <v>32</v>
      </c>
      <c r="G338" s="6" t="s">
        <v>2445</v>
      </c>
      <c r="H338" s="6" t="s">
        <v>2446</v>
      </c>
      <c r="I338" s="6" t="s">
        <v>967</v>
      </c>
      <c r="J338" s="6" t="s">
        <v>967</v>
      </c>
      <c r="K338" s="6" t="s">
        <v>1472</v>
      </c>
      <c r="L338" s="6" t="s">
        <v>1473</v>
      </c>
      <c r="M338" s="6" t="s">
        <v>967</v>
      </c>
      <c r="N338" s="6" t="s">
        <v>967</v>
      </c>
      <c r="O338" s="6" t="s">
        <v>967</v>
      </c>
      <c r="P338" s="5" t="s">
        <v>967</v>
      </c>
      <c r="Q338" s="5" t="s">
        <v>967</v>
      </c>
      <c r="R338" s="5" t="s">
        <v>967</v>
      </c>
      <c r="S338" s="5" t="s">
        <v>967</v>
      </c>
      <c r="T338" s="5" t="s">
        <v>967</v>
      </c>
    </row>
    <row r="339" ht="33" spans="1:20">
      <c r="A339" s="4">
        <v>338</v>
      </c>
      <c r="B339" s="5" t="s">
        <v>2259</v>
      </c>
      <c r="C339" s="5" t="s">
        <v>776</v>
      </c>
      <c r="D339" s="5" t="s">
        <v>777</v>
      </c>
      <c r="E339" s="5" t="s">
        <v>778</v>
      </c>
      <c r="F339" s="4" t="s">
        <v>32</v>
      </c>
      <c r="G339" s="6" t="s">
        <v>2450</v>
      </c>
      <c r="H339" s="6" t="s">
        <v>2451</v>
      </c>
      <c r="I339" s="6" t="s">
        <v>2451</v>
      </c>
      <c r="J339" s="6" t="s">
        <v>967</v>
      </c>
      <c r="K339" s="6" t="s">
        <v>2452</v>
      </c>
      <c r="L339" s="6" t="s">
        <v>2453</v>
      </c>
      <c r="M339" s="6" t="s">
        <v>967</v>
      </c>
      <c r="N339" s="6" t="s">
        <v>967</v>
      </c>
      <c r="O339" s="6" t="s">
        <v>967</v>
      </c>
      <c r="P339" s="5" t="s">
        <v>967</v>
      </c>
      <c r="Q339" s="5" t="s">
        <v>967</v>
      </c>
      <c r="R339" s="5" t="s">
        <v>967</v>
      </c>
      <c r="S339" s="5" t="s">
        <v>967</v>
      </c>
      <c r="T339" s="5" t="s">
        <v>967</v>
      </c>
    </row>
    <row r="340" ht="33" spans="1:20">
      <c r="A340" s="4">
        <v>339</v>
      </c>
      <c r="B340" s="5" t="s">
        <v>2259</v>
      </c>
      <c r="C340" s="5" t="s">
        <v>779</v>
      </c>
      <c r="D340" s="5" t="s">
        <v>780</v>
      </c>
      <c r="E340" s="5" t="s">
        <v>781</v>
      </c>
      <c r="F340" s="4" t="s">
        <v>32</v>
      </c>
      <c r="G340" s="6" t="s">
        <v>2450</v>
      </c>
      <c r="H340" s="6" t="s">
        <v>2451</v>
      </c>
      <c r="I340" s="6" t="s">
        <v>2451</v>
      </c>
      <c r="J340" s="6" t="s">
        <v>967</v>
      </c>
      <c r="K340" s="6" t="s">
        <v>2454</v>
      </c>
      <c r="L340" s="6" t="s">
        <v>2455</v>
      </c>
      <c r="M340" s="6" t="s">
        <v>967</v>
      </c>
      <c r="N340" s="6" t="s">
        <v>967</v>
      </c>
      <c r="O340" s="6" t="s">
        <v>967</v>
      </c>
      <c r="P340" s="5" t="s">
        <v>967</v>
      </c>
      <c r="Q340" s="5" t="s">
        <v>967</v>
      </c>
      <c r="R340" s="5" t="s">
        <v>967</v>
      </c>
      <c r="S340" s="5" t="s">
        <v>967</v>
      </c>
      <c r="T340" s="5" t="s">
        <v>967</v>
      </c>
    </row>
    <row r="341" ht="33" spans="1:20">
      <c r="A341" s="4">
        <v>340</v>
      </c>
      <c r="B341" s="5" t="s">
        <v>2259</v>
      </c>
      <c r="C341" s="5" t="s">
        <v>782</v>
      </c>
      <c r="D341" s="5" t="s">
        <v>783</v>
      </c>
      <c r="E341" s="5" t="s">
        <v>295</v>
      </c>
      <c r="F341" s="4" t="s">
        <v>32</v>
      </c>
      <c r="G341" s="6" t="s">
        <v>2456</v>
      </c>
      <c r="H341" s="6" t="s">
        <v>2193</v>
      </c>
      <c r="I341" s="6" t="s">
        <v>2193</v>
      </c>
      <c r="J341" s="6" t="s">
        <v>967</v>
      </c>
      <c r="K341" s="6" t="s">
        <v>1477</v>
      </c>
      <c r="L341" s="6" t="s">
        <v>1478</v>
      </c>
      <c r="M341" s="6" t="s">
        <v>967</v>
      </c>
      <c r="N341" s="6" t="s">
        <v>967</v>
      </c>
      <c r="O341" s="6" t="s">
        <v>967</v>
      </c>
      <c r="P341" s="5" t="s">
        <v>967</v>
      </c>
      <c r="Q341" s="5" t="s">
        <v>967</v>
      </c>
      <c r="R341" s="5" t="s">
        <v>967</v>
      </c>
      <c r="S341" s="5" t="s">
        <v>967</v>
      </c>
      <c r="T341" s="5" t="s">
        <v>967</v>
      </c>
    </row>
    <row r="342" ht="33" spans="1:20">
      <c r="A342" s="4">
        <v>341</v>
      </c>
      <c r="B342" s="5" t="s">
        <v>2259</v>
      </c>
      <c r="C342" s="5" t="s">
        <v>784</v>
      </c>
      <c r="D342" s="5" t="s">
        <v>783</v>
      </c>
      <c r="E342" s="5" t="s">
        <v>297</v>
      </c>
      <c r="F342" s="4" t="s">
        <v>32</v>
      </c>
      <c r="G342" s="6" t="s">
        <v>2456</v>
      </c>
      <c r="H342" s="6" t="s">
        <v>2457</v>
      </c>
      <c r="I342" s="6" t="s">
        <v>2457</v>
      </c>
      <c r="J342" s="6" t="s">
        <v>967</v>
      </c>
      <c r="K342" s="6" t="s">
        <v>2458</v>
      </c>
      <c r="L342" s="6" t="s">
        <v>2459</v>
      </c>
      <c r="M342" s="6" t="s">
        <v>967</v>
      </c>
      <c r="N342" s="6" t="s">
        <v>967</v>
      </c>
      <c r="O342" s="6" t="s">
        <v>967</v>
      </c>
      <c r="P342" s="5" t="s">
        <v>967</v>
      </c>
      <c r="Q342" s="5" t="s">
        <v>967</v>
      </c>
      <c r="R342" s="5" t="s">
        <v>967</v>
      </c>
      <c r="S342" s="5" t="s">
        <v>967</v>
      </c>
      <c r="T342" s="5" t="s">
        <v>967</v>
      </c>
    </row>
    <row r="343" ht="33" spans="1:20">
      <c r="A343" s="4">
        <v>342</v>
      </c>
      <c r="B343" s="5" t="s">
        <v>2259</v>
      </c>
      <c r="C343" s="5" t="s">
        <v>785</v>
      </c>
      <c r="D343" s="5" t="s">
        <v>299</v>
      </c>
      <c r="E343" s="5" t="s">
        <v>300</v>
      </c>
      <c r="F343" s="4" t="s">
        <v>32</v>
      </c>
      <c r="G343" s="6" t="s">
        <v>2460</v>
      </c>
      <c r="H343" s="6" t="s">
        <v>2461</v>
      </c>
      <c r="I343" s="6" t="s">
        <v>2461</v>
      </c>
      <c r="J343" s="6" t="s">
        <v>967</v>
      </c>
      <c r="K343" s="6" t="s">
        <v>2462</v>
      </c>
      <c r="L343" s="6" t="s">
        <v>1486</v>
      </c>
      <c r="M343" s="6" t="s">
        <v>967</v>
      </c>
      <c r="N343" s="6" t="s">
        <v>967</v>
      </c>
      <c r="O343" s="6" t="s">
        <v>967</v>
      </c>
      <c r="P343" s="5" t="s">
        <v>967</v>
      </c>
      <c r="Q343" s="5" t="s">
        <v>967</v>
      </c>
      <c r="R343" s="5" t="s">
        <v>967</v>
      </c>
      <c r="S343" s="5" t="s">
        <v>967</v>
      </c>
      <c r="T343" s="5" t="s">
        <v>967</v>
      </c>
    </row>
    <row r="344" ht="49.5" spans="1:20">
      <c r="A344" s="4">
        <v>343</v>
      </c>
      <c r="B344" s="5" t="s">
        <v>2259</v>
      </c>
      <c r="C344" s="5" t="s">
        <v>301</v>
      </c>
      <c r="D344" s="5" t="s">
        <v>302</v>
      </c>
      <c r="E344" s="5" t="s">
        <v>303</v>
      </c>
      <c r="F344" s="4" t="s">
        <v>32</v>
      </c>
      <c r="G344" s="6" t="s">
        <v>2460</v>
      </c>
      <c r="H344" s="6" t="s">
        <v>2463</v>
      </c>
      <c r="I344" s="6" t="s">
        <v>2463</v>
      </c>
      <c r="J344" s="6" t="s">
        <v>967</v>
      </c>
      <c r="K344" s="6" t="s">
        <v>1489</v>
      </c>
      <c r="L344" s="6" t="s">
        <v>1490</v>
      </c>
      <c r="M344" s="6" t="s">
        <v>967</v>
      </c>
      <c r="N344" s="6" t="s">
        <v>967</v>
      </c>
      <c r="O344" s="6" t="s">
        <v>967</v>
      </c>
      <c r="P344" s="5" t="s">
        <v>967</v>
      </c>
      <c r="Q344" s="5" t="s">
        <v>967</v>
      </c>
      <c r="R344" s="5" t="s">
        <v>967</v>
      </c>
      <c r="S344" s="5" t="s">
        <v>967</v>
      </c>
      <c r="T344" s="5" t="s">
        <v>967</v>
      </c>
    </row>
    <row r="345" ht="33" spans="1:20">
      <c r="A345" s="4">
        <v>344</v>
      </c>
      <c r="B345" s="5" t="s">
        <v>2259</v>
      </c>
      <c r="C345" s="5" t="s">
        <v>786</v>
      </c>
      <c r="D345" s="5" t="s">
        <v>271</v>
      </c>
      <c r="E345" s="5" t="s">
        <v>787</v>
      </c>
      <c r="F345" s="4" t="s">
        <v>32</v>
      </c>
      <c r="G345" s="6" t="s">
        <v>2464</v>
      </c>
      <c r="H345" s="6" t="s">
        <v>2464</v>
      </c>
      <c r="I345" s="6" t="s">
        <v>2464</v>
      </c>
      <c r="J345" s="6" t="s">
        <v>967</v>
      </c>
      <c r="K345" s="6" t="s">
        <v>1439</v>
      </c>
      <c r="L345" s="6" t="s">
        <v>1440</v>
      </c>
      <c r="M345" s="6" t="s">
        <v>967</v>
      </c>
      <c r="N345" s="6" t="s">
        <v>967</v>
      </c>
      <c r="O345" s="6" t="s">
        <v>967</v>
      </c>
      <c r="P345" s="5" t="s">
        <v>967</v>
      </c>
      <c r="Q345" s="5" t="s">
        <v>967</v>
      </c>
      <c r="R345" s="5" t="s">
        <v>967</v>
      </c>
      <c r="S345" s="5" t="s">
        <v>967</v>
      </c>
      <c r="T345" s="5" t="s">
        <v>967</v>
      </c>
    </row>
    <row r="346" ht="33" spans="1:20">
      <c r="A346" s="4">
        <v>345</v>
      </c>
      <c r="B346" s="5" t="s">
        <v>2259</v>
      </c>
      <c r="C346" s="5" t="s">
        <v>273</v>
      </c>
      <c r="D346" s="5" t="s">
        <v>274</v>
      </c>
      <c r="E346" s="5" t="s">
        <v>788</v>
      </c>
      <c r="F346" s="4" t="s">
        <v>32</v>
      </c>
      <c r="G346" s="6" t="s">
        <v>2465</v>
      </c>
      <c r="H346" s="6" t="s">
        <v>1003</v>
      </c>
      <c r="I346" s="6" t="s">
        <v>1003</v>
      </c>
      <c r="J346" s="6" t="s">
        <v>967</v>
      </c>
      <c r="K346" s="6" t="s">
        <v>1444</v>
      </c>
      <c r="L346" s="6" t="s">
        <v>1445</v>
      </c>
      <c r="M346" s="6" t="s">
        <v>967</v>
      </c>
      <c r="N346" s="6" t="s">
        <v>967</v>
      </c>
      <c r="O346" s="6" t="s">
        <v>967</v>
      </c>
      <c r="P346" s="5" t="s">
        <v>967</v>
      </c>
      <c r="Q346" s="5" t="s">
        <v>967</v>
      </c>
      <c r="R346" s="5" t="s">
        <v>967</v>
      </c>
      <c r="S346" s="5" t="s">
        <v>967</v>
      </c>
      <c r="T346" s="5" t="s">
        <v>967</v>
      </c>
    </row>
    <row r="347" ht="66" spans="1:20">
      <c r="A347" s="4">
        <v>346</v>
      </c>
      <c r="B347" s="5" t="s">
        <v>2259</v>
      </c>
      <c r="C347" s="5" t="s">
        <v>789</v>
      </c>
      <c r="D347" s="5" t="s">
        <v>790</v>
      </c>
      <c r="E347" s="5" t="s">
        <v>791</v>
      </c>
      <c r="F347" s="4" t="s">
        <v>32</v>
      </c>
      <c r="G347" s="6" t="s">
        <v>2466</v>
      </c>
      <c r="H347" s="6" t="s">
        <v>1003</v>
      </c>
      <c r="I347" s="6" t="s">
        <v>1003</v>
      </c>
      <c r="J347" s="6" t="s">
        <v>967</v>
      </c>
      <c r="K347" s="6" t="s">
        <v>2467</v>
      </c>
      <c r="L347" s="6" t="s">
        <v>1447</v>
      </c>
      <c r="M347" s="6" t="s">
        <v>967</v>
      </c>
      <c r="N347" s="6" t="s">
        <v>967</v>
      </c>
      <c r="O347" s="6" t="s">
        <v>967</v>
      </c>
      <c r="P347" s="5" t="s">
        <v>967</v>
      </c>
      <c r="Q347" s="5" t="s">
        <v>967</v>
      </c>
      <c r="R347" s="5" t="s">
        <v>967</v>
      </c>
      <c r="S347" s="5" t="s">
        <v>967</v>
      </c>
      <c r="T347" s="5" t="s">
        <v>967</v>
      </c>
    </row>
    <row r="348" ht="33" spans="1:20">
      <c r="A348" s="4">
        <v>347</v>
      </c>
      <c r="B348" s="5" t="s">
        <v>2259</v>
      </c>
      <c r="C348" s="5" t="s">
        <v>967</v>
      </c>
      <c r="D348" s="5" t="s">
        <v>304</v>
      </c>
      <c r="E348" s="5" t="s">
        <v>967</v>
      </c>
      <c r="F348" s="4" t="s">
        <v>967</v>
      </c>
      <c r="G348" s="6" t="s">
        <v>967</v>
      </c>
      <c r="H348" s="6" t="s">
        <v>967</v>
      </c>
      <c r="I348" s="6" t="s">
        <v>967</v>
      </c>
      <c r="J348" s="6" t="s">
        <v>967</v>
      </c>
      <c r="K348" s="6" t="s">
        <v>967</v>
      </c>
      <c r="L348" s="6" t="s">
        <v>967</v>
      </c>
      <c r="M348" s="6" t="s">
        <v>967</v>
      </c>
      <c r="N348" s="6" t="s">
        <v>967</v>
      </c>
      <c r="O348" s="6" t="s">
        <v>967</v>
      </c>
      <c r="P348" s="5" t="s">
        <v>967</v>
      </c>
      <c r="Q348" s="5" t="s">
        <v>967</v>
      </c>
      <c r="R348" s="5" t="s">
        <v>967</v>
      </c>
      <c r="S348" s="5" t="s">
        <v>967</v>
      </c>
      <c r="T348" s="5" t="s">
        <v>967</v>
      </c>
    </row>
    <row r="349" ht="33" spans="1:20">
      <c r="A349" s="4">
        <v>348</v>
      </c>
      <c r="B349" s="5" t="s">
        <v>2259</v>
      </c>
      <c r="C349" s="5" t="s">
        <v>315</v>
      </c>
      <c r="D349" s="5" t="s">
        <v>792</v>
      </c>
      <c r="E349" s="5" t="s">
        <v>793</v>
      </c>
      <c r="F349" s="4" t="s">
        <v>32</v>
      </c>
      <c r="G349" s="6" t="s">
        <v>2443</v>
      </c>
      <c r="H349" s="6" t="s">
        <v>2443</v>
      </c>
      <c r="I349" s="6" t="s">
        <v>2468</v>
      </c>
      <c r="J349" s="6" t="s">
        <v>967</v>
      </c>
      <c r="K349" s="6" t="s">
        <v>1513</v>
      </c>
      <c r="L349" s="6" t="s">
        <v>2469</v>
      </c>
      <c r="M349" s="6" t="s">
        <v>967</v>
      </c>
      <c r="N349" s="6" t="s">
        <v>967</v>
      </c>
      <c r="O349" s="6" t="s">
        <v>967</v>
      </c>
      <c r="P349" s="5" t="s">
        <v>967</v>
      </c>
      <c r="Q349" s="5" t="s">
        <v>967</v>
      </c>
      <c r="R349" s="5" t="s">
        <v>967</v>
      </c>
      <c r="S349" s="5" t="s">
        <v>967</v>
      </c>
      <c r="T349" s="5" t="s">
        <v>967</v>
      </c>
    </row>
    <row r="350" ht="49.5" spans="1:20">
      <c r="A350" s="4">
        <v>349</v>
      </c>
      <c r="B350" s="5" t="s">
        <v>2259</v>
      </c>
      <c r="C350" s="5" t="s">
        <v>794</v>
      </c>
      <c r="D350" s="5" t="s">
        <v>795</v>
      </c>
      <c r="E350" s="5" t="s">
        <v>796</v>
      </c>
      <c r="F350" s="4" t="s">
        <v>32</v>
      </c>
      <c r="G350" s="6" t="s">
        <v>2456</v>
      </c>
      <c r="H350" s="6" t="s">
        <v>2456</v>
      </c>
      <c r="I350" s="6" t="s">
        <v>2456</v>
      </c>
      <c r="J350" s="6" t="s">
        <v>967</v>
      </c>
      <c r="K350" s="6" t="s">
        <v>2470</v>
      </c>
      <c r="L350" s="6" t="s">
        <v>2471</v>
      </c>
      <c r="M350" s="6" t="s">
        <v>967</v>
      </c>
      <c r="N350" s="6" t="s">
        <v>967</v>
      </c>
      <c r="O350" s="6" t="s">
        <v>967</v>
      </c>
      <c r="P350" s="5" t="s">
        <v>967</v>
      </c>
      <c r="Q350" s="5" t="s">
        <v>967</v>
      </c>
      <c r="R350" s="5" t="s">
        <v>967</v>
      </c>
      <c r="S350" s="5" t="s">
        <v>967</v>
      </c>
      <c r="T350" s="5" t="s">
        <v>967</v>
      </c>
    </row>
    <row r="351" ht="33" spans="1:20">
      <c r="A351" s="4">
        <v>350</v>
      </c>
      <c r="B351" s="5" t="s">
        <v>2259</v>
      </c>
      <c r="C351" s="5" t="s">
        <v>797</v>
      </c>
      <c r="D351" s="5" t="s">
        <v>798</v>
      </c>
      <c r="E351" s="5" t="s">
        <v>799</v>
      </c>
      <c r="F351" s="4" t="s">
        <v>32</v>
      </c>
      <c r="G351" s="6" t="s">
        <v>2456</v>
      </c>
      <c r="H351" s="6" t="s">
        <v>2456</v>
      </c>
      <c r="I351" s="6" t="s">
        <v>2456</v>
      </c>
      <c r="J351" s="6" t="s">
        <v>967</v>
      </c>
      <c r="K351" s="6" t="s">
        <v>2472</v>
      </c>
      <c r="L351" s="6" t="s">
        <v>2115</v>
      </c>
      <c r="M351" s="6" t="s">
        <v>967</v>
      </c>
      <c r="N351" s="6" t="s">
        <v>967</v>
      </c>
      <c r="O351" s="6" t="s">
        <v>967</v>
      </c>
      <c r="P351" s="5" t="s">
        <v>967</v>
      </c>
      <c r="Q351" s="5" t="s">
        <v>967</v>
      </c>
      <c r="R351" s="5" t="s">
        <v>967</v>
      </c>
      <c r="S351" s="5" t="s">
        <v>967</v>
      </c>
      <c r="T351" s="5" t="s">
        <v>967</v>
      </c>
    </row>
    <row r="352" ht="33" spans="1:20">
      <c r="A352" s="4">
        <v>351</v>
      </c>
      <c r="B352" s="5" t="s">
        <v>2259</v>
      </c>
      <c r="C352" s="5" t="s">
        <v>312</v>
      </c>
      <c r="D352" s="5" t="s">
        <v>313</v>
      </c>
      <c r="E352" s="5" t="s">
        <v>314</v>
      </c>
      <c r="F352" s="4" t="s">
        <v>32</v>
      </c>
      <c r="G352" s="6" t="s">
        <v>2473</v>
      </c>
      <c r="H352" s="6" t="s">
        <v>2474</v>
      </c>
      <c r="I352" s="6" t="s">
        <v>967</v>
      </c>
      <c r="J352" s="6" t="s">
        <v>967</v>
      </c>
      <c r="K352" s="6" t="s">
        <v>1508</v>
      </c>
      <c r="L352" s="6" t="s">
        <v>1509</v>
      </c>
      <c r="M352" s="6" t="s">
        <v>967</v>
      </c>
      <c r="N352" s="6" t="s">
        <v>967</v>
      </c>
      <c r="O352" s="6" t="s">
        <v>967</v>
      </c>
      <c r="P352" s="5" t="s">
        <v>967</v>
      </c>
      <c r="Q352" s="5" t="s">
        <v>967</v>
      </c>
      <c r="R352" s="5" t="s">
        <v>967</v>
      </c>
      <c r="S352" s="5" t="s">
        <v>967</v>
      </c>
      <c r="T352" s="5" t="s">
        <v>967</v>
      </c>
    </row>
    <row r="353" ht="33" spans="1:20">
      <c r="A353" s="4">
        <v>352</v>
      </c>
      <c r="B353" s="5" t="s">
        <v>2259</v>
      </c>
      <c r="C353" s="5" t="s">
        <v>800</v>
      </c>
      <c r="D353" s="5" t="s">
        <v>316</v>
      </c>
      <c r="E353" s="5" t="s">
        <v>317</v>
      </c>
      <c r="F353" s="4" t="s">
        <v>32</v>
      </c>
      <c r="G353" s="6" t="s">
        <v>2460</v>
      </c>
      <c r="H353" s="6" t="s">
        <v>2463</v>
      </c>
      <c r="I353" s="6" t="s">
        <v>2463</v>
      </c>
      <c r="J353" s="6" t="s">
        <v>967</v>
      </c>
      <c r="K353" s="6" t="s">
        <v>1513</v>
      </c>
      <c r="L353" s="6" t="s">
        <v>1514</v>
      </c>
      <c r="M353" s="6" t="s">
        <v>967</v>
      </c>
      <c r="N353" s="6" t="s">
        <v>967</v>
      </c>
      <c r="O353" s="6" t="s">
        <v>967</v>
      </c>
      <c r="P353" s="5" t="s">
        <v>967</v>
      </c>
      <c r="Q353" s="5" t="s">
        <v>967</v>
      </c>
      <c r="R353" s="5" t="s">
        <v>967</v>
      </c>
      <c r="S353" s="5" t="s">
        <v>967</v>
      </c>
      <c r="T353" s="5" t="s">
        <v>967</v>
      </c>
    </row>
    <row r="354" ht="49.5" spans="1:20">
      <c r="A354" s="4">
        <v>353</v>
      </c>
      <c r="B354" s="5" t="s">
        <v>2259</v>
      </c>
      <c r="C354" s="5" t="s">
        <v>801</v>
      </c>
      <c r="D354" s="5" t="s">
        <v>306</v>
      </c>
      <c r="E354" s="5" t="s">
        <v>802</v>
      </c>
      <c r="F354" s="4" t="s">
        <v>32</v>
      </c>
      <c r="G354" s="6" t="s">
        <v>2475</v>
      </c>
      <c r="H354" s="6" t="s">
        <v>2476</v>
      </c>
      <c r="I354" s="6" t="s">
        <v>2476</v>
      </c>
      <c r="J354" s="6" t="s">
        <v>967</v>
      </c>
      <c r="K354" s="6" t="s">
        <v>2477</v>
      </c>
      <c r="L354" s="6" t="s">
        <v>2478</v>
      </c>
      <c r="M354" s="6" t="s">
        <v>967</v>
      </c>
      <c r="N354" s="6" t="s">
        <v>967</v>
      </c>
      <c r="O354" s="6" t="s">
        <v>967</v>
      </c>
      <c r="P354" s="5" t="s">
        <v>967</v>
      </c>
      <c r="Q354" s="5" t="s">
        <v>967</v>
      </c>
      <c r="R354" s="5" t="s">
        <v>967</v>
      </c>
      <c r="S354" s="5" t="s">
        <v>967</v>
      </c>
      <c r="T354" s="5" t="s">
        <v>967</v>
      </c>
    </row>
    <row r="355" ht="33" spans="1:20">
      <c r="A355" s="4">
        <v>354</v>
      </c>
      <c r="B355" s="5" t="s">
        <v>2259</v>
      </c>
      <c r="C355" s="5" t="s">
        <v>967</v>
      </c>
      <c r="D355" s="5" t="s">
        <v>318</v>
      </c>
      <c r="E355" s="5" t="s">
        <v>967</v>
      </c>
      <c r="F355" s="4" t="s">
        <v>967</v>
      </c>
      <c r="G355" s="6" t="s">
        <v>967</v>
      </c>
      <c r="H355" s="6" t="s">
        <v>967</v>
      </c>
      <c r="I355" s="6" t="s">
        <v>967</v>
      </c>
      <c r="J355" s="6" t="s">
        <v>967</v>
      </c>
      <c r="K355" s="6" t="s">
        <v>967</v>
      </c>
      <c r="L355" s="6" t="s">
        <v>967</v>
      </c>
      <c r="M355" s="6" t="s">
        <v>967</v>
      </c>
      <c r="N355" s="6" t="s">
        <v>967</v>
      </c>
      <c r="O355" s="6" t="s">
        <v>967</v>
      </c>
      <c r="P355" s="5" t="s">
        <v>967</v>
      </c>
      <c r="Q355" s="5" t="s">
        <v>967</v>
      </c>
      <c r="R355" s="5" t="s">
        <v>967</v>
      </c>
      <c r="S355" s="5" t="s">
        <v>967</v>
      </c>
      <c r="T355" s="5" t="s">
        <v>967</v>
      </c>
    </row>
    <row r="356" ht="33" spans="1:20">
      <c r="A356" s="4">
        <v>355</v>
      </c>
      <c r="B356" s="5" t="s">
        <v>2259</v>
      </c>
      <c r="C356" s="5" t="s">
        <v>803</v>
      </c>
      <c r="D356" s="5" t="s">
        <v>323</v>
      </c>
      <c r="E356" s="5" t="s">
        <v>324</v>
      </c>
      <c r="F356" s="4" t="s">
        <v>32</v>
      </c>
      <c r="G356" s="6" t="s">
        <v>2479</v>
      </c>
      <c r="H356" s="6" t="s">
        <v>2480</v>
      </c>
      <c r="I356" s="6" t="s">
        <v>2480</v>
      </c>
      <c r="J356" s="6" t="s">
        <v>967</v>
      </c>
      <c r="K356" s="6" t="s">
        <v>1527</v>
      </c>
      <c r="L356" s="6" t="s">
        <v>1528</v>
      </c>
      <c r="M356" s="6" t="s">
        <v>967</v>
      </c>
      <c r="N356" s="6" t="s">
        <v>967</v>
      </c>
      <c r="O356" s="6" t="s">
        <v>967</v>
      </c>
      <c r="P356" s="5" t="s">
        <v>967</v>
      </c>
      <c r="Q356" s="5" t="s">
        <v>967</v>
      </c>
      <c r="R356" s="5" t="s">
        <v>967</v>
      </c>
      <c r="S356" s="5" t="s">
        <v>967</v>
      </c>
      <c r="T356" s="5" t="s">
        <v>967</v>
      </c>
    </row>
    <row r="357" ht="33" spans="1:20">
      <c r="A357" s="4">
        <v>356</v>
      </c>
      <c r="B357" s="5" t="s">
        <v>2259</v>
      </c>
      <c r="C357" s="5" t="s">
        <v>804</v>
      </c>
      <c r="D357" s="5" t="s">
        <v>326</v>
      </c>
      <c r="E357" s="5" t="s">
        <v>327</v>
      </c>
      <c r="F357" s="4" t="s">
        <v>32</v>
      </c>
      <c r="G357" s="6" t="s">
        <v>2481</v>
      </c>
      <c r="H357" s="6" t="s">
        <v>2482</v>
      </c>
      <c r="I357" s="6" t="s">
        <v>2482</v>
      </c>
      <c r="J357" s="6" t="s">
        <v>967</v>
      </c>
      <c r="K357" s="6" t="s">
        <v>1533</v>
      </c>
      <c r="L357" s="6" t="s">
        <v>1534</v>
      </c>
      <c r="M357" s="6" t="s">
        <v>967</v>
      </c>
      <c r="N357" s="6" t="s">
        <v>967</v>
      </c>
      <c r="O357" s="6" t="s">
        <v>967</v>
      </c>
      <c r="P357" s="5" t="s">
        <v>967</v>
      </c>
      <c r="Q357" s="5" t="s">
        <v>967</v>
      </c>
      <c r="R357" s="5" t="s">
        <v>967</v>
      </c>
      <c r="S357" s="5" t="s">
        <v>967</v>
      </c>
      <c r="T357" s="5" t="s">
        <v>967</v>
      </c>
    </row>
    <row r="358" ht="49.5" spans="1:20">
      <c r="A358" s="4">
        <v>357</v>
      </c>
      <c r="B358" s="5" t="s">
        <v>2259</v>
      </c>
      <c r="C358" s="5" t="s">
        <v>328</v>
      </c>
      <c r="D358" s="5" t="s">
        <v>805</v>
      </c>
      <c r="E358" s="5" t="s">
        <v>806</v>
      </c>
      <c r="F358" s="4" t="s">
        <v>32</v>
      </c>
      <c r="G358" s="6" t="s">
        <v>2483</v>
      </c>
      <c r="H358" s="6" t="s">
        <v>2484</v>
      </c>
      <c r="I358" s="6" t="s">
        <v>2484</v>
      </c>
      <c r="J358" s="6" t="s">
        <v>967</v>
      </c>
      <c r="K358" s="6" t="s">
        <v>1539</v>
      </c>
      <c r="L358" s="6" t="s">
        <v>1540</v>
      </c>
      <c r="M358" s="6" t="s">
        <v>967</v>
      </c>
      <c r="N358" s="6" t="s">
        <v>967</v>
      </c>
      <c r="O358" s="6" t="s">
        <v>967</v>
      </c>
      <c r="P358" s="5" t="s">
        <v>967</v>
      </c>
      <c r="Q358" s="5" t="s">
        <v>967</v>
      </c>
      <c r="R358" s="5" t="s">
        <v>967</v>
      </c>
      <c r="S358" s="5" t="s">
        <v>967</v>
      </c>
      <c r="T358" s="5" t="s">
        <v>967</v>
      </c>
    </row>
    <row r="359" ht="66" spans="1:20">
      <c r="A359" s="4">
        <v>358</v>
      </c>
      <c r="B359" s="5" t="s">
        <v>2259</v>
      </c>
      <c r="C359" s="5" t="s">
        <v>338</v>
      </c>
      <c r="D359" s="5" t="s">
        <v>807</v>
      </c>
      <c r="E359" s="5" t="s">
        <v>808</v>
      </c>
      <c r="F359" s="4" t="s">
        <v>32</v>
      </c>
      <c r="G359" s="6" t="s">
        <v>2485</v>
      </c>
      <c r="H359" s="6" t="s">
        <v>2486</v>
      </c>
      <c r="I359" s="6" t="s">
        <v>2486</v>
      </c>
      <c r="J359" s="6" t="s">
        <v>967</v>
      </c>
      <c r="K359" s="6" t="s">
        <v>2487</v>
      </c>
      <c r="L359" s="6" t="s">
        <v>2488</v>
      </c>
      <c r="M359" s="6" t="s">
        <v>967</v>
      </c>
      <c r="N359" s="6" t="s">
        <v>967</v>
      </c>
      <c r="O359" s="6" t="s">
        <v>967</v>
      </c>
      <c r="P359" s="5" t="s">
        <v>967</v>
      </c>
      <c r="Q359" s="5" t="s">
        <v>967</v>
      </c>
      <c r="R359" s="5" t="s">
        <v>967</v>
      </c>
      <c r="S359" s="5" t="s">
        <v>967</v>
      </c>
      <c r="T359" s="5" t="s">
        <v>967</v>
      </c>
    </row>
    <row r="360" ht="33" spans="1:20">
      <c r="A360" s="4">
        <v>359</v>
      </c>
      <c r="B360" s="5" t="s">
        <v>2259</v>
      </c>
      <c r="C360" s="5" t="s">
        <v>809</v>
      </c>
      <c r="D360" s="5" t="s">
        <v>810</v>
      </c>
      <c r="E360" s="5" t="s">
        <v>811</v>
      </c>
      <c r="F360" s="4" t="s">
        <v>32</v>
      </c>
      <c r="G360" s="6" t="s">
        <v>2489</v>
      </c>
      <c r="H360" s="6" t="s">
        <v>2490</v>
      </c>
      <c r="I360" s="6" t="s">
        <v>2490</v>
      </c>
      <c r="J360" s="6" t="s">
        <v>967</v>
      </c>
      <c r="K360" s="6" t="s">
        <v>2491</v>
      </c>
      <c r="L360" s="6" t="s">
        <v>2492</v>
      </c>
      <c r="M360" s="6" t="s">
        <v>967</v>
      </c>
      <c r="N360" s="6" t="s">
        <v>967</v>
      </c>
      <c r="O360" s="6" t="s">
        <v>967</v>
      </c>
      <c r="P360" s="5" t="s">
        <v>967</v>
      </c>
      <c r="Q360" s="5" t="s">
        <v>967</v>
      </c>
      <c r="R360" s="5" t="s">
        <v>967</v>
      </c>
      <c r="S360" s="5" t="s">
        <v>967</v>
      </c>
      <c r="T360" s="5" t="s">
        <v>967</v>
      </c>
    </row>
    <row r="361" ht="49.5" spans="1:20">
      <c r="A361" s="4">
        <v>360</v>
      </c>
      <c r="B361" s="5" t="s">
        <v>2259</v>
      </c>
      <c r="C361" s="5" t="s">
        <v>812</v>
      </c>
      <c r="D361" s="5" t="s">
        <v>813</v>
      </c>
      <c r="E361" s="5" t="s">
        <v>814</v>
      </c>
      <c r="F361" s="4" t="s">
        <v>32</v>
      </c>
      <c r="G361" s="6" t="s">
        <v>2493</v>
      </c>
      <c r="H361" s="6" t="s">
        <v>2494</v>
      </c>
      <c r="I361" s="6" t="s">
        <v>2494</v>
      </c>
      <c r="J361" s="6" t="s">
        <v>967</v>
      </c>
      <c r="K361" s="6" t="s">
        <v>2495</v>
      </c>
      <c r="L361" s="6" t="s">
        <v>2496</v>
      </c>
      <c r="M361" s="6" t="s">
        <v>967</v>
      </c>
      <c r="N361" s="6" t="s">
        <v>967</v>
      </c>
      <c r="O361" s="6" t="s">
        <v>967</v>
      </c>
      <c r="P361" s="5" t="s">
        <v>967</v>
      </c>
      <c r="Q361" s="5" t="s">
        <v>967</v>
      </c>
      <c r="R361" s="5" t="s">
        <v>967</v>
      </c>
      <c r="S361" s="5" t="s">
        <v>967</v>
      </c>
      <c r="T361" s="5" t="s">
        <v>967</v>
      </c>
    </row>
    <row r="362" ht="66" spans="1:20">
      <c r="A362" s="4">
        <v>361</v>
      </c>
      <c r="B362" s="5" t="s">
        <v>2259</v>
      </c>
      <c r="C362" s="5" t="s">
        <v>334</v>
      </c>
      <c r="D362" s="5" t="s">
        <v>807</v>
      </c>
      <c r="E362" s="5" t="s">
        <v>815</v>
      </c>
      <c r="F362" s="4" t="s">
        <v>32</v>
      </c>
      <c r="G362" s="6" t="s">
        <v>2497</v>
      </c>
      <c r="H362" s="6" t="s">
        <v>2498</v>
      </c>
      <c r="I362" s="6" t="s">
        <v>2498</v>
      </c>
      <c r="J362" s="6" t="s">
        <v>967</v>
      </c>
      <c r="K362" s="6" t="s">
        <v>2499</v>
      </c>
      <c r="L362" s="6" t="s">
        <v>2500</v>
      </c>
      <c r="M362" s="6" t="s">
        <v>967</v>
      </c>
      <c r="N362" s="6" t="s">
        <v>967</v>
      </c>
      <c r="O362" s="6" t="s">
        <v>967</v>
      </c>
      <c r="P362" s="5" t="s">
        <v>967</v>
      </c>
      <c r="Q362" s="5" t="s">
        <v>967</v>
      </c>
      <c r="R362" s="5" t="s">
        <v>967</v>
      </c>
      <c r="S362" s="5" t="s">
        <v>967</v>
      </c>
      <c r="T362" s="5" t="s">
        <v>967</v>
      </c>
    </row>
    <row r="363" ht="82.5" spans="1:20">
      <c r="A363" s="4">
        <v>362</v>
      </c>
      <c r="B363" s="5" t="s">
        <v>2259</v>
      </c>
      <c r="C363" s="5" t="s">
        <v>816</v>
      </c>
      <c r="D363" s="5" t="s">
        <v>342</v>
      </c>
      <c r="E363" s="5" t="s">
        <v>817</v>
      </c>
      <c r="F363" s="4" t="s">
        <v>32</v>
      </c>
      <c r="G363" s="6" t="s">
        <v>2501</v>
      </c>
      <c r="H363" s="6" t="s">
        <v>2502</v>
      </c>
      <c r="I363" s="6" t="s">
        <v>2502</v>
      </c>
      <c r="J363" s="6" t="s">
        <v>967</v>
      </c>
      <c r="K363" s="6" t="s">
        <v>2503</v>
      </c>
      <c r="L363" s="6" t="s">
        <v>1566</v>
      </c>
      <c r="M363" s="6" t="s">
        <v>967</v>
      </c>
      <c r="N363" s="6" t="s">
        <v>967</v>
      </c>
      <c r="O363" s="6" t="s">
        <v>967</v>
      </c>
      <c r="P363" s="5" t="s">
        <v>967</v>
      </c>
      <c r="Q363" s="5" t="s">
        <v>967</v>
      </c>
      <c r="R363" s="5" t="s">
        <v>967</v>
      </c>
      <c r="S363" s="5" t="s">
        <v>967</v>
      </c>
      <c r="T363" s="5" t="s">
        <v>967</v>
      </c>
    </row>
    <row r="364" ht="82.5" spans="1:20">
      <c r="A364" s="4">
        <v>363</v>
      </c>
      <c r="B364" s="5" t="s">
        <v>2259</v>
      </c>
      <c r="C364" s="5" t="s">
        <v>818</v>
      </c>
      <c r="D364" s="5" t="s">
        <v>345</v>
      </c>
      <c r="E364" s="5" t="s">
        <v>348</v>
      </c>
      <c r="F364" s="4" t="s">
        <v>32</v>
      </c>
      <c r="G364" s="6" t="s">
        <v>2504</v>
      </c>
      <c r="H364" s="6" t="s">
        <v>2505</v>
      </c>
      <c r="I364" s="6" t="s">
        <v>2505</v>
      </c>
      <c r="J364" s="6" t="s">
        <v>967</v>
      </c>
      <c r="K364" s="6" t="s">
        <v>2506</v>
      </c>
      <c r="L364" s="6" t="s">
        <v>1576</v>
      </c>
      <c r="M364" s="6" t="s">
        <v>967</v>
      </c>
      <c r="N364" s="6" t="s">
        <v>967</v>
      </c>
      <c r="O364" s="6" t="s">
        <v>967</v>
      </c>
      <c r="P364" s="5" t="s">
        <v>967</v>
      </c>
      <c r="Q364" s="5" t="s">
        <v>967</v>
      </c>
      <c r="R364" s="5" t="s">
        <v>967</v>
      </c>
      <c r="S364" s="5" t="s">
        <v>967</v>
      </c>
      <c r="T364" s="5" t="s">
        <v>967</v>
      </c>
    </row>
    <row r="365" ht="66" spans="1:20">
      <c r="A365" s="4">
        <v>364</v>
      </c>
      <c r="B365" s="5" t="s">
        <v>2259</v>
      </c>
      <c r="C365" s="5" t="s">
        <v>819</v>
      </c>
      <c r="D365" s="5" t="s">
        <v>345</v>
      </c>
      <c r="E365" s="5" t="s">
        <v>820</v>
      </c>
      <c r="F365" s="4" t="s">
        <v>32</v>
      </c>
      <c r="G365" s="6" t="s">
        <v>2507</v>
      </c>
      <c r="H365" s="6" t="s">
        <v>2508</v>
      </c>
      <c r="I365" s="6" t="s">
        <v>2508</v>
      </c>
      <c r="J365" s="6" t="s">
        <v>967</v>
      </c>
      <c r="K365" s="6" t="s">
        <v>2506</v>
      </c>
      <c r="L365" s="6" t="s">
        <v>2509</v>
      </c>
      <c r="M365" s="6" t="s">
        <v>967</v>
      </c>
      <c r="N365" s="6" t="s">
        <v>967</v>
      </c>
      <c r="O365" s="6" t="s">
        <v>967</v>
      </c>
      <c r="P365" s="5" t="s">
        <v>967</v>
      </c>
      <c r="Q365" s="5" t="s">
        <v>967</v>
      </c>
      <c r="R365" s="5" t="s">
        <v>967</v>
      </c>
      <c r="S365" s="5" t="s">
        <v>967</v>
      </c>
      <c r="T365" s="5" t="s">
        <v>967</v>
      </c>
    </row>
    <row r="366" ht="49.5" spans="1:20">
      <c r="A366" s="4">
        <v>365</v>
      </c>
      <c r="B366" s="5" t="s">
        <v>2259</v>
      </c>
      <c r="C366" s="5" t="s">
        <v>821</v>
      </c>
      <c r="D366" s="5" t="s">
        <v>350</v>
      </c>
      <c r="E366" s="5" t="s">
        <v>351</v>
      </c>
      <c r="F366" s="4" t="s">
        <v>32</v>
      </c>
      <c r="G366" s="6" t="s">
        <v>2510</v>
      </c>
      <c r="H366" s="6" t="s">
        <v>2511</v>
      </c>
      <c r="I366" s="6" t="s">
        <v>2511</v>
      </c>
      <c r="J366" s="6" t="s">
        <v>967</v>
      </c>
      <c r="K366" s="6" t="s">
        <v>1582</v>
      </c>
      <c r="L366" s="6" t="s">
        <v>1583</v>
      </c>
      <c r="M366" s="6" t="s">
        <v>967</v>
      </c>
      <c r="N366" s="6" t="s">
        <v>967</v>
      </c>
      <c r="O366" s="6" t="s">
        <v>967</v>
      </c>
      <c r="P366" s="5" t="s">
        <v>967</v>
      </c>
      <c r="Q366" s="5" t="s">
        <v>967</v>
      </c>
      <c r="R366" s="5" t="s">
        <v>967</v>
      </c>
      <c r="S366" s="5" t="s">
        <v>967</v>
      </c>
      <c r="T366" s="5" t="s">
        <v>967</v>
      </c>
    </row>
    <row r="367" ht="66" spans="1:20">
      <c r="A367" s="4">
        <v>366</v>
      </c>
      <c r="B367" s="5" t="s">
        <v>2259</v>
      </c>
      <c r="C367" s="5" t="s">
        <v>352</v>
      </c>
      <c r="D367" s="5" t="s">
        <v>353</v>
      </c>
      <c r="E367" s="5" t="s">
        <v>354</v>
      </c>
      <c r="F367" s="4" t="s">
        <v>32</v>
      </c>
      <c r="G367" s="6" t="s">
        <v>2512</v>
      </c>
      <c r="H367" s="6" t="s">
        <v>2513</v>
      </c>
      <c r="I367" s="6" t="s">
        <v>2513</v>
      </c>
      <c r="J367" s="6" t="s">
        <v>967</v>
      </c>
      <c r="K367" s="6" t="s">
        <v>1588</v>
      </c>
      <c r="L367" s="6" t="s">
        <v>1589</v>
      </c>
      <c r="M367" s="6" t="s">
        <v>967</v>
      </c>
      <c r="N367" s="6" t="s">
        <v>967</v>
      </c>
      <c r="O367" s="6" t="s">
        <v>967</v>
      </c>
      <c r="P367" s="5" t="s">
        <v>967</v>
      </c>
      <c r="Q367" s="5" t="s">
        <v>967</v>
      </c>
      <c r="R367" s="5" t="s">
        <v>967</v>
      </c>
      <c r="S367" s="5" t="s">
        <v>967</v>
      </c>
      <c r="T367" s="5" t="s">
        <v>967</v>
      </c>
    </row>
    <row r="368" ht="49.5" spans="1:20">
      <c r="A368" s="4">
        <v>367</v>
      </c>
      <c r="B368" s="5" t="s">
        <v>2259</v>
      </c>
      <c r="C368" s="5" t="s">
        <v>822</v>
      </c>
      <c r="D368" s="5" t="s">
        <v>823</v>
      </c>
      <c r="E368" s="5" t="s">
        <v>824</v>
      </c>
      <c r="F368" s="4" t="s">
        <v>32</v>
      </c>
      <c r="G368" s="6" t="s">
        <v>2514</v>
      </c>
      <c r="H368" s="6" t="s">
        <v>2515</v>
      </c>
      <c r="I368" s="6" t="s">
        <v>2515</v>
      </c>
      <c r="J368" s="6" t="s">
        <v>967</v>
      </c>
      <c r="K368" s="6" t="s">
        <v>2516</v>
      </c>
      <c r="L368" s="6" t="s">
        <v>2517</v>
      </c>
      <c r="M368" s="6" t="s">
        <v>967</v>
      </c>
      <c r="N368" s="6" t="s">
        <v>967</v>
      </c>
      <c r="O368" s="6" t="s">
        <v>967</v>
      </c>
      <c r="P368" s="5" t="s">
        <v>967</v>
      </c>
      <c r="Q368" s="5" t="s">
        <v>967</v>
      </c>
      <c r="R368" s="5" t="s">
        <v>967</v>
      </c>
      <c r="S368" s="5" t="s">
        <v>967</v>
      </c>
      <c r="T368" s="5" t="s">
        <v>967</v>
      </c>
    </row>
    <row r="369" ht="49.5" spans="1:20">
      <c r="A369" s="4">
        <v>368</v>
      </c>
      <c r="B369" s="5" t="s">
        <v>2259</v>
      </c>
      <c r="C369" s="5" t="s">
        <v>355</v>
      </c>
      <c r="D369" s="5" t="s">
        <v>356</v>
      </c>
      <c r="E369" s="5" t="s">
        <v>825</v>
      </c>
      <c r="F369" s="4" t="s">
        <v>32</v>
      </c>
      <c r="G369" s="6" t="s">
        <v>2518</v>
      </c>
      <c r="H369" s="6" t="s">
        <v>2519</v>
      </c>
      <c r="I369" s="6" t="s">
        <v>2519</v>
      </c>
      <c r="J369" s="6" t="s">
        <v>967</v>
      </c>
      <c r="K369" s="6" t="s">
        <v>2520</v>
      </c>
      <c r="L369" s="6" t="s">
        <v>2521</v>
      </c>
      <c r="M369" s="6" t="s">
        <v>967</v>
      </c>
      <c r="N369" s="6" t="s">
        <v>967</v>
      </c>
      <c r="O369" s="6" t="s">
        <v>967</v>
      </c>
      <c r="P369" s="5" t="s">
        <v>967</v>
      </c>
      <c r="Q369" s="5" t="s">
        <v>967</v>
      </c>
      <c r="R369" s="5" t="s">
        <v>967</v>
      </c>
      <c r="S369" s="5" t="s">
        <v>967</v>
      </c>
      <c r="T369" s="5" t="s">
        <v>967</v>
      </c>
    </row>
    <row r="370" ht="82.5" spans="1:20">
      <c r="A370" s="4">
        <v>369</v>
      </c>
      <c r="B370" s="5" t="s">
        <v>2259</v>
      </c>
      <c r="C370" s="5" t="s">
        <v>826</v>
      </c>
      <c r="D370" s="5" t="s">
        <v>827</v>
      </c>
      <c r="E370" s="5" t="s">
        <v>828</v>
      </c>
      <c r="F370" s="4" t="s">
        <v>53</v>
      </c>
      <c r="G370" s="6" t="s">
        <v>2522</v>
      </c>
      <c r="H370" s="6" t="s">
        <v>2523</v>
      </c>
      <c r="I370" s="6" t="s">
        <v>2523</v>
      </c>
      <c r="J370" s="6" t="s">
        <v>967</v>
      </c>
      <c r="K370" s="6" t="s">
        <v>2524</v>
      </c>
      <c r="L370" s="6" t="s">
        <v>2525</v>
      </c>
      <c r="M370" s="6" t="s">
        <v>967</v>
      </c>
      <c r="N370" s="6" t="s">
        <v>967</v>
      </c>
      <c r="O370" s="6" t="s">
        <v>967</v>
      </c>
      <c r="P370" s="5" t="s">
        <v>967</v>
      </c>
      <c r="Q370" s="5" t="s">
        <v>967</v>
      </c>
      <c r="R370" s="5" t="s">
        <v>967</v>
      </c>
      <c r="S370" s="5" t="s">
        <v>967</v>
      </c>
      <c r="T370" s="5" t="s">
        <v>967</v>
      </c>
    </row>
    <row r="371" ht="33" spans="1:20">
      <c r="A371" s="4">
        <v>370</v>
      </c>
      <c r="B371" s="5" t="s">
        <v>2259</v>
      </c>
      <c r="C371" s="5" t="s">
        <v>967</v>
      </c>
      <c r="D371" s="5" t="s">
        <v>368</v>
      </c>
      <c r="E371" s="5" t="s">
        <v>967</v>
      </c>
      <c r="F371" s="4" t="s">
        <v>967</v>
      </c>
      <c r="G371" s="6" t="s">
        <v>967</v>
      </c>
      <c r="H371" s="6" t="s">
        <v>967</v>
      </c>
      <c r="I371" s="6" t="s">
        <v>967</v>
      </c>
      <c r="J371" s="6" t="s">
        <v>967</v>
      </c>
      <c r="K371" s="6" t="s">
        <v>967</v>
      </c>
      <c r="L371" s="6" t="s">
        <v>967</v>
      </c>
      <c r="M371" s="6" t="s">
        <v>967</v>
      </c>
      <c r="N371" s="6" t="s">
        <v>967</v>
      </c>
      <c r="O371" s="6" t="s">
        <v>967</v>
      </c>
      <c r="P371" s="5" t="s">
        <v>967</v>
      </c>
      <c r="Q371" s="5" t="s">
        <v>967</v>
      </c>
      <c r="R371" s="5" t="s">
        <v>967</v>
      </c>
      <c r="S371" s="5" t="s">
        <v>967</v>
      </c>
      <c r="T371" s="5" t="s">
        <v>967</v>
      </c>
    </row>
    <row r="372" ht="148.5" spans="1:20">
      <c r="A372" s="4">
        <v>371</v>
      </c>
      <c r="B372" s="5" t="s">
        <v>2259</v>
      </c>
      <c r="C372" s="5" t="s">
        <v>369</v>
      </c>
      <c r="D372" s="5" t="s">
        <v>370</v>
      </c>
      <c r="E372" s="5" t="s">
        <v>371</v>
      </c>
      <c r="F372" s="4" t="s">
        <v>32</v>
      </c>
      <c r="G372" s="6" t="s">
        <v>2526</v>
      </c>
      <c r="H372" s="6" t="s">
        <v>2527</v>
      </c>
      <c r="I372" s="6" t="s">
        <v>2527</v>
      </c>
      <c r="J372" s="6" t="s">
        <v>967</v>
      </c>
      <c r="K372" s="6" t="s">
        <v>1626</v>
      </c>
      <c r="L372" s="6" t="s">
        <v>1627</v>
      </c>
      <c r="M372" s="6" t="s">
        <v>967</v>
      </c>
      <c r="N372" s="6" t="s">
        <v>967</v>
      </c>
      <c r="O372" s="6" t="s">
        <v>967</v>
      </c>
      <c r="P372" s="5" t="s">
        <v>967</v>
      </c>
      <c r="Q372" s="5" t="s">
        <v>967</v>
      </c>
      <c r="R372" s="5" t="s">
        <v>967</v>
      </c>
      <c r="S372" s="5" t="s">
        <v>967</v>
      </c>
      <c r="T372" s="5" t="s">
        <v>967</v>
      </c>
    </row>
    <row r="373" ht="99" spans="1:20">
      <c r="A373" s="4">
        <v>372</v>
      </c>
      <c r="B373" s="5" t="s">
        <v>2259</v>
      </c>
      <c r="C373" s="5" t="s">
        <v>372</v>
      </c>
      <c r="D373" s="5" t="s">
        <v>373</v>
      </c>
      <c r="E373" s="5" t="s">
        <v>374</v>
      </c>
      <c r="F373" s="4" t="s">
        <v>32</v>
      </c>
      <c r="G373" s="6" t="s">
        <v>2528</v>
      </c>
      <c r="H373" s="6" t="s">
        <v>2529</v>
      </c>
      <c r="I373" s="6" t="s">
        <v>2529</v>
      </c>
      <c r="J373" s="6" t="s">
        <v>967</v>
      </c>
      <c r="K373" s="6" t="s">
        <v>1632</v>
      </c>
      <c r="L373" s="6" t="s">
        <v>1633</v>
      </c>
      <c r="M373" s="6" t="s">
        <v>967</v>
      </c>
      <c r="N373" s="6" t="s">
        <v>967</v>
      </c>
      <c r="O373" s="6" t="s">
        <v>967</v>
      </c>
      <c r="P373" s="5" t="s">
        <v>967</v>
      </c>
      <c r="Q373" s="5" t="s">
        <v>967</v>
      </c>
      <c r="R373" s="5" t="s">
        <v>967</v>
      </c>
      <c r="S373" s="5" t="s">
        <v>967</v>
      </c>
      <c r="T373" s="5" t="s">
        <v>967</v>
      </c>
    </row>
    <row r="374" ht="49.5" spans="1:20">
      <c r="A374" s="4">
        <v>373</v>
      </c>
      <c r="B374" s="5" t="s">
        <v>2259</v>
      </c>
      <c r="C374" s="5" t="s">
        <v>829</v>
      </c>
      <c r="D374" s="5" t="s">
        <v>378</v>
      </c>
      <c r="E374" s="5" t="s">
        <v>379</v>
      </c>
      <c r="F374" s="4" t="s">
        <v>32</v>
      </c>
      <c r="G374" s="6" t="s">
        <v>2530</v>
      </c>
      <c r="H374" s="6" t="s">
        <v>2531</v>
      </c>
      <c r="I374" s="6" t="s">
        <v>2531</v>
      </c>
      <c r="J374" s="6" t="s">
        <v>967</v>
      </c>
      <c r="K374" s="6" t="s">
        <v>1643</v>
      </c>
      <c r="L374" s="6" t="s">
        <v>1644</v>
      </c>
      <c r="M374" s="6" t="s">
        <v>967</v>
      </c>
      <c r="N374" s="6" t="s">
        <v>967</v>
      </c>
      <c r="O374" s="6" t="s">
        <v>967</v>
      </c>
      <c r="P374" s="5" t="s">
        <v>967</v>
      </c>
      <c r="Q374" s="5" t="s">
        <v>967</v>
      </c>
      <c r="R374" s="5" t="s">
        <v>967</v>
      </c>
      <c r="S374" s="5" t="s">
        <v>967</v>
      </c>
      <c r="T374" s="5" t="s">
        <v>967</v>
      </c>
    </row>
    <row r="375" ht="99" spans="1:20">
      <c r="A375" s="4">
        <v>374</v>
      </c>
      <c r="B375" s="5" t="s">
        <v>2259</v>
      </c>
      <c r="C375" s="5" t="s">
        <v>408</v>
      </c>
      <c r="D375" s="5" t="s">
        <v>830</v>
      </c>
      <c r="E375" s="5" t="s">
        <v>831</v>
      </c>
      <c r="F375" s="4" t="s">
        <v>32</v>
      </c>
      <c r="G375" s="6" t="s">
        <v>2532</v>
      </c>
      <c r="H375" s="6" t="s">
        <v>2533</v>
      </c>
      <c r="I375" s="6" t="s">
        <v>2533</v>
      </c>
      <c r="J375" s="6" t="s">
        <v>967</v>
      </c>
      <c r="K375" s="6" t="s">
        <v>2534</v>
      </c>
      <c r="L375" s="6" t="s">
        <v>2535</v>
      </c>
      <c r="M375" s="6" t="s">
        <v>967</v>
      </c>
      <c r="N375" s="6" t="s">
        <v>967</v>
      </c>
      <c r="O375" s="6" t="s">
        <v>967</v>
      </c>
      <c r="P375" s="5" t="s">
        <v>967</v>
      </c>
      <c r="Q375" s="5" t="s">
        <v>967</v>
      </c>
      <c r="R375" s="5" t="s">
        <v>967</v>
      </c>
      <c r="S375" s="5" t="s">
        <v>967</v>
      </c>
      <c r="T375" s="5" t="s">
        <v>967</v>
      </c>
    </row>
    <row r="376" ht="33" spans="1:20">
      <c r="A376" s="4">
        <v>375</v>
      </c>
      <c r="B376" s="5" t="s">
        <v>2259</v>
      </c>
      <c r="C376" s="5" t="s">
        <v>832</v>
      </c>
      <c r="D376" s="5" t="s">
        <v>387</v>
      </c>
      <c r="E376" s="5" t="s">
        <v>388</v>
      </c>
      <c r="F376" s="4" t="s">
        <v>32</v>
      </c>
      <c r="G376" s="6" t="s">
        <v>2536</v>
      </c>
      <c r="H376" s="6" t="s">
        <v>2536</v>
      </c>
      <c r="I376" s="6" t="s">
        <v>967</v>
      </c>
      <c r="J376" s="6" t="s">
        <v>967</v>
      </c>
      <c r="K376" s="6" t="s">
        <v>1657</v>
      </c>
      <c r="L376" s="6" t="s">
        <v>1658</v>
      </c>
      <c r="M376" s="6" t="s">
        <v>967</v>
      </c>
      <c r="N376" s="6" t="s">
        <v>967</v>
      </c>
      <c r="O376" s="6" t="s">
        <v>967</v>
      </c>
      <c r="P376" s="5" t="s">
        <v>967</v>
      </c>
      <c r="Q376" s="5" t="s">
        <v>967</v>
      </c>
      <c r="R376" s="5" t="s">
        <v>967</v>
      </c>
      <c r="S376" s="5" t="s">
        <v>967</v>
      </c>
      <c r="T376" s="5" t="s">
        <v>967</v>
      </c>
    </row>
    <row r="377" ht="33" spans="1:20">
      <c r="A377" s="4">
        <v>376</v>
      </c>
      <c r="B377" s="5" t="s">
        <v>2259</v>
      </c>
      <c r="C377" s="5" t="s">
        <v>833</v>
      </c>
      <c r="D377" s="5" t="s">
        <v>384</v>
      </c>
      <c r="E377" s="5" t="s">
        <v>385</v>
      </c>
      <c r="F377" s="4" t="s">
        <v>32</v>
      </c>
      <c r="G377" s="6" t="s">
        <v>2466</v>
      </c>
      <c r="H377" s="6" t="s">
        <v>2466</v>
      </c>
      <c r="I377" s="6" t="s">
        <v>2537</v>
      </c>
      <c r="J377" s="6" t="s">
        <v>967</v>
      </c>
      <c r="K377" s="6" t="s">
        <v>1652</v>
      </c>
      <c r="L377" s="6" t="s">
        <v>1653</v>
      </c>
      <c r="M377" s="6" t="s">
        <v>967</v>
      </c>
      <c r="N377" s="6" t="s">
        <v>967</v>
      </c>
      <c r="O377" s="6" t="s">
        <v>967</v>
      </c>
      <c r="P377" s="5" t="s">
        <v>967</v>
      </c>
      <c r="Q377" s="5" t="s">
        <v>967</v>
      </c>
      <c r="R377" s="5" t="s">
        <v>967</v>
      </c>
      <c r="S377" s="5" t="s">
        <v>967</v>
      </c>
      <c r="T377" s="5" t="s">
        <v>967</v>
      </c>
    </row>
    <row r="378" ht="33" spans="1:20">
      <c r="A378" s="4">
        <v>377</v>
      </c>
      <c r="B378" s="5" t="s">
        <v>2259</v>
      </c>
      <c r="C378" s="5" t="s">
        <v>834</v>
      </c>
      <c r="D378" s="5" t="s">
        <v>381</v>
      </c>
      <c r="E378" s="5" t="s">
        <v>835</v>
      </c>
      <c r="F378" s="4" t="s">
        <v>32</v>
      </c>
      <c r="G378" s="6" t="s">
        <v>2538</v>
      </c>
      <c r="H378" s="6" t="s">
        <v>2538</v>
      </c>
      <c r="I378" s="6" t="s">
        <v>2539</v>
      </c>
      <c r="J378" s="6" t="s">
        <v>967</v>
      </c>
      <c r="K378" s="6" t="s">
        <v>1648</v>
      </c>
      <c r="L378" s="6" t="s">
        <v>2540</v>
      </c>
      <c r="M378" s="6" t="s">
        <v>967</v>
      </c>
      <c r="N378" s="6" t="s">
        <v>967</v>
      </c>
      <c r="O378" s="6" t="s">
        <v>967</v>
      </c>
      <c r="P378" s="5" t="s">
        <v>967</v>
      </c>
      <c r="Q378" s="5" t="s">
        <v>967</v>
      </c>
      <c r="R378" s="5" t="s">
        <v>967</v>
      </c>
      <c r="S378" s="5" t="s">
        <v>967</v>
      </c>
      <c r="T378" s="5" t="s">
        <v>967</v>
      </c>
    </row>
    <row r="379" ht="33" spans="1:20">
      <c r="A379" s="4">
        <v>378</v>
      </c>
      <c r="B379" s="5" t="s">
        <v>2259</v>
      </c>
      <c r="C379" s="5" t="s">
        <v>836</v>
      </c>
      <c r="D379" s="5" t="s">
        <v>390</v>
      </c>
      <c r="E379" s="5" t="s">
        <v>391</v>
      </c>
      <c r="F379" s="4" t="s">
        <v>32</v>
      </c>
      <c r="G379" s="6" t="s">
        <v>2541</v>
      </c>
      <c r="H379" s="6" t="s">
        <v>2542</v>
      </c>
      <c r="I379" s="6" t="s">
        <v>2542</v>
      </c>
      <c r="J379" s="6" t="s">
        <v>967</v>
      </c>
      <c r="K379" s="6" t="s">
        <v>1662</v>
      </c>
      <c r="L379" s="6" t="s">
        <v>1663</v>
      </c>
      <c r="M379" s="6" t="s">
        <v>967</v>
      </c>
      <c r="N379" s="6" t="s">
        <v>967</v>
      </c>
      <c r="O379" s="6" t="s">
        <v>967</v>
      </c>
      <c r="P379" s="5" t="s">
        <v>967</v>
      </c>
      <c r="Q379" s="5" t="s">
        <v>967</v>
      </c>
      <c r="R379" s="5" t="s">
        <v>967</v>
      </c>
      <c r="S379" s="5" t="s">
        <v>967</v>
      </c>
      <c r="T379" s="5" t="s">
        <v>967</v>
      </c>
    </row>
    <row r="380" ht="33" spans="1:20">
      <c r="A380" s="4">
        <v>379</v>
      </c>
      <c r="B380" s="5" t="s">
        <v>2259</v>
      </c>
      <c r="C380" s="5" t="s">
        <v>837</v>
      </c>
      <c r="D380" s="5" t="s">
        <v>394</v>
      </c>
      <c r="E380" s="5" t="s">
        <v>395</v>
      </c>
      <c r="F380" s="4" t="s">
        <v>32</v>
      </c>
      <c r="G380" s="6" t="s">
        <v>2543</v>
      </c>
      <c r="H380" s="6" t="s">
        <v>2543</v>
      </c>
      <c r="I380" s="6" t="s">
        <v>2544</v>
      </c>
      <c r="J380" s="6" t="s">
        <v>967</v>
      </c>
      <c r="K380" s="6" t="s">
        <v>1667</v>
      </c>
      <c r="L380" s="6" t="s">
        <v>1668</v>
      </c>
      <c r="M380" s="6" t="s">
        <v>967</v>
      </c>
      <c r="N380" s="6" t="s">
        <v>967</v>
      </c>
      <c r="O380" s="6" t="s">
        <v>967</v>
      </c>
      <c r="P380" s="5" t="s">
        <v>967</v>
      </c>
      <c r="Q380" s="5" t="s">
        <v>967</v>
      </c>
      <c r="R380" s="5" t="s">
        <v>967</v>
      </c>
      <c r="S380" s="5" t="s">
        <v>967</v>
      </c>
      <c r="T380" s="5" t="s">
        <v>967</v>
      </c>
    </row>
    <row r="381" ht="33" spans="1:20">
      <c r="A381" s="4">
        <v>380</v>
      </c>
      <c r="B381" s="5" t="s">
        <v>2259</v>
      </c>
      <c r="C381" s="5" t="s">
        <v>838</v>
      </c>
      <c r="D381" s="5" t="s">
        <v>839</v>
      </c>
      <c r="E381" s="5" t="s">
        <v>840</v>
      </c>
      <c r="F381" s="4" t="s">
        <v>32</v>
      </c>
      <c r="G381" s="6" t="s">
        <v>2545</v>
      </c>
      <c r="H381" s="6" t="s">
        <v>2545</v>
      </c>
      <c r="I381" s="6" t="s">
        <v>2546</v>
      </c>
      <c r="J381" s="6" t="s">
        <v>967</v>
      </c>
      <c r="K381" s="6" t="s">
        <v>2547</v>
      </c>
      <c r="L381" s="6" t="s">
        <v>2548</v>
      </c>
      <c r="M381" s="6" t="s">
        <v>967</v>
      </c>
      <c r="N381" s="6" t="s">
        <v>967</v>
      </c>
      <c r="O381" s="6" t="s">
        <v>967</v>
      </c>
      <c r="P381" s="5" t="s">
        <v>967</v>
      </c>
      <c r="Q381" s="5" t="s">
        <v>967</v>
      </c>
      <c r="R381" s="5" t="s">
        <v>967</v>
      </c>
      <c r="S381" s="5" t="s">
        <v>967</v>
      </c>
      <c r="T381" s="5" t="s">
        <v>967</v>
      </c>
    </row>
    <row r="382" ht="49.5" spans="1:20">
      <c r="A382" s="4">
        <v>381</v>
      </c>
      <c r="B382" s="5" t="s">
        <v>2259</v>
      </c>
      <c r="C382" s="5" t="s">
        <v>396</v>
      </c>
      <c r="D382" s="5" t="s">
        <v>397</v>
      </c>
      <c r="E382" s="5" t="s">
        <v>841</v>
      </c>
      <c r="F382" s="4" t="s">
        <v>32</v>
      </c>
      <c r="G382" s="6" t="s">
        <v>2549</v>
      </c>
      <c r="H382" s="6" t="s">
        <v>2550</v>
      </c>
      <c r="I382" s="6" t="s">
        <v>2550</v>
      </c>
      <c r="J382" s="6" t="s">
        <v>967</v>
      </c>
      <c r="K382" s="6" t="s">
        <v>2551</v>
      </c>
      <c r="L382" s="6" t="s">
        <v>1672</v>
      </c>
      <c r="M382" s="6" t="s">
        <v>967</v>
      </c>
      <c r="N382" s="6" t="s">
        <v>967</v>
      </c>
      <c r="O382" s="6" t="s">
        <v>967</v>
      </c>
      <c r="P382" s="5" t="s">
        <v>967</v>
      </c>
      <c r="Q382" s="5" t="s">
        <v>967</v>
      </c>
      <c r="R382" s="5" t="s">
        <v>967</v>
      </c>
      <c r="S382" s="5" t="s">
        <v>967</v>
      </c>
      <c r="T382" s="5" t="s">
        <v>967</v>
      </c>
    </row>
    <row r="383" ht="33" spans="1:20">
      <c r="A383" s="4">
        <v>382</v>
      </c>
      <c r="B383" s="5" t="s">
        <v>2259</v>
      </c>
      <c r="C383" s="5" t="s">
        <v>428</v>
      </c>
      <c r="D383" s="5" t="s">
        <v>429</v>
      </c>
      <c r="E383" s="5" t="s">
        <v>842</v>
      </c>
      <c r="F383" s="4" t="s">
        <v>32</v>
      </c>
      <c r="G383" s="6" t="s">
        <v>2552</v>
      </c>
      <c r="H383" s="6" t="s">
        <v>2553</v>
      </c>
      <c r="I383" s="6" t="s">
        <v>2554</v>
      </c>
      <c r="J383" s="6" t="s">
        <v>967</v>
      </c>
      <c r="K383" s="6" t="s">
        <v>2555</v>
      </c>
      <c r="L383" s="6" t="s">
        <v>2556</v>
      </c>
      <c r="M383" s="6" t="s">
        <v>967</v>
      </c>
      <c r="N383" s="6" t="s">
        <v>967</v>
      </c>
      <c r="O383" s="6" t="s">
        <v>967</v>
      </c>
      <c r="P383" s="5" t="s">
        <v>967</v>
      </c>
      <c r="Q383" s="5" t="s">
        <v>967</v>
      </c>
      <c r="R383" s="5" t="s">
        <v>967</v>
      </c>
      <c r="S383" s="5" t="s">
        <v>967</v>
      </c>
      <c r="T383" s="5" t="s">
        <v>967</v>
      </c>
    </row>
    <row r="384" ht="82.5" spans="1:20">
      <c r="A384" s="4">
        <v>383</v>
      </c>
      <c r="B384" s="5" t="s">
        <v>2259</v>
      </c>
      <c r="C384" s="5" t="s">
        <v>410</v>
      </c>
      <c r="D384" s="5" t="s">
        <v>406</v>
      </c>
      <c r="E384" s="5" t="s">
        <v>843</v>
      </c>
      <c r="F384" s="4" t="s">
        <v>32</v>
      </c>
      <c r="G384" s="6" t="s">
        <v>2557</v>
      </c>
      <c r="H384" s="6" t="s">
        <v>2558</v>
      </c>
      <c r="I384" s="6" t="s">
        <v>2558</v>
      </c>
      <c r="J384" s="6" t="s">
        <v>967</v>
      </c>
      <c r="K384" s="6" t="s">
        <v>2559</v>
      </c>
      <c r="L384" s="6" t="s">
        <v>2560</v>
      </c>
      <c r="M384" s="6" t="s">
        <v>967</v>
      </c>
      <c r="N384" s="6" t="s">
        <v>967</v>
      </c>
      <c r="O384" s="6" t="s">
        <v>967</v>
      </c>
      <c r="P384" s="5" t="s">
        <v>967</v>
      </c>
      <c r="Q384" s="5" t="s">
        <v>967</v>
      </c>
      <c r="R384" s="5" t="s">
        <v>967</v>
      </c>
      <c r="S384" s="5" t="s">
        <v>967</v>
      </c>
      <c r="T384" s="5" t="s">
        <v>967</v>
      </c>
    </row>
    <row r="385" ht="49.5" spans="1:20">
      <c r="A385" s="4">
        <v>384</v>
      </c>
      <c r="B385" s="5" t="s">
        <v>2259</v>
      </c>
      <c r="C385" s="5" t="s">
        <v>412</v>
      </c>
      <c r="D385" s="5" t="s">
        <v>406</v>
      </c>
      <c r="E385" s="5" t="s">
        <v>844</v>
      </c>
      <c r="F385" s="4" t="s">
        <v>32</v>
      </c>
      <c r="G385" s="6" t="s">
        <v>2561</v>
      </c>
      <c r="H385" s="6" t="s">
        <v>2562</v>
      </c>
      <c r="I385" s="6" t="s">
        <v>2563</v>
      </c>
      <c r="J385" s="6" t="s">
        <v>967</v>
      </c>
      <c r="K385" s="6" t="s">
        <v>2564</v>
      </c>
      <c r="L385" s="6" t="s">
        <v>2565</v>
      </c>
      <c r="M385" s="6" t="s">
        <v>967</v>
      </c>
      <c r="N385" s="6" t="s">
        <v>967</v>
      </c>
      <c r="O385" s="6" t="s">
        <v>967</v>
      </c>
      <c r="P385" s="5" t="s">
        <v>967</v>
      </c>
      <c r="Q385" s="5" t="s">
        <v>967</v>
      </c>
      <c r="R385" s="5" t="s">
        <v>967</v>
      </c>
      <c r="S385" s="5" t="s">
        <v>967</v>
      </c>
      <c r="T385" s="5" t="s">
        <v>967</v>
      </c>
    </row>
    <row r="386" ht="49.5" spans="1:20">
      <c r="A386" s="4">
        <v>385</v>
      </c>
      <c r="B386" s="5" t="s">
        <v>2259</v>
      </c>
      <c r="C386" s="5" t="s">
        <v>420</v>
      </c>
      <c r="D386" s="5" t="s">
        <v>406</v>
      </c>
      <c r="E386" s="5" t="s">
        <v>845</v>
      </c>
      <c r="F386" s="4" t="s">
        <v>32</v>
      </c>
      <c r="G386" s="6" t="s">
        <v>2566</v>
      </c>
      <c r="H386" s="6" t="s">
        <v>2567</v>
      </c>
      <c r="I386" s="6" t="s">
        <v>2567</v>
      </c>
      <c r="J386" s="6" t="s">
        <v>967</v>
      </c>
      <c r="K386" s="6" t="s">
        <v>2568</v>
      </c>
      <c r="L386" s="6" t="s">
        <v>2569</v>
      </c>
      <c r="M386" s="6" t="s">
        <v>967</v>
      </c>
      <c r="N386" s="6" t="s">
        <v>967</v>
      </c>
      <c r="O386" s="6" t="s">
        <v>967</v>
      </c>
      <c r="P386" s="5" t="s">
        <v>967</v>
      </c>
      <c r="Q386" s="5" t="s">
        <v>967</v>
      </c>
      <c r="R386" s="5" t="s">
        <v>967</v>
      </c>
      <c r="S386" s="5" t="s">
        <v>967</v>
      </c>
      <c r="T386" s="5" t="s">
        <v>967</v>
      </c>
    </row>
    <row r="387" ht="49.5" spans="1:20">
      <c r="A387" s="4">
        <v>386</v>
      </c>
      <c r="B387" s="5" t="s">
        <v>2259</v>
      </c>
      <c r="C387" s="5" t="s">
        <v>418</v>
      </c>
      <c r="D387" s="5" t="s">
        <v>846</v>
      </c>
      <c r="E387" s="5" t="s">
        <v>847</v>
      </c>
      <c r="F387" s="4" t="s">
        <v>32</v>
      </c>
      <c r="G387" s="6" t="s">
        <v>2570</v>
      </c>
      <c r="H387" s="6" t="s">
        <v>2570</v>
      </c>
      <c r="I387" s="6" t="s">
        <v>2571</v>
      </c>
      <c r="J387" s="6" t="s">
        <v>967</v>
      </c>
      <c r="K387" s="6" t="s">
        <v>2572</v>
      </c>
      <c r="L387" s="6" t="s">
        <v>2573</v>
      </c>
      <c r="M387" s="6" t="s">
        <v>967</v>
      </c>
      <c r="N387" s="6" t="s">
        <v>967</v>
      </c>
      <c r="O387" s="6" t="s">
        <v>967</v>
      </c>
      <c r="P387" s="5" t="s">
        <v>967</v>
      </c>
      <c r="Q387" s="5" t="s">
        <v>967</v>
      </c>
      <c r="R387" s="5" t="s">
        <v>967</v>
      </c>
      <c r="S387" s="5" t="s">
        <v>967</v>
      </c>
      <c r="T387" s="5" t="s">
        <v>967</v>
      </c>
    </row>
    <row r="388" ht="66" spans="1:20">
      <c r="A388" s="4">
        <v>387</v>
      </c>
      <c r="B388" s="5" t="s">
        <v>2259</v>
      </c>
      <c r="C388" s="5" t="s">
        <v>424</v>
      </c>
      <c r="D388" s="5" t="s">
        <v>406</v>
      </c>
      <c r="E388" s="5" t="s">
        <v>848</v>
      </c>
      <c r="F388" s="4" t="s">
        <v>32</v>
      </c>
      <c r="G388" s="6" t="s">
        <v>983</v>
      </c>
      <c r="H388" s="6" t="s">
        <v>983</v>
      </c>
      <c r="I388" s="6" t="s">
        <v>983</v>
      </c>
      <c r="J388" s="6" t="s">
        <v>967</v>
      </c>
      <c r="K388" s="6" t="s">
        <v>2574</v>
      </c>
      <c r="L388" s="6" t="s">
        <v>2575</v>
      </c>
      <c r="M388" s="6" t="s">
        <v>967</v>
      </c>
      <c r="N388" s="6" t="s">
        <v>967</v>
      </c>
      <c r="O388" s="6" t="s">
        <v>967</v>
      </c>
      <c r="P388" s="5" t="s">
        <v>967</v>
      </c>
      <c r="Q388" s="5" t="s">
        <v>967</v>
      </c>
      <c r="R388" s="5" t="s">
        <v>967</v>
      </c>
      <c r="S388" s="5" t="s">
        <v>967</v>
      </c>
      <c r="T388" s="5" t="s">
        <v>967</v>
      </c>
    </row>
    <row r="389" ht="66" spans="1:20">
      <c r="A389" s="4">
        <v>388</v>
      </c>
      <c r="B389" s="5" t="s">
        <v>2259</v>
      </c>
      <c r="C389" s="5" t="s">
        <v>414</v>
      </c>
      <c r="D389" s="5" t="s">
        <v>406</v>
      </c>
      <c r="E389" s="5" t="s">
        <v>849</v>
      </c>
      <c r="F389" s="4" t="s">
        <v>32</v>
      </c>
      <c r="G389" s="6" t="s">
        <v>2576</v>
      </c>
      <c r="H389" s="6" t="s">
        <v>2577</v>
      </c>
      <c r="I389" s="6" t="s">
        <v>2577</v>
      </c>
      <c r="J389" s="6" t="s">
        <v>967</v>
      </c>
      <c r="K389" s="6" t="s">
        <v>2578</v>
      </c>
      <c r="L389" s="6" t="s">
        <v>2579</v>
      </c>
      <c r="M389" s="6" t="s">
        <v>967</v>
      </c>
      <c r="N389" s="6" t="s">
        <v>967</v>
      </c>
      <c r="O389" s="6" t="s">
        <v>967</v>
      </c>
      <c r="P389" s="5" t="s">
        <v>967</v>
      </c>
      <c r="Q389" s="5" t="s">
        <v>967</v>
      </c>
      <c r="R389" s="5" t="s">
        <v>967</v>
      </c>
      <c r="S389" s="5" t="s">
        <v>967</v>
      </c>
      <c r="T389" s="5" t="s">
        <v>967</v>
      </c>
    </row>
    <row r="390" ht="49.5" spans="1:20">
      <c r="A390" s="4">
        <v>389</v>
      </c>
      <c r="B390" s="5" t="s">
        <v>2259</v>
      </c>
      <c r="C390" s="5" t="s">
        <v>422</v>
      </c>
      <c r="D390" s="5" t="s">
        <v>406</v>
      </c>
      <c r="E390" s="5" t="s">
        <v>850</v>
      </c>
      <c r="F390" s="4" t="s">
        <v>32</v>
      </c>
      <c r="G390" s="6" t="s">
        <v>2580</v>
      </c>
      <c r="H390" s="6" t="s">
        <v>2580</v>
      </c>
      <c r="I390" s="6" t="s">
        <v>2580</v>
      </c>
      <c r="J390" s="6" t="s">
        <v>967</v>
      </c>
      <c r="K390" s="6" t="s">
        <v>2581</v>
      </c>
      <c r="L390" s="6" t="s">
        <v>2582</v>
      </c>
      <c r="M390" s="6" t="s">
        <v>967</v>
      </c>
      <c r="N390" s="6" t="s">
        <v>967</v>
      </c>
      <c r="O390" s="6" t="s">
        <v>967</v>
      </c>
      <c r="P390" s="5" t="s">
        <v>967</v>
      </c>
      <c r="Q390" s="5" t="s">
        <v>967</v>
      </c>
      <c r="R390" s="5" t="s">
        <v>967</v>
      </c>
      <c r="S390" s="5" t="s">
        <v>967</v>
      </c>
      <c r="T390" s="5" t="s">
        <v>967</v>
      </c>
    </row>
    <row r="391" ht="33" spans="1:20">
      <c r="A391" s="4">
        <v>390</v>
      </c>
      <c r="B391" s="5" t="s">
        <v>2259</v>
      </c>
      <c r="C391" s="5" t="s">
        <v>365</v>
      </c>
      <c r="D391" s="5" t="s">
        <v>366</v>
      </c>
      <c r="E391" s="5" t="s">
        <v>851</v>
      </c>
      <c r="F391" s="4" t="s">
        <v>32</v>
      </c>
      <c r="G391" s="6" t="s">
        <v>2583</v>
      </c>
      <c r="H391" s="6" t="s">
        <v>2584</v>
      </c>
      <c r="I391" s="6" t="s">
        <v>2584</v>
      </c>
      <c r="J391" s="6" t="s">
        <v>967</v>
      </c>
      <c r="K391" s="6" t="s">
        <v>2585</v>
      </c>
      <c r="L391" s="6" t="s">
        <v>1619</v>
      </c>
      <c r="M391" s="6" t="s">
        <v>967</v>
      </c>
      <c r="N391" s="6" t="s">
        <v>967</v>
      </c>
      <c r="O391" s="6" t="s">
        <v>967</v>
      </c>
      <c r="P391" s="5" t="s">
        <v>967</v>
      </c>
      <c r="Q391" s="5" t="s">
        <v>967</v>
      </c>
      <c r="R391" s="5" t="s">
        <v>967</v>
      </c>
      <c r="S391" s="5" t="s">
        <v>967</v>
      </c>
      <c r="T391" s="5" t="s">
        <v>967</v>
      </c>
    </row>
    <row r="392" ht="33" spans="1:20">
      <c r="A392" s="4">
        <v>391</v>
      </c>
      <c r="B392" s="5" t="s">
        <v>2259</v>
      </c>
      <c r="C392" s="5" t="s">
        <v>852</v>
      </c>
      <c r="D392" s="5" t="s">
        <v>853</v>
      </c>
      <c r="E392" s="5" t="s">
        <v>854</v>
      </c>
      <c r="F392" s="4" t="s">
        <v>32</v>
      </c>
      <c r="G392" s="6" t="s">
        <v>2586</v>
      </c>
      <c r="H392" s="6" t="s">
        <v>2587</v>
      </c>
      <c r="I392" s="6" t="s">
        <v>2587</v>
      </c>
      <c r="J392" s="6" t="s">
        <v>967</v>
      </c>
      <c r="K392" s="6" t="s">
        <v>2588</v>
      </c>
      <c r="L392" s="6" t="s">
        <v>2589</v>
      </c>
      <c r="M392" s="6" t="s">
        <v>967</v>
      </c>
      <c r="N392" s="6" t="s">
        <v>967</v>
      </c>
      <c r="O392" s="6" t="s">
        <v>967</v>
      </c>
      <c r="P392" s="5" t="s">
        <v>967</v>
      </c>
      <c r="Q392" s="5" t="s">
        <v>967</v>
      </c>
      <c r="R392" s="5" t="s">
        <v>967</v>
      </c>
      <c r="S392" s="5" t="s">
        <v>967</v>
      </c>
      <c r="T392" s="5" t="s">
        <v>967</v>
      </c>
    </row>
    <row r="393" ht="33" spans="1:20">
      <c r="A393" s="4">
        <v>392</v>
      </c>
      <c r="B393" s="5" t="s">
        <v>2259</v>
      </c>
      <c r="C393" s="5" t="s">
        <v>855</v>
      </c>
      <c r="D393" s="5" t="s">
        <v>856</v>
      </c>
      <c r="E393" s="5" t="s">
        <v>857</v>
      </c>
      <c r="F393" s="4" t="s">
        <v>32</v>
      </c>
      <c r="G393" s="6" t="s">
        <v>2590</v>
      </c>
      <c r="H393" s="6" t="s">
        <v>2591</v>
      </c>
      <c r="I393" s="6" t="s">
        <v>2592</v>
      </c>
      <c r="J393" s="6" t="s">
        <v>967</v>
      </c>
      <c r="K393" s="6" t="s">
        <v>2593</v>
      </c>
      <c r="L393" s="6" t="s">
        <v>2594</v>
      </c>
      <c r="M393" s="6" t="s">
        <v>967</v>
      </c>
      <c r="N393" s="6" t="s">
        <v>967</v>
      </c>
      <c r="O393" s="6" t="s">
        <v>967</v>
      </c>
      <c r="P393" s="5" t="s">
        <v>967</v>
      </c>
      <c r="Q393" s="5" t="s">
        <v>967</v>
      </c>
      <c r="R393" s="5" t="s">
        <v>967</v>
      </c>
      <c r="S393" s="5" t="s">
        <v>967</v>
      </c>
      <c r="T393" s="5" t="s">
        <v>967</v>
      </c>
    </row>
    <row r="394" ht="33" spans="1:20">
      <c r="A394" s="4">
        <v>393</v>
      </c>
      <c r="B394" s="5" t="s">
        <v>2259</v>
      </c>
      <c r="C394" s="5" t="s">
        <v>858</v>
      </c>
      <c r="D394" s="5" t="s">
        <v>859</v>
      </c>
      <c r="E394" s="5" t="s">
        <v>860</v>
      </c>
      <c r="F394" s="4" t="s">
        <v>67</v>
      </c>
      <c r="G394" s="6" t="s">
        <v>2595</v>
      </c>
      <c r="H394" s="6" t="s">
        <v>2595</v>
      </c>
      <c r="I394" s="6" t="s">
        <v>2595</v>
      </c>
      <c r="J394" s="6" t="s">
        <v>967</v>
      </c>
      <c r="K394" s="6" t="s">
        <v>2596</v>
      </c>
      <c r="L394" s="6" t="s">
        <v>2597</v>
      </c>
      <c r="M394" s="6" t="s">
        <v>967</v>
      </c>
      <c r="N394" s="6" t="s">
        <v>967</v>
      </c>
      <c r="O394" s="6" t="s">
        <v>967</v>
      </c>
      <c r="P394" s="5" t="s">
        <v>967</v>
      </c>
      <c r="Q394" s="5" t="s">
        <v>967</v>
      </c>
      <c r="R394" s="5" t="s">
        <v>967</v>
      </c>
      <c r="S394" s="5" t="s">
        <v>967</v>
      </c>
      <c r="T394" s="5" t="s">
        <v>967</v>
      </c>
    </row>
    <row r="395" ht="33" spans="1:20">
      <c r="A395" s="4">
        <v>394</v>
      </c>
      <c r="B395" s="5" t="s">
        <v>2259</v>
      </c>
      <c r="C395" s="5" t="s">
        <v>967</v>
      </c>
      <c r="D395" s="5" t="s">
        <v>440</v>
      </c>
      <c r="E395" s="5" t="s">
        <v>967</v>
      </c>
      <c r="F395" s="4" t="s">
        <v>967</v>
      </c>
      <c r="G395" s="6" t="s">
        <v>967</v>
      </c>
      <c r="H395" s="6" t="s">
        <v>967</v>
      </c>
      <c r="I395" s="6" t="s">
        <v>967</v>
      </c>
      <c r="J395" s="6" t="s">
        <v>967</v>
      </c>
      <c r="K395" s="6" t="s">
        <v>967</v>
      </c>
      <c r="L395" s="6" t="s">
        <v>967</v>
      </c>
      <c r="M395" s="6" t="s">
        <v>967</v>
      </c>
      <c r="N395" s="6" t="s">
        <v>967</v>
      </c>
      <c r="O395" s="6" t="s">
        <v>967</v>
      </c>
      <c r="P395" s="5" t="s">
        <v>967</v>
      </c>
      <c r="Q395" s="5" t="s">
        <v>967</v>
      </c>
      <c r="R395" s="5" t="s">
        <v>967</v>
      </c>
      <c r="S395" s="5" t="s">
        <v>967</v>
      </c>
      <c r="T395" s="5" t="s">
        <v>967</v>
      </c>
    </row>
    <row r="396" ht="33" spans="1:20">
      <c r="A396" s="4">
        <v>395</v>
      </c>
      <c r="B396" s="5" t="s">
        <v>2259</v>
      </c>
      <c r="C396" s="5" t="s">
        <v>861</v>
      </c>
      <c r="D396" s="5" t="s">
        <v>442</v>
      </c>
      <c r="E396" s="5" t="s">
        <v>443</v>
      </c>
      <c r="F396" s="4" t="s">
        <v>32</v>
      </c>
      <c r="G396" s="6" t="s">
        <v>2598</v>
      </c>
      <c r="H396" s="6" t="s">
        <v>2599</v>
      </c>
      <c r="I396" s="6" t="s">
        <v>2599</v>
      </c>
      <c r="J396" s="6" t="s">
        <v>967</v>
      </c>
      <c r="K396" s="6" t="s">
        <v>1770</v>
      </c>
      <c r="L396" s="6" t="s">
        <v>1403</v>
      </c>
      <c r="M396" s="6" t="s">
        <v>967</v>
      </c>
      <c r="N396" s="6" t="s">
        <v>967</v>
      </c>
      <c r="O396" s="6" t="s">
        <v>967</v>
      </c>
      <c r="P396" s="5" t="s">
        <v>967</v>
      </c>
      <c r="Q396" s="5" t="s">
        <v>967</v>
      </c>
      <c r="R396" s="5" t="s">
        <v>967</v>
      </c>
      <c r="S396" s="5" t="s">
        <v>967</v>
      </c>
      <c r="T396" s="5" t="s">
        <v>967</v>
      </c>
    </row>
    <row r="397" ht="33" spans="1:20">
      <c r="A397" s="4">
        <v>396</v>
      </c>
      <c r="B397" s="5" t="s">
        <v>2259</v>
      </c>
      <c r="C397" s="5" t="s">
        <v>455</v>
      </c>
      <c r="D397" s="5" t="s">
        <v>446</v>
      </c>
      <c r="E397" s="5" t="s">
        <v>447</v>
      </c>
      <c r="F397" s="4" t="s">
        <v>32</v>
      </c>
      <c r="G397" s="6" t="s">
        <v>2600</v>
      </c>
      <c r="H397" s="6" t="s">
        <v>2601</v>
      </c>
      <c r="I397" s="6" t="s">
        <v>2601</v>
      </c>
      <c r="J397" s="6" t="s">
        <v>967</v>
      </c>
      <c r="K397" s="6" t="s">
        <v>1775</v>
      </c>
      <c r="L397" s="6" t="s">
        <v>1776</v>
      </c>
      <c r="M397" s="6" t="s">
        <v>967</v>
      </c>
      <c r="N397" s="6" t="s">
        <v>967</v>
      </c>
      <c r="O397" s="6" t="s">
        <v>967</v>
      </c>
      <c r="P397" s="5" t="s">
        <v>862</v>
      </c>
      <c r="Q397" s="5" t="s">
        <v>967</v>
      </c>
      <c r="R397" s="5" t="s">
        <v>967</v>
      </c>
      <c r="S397" s="5" t="s">
        <v>967</v>
      </c>
      <c r="T397" s="5" t="s">
        <v>967</v>
      </c>
    </row>
    <row r="398" ht="66" spans="1:20">
      <c r="A398" s="4">
        <v>397</v>
      </c>
      <c r="B398" s="5" t="s">
        <v>2259</v>
      </c>
      <c r="C398" s="5" t="s">
        <v>863</v>
      </c>
      <c r="D398" s="5" t="s">
        <v>459</v>
      </c>
      <c r="E398" s="5" t="s">
        <v>864</v>
      </c>
      <c r="F398" s="4" t="s">
        <v>32</v>
      </c>
      <c r="G398" s="6" t="s">
        <v>2602</v>
      </c>
      <c r="H398" s="6" t="s">
        <v>2602</v>
      </c>
      <c r="I398" s="6" t="s">
        <v>2602</v>
      </c>
      <c r="J398" s="6" t="s">
        <v>967</v>
      </c>
      <c r="K398" s="6" t="s">
        <v>2603</v>
      </c>
      <c r="L398" s="6" t="s">
        <v>2604</v>
      </c>
      <c r="M398" s="6" t="s">
        <v>967</v>
      </c>
      <c r="N398" s="6" t="s">
        <v>967</v>
      </c>
      <c r="O398" s="6" t="s">
        <v>967</v>
      </c>
      <c r="P398" s="5" t="s">
        <v>967</v>
      </c>
      <c r="Q398" s="5" t="s">
        <v>967</v>
      </c>
      <c r="R398" s="5" t="s">
        <v>967</v>
      </c>
      <c r="S398" s="5" t="s">
        <v>967</v>
      </c>
      <c r="T398" s="5" t="s">
        <v>967</v>
      </c>
    </row>
    <row r="399" ht="33" spans="1:20">
      <c r="A399" s="4">
        <v>398</v>
      </c>
      <c r="B399" s="5" t="s">
        <v>2259</v>
      </c>
      <c r="C399" s="5" t="s">
        <v>865</v>
      </c>
      <c r="D399" s="5" t="s">
        <v>456</v>
      </c>
      <c r="E399" s="5" t="s">
        <v>457</v>
      </c>
      <c r="F399" s="4" t="s">
        <v>32</v>
      </c>
      <c r="G399" s="6" t="s">
        <v>2605</v>
      </c>
      <c r="H399" s="6" t="s">
        <v>2606</v>
      </c>
      <c r="I399" s="6" t="s">
        <v>2606</v>
      </c>
      <c r="J399" s="6" t="s">
        <v>967</v>
      </c>
      <c r="K399" s="6" t="s">
        <v>1775</v>
      </c>
      <c r="L399" s="6" t="s">
        <v>1785</v>
      </c>
      <c r="M399" s="6" t="s">
        <v>967</v>
      </c>
      <c r="N399" s="6" t="s">
        <v>967</v>
      </c>
      <c r="O399" s="6" t="s">
        <v>967</v>
      </c>
      <c r="P399" s="5" t="s">
        <v>967</v>
      </c>
      <c r="Q399" s="5" t="s">
        <v>967</v>
      </c>
      <c r="R399" s="5" t="s">
        <v>967</v>
      </c>
      <c r="S399" s="5" t="s">
        <v>967</v>
      </c>
      <c r="T399" s="5" t="s">
        <v>967</v>
      </c>
    </row>
    <row r="400" ht="33" spans="1:20">
      <c r="A400" s="4">
        <v>399</v>
      </c>
      <c r="B400" s="5" t="s">
        <v>2259</v>
      </c>
      <c r="C400" s="5" t="s">
        <v>465</v>
      </c>
      <c r="D400" s="5" t="s">
        <v>466</v>
      </c>
      <c r="E400" s="5" t="s">
        <v>467</v>
      </c>
      <c r="F400" s="4" t="s">
        <v>32</v>
      </c>
      <c r="G400" s="6" t="s">
        <v>2607</v>
      </c>
      <c r="H400" s="6" t="s">
        <v>2607</v>
      </c>
      <c r="I400" s="6" t="s">
        <v>2607</v>
      </c>
      <c r="J400" s="6" t="s">
        <v>967</v>
      </c>
      <c r="K400" s="6" t="s">
        <v>1808</v>
      </c>
      <c r="L400" s="6" t="s">
        <v>2608</v>
      </c>
      <c r="M400" s="6" t="s">
        <v>967</v>
      </c>
      <c r="N400" s="6" t="s">
        <v>967</v>
      </c>
      <c r="O400" s="6" t="s">
        <v>967</v>
      </c>
      <c r="P400" s="5" t="s">
        <v>967</v>
      </c>
      <c r="Q400" s="5" t="s">
        <v>967</v>
      </c>
      <c r="R400" s="5" t="s">
        <v>967</v>
      </c>
      <c r="S400" s="5" t="s">
        <v>967</v>
      </c>
      <c r="T400" s="5" t="s">
        <v>967</v>
      </c>
    </row>
    <row r="401" ht="99" spans="1:20">
      <c r="A401" s="4">
        <v>400</v>
      </c>
      <c r="B401" s="5" t="s">
        <v>2259</v>
      </c>
      <c r="C401" s="5" t="s">
        <v>866</v>
      </c>
      <c r="D401" s="5" t="s">
        <v>459</v>
      </c>
      <c r="E401" s="5" t="s">
        <v>462</v>
      </c>
      <c r="F401" s="4" t="s">
        <v>32</v>
      </c>
      <c r="G401" s="6" t="s">
        <v>2609</v>
      </c>
      <c r="H401" s="6" t="s">
        <v>2610</v>
      </c>
      <c r="I401" s="6" t="s">
        <v>2610</v>
      </c>
      <c r="J401" s="6" t="s">
        <v>967</v>
      </c>
      <c r="K401" s="6" t="s">
        <v>2611</v>
      </c>
      <c r="L401" s="6" t="s">
        <v>1797</v>
      </c>
      <c r="M401" s="6" t="s">
        <v>967</v>
      </c>
      <c r="N401" s="6" t="s">
        <v>967</v>
      </c>
      <c r="O401" s="6" t="s">
        <v>967</v>
      </c>
      <c r="P401" s="5" t="s">
        <v>967</v>
      </c>
      <c r="Q401" s="5" t="s">
        <v>967</v>
      </c>
      <c r="R401" s="5" t="s">
        <v>967</v>
      </c>
      <c r="S401" s="5" t="s">
        <v>967</v>
      </c>
      <c r="T401" s="5" t="s">
        <v>967</v>
      </c>
    </row>
    <row r="402" ht="33" spans="1:20">
      <c r="A402" s="4">
        <v>401</v>
      </c>
      <c r="B402" s="5" t="s">
        <v>2259</v>
      </c>
      <c r="C402" s="5" t="s">
        <v>967</v>
      </c>
      <c r="D402" s="5" t="s">
        <v>470</v>
      </c>
      <c r="E402" s="5" t="s">
        <v>967</v>
      </c>
      <c r="F402" s="4" t="s">
        <v>967</v>
      </c>
      <c r="G402" s="6" t="s">
        <v>967</v>
      </c>
      <c r="H402" s="6" t="s">
        <v>967</v>
      </c>
      <c r="I402" s="6" t="s">
        <v>967</v>
      </c>
      <c r="J402" s="6" t="s">
        <v>967</v>
      </c>
      <c r="K402" s="6" t="s">
        <v>967</v>
      </c>
      <c r="L402" s="6" t="s">
        <v>967</v>
      </c>
      <c r="M402" s="6" t="s">
        <v>967</v>
      </c>
      <c r="N402" s="6" t="s">
        <v>967</v>
      </c>
      <c r="O402" s="6" t="s">
        <v>967</v>
      </c>
      <c r="P402" s="5" t="s">
        <v>967</v>
      </c>
      <c r="Q402" s="5" t="s">
        <v>967</v>
      </c>
      <c r="R402" s="5" t="s">
        <v>967</v>
      </c>
      <c r="S402" s="5" t="s">
        <v>967</v>
      </c>
      <c r="T402" s="5" t="s">
        <v>967</v>
      </c>
    </row>
    <row r="403" ht="66" spans="1:20">
      <c r="A403" s="4">
        <v>402</v>
      </c>
      <c r="B403" s="5" t="s">
        <v>2259</v>
      </c>
      <c r="C403" s="5" t="s">
        <v>493</v>
      </c>
      <c r="D403" s="5" t="s">
        <v>481</v>
      </c>
      <c r="E403" s="5" t="s">
        <v>867</v>
      </c>
      <c r="F403" s="4" t="s">
        <v>53</v>
      </c>
      <c r="G403" s="6" t="s">
        <v>2612</v>
      </c>
      <c r="H403" s="6" t="s">
        <v>2613</v>
      </c>
      <c r="I403" s="6" t="s">
        <v>2614</v>
      </c>
      <c r="J403" s="6" t="s">
        <v>967</v>
      </c>
      <c r="K403" s="6" t="s">
        <v>2615</v>
      </c>
      <c r="L403" s="6" t="s">
        <v>2616</v>
      </c>
      <c r="M403" s="6" t="s">
        <v>967</v>
      </c>
      <c r="N403" s="6" t="s">
        <v>967</v>
      </c>
      <c r="O403" s="6" t="s">
        <v>967</v>
      </c>
      <c r="P403" s="5" t="s">
        <v>967</v>
      </c>
      <c r="Q403" s="5" t="s">
        <v>967</v>
      </c>
      <c r="R403" s="5" t="s">
        <v>967</v>
      </c>
      <c r="S403" s="5" t="s">
        <v>967</v>
      </c>
      <c r="T403" s="5" t="s">
        <v>967</v>
      </c>
    </row>
    <row r="404" ht="82.5" spans="1:20">
      <c r="A404" s="4">
        <v>403</v>
      </c>
      <c r="B404" s="5" t="s">
        <v>2259</v>
      </c>
      <c r="C404" s="5" t="s">
        <v>868</v>
      </c>
      <c r="D404" s="5" t="s">
        <v>481</v>
      </c>
      <c r="E404" s="5" t="s">
        <v>490</v>
      </c>
      <c r="F404" s="4" t="s">
        <v>53</v>
      </c>
      <c r="G404" s="6" t="s">
        <v>2617</v>
      </c>
      <c r="H404" s="6" t="s">
        <v>2618</v>
      </c>
      <c r="I404" s="6" t="s">
        <v>2618</v>
      </c>
      <c r="J404" s="6" t="s">
        <v>967</v>
      </c>
      <c r="K404" s="6" t="s">
        <v>1840</v>
      </c>
      <c r="L404" s="6" t="s">
        <v>1841</v>
      </c>
      <c r="M404" s="6" t="s">
        <v>967</v>
      </c>
      <c r="N404" s="6" t="s">
        <v>967</v>
      </c>
      <c r="O404" s="6" t="s">
        <v>967</v>
      </c>
      <c r="P404" s="5" t="s">
        <v>967</v>
      </c>
      <c r="Q404" s="5" t="s">
        <v>967</v>
      </c>
      <c r="R404" s="5" t="s">
        <v>967</v>
      </c>
      <c r="S404" s="5" t="s">
        <v>967</v>
      </c>
      <c r="T404" s="5" t="s">
        <v>967</v>
      </c>
    </row>
    <row r="405" ht="82.5" spans="1:20">
      <c r="A405" s="4">
        <v>404</v>
      </c>
      <c r="B405" s="5" t="s">
        <v>2259</v>
      </c>
      <c r="C405" s="5" t="s">
        <v>483</v>
      </c>
      <c r="D405" s="5" t="s">
        <v>481</v>
      </c>
      <c r="E405" s="5" t="s">
        <v>869</v>
      </c>
      <c r="F405" s="4" t="s">
        <v>53</v>
      </c>
      <c r="G405" s="6" t="s">
        <v>2619</v>
      </c>
      <c r="H405" s="6" t="s">
        <v>2620</v>
      </c>
      <c r="I405" s="6" t="s">
        <v>2620</v>
      </c>
      <c r="J405" s="6" t="s">
        <v>967</v>
      </c>
      <c r="K405" s="6" t="s">
        <v>2621</v>
      </c>
      <c r="L405" s="6" t="s">
        <v>2622</v>
      </c>
      <c r="M405" s="6" t="s">
        <v>967</v>
      </c>
      <c r="N405" s="6" t="s">
        <v>967</v>
      </c>
      <c r="O405" s="6" t="s">
        <v>967</v>
      </c>
      <c r="P405" s="5" t="s">
        <v>967</v>
      </c>
      <c r="Q405" s="5" t="s">
        <v>967</v>
      </c>
      <c r="R405" s="5" t="s">
        <v>967</v>
      </c>
      <c r="S405" s="5" t="s">
        <v>967</v>
      </c>
      <c r="T405" s="5" t="s">
        <v>967</v>
      </c>
    </row>
    <row r="406" ht="66" spans="1:20">
      <c r="A406" s="4">
        <v>405</v>
      </c>
      <c r="B406" s="5" t="s">
        <v>2259</v>
      </c>
      <c r="C406" s="5" t="s">
        <v>870</v>
      </c>
      <c r="D406" s="5" t="s">
        <v>871</v>
      </c>
      <c r="E406" s="5" t="s">
        <v>872</v>
      </c>
      <c r="F406" s="4" t="s">
        <v>53</v>
      </c>
      <c r="G406" s="6" t="s">
        <v>2623</v>
      </c>
      <c r="H406" s="6" t="s">
        <v>1310</v>
      </c>
      <c r="I406" s="6" t="s">
        <v>1310</v>
      </c>
      <c r="J406" s="6" t="s">
        <v>967</v>
      </c>
      <c r="K406" s="6" t="s">
        <v>2624</v>
      </c>
      <c r="L406" s="6" t="s">
        <v>2625</v>
      </c>
      <c r="M406" s="6" t="s">
        <v>967</v>
      </c>
      <c r="N406" s="6" t="s">
        <v>967</v>
      </c>
      <c r="O406" s="6" t="s">
        <v>967</v>
      </c>
      <c r="P406" s="5" t="s">
        <v>967</v>
      </c>
      <c r="Q406" s="5" t="s">
        <v>967</v>
      </c>
      <c r="R406" s="5" t="s">
        <v>967</v>
      </c>
      <c r="S406" s="5" t="s">
        <v>967</v>
      </c>
      <c r="T406" s="5" t="s">
        <v>967</v>
      </c>
    </row>
    <row r="407" ht="49.5" spans="1:20">
      <c r="A407" s="4">
        <v>406</v>
      </c>
      <c r="B407" s="5" t="s">
        <v>2259</v>
      </c>
      <c r="C407" s="5" t="s">
        <v>496</v>
      </c>
      <c r="D407" s="5" t="s">
        <v>497</v>
      </c>
      <c r="E407" s="5" t="s">
        <v>500</v>
      </c>
      <c r="F407" s="4" t="s">
        <v>53</v>
      </c>
      <c r="G407" s="6" t="s">
        <v>2626</v>
      </c>
      <c r="H407" s="6" t="s">
        <v>2627</v>
      </c>
      <c r="I407" s="6" t="s">
        <v>2627</v>
      </c>
      <c r="J407" s="6" t="s">
        <v>967</v>
      </c>
      <c r="K407" s="6" t="s">
        <v>1872</v>
      </c>
      <c r="L407" s="6" t="s">
        <v>1873</v>
      </c>
      <c r="M407" s="6" t="s">
        <v>967</v>
      </c>
      <c r="N407" s="6" t="s">
        <v>967</v>
      </c>
      <c r="O407" s="6" t="s">
        <v>967</v>
      </c>
      <c r="P407" s="5" t="s">
        <v>967</v>
      </c>
      <c r="Q407" s="5" t="s">
        <v>967</v>
      </c>
      <c r="R407" s="5" t="s">
        <v>967</v>
      </c>
      <c r="S407" s="5" t="s">
        <v>967</v>
      </c>
      <c r="T407" s="5" t="s">
        <v>967</v>
      </c>
    </row>
    <row r="408" ht="33" spans="1:20">
      <c r="A408" s="4">
        <v>407</v>
      </c>
      <c r="B408" s="5" t="s">
        <v>2259</v>
      </c>
      <c r="C408" s="5" t="s">
        <v>873</v>
      </c>
      <c r="D408" s="5" t="s">
        <v>497</v>
      </c>
      <c r="E408" s="5" t="s">
        <v>498</v>
      </c>
      <c r="F408" s="4" t="s">
        <v>53</v>
      </c>
      <c r="G408" s="6" t="s">
        <v>1867</v>
      </c>
      <c r="H408" s="6" t="s">
        <v>1867</v>
      </c>
      <c r="I408" s="6" t="s">
        <v>1867</v>
      </c>
      <c r="J408" s="6" t="s">
        <v>967</v>
      </c>
      <c r="K408" s="6" t="s">
        <v>1868</v>
      </c>
      <c r="L408" s="6" t="s">
        <v>1869</v>
      </c>
      <c r="M408" s="6" t="s">
        <v>967</v>
      </c>
      <c r="N408" s="6" t="s">
        <v>967</v>
      </c>
      <c r="O408" s="6" t="s">
        <v>967</v>
      </c>
      <c r="P408" s="5" t="s">
        <v>967</v>
      </c>
      <c r="Q408" s="5" t="s">
        <v>967</v>
      </c>
      <c r="R408" s="5" t="s">
        <v>967</v>
      </c>
      <c r="S408" s="5" t="s">
        <v>967</v>
      </c>
      <c r="T408" s="5" t="s">
        <v>967</v>
      </c>
    </row>
    <row r="409" ht="33" spans="1:20">
      <c r="A409" s="4">
        <v>408</v>
      </c>
      <c r="B409" s="5" t="s">
        <v>2259</v>
      </c>
      <c r="C409" s="5" t="s">
        <v>503</v>
      </c>
      <c r="D409" s="5" t="s">
        <v>504</v>
      </c>
      <c r="E409" s="5" t="s">
        <v>505</v>
      </c>
      <c r="F409" s="4" t="s">
        <v>32</v>
      </c>
      <c r="G409" s="6" t="s">
        <v>2628</v>
      </c>
      <c r="H409" s="6" t="s">
        <v>2629</v>
      </c>
      <c r="I409" s="6" t="s">
        <v>2629</v>
      </c>
      <c r="J409" s="6" t="s">
        <v>967</v>
      </c>
      <c r="K409" s="6" t="s">
        <v>1876</v>
      </c>
      <c r="L409" s="6" t="s">
        <v>1877</v>
      </c>
      <c r="M409" s="6" t="s">
        <v>967</v>
      </c>
      <c r="N409" s="6" t="s">
        <v>967</v>
      </c>
      <c r="O409" s="6" t="s">
        <v>967</v>
      </c>
      <c r="P409" s="5" t="s">
        <v>967</v>
      </c>
      <c r="Q409" s="5" t="s">
        <v>967</v>
      </c>
      <c r="R409" s="5" t="s">
        <v>967</v>
      </c>
      <c r="S409" s="5" t="s">
        <v>967</v>
      </c>
      <c r="T409" s="5" t="s">
        <v>967</v>
      </c>
    </row>
    <row r="410" ht="82.5" spans="1:20">
      <c r="A410" s="4">
        <v>409</v>
      </c>
      <c r="B410" s="5" t="s">
        <v>2259</v>
      </c>
      <c r="C410" s="5" t="s">
        <v>874</v>
      </c>
      <c r="D410" s="5" t="s">
        <v>507</v>
      </c>
      <c r="E410" s="5" t="s">
        <v>508</v>
      </c>
      <c r="F410" s="4" t="s">
        <v>32</v>
      </c>
      <c r="G410" s="6" t="s">
        <v>2630</v>
      </c>
      <c r="H410" s="6" t="s">
        <v>2630</v>
      </c>
      <c r="I410" s="6" t="s">
        <v>2630</v>
      </c>
      <c r="J410" s="6" t="s">
        <v>967</v>
      </c>
      <c r="K410" s="6" t="s">
        <v>1880</v>
      </c>
      <c r="L410" s="6" t="s">
        <v>2631</v>
      </c>
      <c r="M410" s="6" t="s">
        <v>967</v>
      </c>
      <c r="N410" s="6" t="s">
        <v>967</v>
      </c>
      <c r="O410" s="6" t="s">
        <v>967</v>
      </c>
      <c r="P410" s="5" t="s">
        <v>967</v>
      </c>
      <c r="Q410" s="5" t="s">
        <v>967</v>
      </c>
      <c r="R410" s="5" t="s">
        <v>967</v>
      </c>
      <c r="S410" s="5" t="s">
        <v>967</v>
      </c>
      <c r="T410" s="5" t="s">
        <v>967</v>
      </c>
    </row>
    <row r="411" ht="49.5" spans="1:20">
      <c r="A411" s="4">
        <v>410</v>
      </c>
      <c r="B411" s="5" t="s">
        <v>2259</v>
      </c>
      <c r="C411" s="5" t="s">
        <v>875</v>
      </c>
      <c r="D411" s="5" t="s">
        <v>510</v>
      </c>
      <c r="E411" s="5" t="s">
        <v>511</v>
      </c>
      <c r="F411" s="4" t="s">
        <v>32</v>
      </c>
      <c r="G411" s="6" t="s">
        <v>2632</v>
      </c>
      <c r="H411" s="6" t="s">
        <v>2632</v>
      </c>
      <c r="I411" s="6" t="s">
        <v>2632</v>
      </c>
      <c r="J411" s="6" t="s">
        <v>967</v>
      </c>
      <c r="K411" s="6" t="s">
        <v>1883</v>
      </c>
      <c r="L411" s="6" t="s">
        <v>1884</v>
      </c>
      <c r="M411" s="6" t="s">
        <v>967</v>
      </c>
      <c r="N411" s="6" t="s">
        <v>967</v>
      </c>
      <c r="O411" s="6" t="s">
        <v>967</v>
      </c>
      <c r="P411" s="5" t="s">
        <v>967</v>
      </c>
      <c r="Q411" s="5" t="s">
        <v>967</v>
      </c>
      <c r="R411" s="5" t="s">
        <v>967</v>
      </c>
      <c r="S411" s="5" t="s">
        <v>967</v>
      </c>
      <c r="T411" s="5" t="s">
        <v>967</v>
      </c>
    </row>
    <row r="412" ht="66" spans="1:20">
      <c r="A412" s="4">
        <v>411</v>
      </c>
      <c r="B412" s="5" t="s">
        <v>2259</v>
      </c>
      <c r="C412" s="5" t="s">
        <v>876</v>
      </c>
      <c r="D412" s="5" t="s">
        <v>877</v>
      </c>
      <c r="E412" s="5" t="s">
        <v>878</v>
      </c>
      <c r="F412" s="4" t="s">
        <v>53</v>
      </c>
      <c r="G412" s="6" t="s">
        <v>2633</v>
      </c>
      <c r="H412" s="6" t="s">
        <v>2633</v>
      </c>
      <c r="I412" s="6" t="s">
        <v>2633</v>
      </c>
      <c r="J412" s="6" t="s">
        <v>967</v>
      </c>
      <c r="K412" s="6" t="s">
        <v>2634</v>
      </c>
      <c r="L412" s="6" t="s">
        <v>2635</v>
      </c>
      <c r="M412" s="6" t="s">
        <v>967</v>
      </c>
      <c r="N412" s="6" t="s">
        <v>967</v>
      </c>
      <c r="O412" s="6" t="s">
        <v>967</v>
      </c>
      <c r="P412" s="5" t="s">
        <v>967</v>
      </c>
      <c r="Q412" s="5" t="s">
        <v>967</v>
      </c>
      <c r="R412" s="5" t="s">
        <v>967</v>
      </c>
      <c r="S412" s="5" t="s">
        <v>967</v>
      </c>
      <c r="T412" s="5" t="s">
        <v>967</v>
      </c>
    </row>
    <row r="413" ht="49.5" spans="1:20">
      <c r="A413" s="4">
        <v>412</v>
      </c>
      <c r="B413" s="5" t="s">
        <v>2259</v>
      </c>
      <c r="C413" s="5" t="s">
        <v>879</v>
      </c>
      <c r="D413" s="5" t="s">
        <v>880</v>
      </c>
      <c r="E413" s="5" t="s">
        <v>881</v>
      </c>
      <c r="F413" s="4" t="s">
        <v>53</v>
      </c>
      <c r="G413" s="6" t="s">
        <v>2636</v>
      </c>
      <c r="H413" s="6" t="s">
        <v>2636</v>
      </c>
      <c r="I413" s="6" t="s">
        <v>2636</v>
      </c>
      <c r="J413" s="6" t="s">
        <v>967</v>
      </c>
      <c r="K413" s="6" t="s">
        <v>2637</v>
      </c>
      <c r="L413" s="6" t="s">
        <v>2638</v>
      </c>
      <c r="M413" s="6" t="s">
        <v>967</v>
      </c>
      <c r="N413" s="6" t="s">
        <v>967</v>
      </c>
      <c r="O413" s="6" t="s">
        <v>967</v>
      </c>
      <c r="P413" s="5" t="s">
        <v>967</v>
      </c>
      <c r="Q413" s="5" t="s">
        <v>967</v>
      </c>
      <c r="R413" s="5" t="s">
        <v>967</v>
      </c>
      <c r="S413" s="5" t="s">
        <v>967</v>
      </c>
      <c r="T413" s="5" t="s">
        <v>967</v>
      </c>
    </row>
    <row r="414" ht="49.5" spans="1:20">
      <c r="A414" s="4">
        <v>413</v>
      </c>
      <c r="B414" s="5" t="s">
        <v>2259</v>
      </c>
      <c r="C414" s="5" t="s">
        <v>882</v>
      </c>
      <c r="D414" s="5" t="s">
        <v>883</v>
      </c>
      <c r="E414" s="5" t="s">
        <v>884</v>
      </c>
      <c r="F414" s="4" t="s">
        <v>53</v>
      </c>
      <c r="G414" s="6" t="s">
        <v>1892</v>
      </c>
      <c r="H414" s="6" t="s">
        <v>1892</v>
      </c>
      <c r="I414" s="6" t="s">
        <v>1892</v>
      </c>
      <c r="J414" s="6" t="s">
        <v>967</v>
      </c>
      <c r="K414" s="6" t="s">
        <v>2639</v>
      </c>
      <c r="L414" s="6" t="s">
        <v>2635</v>
      </c>
      <c r="M414" s="6" t="s">
        <v>967</v>
      </c>
      <c r="N414" s="6" t="s">
        <v>967</v>
      </c>
      <c r="O414" s="6" t="s">
        <v>967</v>
      </c>
      <c r="P414" s="5" t="s">
        <v>967</v>
      </c>
      <c r="Q414" s="5" t="s">
        <v>967</v>
      </c>
      <c r="R414" s="5" t="s">
        <v>967</v>
      </c>
      <c r="S414" s="5" t="s">
        <v>967</v>
      </c>
      <c r="T414" s="5" t="s">
        <v>967</v>
      </c>
    </row>
    <row r="415" ht="49.5" spans="1:20">
      <c r="A415" s="4">
        <v>414</v>
      </c>
      <c r="B415" s="5" t="s">
        <v>2259</v>
      </c>
      <c r="C415" s="5" t="s">
        <v>885</v>
      </c>
      <c r="D415" s="5" t="s">
        <v>886</v>
      </c>
      <c r="E415" s="5" t="s">
        <v>887</v>
      </c>
      <c r="F415" s="4" t="s">
        <v>53</v>
      </c>
      <c r="G415" s="6" t="s">
        <v>2640</v>
      </c>
      <c r="H415" s="6" t="s">
        <v>2640</v>
      </c>
      <c r="I415" s="6" t="s">
        <v>2640</v>
      </c>
      <c r="J415" s="6" t="s">
        <v>967</v>
      </c>
      <c r="K415" s="6" t="s">
        <v>2641</v>
      </c>
      <c r="L415" s="6" t="s">
        <v>2642</v>
      </c>
      <c r="M415" s="6" t="s">
        <v>967</v>
      </c>
      <c r="N415" s="6" t="s">
        <v>967</v>
      </c>
      <c r="O415" s="6" t="s">
        <v>967</v>
      </c>
      <c r="P415" s="5" t="s">
        <v>967</v>
      </c>
      <c r="Q415" s="5" t="s">
        <v>967</v>
      </c>
      <c r="R415" s="5" t="s">
        <v>967</v>
      </c>
      <c r="S415" s="5" t="s">
        <v>967</v>
      </c>
      <c r="T415" s="5" t="s">
        <v>967</v>
      </c>
    </row>
    <row r="416" ht="33" spans="1:20">
      <c r="A416" s="4">
        <v>415</v>
      </c>
      <c r="B416" s="5" t="s">
        <v>2259</v>
      </c>
      <c r="C416" s="5" t="s">
        <v>888</v>
      </c>
      <c r="D416" s="5" t="s">
        <v>889</v>
      </c>
      <c r="E416" s="5" t="s">
        <v>890</v>
      </c>
      <c r="F416" s="4" t="s">
        <v>32</v>
      </c>
      <c r="G416" s="6" t="s">
        <v>2643</v>
      </c>
      <c r="H416" s="6" t="s">
        <v>2643</v>
      </c>
      <c r="I416" s="6" t="s">
        <v>2643</v>
      </c>
      <c r="J416" s="6" t="s">
        <v>967</v>
      </c>
      <c r="K416" s="6" t="s">
        <v>2644</v>
      </c>
      <c r="L416" s="6" t="s">
        <v>2645</v>
      </c>
      <c r="M416" s="6" t="s">
        <v>967</v>
      </c>
      <c r="N416" s="6" t="s">
        <v>967</v>
      </c>
      <c r="O416" s="6" t="s">
        <v>967</v>
      </c>
      <c r="P416" s="5" t="s">
        <v>967</v>
      </c>
      <c r="Q416" s="5" t="s">
        <v>967</v>
      </c>
      <c r="R416" s="5" t="s">
        <v>967</v>
      </c>
      <c r="S416" s="5" t="s">
        <v>967</v>
      </c>
      <c r="T416" s="5" t="s">
        <v>967</v>
      </c>
    </row>
    <row r="417" ht="66" spans="1:20">
      <c r="A417" s="4">
        <v>416</v>
      </c>
      <c r="B417" s="5" t="s">
        <v>2259</v>
      </c>
      <c r="C417" s="5" t="s">
        <v>891</v>
      </c>
      <c r="D417" s="5" t="s">
        <v>892</v>
      </c>
      <c r="E417" s="5" t="s">
        <v>893</v>
      </c>
      <c r="F417" s="4" t="s">
        <v>67</v>
      </c>
      <c r="G417" s="6" t="s">
        <v>1896</v>
      </c>
      <c r="H417" s="6" t="s">
        <v>2646</v>
      </c>
      <c r="I417" s="6" t="s">
        <v>2646</v>
      </c>
      <c r="J417" s="6" t="s">
        <v>967</v>
      </c>
      <c r="K417" s="6" t="s">
        <v>2647</v>
      </c>
      <c r="L417" s="6" t="s">
        <v>2648</v>
      </c>
      <c r="M417" s="6" t="s">
        <v>967</v>
      </c>
      <c r="N417" s="6" t="s">
        <v>967</v>
      </c>
      <c r="O417" s="6" t="s">
        <v>967</v>
      </c>
      <c r="P417" s="5" t="s">
        <v>967</v>
      </c>
      <c r="Q417" s="5" t="s">
        <v>967</v>
      </c>
      <c r="R417" s="5" t="s">
        <v>967</v>
      </c>
      <c r="S417" s="5" t="s">
        <v>967</v>
      </c>
      <c r="T417" s="5" t="s">
        <v>967</v>
      </c>
    </row>
    <row r="418" ht="66" spans="1:20">
      <c r="A418" s="4">
        <v>417</v>
      </c>
      <c r="B418" s="5" t="s">
        <v>2259</v>
      </c>
      <c r="C418" s="5" t="s">
        <v>894</v>
      </c>
      <c r="D418" s="5" t="s">
        <v>892</v>
      </c>
      <c r="E418" s="5" t="s">
        <v>895</v>
      </c>
      <c r="F418" s="4" t="s">
        <v>67</v>
      </c>
      <c r="G418" s="6" t="s">
        <v>1901</v>
      </c>
      <c r="H418" s="6" t="s">
        <v>1901</v>
      </c>
      <c r="I418" s="6" t="s">
        <v>1901</v>
      </c>
      <c r="J418" s="6" t="s">
        <v>967</v>
      </c>
      <c r="K418" s="6" t="s">
        <v>2649</v>
      </c>
      <c r="L418" s="6" t="s">
        <v>2650</v>
      </c>
      <c r="M418" s="6" t="s">
        <v>967</v>
      </c>
      <c r="N418" s="6" t="s">
        <v>967</v>
      </c>
      <c r="O418" s="6" t="s">
        <v>967</v>
      </c>
      <c r="P418" s="5" t="s">
        <v>967</v>
      </c>
      <c r="Q418" s="5" t="s">
        <v>967</v>
      </c>
      <c r="R418" s="5" t="s">
        <v>967</v>
      </c>
      <c r="S418" s="5" t="s">
        <v>967</v>
      </c>
      <c r="T418" s="5" t="s">
        <v>967</v>
      </c>
    </row>
    <row r="419" ht="49.5" spans="1:20">
      <c r="A419" s="4">
        <v>418</v>
      </c>
      <c r="B419" s="5" t="s">
        <v>2259</v>
      </c>
      <c r="C419" s="5" t="s">
        <v>896</v>
      </c>
      <c r="D419" s="5" t="s">
        <v>897</v>
      </c>
      <c r="E419" s="5" t="s">
        <v>898</v>
      </c>
      <c r="F419" s="4" t="s">
        <v>67</v>
      </c>
      <c r="G419" s="6" t="s">
        <v>1901</v>
      </c>
      <c r="H419" s="6" t="s">
        <v>1901</v>
      </c>
      <c r="I419" s="6" t="s">
        <v>1901</v>
      </c>
      <c r="J419" s="6" t="s">
        <v>967</v>
      </c>
      <c r="K419" s="6" t="s">
        <v>2651</v>
      </c>
      <c r="L419" s="6" t="s">
        <v>2652</v>
      </c>
      <c r="M419" s="6" t="s">
        <v>967</v>
      </c>
      <c r="N419" s="6" t="s">
        <v>967</v>
      </c>
      <c r="O419" s="6" t="s">
        <v>967</v>
      </c>
      <c r="P419" s="5" t="s">
        <v>967</v>
      </c>
      <c r="Q419" s="5" t="s">
        <v>967</v>
      </c>
      <c r="R419" s="5" t="s">
        <v>967</v>
      </c>
      <c r="S419" s="5" t="s">
        <v>967</v>
      </c>
      <c r="T419" s="5" t="s">
        <v>967</v>
      </c>
    </row>
    <row r="420" ht="33" spans="1:20">
      <c r="A420" s="4">
        <v>419</v>
      </c>
      <c r="B420" s="5" t="s">
        <v>2259</v>
      </c>
      <c r="C420" s="5" t="s">
        <v>519</v>
      </c>
      <c r="D420" s="5" t="s">
        <v>520</v>
      </c>
      <c r="E420" s="5" t="s">
        <v>521</v>
      </c>
      <c r="F420" s="4" t="s">
        <v>32</v>
      </c>
      <c r="G420" s="6" t="s">
        <v>2653</v>
      </c>
      <c r="H420" s="6" t="s">
        <v>2654</v>
      </c>
      <c r="I420" s="6" t="s">
        <v>2653</v>
      </c>
      <c r="J420" s="6" t="s">
        <v>967</v>
      </c>
      <c r="K420" s="6" t="s">
        <v>1901</v>
      </c>
      <c r="L420" s="6" t="s">
        <v>1892</v>
      </c>
      <c r="M420" s="6" t="s">
        <v>967</v>
      </c>
      <c r="N420" s="6" t="s">
        <v>967</v>
      </c>
      <c r="O420" s="6" t="s">
        <v>967</v>
      </c>
      <c r="P420" s="5" t="s">
        <v>967</v>
      </c>
      <c r="Q420" s="5" t="s">
        <v>967</v>
      </c>
      <c r="R420" s="5" t="s">
        <v>967</v>
      </c>
      <c r="S420" s="5" t="s">
        <v>967</v>
      </c>
      <c r="T420" s="5" t="s">
        <v>967</v>
      </c>
    </row>
    <row r="421" ht="33" spans="1:20">
      <c r="A421" s="4">
        <v>420</v>
      </c>
      <c r="B421" s="5" t="s">
        <v>2259</v>
      </c>
      <c r="C421" s="5" t="s">
        <v>967</v>
      </c>
      <c r="D421" s="5" t="s">
        <v>522</v>
      </c>
      <c r="E421" s="5" t="s">
        <v>967</v>
      </c>
      <c r="F421" s="4" t="s">
        <v>967</v>
      </c>
      <c r="G421" s="6" t="s">
        <v>967</v>
      </c>
      <c r="H421" s="6" t="s">
        <v>967</v>
      </c>
      <c r="I421" s="6" t="s">
        <v>967</v>
      </c>
      <c r="J421" s="6" t="s">
        <v>967</v>
      </c>
      <c r="K421" s="6" t="s">
        <v>967</v>
      </c>
      <c r="L421" s="6" t="s">
        <v>967</v>
      </c>
      <c r="M421" s="6" t="s">
        <v>967</v>
      </c>
      <c r="N421" s="6" t="s">
        <v>967</v>
      </c>
      <c r="O421" s="6" t="s">
        <v>967</v>
      </c>
      <c r="P421" s="5" t="s">
        <v>967</v>
      </c>
      <c r="Q421" s="5" t="s">
        <v>967</v>
      </c>
      <c r="R421" s="5" t="s">
        <v>967</v>
      </c>
      <c r="S421" s="5" t="s">
        <v>967</v>
      </c>
      <c r="T421" s="5" t="s">
        <v>967</v>
      </c>
    </row>
    <row r="422" ht="33" spans="1:20">
      <c r="A422" s="4">
        <v>421</v>
      </c>
      <c r="B422" s="5" t="s">
        <v>2259</v>
      </c>
      <c r="C422" s="5" t="s">
        <v>967</v>
      </c>
      <c r="D422" s="5" t="s">
        <v>523</v>
      </c>
      <c r="E422" s="5" t="s">
        <v>967</v>
      </c>
      <c r="F422" s="4" t="s">
        <v>967</v>
      </c>
      <c r="G422" s="6" t="s">
        <v>967</v>
      </c>
      <c r="H422" s="6" t="s">
        <v>967</v>
      </c>
      <c r="I422" s="6" t="s">
        <v>967</v>
      </c>
      <c r="J422" s="6" t="s">
        <v>967</v>
      </c>
      <c r="K422" s="6" t="s">
        <v>967</v>
      </c>
      <c r="L422" s="6" t="s">
        <v>967</v>
      </c>
      <c r="M422" s="6" t="s">
        <v>967</v>
      </c>
      <c r="N422" s="6" t="s">
        <v>967</v>
      </c>
      <c r="O422" s="6" t="s">
        <v>967</v>
      </c>
      <c r="P422" s="5" t="s">
        <v>967</v>
      </c>
      <c r="Q422" s="5" t="s">
        <v>967</v>
      </c>
      <c r="R422" s="5" t="s">
        <v>967</v>
      </c>
      <c r="S422" s="5" t="s">
        <v>967</v>
      </c>
      <c r="T422" s="5" t="s">
        <v>967</v>
      </c>
    </row>
    <row r="423" ht="33" spans="1:20">
      <c r="A423" s="4">
        <v>422</v>
      </c>
      <c r="B423" s="5" t="s">
        <v>2259</v>
      </c>
      <c r="C423" s="5" t="s">
        <v>967</v>
      </c>
      <c r="D423" s="5" t="s">
        <v>524</v>
      </c>
      <c r="E423" s="5" t="s">
        <v>967</v>
      </c>
      <c r="F423" s="4" t="s">
        <v>967</v>
      </c>
      <c r="G423" s="6" t="s">
        <v>967</v>
      </c>
      <c r="H423" s="6" t="s">
        <v>967</v>
      </c>
      <c r="I423" s="6" t="s">
        <v>967</v>
      </c>
      <c r="J423" s="6" t="s">
        <v>967</v>
      </c>
      <c r="K423" s="6" t="s">
        <v>967</v>
      </c>
      <c r="L423" s="6" t="s">
        <v>967</v>
      </c>
      <c r="M423" s="6" t="s">
        <v>967</v>
      </c>
      <c r="N423" s="6" t="s">
        <v>967</v>
      </c>
      <c r="O423" s="6" t="s">
        <v>967</v>
      </c>
      <c r="P423" s="5" t="s">
        <v>967</v>
      </c>
      <c r="Q423" s="5" t="s">
        <v>967</v>
      </c>
      <c r="R423" s="5" t="s">
        <v>967</v>
      </c>
      <c r="S423" s="5" t="s">
        <v>967</v>
      </c>
      <c r="T423" s="5" t="s">
        <v>967</v>
      </c>
    </row>
    <row r="424" ht="33" spans="1:20">
      <c r="A424" s="4">
        <v>423</v>
      </c>
      <c r="B424" s="5" t="s">
        <v>2259</v>
      </c>
      <c r="C424" s="5" t="s">
        <v>519</v>
      </c>
      <c r="D424" s="5" t="s">
        <v>526</v>
      </c>
      <c r="E424" s="5" t="s">
        <v>967</v>
      </c>
      <c r="F424" s="4" t="s">
        <v>967</v>
      </c>
      <c r="G424" s="6" t="s">
        <v>967</v>
      </c>
      <c r="H424" s="6" t="s">
        <v>967</v>
      </c>
      <c r="I424" s="6" t="s">
        <v>967</v>
      </c>
      <c r="J424" s="6" t="s">
        <v>967</v>
      </c>
      <c r="K424" s="6" t="s">
        <v>967</v>
      </c>
      <c r="L424" s="6" t="s">
        <v>967</v>
      </c>
      <c r="M424" s="6" t="s">
        <v>2655</v>
      </c>
      <c r="N424" s="6" t="s">
        <v>2655</v>
      </c>
      <c r="O424" s="6" t="s">
        <v>2655</v>
      </c>
      <c r="P424" s="5" t="s">
        <v>967</v>
      </c>
      <c r="Q424" s="5" t="s">
        <v>967</v>
      </c>
      <c r="R424" s="5" t="s">
        <v>967</v>
      </c>
      <c r="S424" s="5" t="s">
        <v>967</v>
      </c>
      <c r="T424" s="5" t="s">
        <v>967</v>
      </c>
    </row>
    <row r="425" ht="49.5" spans="1:20">
      <c r="A425" s="4">
        <v>424</v>
      </c>
      <c r="B425" s="5" t="s">
        <v>2259</v>
      </c>
      <c r="C425" s="5" t="s">
        <v>899</v>
      </c>
      <c r="D425" s="5" t="s">
        <v>528</v>
      </c>
      <c r="E425" s="5" t="s">
        <v>900</v>
      </c>
      <c r="F425" s="4" t="s">
        <v>32</v>
      </c>
      <c r="G425" s="6" t="s">
        <v>2656</v>
      </c>
      <c r="H425" s="6" t="s">
        <v>2657</v>
      </c>
      <c r="I425" s="6" t="s">
        <v>2657</v>
      </c>
      <c r="J425" s="6" t="s">
        <v>967</v>
      </c>
      <c r="K425" s="6" t="s">
        <v>2658</v>
      </c>
      <c r="L425" s="6" t="s">
        <v>2659</v>
      </c>
      <c r="M425" s="6" t="s">
        <v>967</v>
      </c>
      <c r="N425" s="6" t="s">
        <v>967</v>
      </c>
      <c r="O425" s="6" t="s">
        <v>967</v>
      </c>
      <c r="P425" s="5" t="s">
        <v>967</v>
      </c>
      <c r="Q425" s="5" t="s">
        <v>967</v>
      </c>
      <c r="R425" s="5" t="s">
        <v>967</v>
      </c>
      <c r="S425" s="5" t="s">
        <v>967</v>
      </c>
      <c r="T425" s="5" t="s">
        <v>967</v>
      </c>
    </row>
    <row r="426" ht="49.5" spans="1:20">
      <c r="A426" s="4">
        <v>425</v>
      </c>
      <c r="B426" s="5" t="s">
        <v>2259</v>
      </c>
      <c r="C426" s="5" t="s">
        <v>901</v>
      </c>
      <c r="D426" s="5" t="s">
        <v>528</v>
      </c>
      <c r="E426" s="5" t="s">
        <v>902</v>
      </c>
      <c r="F426" s="4" t="s">
        <v>32</v>
      </c>
      <c r="G426" s="6" t="s">
        <v>2660</v>
      </c>
      <c r="H426" s="6" t="s">
        <v>2661</v>
      </c>
      <c r="I426" s="6" t="s">
        <v>2661</v>
      </c>
      <c r="J426" s="6" t="s">
        <v>967</v>
      </c>
      <c r="K426" s="6" t="s">
        <v>1911</v>
      </c>
      <c r="L426" s="6" t="s">
        <v>2662</v>
      </c>
      <c r="M426" s="6" t="s">
        <v>967</v>
      </c>
      <c r="N426" s="6" t="s">
        <v>967</v>
      </c>
      <c r="O426" s="6" t="s">
        <v>967</v>
      </c>
      <c r="P426" s="5" t="s">
        <v>967</v>
      </c>
      <c r="Q426" s="5" t="s">
        <v>967</v>
      </c>
      <c r="R426" s="5" t="s">
        <v>967</v>
      </c>
      <c r="S426" s="5" t="s">
        <v>967</v>
      </c>
      <c r="T426" s="5" t="s">
        <v>967</v>
      </c>
    </row>
    <row r="427" ht="49.5" spans="1:20">
      <c r="A427" s="4">
        <v>426</v>
      </c>
      <c r="B427" s="5" t="s">
        <v>2259</v>
      </c>
      <c r="C427" s="5" t="s">
        <v>903</v>
      </c>
      <c r="D427" s="5" t="s">
        <v>528</v>
      </c>
      <c r="E427" s="5" t="s">
        <v>904</v>
      </c>
      <c r="F427" s="4" t="s">
        <v>32</v>
      </c>
      <c r="G427" s="6" t="s">
        <v>2663</v>
      </c>
      <c r="H427" s="6" t="s">
        <v>2664</v>
      </c>
      <c r="I427" s="6" t="s">
        <v>2664</v>
      </c>
      <c r="J427" s="6" t="s">
        <v>967</v>
      </c>
      <c r="K427" s="6" t="s">
        <v>2665</v>
      </c>
      <c r="L427" s="6" t="s">
        <v>2666</v>
      </c>
      <c r="M427" s="6" t="s">
        <v>967</v>
      </c>
      <c r="N427" s="6" t="s">
        <v>967</v>
      </c>
      <c r="O427" s="6" t="s">
        <v>967</v>
      </c>
      <c r="P427" s="5" t="s">
        <v>967</v>
      </c>
      <c r="Q427" s="5" t="s">
        <v>967</v>
      </c>
      <c r="R427" s="5" t="s">
        <v>967</v>
      </c>
      <c r="S427" s="5" t="s">
        <v>967</v>
      </c>
      <c r="T427" s="5" t="s">
        <v>967</v>
      </c>
    </row>
    <row r="428" ht="33" spans="1:20">
      <c r="A428" s="4">
        <v>427</v>
      </c>
      <c r="B428" s="5" t="s">
        <v>2259</v>
      </c>
      <c r="C428" s="5" t="s">
        <v>530</v>
      </c>
      <c r="D428" s="5" t="s">
        <v>531</v>
      </c>
      <c r="E428" s="5" t="s">
        <v>532</v>
      </c>
      <c r="F428" s="4" t="s">
        <v>71</v>
      </c>
      <c r="G428" s="6" t="s">
        <v>2667</v>
      </c>
      <c r="H428" s="6" t="s">
        <v>2668</v>
      </c>
      <c r="I428" s="6" t="s">
        <v>2668</v>
      </c>
      <c r="J428" s="6" t="s">
        <v>967</v>
      </c>
      <c r="K428" s="6" t="s">
        <v>1916</v>
      </c>
      <c r="L428" s="6" t="s">
        <v>1917</v>
      </c>
      <c r="M428" s="6" t="s">
        <v>967</v>
      </c>
      <c r="N428" s="6" t="s">
        <v>967</v>
      </c>
      <c r="O428" s="6" t="s">
        <v>967</v>
      </c>
      <c r="P428" s="5" t="s">
        <v>967</v>
      </c>
      <c r="Q428" s="5" t="s">
        <v>967</v>
      </c>
      <c r="R428" s="5" t="s">
        <v>967</v>
      </c>
      <c r="S428" s="5" t="s">
        <v>967</v>
      </c>
      <c r="T428" s="5" t="s">
        <v>967</v>
      </c>
    </row>
    <row r="429" ht="33" spans="1:20">
      <c r="A429" s="4">
        <v>428</v>
      </c>
      <c r="B429" s="5" t="s">
        <v>2259</v>
      </c>
      <c r="C429" s="5" t="s">
        <v>967</v>
      </c>
      <c r="D429" s="5" t="s">
        <v>533</v>
      </c>
      <c r="E429" s="5" t="s">
        <v>967</v>
      </c>
      <c r="F429" s="4" t="s">
        <v>967</v>
      </c>
      <c r="G429" s="6" t="s">
        <v>967</v>
      </c>
      <c r="H429" s="6" t="s">
        <v>967</v>
      </c>
      <c r="I429" s="6" t="s">
        <v>967</v>
      </c>
      <c r="J429" s="6" t="s">
        <v>967</v>
      </c>
      <c r="K429" s="6" t="s">
        <v>967</v>
      </c>
      <c r="L429" s="6" t="s">
        <v>967</v>
      </c>
      <c r="M429" s="6" t="s">
        <v>967</v>
      </c>
      <c r="N429" s="6" t="s">
        <v>967</v>
      </c>
      <c r="O429" s="6" t="s">
        <v>967</v>
      </c>
      <c r="P429" s="5" t="s">
        <v>967</v>
      </c>
      <c r="Q429" s="5" t="s">
        <v>967</v>
      </c>
      <c r="R429" s="5" t="s">
        <v>967</v>
      </c>
      <c r="S429" s="5" t="s">
        <v>967</v>
      </c>
      <c r="T429" s="5" t="s">
        <v>967</v>
      </c>
    </row>
    <row r="430" ht="49.5" spans="1:20">
      <c r="A430" s="4">
        <v>429</v>
      </c>
      <c r="B430" s="5" t="s">
        <v>2259</v>
      </c>
      <c r="C430" s="5" t="s">
        <v>905</v>
      </c>
      <c r="D430" s="5" t="s">
        <v>535</v>
      </c>
      <c r="E430" s="5" t="s">
        <v>906</v>
      </c>
      <c r="F430" s="4" t="s">
        <v>32</v>
      </c>
      <c r="G430" s="6" t="s">
        <v>2669</v>
      </c>
      <c r="H430" s="6" t="s">
        <v>2670</v>
      </c>
      <c r="I430" s="6" t="s">
        <v>2670</v>
      </c>
      <c r="J430" s="6" t="s">
        <v>967</v>
      </c>
      <c r="K430" s="6" t="s">
        <v>1592</v>
      </c>
      <c r="L430" s="6" t="s">
        <v>2671</v>
      </c>
      <c r="M430" s="6" t="s">
        <v>967</v>
      </c>
      <c r="N430" s="6" t="s">
        <v>967</v>
      </c>
      <c r="O430" s="6" t="s">
        <v>967</v>
      </c>
      <c r="P430" s="5" t="s">
        <v>967</v>
      </c>
      <c r="Q430" s="5" t="s">
        <v>967</v>
      </c>
      <c r="R430" s="5" t="s">
        <v>967</v>
      </c>
      <c r="S430" s="5" t="s">
        <v>967</v>
      </c>
      <c r="T430" s="5" t="s">
        <v>967</v>
      </c>
    </row>
    <row r="431" ht="49.5" spans="1:20">
      <c r="A431" s="4">
        <v>430</v>
      </c>
      <c r="B431" s="5" t="s">
        <v>2259</v>
      </c>
      <c r="C431" s="5" t="s">
        <v>534</v>
      </c>
      <c r="D431" s="5" t="s">
        <v>535</v>
      </c>
      <c r="E431" s="5" t="s">
        <v>907</v>
      </c>
      <c r="F431" s="4" t="s">
        <v>32</v>
      </c>
      <c r="G431" s="6" t="s">
        <v>2672</v>
      </c>
      <c r="H431" s="6" t="s">
        <v>2673</v>
      </c>
      <c r="I431" s="6" t="s">
        <v>2673</v>
      </c>
      <c r="J431" s="6" t="s">
        <v>967</v>
      </c>
      <c r="K431" s="6" t="s">
        <v>1921</v>
      </c>
      <c r="L431" s="6" t="s">
        <v>1922</v>
      </c>
      <c r="M431" s="6" t="s">
        <v>967</v>
      </c>
      <c r="N431" s="6" t="s">
        <v>967</v>
      </c>
      <c r="O431" s="6" t="s">
        <v>967</v>
      </c>
      <c r="P431" s="5" t="s">
        <v>967</v>
      </c>
      <c r="Q431" s="5" t="s">
        <v>967</v>
      </c>
      <c r="R431" s="5" t="s">
        <v>967</v>
      </c>
      <c r="S431" s="5" t="s">
        <v>967</v>
      </c>
      <c r="T431" s="5" t="s">
        <v>967</v>
      </c>
    </row>
    <row r="432" ht="49.5" spans="1:20">
      <c r="A432" s="4">
        <v>431</v>
      </c>
      <c r="B432" s="5" t="s">
        <v>2259</v>
      </c>
      <c r="C432" s="5" t="s">
        <v>537</v>
      </c>
      <c r="D432" s="5" t="s">
        <v>535</v>
      </c>
      <c r="E432" s="5" t="s">
        <v>908</v>
      </c>
      <c r="F432" s="4" t="s">
        <v>32</v>
      </c>
      <c r="G432" s="6" t="s">
        <v>2674</v>
      </c>
      <c r="H432" s="6" t="s">
        <v>2675</v>
      </c>
      <c r="I432" s="6" t="s">
        <v>2675</v>
      </c>
      <c r="J432" s="6" t="s">
        <v>967</v>
      </c>
      <c r="K432" s="6" t="s">
        <v>2676</v>
      </c>
      <c r="L432" s="6" t="s">
        <v>2677</v>
      </c>
      <c r="M432" s="6" t="s">
        <v>967</v>
      </c>
      <c r="N432" s="6" t="s">
        <v>967</v>
      </c>
      <c r="O432" s="6" t="s">
        <v>967</v>
      </c>
      <c r="P432" s="5" t="s">
        <v>967</v>
      </c>
      <c r="Q432" s="5" t="s">
        <v>967</v>
      </c>
      <c r="R432" s="5" t="s">
        <v>967</v>
      </c>
      <c r="S432" s="5" t="s">
        <v>967</v>
      </c>
      <c r="T432" s="5" t="s">
        <v>967</v>
      </c>
    </row>
    <row r="433" ht="49.5" spans="1:20">
      <c r="A433" s="4">
        <v>432</v>
      </c>
      <c r="B433" s="5" t="s">
        <v>2259</v>
      </c>
      <c r="C433" s="5" t="s">
        <v>539</v>
      </c>
      <c r="D433" s="5" t="s">
        <v>535</v>
      </c>
      <c r="E433" s="5" t="s">
        <v>909</v>
      </c>
      <c r="F433" s="4" t="s">
        <v>32</v>
      </c>
      <c r="G433" s="6" t="s">
        <v>2678</v>
      </c>
      <c r="H433" s="6" t="s">
        <v>2679</v>
      </c>
      <c r="I433" s="6" t="s">
        <v>2679</v>
      </c>
      <c r="J433" s="6" t="s">
        <v>967</v>
      </c>
      <c r="K433" s="6" t="s">
        <v>1933</v>
      </c>
      <c r="L433" s="6" t="s">
        <v>1934</v>
      </c>
      <c r="M433" s="6" t="s">
        <v>967</v>
      </c>
      <c r="N433" s="6" t="s">
        <v>967</v>
      </c>
      <c r="O433" s="6" t="s">
        <v>967</v>
      </c>
      <c r="P433" s="5" t="s">
        <v>967</v>
      </c>
      <c r="Q433" s="5" t="s">
        <v>967</v>
      </c>
      <c r="R433" s="5" t="s">
        <v>967</v>
      </c>
      <c r="S433" s="5" t="s">
        <v>967</v>
      </c>
      <c r="T433" s="5" t="s">
        <v>967</v>
      </c>
    </row>
    <row r="434" ht="49.5" spans="1:20">
      <c r="A434" s="4">
        <v>433</v>
      </c>
      <c r="B434" s="5" t="s">
        <v>2259</v>
      </c>
      <c r="C434" s="5" t="s">
        <v>910</v>
      </c>
      <c r="D434" s="5" t="s">
        <v>542</v>
      </c>
      <c r="E434" s="5" t="s">
        <v>911</v>
      </c>
      <c r="F434" s="4" t="s">
        <v>32</v>
      </c>
      <c r="G434" s="6" t="s">
        <v>2680</v>
      </c>
      <c r="H434" s="6" t="s">
        <v>2681</v>
      </c>
      <c r="I434" s="6" t="s">
        <v>2681</v>
      </c>
      <c r="J434" s="6" t="s">
        <v>967</v>
      </c>
      <c r="K434" s="6" t="s">
        <v>1940</v>
      </c>
      <c r="L434" s="6" t="s">
        <v>1941</v>
      </c>
      <c r="M434" s="6" t="s">
        <v>967</v>
      </c>
      <c r="N434" s="6" t="s">
        <v>967</v>
      </c>
      <c r="O434" s="6" t="s">
        <v>967</v>
      </c>
      <c r="P434" s="5" t="s">
        <v>967</v>
      </c>
      <c r="Q434" s="5" t="s">
        <v>967</v>
      </c>
      <c r="R434" s="5" t="s">
        <v>967</v>
      </c>
      <c r="S434" s="5" t="s">
        <v>967</v>
      </c>
      <c r="T434" s="5" t="s">
        <v>967</v>
      </c>
    </row>
    <row r="435" ht="49.5" spans="1:20">
      <c r="A435" s="4">
        <v>434</v>
      </c>
      <c r="B435" s="5" t="s">
        <v>2259</v>
      </c>
      <c r="C435" s="5" t="s">
        <v>541</v>
      </c>
      <c r="D435" s="5" t="s">
        <v>542</v>
      </c>
      <c r="E435" s="5" t="s">
        <v>912</v>
      </c>
      <c r="F435" s="4" t="s">
        <v>32</v>
      </c>
      <c r="G435" s="6" t="s">
        <v>2682</v>
      </c>
      <c r="H435" s="6" t="s">
        <v>2683</v>
      </c>
      <c r="I435" s="6" t="s">
        <v>2683</v>
      </c>
      <c r="J435" s="6" t="s">
        <v>967</v>
      </c>
      <c r="K435" s="6" t="s">
        <v>2684</v>
      </c>
      <c r="L435" s="6" t="s">
        <v>2685</v>
      </c>
      <c r="M435" s="6" t="s">
        <v>967</v>
      </c>
      <c r="N435" s="6" t="s">
        <v>967</v>
      </c>
      <c r="O435" s="6" t="s">
        <v>967</v>
      </c>
      <c r="P435" s="5" t="s">
        <v>967</v>
      </c>
      <c r="Q435" s="5" t="s">
        <v>967</v>
      </c>
      <c r="R435" s="5" t="s">
        <v>967</v>
      </c>
      <c r="S435" s="5" t="s">
        <v>967</v>
      </c>
      <c r="T435" s="5" t="s">
        <v>967</v>
      </c>
    </row>
    <row r="436" ht="49.5" spans="1:20">
      <c r="A436" s="4">
        <v>435</v>
      </c>
      <c r="B436" s="5" t="s">
        <v>2259</v>
      </c>
      <c r="C436" s="5" t="s">
        <v>545</v>
      </c>
      <c r="D436" s="5" t="s">
        <v>542</v>
      </c>
      <c r="E436" s="5" t="s">
        <v>913</v>
      </c>
      <c r="F436" s="4" t="s">
        <v>32</v>
      </c>
      <c r="G436" s="6" t="s">
        <v>2686</v>
      </c>
      <c r="H436" s="6" t="s">
        <v>2687</v>
      </c>
      <c r="I436" s="6" t="s">
        <v>2687</v>
      </c>
      <c r="J436" s="6" t="s">
        <v>967</v>
      </c>
      <c r="K436" s="6" t="s">
        <v>2688</v>
      </c>
      <c r="L436" s="6" t="s">
        <v>2689</v>
      </c>
      <c r="M436" s="6" t="s">
        <v>967</v>
      </c>
      <c r="N436" s="6" t="s">
        <v>967</v>
      </c>
      <c r="O436" s="6" t="s">
        <v>967</v>
      </c>
      <c r="P436" s="5" t="s">
        <v>967</v>
      </c>
      <c r="Q436" s="5" t="s">
        <v>967</v>
      </c>
      <c r="R436" s="5" t="s">
        <v>967</v>
      </c>
      <c r="S436" s="5" t="s">
        <v>967</v>
      </c>
      <c r="T436" s="5" t="s">
        <v>967</v>
      </c>
    </row>
    <row r="437" ht="49.5" spans="1:20">
      <c r="A437" s="4">
        <v>436</v>
      </c>
      <c r="B437" s="5" t="s">
        <v>2259</v>
      </c>
      <c r="C437" s="5" t="s">
        <v>914</v>
      </c>
      <c r="D437" s="5" t="s">
        <v>915</v>
      </c>
      <c r="E437" s="5" t="s">
        <v>916</v>
      </c>
      <c r="F437" s="4" t="s">
        <v>917</v>
      </c>
      <c r="G437" s="6" t="s">
        <v>1896</v>
      </c>
      <c r="H437" s="6" t="s">
        <v>1896</v>
      </c>
      <c r="I437" s="6" t="s">
        <v>1896</v>
      </c>
      <c r="J437" s="6" t="s">
        <v>967</v>
      </c>
      <c r="K437" s="6" t="s">
        <v>2690</v>
      </c>
      <c r="L437" s="6" t="s">
        <v>2691</v>
      </c>
      <c r="M437" s="6" t="s">
        <v>967</v>
      </c>
      <c r="N437" s="6" t="s">
        <v>967</v>
      </c>
      <c r="O437" s="6" t="s">
        <v>967</v>
      </c>
      <c r="P437" s="5" t="s">
        <v>967</v>
      </c>
      <c r="Q437" s="5" t="s">
        <v>967</v>
      </c>
      <c r="R437" s="5" t="s">
        <v>967</v>
      </c>
      <c r="S437" s="5" t="s">
        <v>967</v>
      </c>
      <c r="T437" s="5" t="s">
        <v>967</v>
      </c>
    </row>
    <row r="438" ht="49.5" spans="1:20">
      <c r="A438" s="4">
        <v>437</v>
      </c>
      <c r="B438" s="5" t="s">
        <v>2259</v>
      </c>
      <c r="C438" s="5" t="s">
        <v>918</v>
      </c>
      <c r="D438" s="5" t="s">
        <v>919</v>
      </c>
      <c r="E438" s="5" t="s">
        <v>920</v>
      </c>
      <c r="F438" s="4" t="s">
        <v>32</v>
      </c>
      <c r="G438" s="6" t="s">
        <v>2692</v>
      </c>
      <c r="H438" s="6" t="s">
        <v>2692</v>
      </c>
      <c r="I438" s="6" t="s">
        <v>2692</v>
      </c>
      <c r="J438" s="6" t="s">
        <v>967</v>
      </c>
      <c r="K438" s="6" t="s">
        <v>2693</v>
      </c>
      <c r="L438" s="6" t="s">
        <v>2694</v>
      </c>
      <c r="M438" s="6" t="s">
        <v>967</v>
      </c>
      <c r="N438" s="6" t="s">
        <v>967</v>
      </c>
      <c r="O438" s="6" t="s">
        <v>967</v>
      </c>
      <c r="P438" s="5" t="s">
        <v>967</v>
      </c>
      <c r="Q438" s="5" t="s">
        <v>967</v>
      </c>
      <c r="R438" s="5" t="s">
        <v>967</v>
      </c>
      <c r="S438" s="5" t="s">
        <v>967</v>
      </c>
      <c r="T438" s="5" t="s">
        <v>967</v>
      </c>
    </row>
    <row r="439" ht="33" spans="1:20">
      <c r="A439" s="4">
        <v>438</v>
      </c>
      <c r="B439" s="5" t="s">
        <v>2259</v>
      </c>
      <c r="C439" s="5" t="s">
        <v>921</v>
      </c>
      <c r="D439" s="5" t="s">
        <v>554</v>
      </c>
      <c r="E439" s="5" t="s">
        <v>555</v>
      </c>
      <c r="F439" s="4" t="s">
        <v>32</v>
      </c>
      <c r="G439" s="6" t="s">
        <v>2695</v>
      </c>
      <c r="H439" s="6" t="s">
        <v>2696</v>
      </c>
      <c r="I439" s="6" t="s">
        <v>2697</v>
      </c>
      <c r="J439" s="6" t="s">
        <v>967</v>
      </c>
      <c r="K439" s="6" t="s">
        <v>1967</v>
      </c>
      <c r="L439" s="6" t="s">
        <v>1968</v>
      </c>
      <c r="M439" s="6" t="s">
        <v>967</v>
      </c>
      <c r="N439" s="6" t="s">
        <v>967</v>
      </c>
      <c r="O439" s="6" t="s">
        <v>967</v>
      </c>
      <c r="P439" s="5" t="s">
        <v>967</v>
      </c>
      <c r="Q439" s="5" t="s">
        <v>967</v>
      </c>
      <c r="R439" s="5" t="s">
        <v>967</v>
      </c>
      <c r="S439" s="5" t="s">
        <v>967</v>
      </c>
      <c r="T439" s="5" t="s">
        <v>967</v>
      </c>
    </row>
    <row r="440" ht="33" spans="1:20">
      <c r="A440" s="4">
        <v>439</v>
      </c>
      <c r="B440" s="5" t="s">
        <v>2259</v>
      </c>
      <c r="C440" s="5" t="s">
        <v>922</v>
      </c>
      <c r="D440" s="5" t="s">
        <v>554</v>
      </c>
      <c r="E440" s="5" t="s">
        <v>923</v>
      </c>
      <c r="F440" s="4" t="s">
        <v>32</v>
      </c>
      <c r="G440" s="6" t="s">
        <v>2698</v>
      </c>
      <c r="H440" s="6" t="s">
        <v>1003</v>
      </c>
      <c r="I440" s="6" t="s">
        <v>1003</v>
      </c>
      <c r="J440" s="6" t="s">
        <v>967</v>
      </c>
      <c r="K440" s="6" t="s">
        <v>2699</v>
      </c>
      <c r="L440" s="6" t="s">
        <v>2700</v>
      </c>
      <c r="M440" s="6" t="s">
        <v>967</v>
      </c>
      <c r="N440" s="6" t="s">
        <v>967</v>
      </c>
      <c r="O440" s="6" t="s">
        <v>967</v>
      </c>
      <c r="P440" s="5" t="s">
        <v>967</v>
      </c>
      <c r="Q440" s="5" t="s">
        <v>967</v>
      </c>
      <c r="R440" s="5" t="s">
        <v>967</v>
      </c>
      <c r="S440" s="5" t="s">
        <v>967</v>
      </c>
      <c r="T440" s="5" t="s">
        <v>967</v>
      </c>
    </row>
    <row r="441" ht="33" spans="1:20">
      <c r="A441" s="4">
        <v>440</v>
      </c>
      <c r="B441" s="5" t="s">
        <v>2259</v>
      </c>
      <c r="C441" s="5" t="s">
        <v>924</v>
      </c>
      <c r="D441" s="5" t="s">
        <v>554</v>
      </c>
      <c r="E441" s="5" t="s">
        <v>925</v>
      </c>
      <c r="F441" s="4" t="s">
        <v>32</v>
      </c>
      <c r="G441" s="6" t="s">
        <v>2701</v>
      </c>
      <c r="H441" s="6" t="s">
        <v>2702</v>
      </c>
      <c r="I441" s="6" t="s">
        <v>2703</v>
      </c>
      <c r="J441" s="6" t="s">
        <v>967</v>
      </c>
      <c r="K441" s="6" t="s">
        <v>2704</v>
      </c>
      <c r="L441" s="6" t="s">
        <v>2705</v>
      </c>
      <c r="M441" s="6" t="s">
        <v>967</v>
      </c>
      <c r="N441" s="6" t="s">
        <v>967</v>
      </c>
      <c r="O441" s="6" t="s">
        <v>967</v>
      </c>
      <c r="P441" s="5" t="s">
        <v>967</v>
      </c>
      <c r="Q441" s="5" t="s">
        <v>967</v>
      </c>
      <c r="R441" s="5" t="s">
        <v>967</v>
      </c>
      <c r="S441" s="5" t="s">
        <v>967</v>
      </c>
      <c r="T441" s="5" t="s">
        <v>967</v>
      </c>
    </row>
    <row r="442" ht="33" spans="1:20">
      <c r="A442" s="4">
        <v>441</v>
      </c>
      <c r="B442" s="5" t="s">
        <v>2259</v>
      </c>
      <c r="C442" s="5" t="s">
        <v>926</v>
      </c>
      <c r="D442" s="5" t="s">
        <v>557</v>
      </c>
      <c r="E442" s="5" t="s">
        <v>927</v>
      </c>
      <c r="F442" s="4" t="s">
        <v>32</v>
      </c>
      <c r="G442" s="6" t="s">
        <v>2706</v>
      </c>
      <c r="H442" s="6" t="s">
        <v>2707</v>
      </c>
      <c r="I442" s="6" t="s">
        <v>2707</v>
      </c>
      <c r="J442" s="6" t="s">
        <v>967</v>
      </c>
      <c r="K442" s="6" t="s">
        <v>2016</v>
      </c>
      <c r="L442" s="6" t="s">
        <v>2017</v>
      </c>
      <c r="M442" s="6" t="s">
        <v>967</v>
      </c>
      <c r="N442" s="6" t="s">
        <v>967</v>
      </c>
      <c r="O442" s="6" t="s">
        <v>967</v>
      </c>
      <c r="P442" s="5" t="s">
        <v>967</v>
      </c>
      <c r="Q442" s="5" t="s">
        <v>967</v>
      </c>
      <c r="R442" s="5" t="s">
        <v>967</v>
      </c>
      <c r="S442" s="5" t="s">
        <v>967</v>
      </c>
      <c r="T442" s="5" t="s">
        <v>967</v>
      </c>
    </row>
    <row r="443" ht="33" spans="1:20">
      <c r="A443" s="4">
        <v>442</v>
      </c>
      <c r="B443" s="5" t="s">
        <v>2259</v>
      </c>
      <c r="C443" s="5" t="s">
        <v>928</v>
      </c>
      <c r="D443" s="5" t="s">
        <v>557</v>
      </c>
      <c r="E443" s="5" t="s">
        <v>574</v>
      </c>
      <c r="F443" s="4" t="s">
        <v>32</v>
      </c>
      <c r="G443" s="6" t="s">
        <v>2708</v>
      </c>
      <c r="H443" s="6" t="s">
        <v>2709</v>
      </c>
      <c r="I443" s="6" t="s">
        <v>2710</v>
      </c>
      <c r="J443" s="6" t="s">
        <v>967</v>
      </c>
      <c r="K443" s="6" t="s">
        <v>2010</v>
      </c>
      <c r="L443" s="6" t="s">
        <v>2011</v>
      </c>
      <c r="M443" s="6" t="s">
        <v>967</v>
      </c>
      <c r="N443" s="6" t="s">
        <v>967</v>
      </c>
      <c r="O443" s="6" t="s">
        <v>967</v>
      </c>
      <c r="P443" s="5" t="s">
        <v>967</v>
      </c>
      <c r="Q443" s="5" t="s">
        <v>967</v>
      </c>
      <c r="R443" s="5" t="s">
        <v>967</v>
      </c>
      <c r="S443" s="5" t="s">
        <v>967</v>
      </c>
      <c r="T443" s="5" t="s">
        <v>967</v>
      </c>
    </row>
    <row r="444" ht="33" spans="1:20">
      <c r="A444" s="4">
        <v>443</v>
      </c>
      <c r="B444" s="5" t="s">
        <v>2259</v>
      </c>
      <c r="C444" s="5" t="s">
        <v>929</v>
      </c>
      <c r="D444" s="5" t="s">
        <v>557</v>
      </c>
      <c r="E444" s="5" t="s">
        <v>566</v>
      </c>
      <c r="F444" s="4" t="s">
        <v>32</v>
      </c>
      <c r="G444" s="6" t="s">
        <v>2711</v>
      </c>
      <c r="H444" s="6" t="s">
        <v>1671</v>
      </c>
      <c r="I444" s="6" t="s">
        <v>2712</v>
      </c>
      <c r="J444" s="6" t="s">
        <v>967</v>
      </c>
      <c r="K444" s="6" t="s">
        <v>1997</v>
      </c>
      <c r="L444" s="6" t="s">
        <v>1998</v>
      </c>
      <c r="M444" s="6" t="s">
        <v>967</v>
      </c>
      <c r="N444" s="6" t="s">
        <v>967</v>
      </c>
      <c r="O444" s="6" t="s">
        <v>967</v>
      </c>
      <c r="P444" s="5" t="s">
        <v>967</v>
      </c>
      <c r="Q444" s="5" t="s">
        <v>967</v>
      </c>
      <c r="R444" s="5" t="s">
        <v>967</v>
      </c>
      <c r="S444" s="5" t="s">
        <v>967</v>
      </c>
      <c r="T444" s="5" t="s">
        <v>967</v>
      </c>
    </row>
    <row r="445" ht="33" spans="1:20">
      <c r="A445" s="4">
        <v>444</v>
      </c>
      <c r="B445" s="5" t="s">
        <v>2259</v>
      </c>
      <c r="C445" s="5" t="s">
        <v>930</v>
      </c>
      <c r="D445" s="5" t="s">
        <v>588</v>
      </c>
      <c r="E445" s="5" t="s">
        <v>931</v>
      </c>
      <c r="F445" s="4" t="s">
        <v>32</v>
      </c>
      <c r="G445" s="6" t="s">
        <v>2713</v>
      </c>
      <c r="H445" s="6" t="s">
        <v>2714</v>
      </c>
      <c r="I445" s="6" t="s">
        <v>2714</v>
      </c>
      <c r="J445" s="6" t="s">
        <v>967</v>
      </c>
      <c r="K445" s="6" t="s">
        <v>2046</v>
      </c>
      <c r="L445" s="6" t="s">
        <v>2715</v>
      </c>
      <c r="M445" s="6" t="s">
        <v>967</v>
      </c>
      <c r="N445" s="6" t="s">
        <v>967</v>
      </c>
      <c r="O445" s="6" t="s">
        <v>967</v>
      </c>
      <c r="P445" s="5" t="s">
        <v>967</v>
      </c>
      <c r="Q445" s="5" t="s">
        <v>967</v>
      </c>
      <c r="R445" s="5" t="s">
        <v>967</v>
      </c>
      <c r="S445" s="5" t="s">
        <v>967</v>
      </c>
      <c r="T445" s="5" t="s">
        <v>967</v>
      </c>
    </row>
    <row r="446" ht="33" spans="1:20">
      <c r="A446" s="4">
        <v>445</v>
      </c>
      <c r="B446" s="5" t="s">
        <v>2259</v>
      </c>
      <c r="C446" s="5" t="s">
        <v>932</v>
      </c>
      <c r="D446" s="5" t="s">
        <v>588</v>
      </c>
      <c r="E446" s="5" t="s">
        <v>933</v>
      </c>
      <c r="F446" s="4" t="s">
        <v>32</v>
      </c>
      <c r="G446" s="6" t="s">
        <v>2716</v>
      </c>
      <c r="H446" s="6" t="s">
        <v>2717</v>
      </c>
      <c r="I446" s="6" t="s">
        <v>2717</v>
      </c>
      <c r="J446" s="6" t="s">
        <v>967</v>
      </c>
      <c r="K446" s="6" t="s">
        <v>2718</v>
      </c>
      <c r="L446" s="6" t="s">
        <v>2719</v>
      </c>
      <c r="M446" s="6" t="s">
        <v>967</v>
      </c>
      <c r="N446" s="6" t="s">
        <v>967</v>
      </c>
      <c r="O446" s="6" t="s">
        <v>967</v>
      </c>
      <c r="P446" s="5" t="s">
        <v>967</v>
      </c>
      <c r="Q446" s="5" t="s">
        <v>967</v>
      </c>
      <c r="R446" s="5" t="s">
        <v>967</v>
      </c>
      <c r="S446" s="5" t="s">
        <v>967</v>
      </c>
      <c r="T446" s="5" t="s">
        <v>967</v>
      </c>
    </row>
    <row r="447" ht="33" spans="1:20">
      <c r="A447" s="4">
        <v>446</v>
      </c>
      <c r="B447" s="5" t="s">
        <v>2259</v>
      </c>
      <c r="C447" s="5" t="s">
        <v>585</v>
      </c>
      <c r="D447" s="5" t="s">
        <v>112</v>
      </c>
      <c r="E447" s="5" t="s">
        <v>584</v>
      </c>
      <c r="F447" s="4" t="s">
        <v>32</v>
      </c>
      <c r="G447" s="6" t="s">
        <v>2720</v>
      </c>
      <c r="H447" s="6" t="s">
        <v>2720</v>
      </c>
      <c r="I447" s="6" t="s">
        <v>2721</v>
      </c>
      <c r="J447" s="6" t="s">
        <v>967</v>
      </c>
      <c r="K447" s="6" t="s">
        <v>1974</v>
      </c>
      <c r="L447" s="6" t="s">
        <v>2036</v>
      </c>
      <c r="M447" s="6" t="s">
        <v>967</v>
      </c>
      <c r="N447" s="6" t="s">
        <v>967</v>
      </c>
      <c r="O447" s="6" t="s">
        <v>967</v>
      </c>
      <c r="P447" s="5" t="s">
        <v>967</v>
      </c>
      <c r="Q447" s="5" t="s">
        <v>967</v>
      </c>
      <c r="R447" s="5" t="s">
        <v>967</v>
      </c>
      <c r="S447" s="5" t="s">
        <v>967</v>
      </c>
      <c r="T447" s="5" t="s">
        <v>967</v>
      </c>
    </row>
    <row r="448" ht="33" spans="1:20">
      <c r="A448" s="4">
        <v>447</v>
      </c>
      <c r="B448" s="5" t="s">
        <v>2259</v>
      </c>
      <c r="C448" s="5" t="s">
        <v>934</v>
      </c>
      <c r="D448" s="5" t="s">
        <v>112</v>
      </c>
      <c r="E448" s="5" t="s">
        <v>935</v>
      </c>
      <c r="F448" s="4" t="s">
        <v>32</v>
      </c>
      <c r="G448" s="6" t="s">
        <v>2722</v>
      </c>
      <c r="H448" s="6" t="s">
        <v>2722</v>
      </c>
      <c r="I448" s="6" t="s">
        <v>2723</v>
      </c>
      <c r="J448" s="6" t="s">
        <v>967</v>
      </c>
      <c r="K448" s="6" t="s">
        <v>1980</v>
      </c>
      <c r="L448" s="6" t="s">
        <v>2041</v>
      </c>
      <c r="M448" s="6" t="s">
        <v>967</v>
      </c>
      <c r="N448" s="6" t="s">
        <v>967</v>
      </c>
      <c r="O448" s="6" t="s">
        <v>967</v>
      </c>
      <c r="P448" s="5" t="s">
        <v>967</v>
      </c>
      <c r="Q448" s="5" t="s">
        <v>967</v>
      </c>
      <c r="R448" s="5" t="s">
        <v>967</v>
      </c>
      <c r="S448" s="5" t="s">
        <v>967</v>
      </c>
      <c r="T448" s="5" t="s">
        <v>967</v>
      </c>
    </row>
    <row r="449" ht="33" spans="1:20">
      <c r="A449" s="4">
        <v>448</v>
      </c>
      <c r="B449" s="5" t="s">
        <v>2259</v>
      </c>
      <c r="C449" s="5" t="s">
        <v>936</v>
      </c>
      <c r="D449" s="5" t="s">
        <v>120</v>
      </c>
      <c r="E449" s="5" t="s">
        <v>603</v>
      </c>
      <c r="F449" s="4" t="s">
        <v>32</v>
      </c>
      <c r="G449" s="6" t="s">
        <v>2724</v>
      </c>
      <c r="H449" s="6" t="s">
        <v>2725</v>
      </c>
      <c r="I449" s="6" t="s">
        <v>2726</v>
      </c>
      <c r="J449" s="6" t="s">
        <v>967</v>
      </c>
      <c r="K449" s="6" t="s">
        <v>2079</v>
      </c>
      <c r="L449" s="6" t="s">
        <v>2080</v>
      </c>
      <c r="M449" s="6" t="s">
        <v>967</v>
      </c>
      <c r="N449" s="6" t="s">
        <v>967</v>
      </c>
      <c r="O449" s="6" t="s">
        <v>967</v>
      </c>
      <c r="P449" s="5" t="s">
        <v>967</v>
      </c>
      <c r="Q449" s="5" t="s">
        <v>967</v>
      </c>
      <c r="R449" s="5" t="s">
        <v>967</v>
      </c>
      <c r="S449" s="5" t="s">
        <v>967</v>
      </c>
      <c r="T449" s="5" t="s">
        <v>967</v>
      </c>
    </row>
    <row r="450" ht="33" spans="1:20">
      <c r="A450" s="4">
        <v>449</v>
      </c>
      <c r="B450" s="5" t="s">
        <v>2259</v>
      </c>
      <c r="C450" s="5" t="s">
        <v>937</v>
      </c>
      <c r="D450" s="5" t="s">
        <v>120</v>
      </c>
      <c r="E450" s="5" t="s">
        <v>938</v>
      </c>
      <c r="F450" s="4" t="s">
        <v>32</v>
      </c>
      <c r="G450" s="6" t="s">
        <v>2727</v>
      </c>
      <c r="H450" s="6" t="s">
        <v>2728</v>
      </c>
      <c r="I450" s="6" t="s">
        <v>2729</v>
      </c>
      <c r="J450" s="6" t="s">
        <v>967</v>
      </c>
      <c r="K450" s="6" t="s">
        <v>2086</v>
      </c>
      <c r="L450" s="6" t="s">
        <v>2730</v>
      </c>
      <c r="M450" s="6" t="s">
        <v>967</v>
      </c>
      <c r="N450" s="6" t="s">
        <v>967</v>
      </c>
      <c r="O450" s="6" t="s">
        <v>967</v>
      </c>
      <c r="P450" s="5" t="s">
        <v>967</v>
      </c>
      <c r="Q450" s="5" t="s">
        <v>967</v>
      </c>
      <c r="R450" s="5" t="s">
        <v>967</v>
      </c>
      <c r="S450" s="5" t="s">
        <v>967</v>
      </c>
      <c r="T450" s="5" t="s">
        <v>967</v>
      </c>
    </row>
    <row r="451" ht="33" spans="1:20">
      <c r="A451" s="4">
        <v>450</v>
      </c>
      <c r="B451" s="5" t="s">
        <v>2259</v>
      </c>
      <c r="C451" s="5" t="s">
        <v>617</v>
      </c>
      <c r="D451" s="5" t="s">
        <v>115</v>
      </c>
      <c r="E451" s="5" t="s">
        <v>939</v>
      </c>
      <c r="F451" s="4" t="s">
        <v>32</v>
      </c>
      <c r="G451" s="6" t="s">
        <v>2731</v>
      </c>
      <c r="H451" s="6" t="s">
        <v>2732</v>
      </c>
      <c r="I451" s="6" t="s">
        <v>2733</v>
      </c>
      <c r="J451" s="6" t="s">
        <v>967</v>
      </c>
      <c r="K451" s="6" t="s">
        <v>2104</v>
      </c>
      <c r="L451" s="6" t="s">
        <v>2734</v>
      </c>
      <c r="M451" s="6" t="s">
        <v>967</v>
      </c>
      <c r="N451" s="6" t="s">
        <v>967</v>
      </c>
      <c r="O451" s="6" t="s">
        <v>967</v>
      </c>
      <c r="P451" s="5" t="s">
        <v>967</v>
      </c>
      <c r="Q451" s="5" t="s">
        <v>967</v>
      </c>
      <c r="R451" s="5" t="s">
        <v>967</v>
      </c>
      <c r="S451" s="5" t="s">
        <v>967</v>
      </c>
      <c r="T451" s="5" t="s">
        <v>967</v>
      </c>
    </row>
    <row r="452" ht="33" spans="1:20">
      <c r="A452" s="4">
        <v>451</v>
      </c>
      <c r="B452" s="5" t="s">
        <v>2259</v>
      </c>
      <c r="C452" s="5" t="s">
        <v>619</v>
      </c>
      <c r="D452" s="5" t="s">
        <v>115</v>
      </c>
      <c r="E452" s="5" t="s">
        <v>611</v>
      </c>
      <c r="F452" s="4" t="s">
        <v>32</v>
      </c>
      <c r="G452" s="6" t="s">
        <v>2735</v>
      </c>
      <c r="H452" s="6" t="s">
        <v>2736</v>
      </c>
      <c r="I452" s="6" t="s">
        <v>967</v>
      </c>
      <c r="J452" s="6" t="s">
        <v>967</v>
      </c>
      <c r="K452" s="6" t="s">
        <v>2098</v>
      </c>
      <c r="L452" s="6" t="s">
        <v>2099</v>
      </c>
      <c r="M452" s="6" t="s">
        <v>967</v>
      </c>
      <c r="N452" s="6" t="s">
        <v>967</v>
      </c>
      <c r="O452" s="6" t="s">
        <v>967</v>
      </c>
      <c r="P452" s="5" t="s">
        <v>967</v>
      </c>
      <c r="Q452" s="5" t="s">
        <v>967</v>
      </c>
      <c r="R452" s="5" t="s">
        <v>967</v>
      </c>
      <c r="S452" s="5" t="s">
        <v>967</v>
      </c>
      <c r="T452" s="5" t="s">
        <v>967</v>
      </c>
    </row>
    <row r="453" ht="33" spans="1:20">
      <c r="A453" s="4">
        <v>452</v>
      </c>
      <c r="B453" s="5" t="s">
        <v>2259</v>
      </c>
      <c r="C453" s="5" t="s">
        <v>940</v>
      </c>
      <c r="D453" s="5" t="s">
        <v>118</v>
      </c>
      <c r="E453" s="5" t="s">
        <v>611</v>
      </c>
      <c r="F453" s="4" t="s">
        <v>32</v>
      </c>
      <c r="G453" s="6" t="s">
        <v>2737</v>
      </c>
      <c r="H453" s="6" t="s">
        <v>2738</v>
      </c>
      <c r="I453" s="6" t="s">
        <v>2738</v>
      </c>
      <c r="J453" s="6" t="s">
        <v>967</v>
      </c>
      <c r="K453" s="6" t="s">
        <v>2098</v>
      </c>
      <c r="L453" s="6" t="s">
        <v>2739</v>
      </c>
      <c r="M453" s="6" t="s">
        <v>967</v>
      </c>
      <c r="N453" s="6" t="s">
        <v>967</v>
      </c>
      <c r="O453" s="6" t="s">
        <v>967</v>
      </c>
      <c r="P453" s="5" t="s">
        <v>967</v>
      </c>
      <c r="Q453" s="5" t="s">
        <v>967</v>
      </c>
      <c r="R453" s="5" t="s">
        <v>967</v>
      </c>
      <c r="S453" s="5" t="s">
        <v>967</v>
      </c>
      <c r="T453" s="5" t="s">
        <v>967</v>
      </c>
    </row>
    <row r="454" ht="33" spans="1:20">
      <c r="A454" s="4">
        <v>453</v>
      </c>
      <c r="B454" s="5" t="s">
        <v>2259</v>
      </c>
      <c r="C454" s="5" t="s">
        <v>941</v>
      </c>
      <c r="D454" s="5" t="s">
        <v>633</v>
      </c>
      <c r="E454" s="5" t="s">
        <v>942</v>
      </c>
      <c r="F454" s="4" t="s">
        <v>32</v>
      </c>
      <c r="G454" s="6" t="s">
        <v>2740</v>
      </c>
      <c r="H454" s="6" t="s">
        <v>2741</v>
      </c>
      <c r="I454" s="6" t="s">
        <v>2742</v>
      </c>
      <c r="J454" s="6" t="s">
        <v>967</v>
      </c>
      <c r="K454" s="6" t="s">
        <v>2743</v>
      </c>
      <c r="L454" s="6" t="s">
        <v>2189</v>
      </c>
      <c r="M454" s="6" t="s">
        <v>967</v>
      </c>
      <c r="N454" s="6" t="s">
        <v>967</v>
      </c>
      <c r="O454" s="6" t="s">
        <v>967</v>
      </c>
      <c r="P454" s="5" t="s">
        <v>967</v>
      </c>
      <c r="Q454" s="5" t="s">
        <v>967</v>
      </c>
      <c r="R454" s="5" t="s">
        <v>967</v>
      </c>
      <c r="S454" s="5" t="s">
        <v>967</v>
      </c>
      <c r="T454" s="5" t="s">
        <v>967</v>
      </c>
    </row>
    <row r="455" ht="33" spans="1:20">
      <c r="A455" s="4">
        <v>454</v>
      </c>
      <c r="B455" s="5" t="s">
        <v>2259</v>
      </c>
      <c r="C455" s="5" t="s">
        <v>943</v>
      </c>
      <c r="D455" s="5" t="s">
        <v>633</v>
      </c>
      <c r="E455" s="5" t="s">
        <v>944</v>
      </c>
      <c r="F455" s="4" t="s">
        <v>32</v>
      </c>
      <c r="G455" s="6" t="s">
        <v>2744</v>
      </c>
      <c r="H455" s="6" t="s">
        <v>2745</v>
      </c>
      <c r="I455" s="6" t="s">
        <v>2746</v>
      </c>
      <c r="J455" s="6" t="s">
        <v>967</v>
      </c>
      <c r="K455" s="6" t="s">
        <v>2184</v>
      </c>
      <c r="L455" s="6" t="s">
        <v>2185</v>
      </c>
      <c r="M455" s="6" t="s">
        <v>967</v>
      </c>
      <c r="N455" s="6" t="s">
        <v>967</v>
      </c>
      <c r="O455" s="6" t="s">
        <v>967</v>
      </c>
      <c r="P455" s="5" t="s">
        <v>967</v>
      </c>
      <c r="Q455" s="5" t="s">
        <v>967</v>
      </c>
      <c r="R455" s="5" t="s">
        <v>967</v>
      </c>
      <c r="S455" s="5" t="s">
        <v>967</v>
      </c>
      <c r="T455" s="5" t="s">
        <v>967</v>
      </c>
    </row>
    <row r="456" ht="33" spans="1:20">
      <c r="A456" s="4">
        <v>455</v>
      </c>
      <c r="B456" s="5" t="s">
        <v>2259</v>
      </c>
      <c r="C456" s="5" t="s">
        <v>945</v>
      </c>
      <c r="D456" s="5" t="s">
        <v>633</v>
      </c>
      <c r="E456" s="5" t="s">
        <v>634</v>
      </c>
      <c r="F456" s="4" t="s">
        <v>32</v>
      </c>
      <c r="G456" s="6" t="s">
        <v>2747</v>
      </c>
      <c r="H456" s="6" t="s">
        <v>2748</v>
      </c>
      <c r="I456" s="6" t="s">
        <v>2749</v>
      </c>
      <c r="J456" s="6" t="s">
        <v>967</v>
      </c>
      <c r="K456" s="6" t="s">
        <v>2150</v>
      </c>
      <c r="L456" s="6" t="s">
        <v>2151</v>
      </c>
      <c r="M456" s="6" t="s">
        <v>967</v>
      </c>
      <c r="N456" s="6" t="s">
        <v>967</v>
      </c>
      <c r="O456" s="6" t="s">
        <v>967</v>
      </c>
      <c r="P456" s="5" t="s">
        <v>967</v>
      </c>
      <c r="Q456" s="5" t="s">
        <v>967</v>
      </c>
      <c r="R456" s="5" t="s">
        <v>967</v>
      </c>
      <c r="S456" s="5" t="s">
        <v>967</v>
      </c>
      <c r="T456" s="5" t="s">
        <v>967</v>
      </c>
    </row>
    <row r="457" ht="33" spans="1:20">
      <c r="A457" s="4">
        <v>456</v>
      </c>
      <c r="B457" s="5" t="s">
        <v>2259</v>
      </c>
      <c r="C457" s="5" t="s">
        <v>946</v>
      </c>
      <c r="D457" s="5" t="s">
        <v>633</v>
      </c>
      <c r="E457" s="5" t="s">
        <v>643</v>
      </c>
      <c r="F457" s="4" t="s">
        <v>32</v>
      </c>
      <c r="G457" s="6" t="s">
        <v>2750</v>
      </c>
      <c r="H457" s="6" t="s">
        <v>2751</v>
      </c>
      <c r="I457" s="6" t="s">
        <v>2752</v>
      </c>
      <c r="J457" s="6" t="s">
        <v>967</v>
      </c>
      <c r="K457" s="6" t="s">
        <v>2179</v>
      </c>
      <c r="L457" s="6" t="s">
        <v>2180</v>
      </c>
      <c r="M457" s="6" t="s">
        <v>967</v>
      </c>
      <c r="N457" s="6" t="s">
        <v>967</v>
      </c>
      <c r="O457" s="6" t="s">
        <v>967</v>
      </c>
      <c r="P457" s="5" t="s">
        <v>967</v>
      </c>
      <c r="Q457" s="5" t="s">
        <v>967</v>
      </c>
      <c r="R457" s="5" t="s">
        <v>967</v>
      </c>
      <c r="S457" s="5" t="s">
        <v>967</v>
      </c>
      <c r="T457" s="5" t="s">
        <v>967</v>
      </c>
    </row>
    <row r="458" ht="33" spans="1:20">
      <c r="A458" s="4">
        <v>457</v>
      </c>
      <c r="B458" s="5" t="s">
        <v>2259</v>
      </c>
      <c r="C458" s="5" t="s">
        <v>947</v>
      </c>
      <c r="D458" s="5" t="s">
        <v>624</v>
      </c>
      <c r="E458" s="5" t="s">
        <v>634</v>
      </c>
      <c r="F458" s="4" t="s">
        <v>32</v>
      </c>
      <c r="G458" s="6" t="s">
        <v>2753</v>
      </c>
      <c r="H458" s="6" t="s">
        <v>2754</v>
      </c>
      <c r="I458" s="6" t="s">
        <v>2755</v>
      </c>
      <c r="J458" s="6" t="s">
        <v>967</v>
      </c>
      <c r="K458" s="6" t="s">
        <v>2150</v>
      </c>
      <c r="L458" s="6" t="s">
        <v>2756</v>
      </c>
      <c r="M458" s="6" t="s">
        <v>967</v>
      </c>
      <c r="N458" s="6" t="s">
        <v>967</v>
      </c>
      <c r="O458" s="6" t="s">
        <v>967</v>
      </c>
      <c r="P458" s="5" t="s">
        <v>967</v>
      </c>
      <c r="Q458" s="5" t="s">
        <v>967</v>
      </c>
      <c r="R458" s="5" t="s">
        <v>967</v>
      </c>
      <c r="S458" s="5" t="s">
        <v>967</v>
      </c>
      <c r="T458" s="5" t="s">
        <v>967</v>
      </c>
    </row>
    <row r="459" ht="33" spans="1:20">
      <c r="A459" s="4">
        <v>458</v>
      </c>
      <c r="B459" s="5" t="s">
        <v>2259</v>
      </c>
      <c r="C459" s="5" t="s">
        <v>948</v>
      </c>
      <c r="D459" s="5" t="s">
        <v>664</v>
      </c>
      <c r="E459" s="5" t="s">
        <v>665</v>
      </c>
      <c r="F459" s="4" t="s">
        <v>32</v>
      </c>
      <c r="G459" s="6" t="s">
        <v>2757</v>
      </c>
      <c r="H459" s="6" t="s">
        <v>2758</v>
      </c>
      <c r="I459" s="6" t="s">
        <v>2758</v>
      </c>
      <c r="J459" s="6" t="s">
        <v>967</v>
      </c>
      <c r="K459" s="6" t="s">
        <v>2218</v>
      </c>
      <c r="L459" s="6" t="s">
        <v>2219</v>
      </c>
      <c r="M459" s="6" t="s">
        <v>967</v>
      </c>
      <c r="N459" s="6" t="s">
        <v>967</v>
      </c>
      <c r="O459" s="6" t="s">
        <v>967</v>
      </c>
      <c r="P459" s="5" t="s">
        <v>967</v>
      </c>
      <c r="Q459" s="5" t="s">
        <v>967</v>
      </c>
      <c r="R459" s="5" t="s">
        <v>967</v>
      </c>
      <c r="S459" s="5" t="s">
        <v>967</v>
      </c>
      <c r="T459" s="5" t="s">
        <v>967</v>
      </c>
    </row>
    <row r="460" ht="33" spans="1:20">
      <c r="A460" s="4">
        <v>459</v>
      </c>
      <c r="B460" s="5" t="s">
        <v>2259</v>
      </c>
      <c r="C460" s="5" t="s">
        <v>949</v>
      </c>
      <c r="D460" s="5" t="s">
        <v>141</v>
      </c>
      <c r="E460" s="5" t="s">
        <v>667</v>
      </c>
      <c r="F460" s="4" t="s">
        <v>32</v>
      </c>
      <c r="G460" s="6" t="s">
        <v>2759</v>
      </c>
      <c r="H460" s="6" t="s">
        <v>2760</v>
      </c>
      <c r="I460" s="6" t="s">
        <v>2760</v>
      </c>
      <c r="J460" s="6" t="s">
        <v>967</v>
      </c>
      <c r="K460" s="6" t="s">
        <v>2224</v>
      </c>
      <c r="L460" s="6" t="s">
        <v>2225</v>
      </c>
      <c r="M460" s="6" t="s">
        <v>967</v>
      </c>
      <c r="N460" s="6" t="s">
        <v>967</v>
      </c>
      <c r="O460" s="6" t="s">
        <v>967</v>
      </c>
      <c r="P460" s="5" t="s">
        <v>967</v>
      </c>
      <c r="Q460" s="5" t="s">
        <v>967</v>
      </c>
      <c r="R460" s="5" t="s">
        <v>967</v>
      </c>
      <c r="S460" s="5" t="s">
        <v>967</v>
      </c>
      <c r="T460" s="5" t="s">
        <v>967</v>
      </c>
    </row>
    <row r="461" ht="33" spans="1:20">
      <c r="A461" s="4">
        <v>460</v>
      </c>
      <c r="B461" s="5" t="s">
        <v>2259</v>
      </c>
      <c r="C461" s="5" t="s">
        <v>671</v>
      </c>
      <c r="D461" s="5" t="s">
        <v>133</v>
      </c>
      <c r="E461" s="5" t="s">
        <v>950</v>
      </c>
      <c r="F461" s="4" t="s">
        <v>32</v>
      </c>
      <c r="G461" s="6" t="s">
        <v>2761</v>
      </c>
      <c r="H461" s="6" t="s">
        <v>2761</v>
      </c>
      <c r="I461" s="6" t="s">
        <v>2762</v>
      </c>
      <c r="J461" s="6" t="s">
        <v>967</v>
      </c>
      <c r="K461" s="6" t="s">
        <v>2236</v>
      </c>
      <c r="L461" s="6" t="s">
        <v>2237</v>
      </c>
      <c r="M461" s="6" t="s">
        <v>967</v>
      </c>
      <c r="N461" s="6" t="s">
        <v>967</v>
      </c>
      <c r="O461" s="6" t="s">
        <v>967</v>
      </c>
      <c r="P461" s="5" t="s">
        <v>967</v>
      </c>
      <c r="Q461" s="5" t="s">
        <v>967</v>
      </c>
      <c r="R461" s="5" t="s">
        <v>967</v>
      </c>
      <c r="S461" s="5" t="s">
        <v>967</v>
      </c>
      <c r="T461" s="5" t="s">
        <v>967</v>
      </c>
    </row>
    <row r="462" ht="33" spans="1:20">
      <c r="A462" s="4">
        <v>461</v>
      </c>
      <c r="B462" s="5" t="s">
        <v>2259</v>
      </c>
      <c r="C462" s="5" t="s">
        <v>951</v>
      </c>
      <c r="D462" s="5" t="s">
        <v>138</v>
      </c>
      <c r="E462" s="5" t="s">
        <v>952</v>
      </c>
      <c r="F462" s="4" t="s">
        <v>32</v>
      </c>
      <c r="G462" s="6" t="s">
        <v>2763</v>
      </c>
      <c r="H462" s="6" t="s">
        <v>2763</v>
      </c>
      <c r="I462" s="6" t="s">
        <v>2764</v>
      </c>
      <c r="J462" s="6" t="s">
        <v>967</v>
      </c>
      <c r="K462" s="6" t="s">
        <v>2236</v>
      </c>
      <c r="L462" s="6" t="s">
        <v>2237</v>
      </c>
      <c r="M462" s="6" t="s">
        <v>967</v>
      </c>
      <c r="N462" s="6" t="s">
        <v>967</v>
      </c>
      <c r="O462" s="6" t="s">
        <v>967</v>
      </c>
      <c r="P462" s="5" t="s">
        <v>967</v>
      </c>
      <c r="Q462" s="5" t="s">
        <v>967</v>
      </c>
      <c r="R462" s="5" t="s">
        <v>967</v>
      </c>
      <c r="S462" s="5" t="s">
        <v>967</v>
      </c>
      <c r="T462" s="5" t="s">
        <v>967</v>
      </c>
    </row>
    <row r="463" ht="33" spans="1:20">
      <c r="A463" s="4">
        <v>462</v>
      </c>
      <c r="B463" s="5" t="s">
        <v>2259</v>
      </c>
      <c r="C463" s="5" t="s">
        <v>953</v>
      </c>
      <c r="D463" s="5" t="s">
        <v>954</v>
      </c>
      <c r="E463" s="5" t="s">
        <v>955</v>
      </c>
      <c r="F463" s="4" t="s">
        <v>32</v>
      </c>
      <c r="G463" s="6" t="s">
        <v>2765</v>
      </c>
      <c r="H463" s="6" t="s">
        <v>2766</v>
      </c>
      <c r="I463" s="6" t="s">
        <v>2766</v>
      </c>
      <c r="J463" s="6" t="s">
        <v>967</v>
      </c>
      <c r="K463" s="6" t="s">
        <v>2224</v>
      </c>
      <c r="L463" s="6" t="s">
        <v>2237</v>
      </c>
      <c r="M463" s="6" t="s">
        <v>967</v>
      </c>
      <c r="N463" s="6" t="s">
        <v>967</v>
      </c>
      <c r="O463" s="6" t="s">
        <v>967</v>
      </c>
      <c r="P463" s="5" t="s">
        <v>967</v>
      </c>
      <c r="Q463" s="5" t="s">
        <v>967</v>
      </c>
      <c r="R463" s="5" t="s">
        <v>967</v>
      </c>
      <c r="S463" s="5" t="s">
        <v>967</v>
      </c>
      <c r="T463" s="5" t="s">
        <v>967</v>
      </c>
    </row>
    <row r="464" ht="33" spans="1:20">
      <c r="A464" s="4">
        <v>463</v>
      </c>
      <c r="B464" s="5" t="s">
        <v>2259</v>
      </c>
      <c r="C464" s="5" t="s">
        <v>956</v>
      </c>
      <c r="D464" s="5" t="s">
        <v>675</v>
      </c>
      <c r="E464" s="5" t="s">
        <v>676</v>
      </c>
      <c r="F464" s="4" t="s">
        <v>32</v>
      </c>
      <c r="G464" s="6" t="s">
        <v>2767</v>
      </c>
      <c r="H464" s="6" t="s">
        <v>2768</v>
      </c>
      <c r="I464" s="6" t="s">
        <v>2769</v>
      </c>
      <c r="J464" s="6" t="s">
        <v>967</v>
      </c>
      <c r="K464" s="6" t="s">
        <v>2242</v>
      </c>
      <c r="L464" s="6" t="s">
        <v>2243</v>
      </c>
      <c r="M464" s="6" t="s">
        <v>967</v>
      </c>
      <c r="N464" s="6" t="s">
        <v>967</v>
      </c>
      <c r="O464" s="6" t="s">
        <v>967</v>
      </c>
      <c r="P464" s="5" t="s">
        <v>967</v>
      </c>
      <c r="Q464" s="5" t="s">
        <v>967</v>
      </c>
      <c r="R464" s="5" t="s">
        <v>967</v>
      </c>
      <c r="S464" s="5" t="s">
        <v>967</v>
      </c>
      <c r="T464" s="5" t="s">
        <v>967</v>
      </c>
    </row>
    <row r="465" ht="49.5" spans="1:20">
      <c r="A465" s="4">
        <v>464</v>
      </c>
      <c r="B465" s="5" t="s">
        <v>2259</v>
      </c>
      <c r="C465" s="5" t="s">
        <v>957</v>
      </c>
      <c r="D465" s="5" t="s">
        <v>958</v>
      </c>
      <c r="E465" s="5" t="s">
        <v>959</v>
      </c>
      <c r="F465" s="4" t="s">
        <v>37</v>
      </c>
      <c r="G465" s="6" t="s">
        <v>2770</v>
      </c>
      <c r="H465" s="6" t="s">
        <v>2771</v>
      </c>
      <c r="I465" s="6" t="s">
        <v>2771</v>
      </c>
      <c r="J465" s="6" t="s">
        <v>967</v>
      </c>
      <c r="K465" s="6" t="s">
        <v>2772</v>
      </c>
      <c r="L465" s="6" t="s">
        <v>2773</v>
      </c>
      <c r="M465" s="6" t="s">
        <v>967</v>
      </c>
      <c r="N465" s="6" t="s">
        <v>967</v>
      </c>
      <c r="O465" s="6" t="s">
        <v>967</v>
      </c>
      <c r="P465" s="5" t="s">
        <v>967</v>
      </c>
      <c r="Q465" s="5" t="s">
        <v>967</v>
      </c>
      <c r="R465" s="5" t="s">
        <v>967</v>
      </c>
      <c r="S465" s="5" t="s">
        <v>967</v>
      </c>
      <c r="T465" s="5" t="s">
        <v>967</v>
      </c>
    </row>
    <row r="466" ht="33" spans="1:20">
      <c r="A466" s="4">
        <v>465</v>
      </c>
      <c r="B466" s="5" t="s">
        <v>2259</v>
      </c>
      <c r="C466" s="5" t="s">
        <v>677</v>
      </c>
      <c r="D466" s="5" t="s">
        <v>678</v>
      </c>
      <c r="E466" s="5" t="s">
        <v>960</v>
      </c>
      <c r="F466" s="4" t="s">
        <v>32</v>
      </c>
      <c r="G466" s="6" t="s">
        <v>2653</v>
      </c>
      <c r="H466" s="6" t="s">
        <v>2774</v>
      </c>
      <c r="I466" s="6" t="s">
        <v>2775</v>
      </c>
      <c r="J466" s="6" t="s">
        <v>967</v>
      </c>
      <c r="K466" s="6" t="s">
        <v>2247</v>
      </c>
      <c r="L466" s="6" t="s">
        <v>2248</v>
      </c>
      <c r="M466" s="6" t="s">
        <v>967</v>
      </c>
      <c r="N466" s="6" t="s">
        <v>967</v>
      </c>
      <c r="O466" s="6" t="s">
        <v>967</v>
      </c>
      <c r="P466" s="5" t="s">
        <v>967</v>
      </c>
      <c r="Q466" s="5" t="s">
        <v>967</v>
      </c>
      <c r="R466" s="5" t="s">
        <v>967</v>
      </c>
      <c r="S466" s="5" t="s">
        <v>967</v>
      </c>
      <c r="T466" s="5" t="s">
        <v>967</v>
      </c>
    </row>
    <row r="467" ht="33" spans="1:20">
      <c r="A467" s="4">
        <v>466</v>
      </c>
      <c r="B467" s="5" t="s">
        <v>2259</v>
      </c>
      <c r="C467" s="5" t="s">
        <v>681</v>
      </c>
      <c r="D467" s="5" t="s">
        <v>682</v>
      </c>
      <c r="E467" s="5" t="s">
        <v>683</v>
      </c>
      <c r="F467" s="4" t="s">
        <v>684</v>
      </c>
      <c r="G467" s="6" t="s">
        <v>1896</v>
      </c>
      <c r="H467" s="6" t="s">
        <v>1896</v>
      </c>
      <c r="I467" s="6" t="s">
        <v>1896</v>
      </c>
      <c r="J467" s="6" t="s">
        <v>967</v>
      </c>
      <c r="K467" s="6" t="s">
        <v>2776</v>
      </c>
      <c r="L467" s="6" t="s">
        <v>2777</v>
      </c>
      <c r="M467" s="6" t="s">
        <v>967</v>
      </c>
      <c r="N467" s="6" t="s">
        <v>967</v>
      </c>
      <c r="O467" s="6" t="s">
        <v>967</v>
      </c>
      <c r="P467" s="5" t="s">
        <v>967</v>
      </c>
      <c r="Q467" s="5" t="s">
        <v>967</v>
      </c>
      <c r="R467" s="5" t="s">
        <v>967</v>
      </c>
      <c r="S467" s="5" t="s">
        <v>967</v>
      </c>
      <c r="T467" s="5" t="s">
        <v>967</v>
      </c>
    </row>
    <row r="468" ht="33" spans="1:20">
      <c r="A468" s="4">
        <v>467</v>
      </c>
      <c r="B468" s="5" t="s">
        <v>2259</v>
      </c>
      <c r="C468" s="5" t="s">
        <v>967</v>
      </c>
      <c r="D468" s="5" t="s">
        <v>686</v>
      </c>
      <c r="E468" s="5" t="s">
        <v>967</v>
      </c>
      <c r="F468" s="4" t="s">
        <v>967</v>
      </c>
      <c r="G468" s="6" t="s">
        <v>967</v>
      </c>
      <c r="H468" s="6" t="s">
        <v>967</v>
      </c>
      <c r="I468" s="6" t="s">
        <v>967</v>
      </c>
      <c r="J468" s="6" t="s">
        <v>967</v>
      </c>
      <c r="K468" s="6" t="s">
        <v>967</v>
      </c>
      <c r="L468" s="6" t="s">
        <v>967</v>
      </c>
      <c r="M468" s="6" t="s">
        <v>967</v>
      </c>
      <c r="N468" s="6" t="s">
        <v>967</v>
      </c>
      <c r="O468" s="6" t="s">
        <v>967</v>
      </c>
      <c r="P468" s="5" t="s">
        <v>967</v>
      </c>
      <c r="Q468" s="5" t="s">
        <v>967</v>
      </c>
      <c r="R468" s="5" t="s">
        <v>967</v>
      </c>
      <c r="S468" s="5" t="s">
        <v>967</v>
      </c>
      <c r="T468" s="5" t="s">
        <v>967</v>
      </c>
    </row>
    <row r="469" ht="33" spans="1:20">
      <c r="A469" s="4">
        <v>468</v>
      </c>
      <c r="B469" s="5" t="s">
        <v>2259</v>
      </c>
      <c r="C469" s="5" t="s">
        <v>967</v>
      </c>
      <c r="D469" s="5" t="s">
        <v>688</v>
      </c>
      <c r="E469" s="5" t="s">
        <v>967</v>
      </c>
      <c r="F469" s="4" t="s">
        <v>967</v>
      </c>
      <c r="G469" s="6" t="s">
        <v>967</v>
      </c>
      <c r="H469" s="6" t="s">
        <v>967</v>
      </c>
      <c r="I469" s="6" t="s">
        <v>967</v>
      </c>
      <c r="J469" s="6" t="s">
        <v>967</v>
      </c>
      <c r="K469" s="6" t="s">
        <v>967</v>
      </c>
      <c r="L469" s="6" t="s">
        <v>967</v>
      </c>
      <c r="M469" s="6" t="s">
        <v>967</v>
      </c>
      <c r="N469" s="6" t="s">
        <v>967</v>
      </c>
      <c r="O469" s="6" t="s">
        <v>967</v>
      </c>
      <c r="P469" s="5" t="s">
        <v>967</v>
      </c>
      <c r="Q469" s="5" t="s">
        <v>967</v>
      </c>
      <c r="R469" s="5" t="s">
        <v>967</v>
      </c>
      <c r="S469" s="5" t="s">
        <v>967</v>
      </c>
      <c r="T469" s="5" t="s">
        <v>967</v>
      </c>
    </row>
    <row r="470" ht="33" spans="1:20">
      <c r="A470" s="4">
        <v>469</v>
      </c>
      <c r="B470" s="5" t="s">
        <v>2259</v>
      </c>
      <c r="C470" s="5" t="s">
        <v>967</v>
      </c>
      <c r="D470" s="5" t="s">
        <v>690</v>
      </c>
      <c r="E470" s="5" t="s">
        <v>967</v>
      </c>
      <c r="F470" s="4" t="s">
        <v>967</v>
      </c>
      <c r="G470" s="6" t="s">
        <v>967</v>
      </c>
      <c r="H470" s="6" t="s">
        <v>967</v>
      </c>
      <c r="I470" s="6" t="s">
        <v>967</v>
      </c>
      <c r="J470" s="6" t="s">
        <v>967</v>
      </c>
      <c r="K470" s="6" t="s">
        <v>967</v>
      </c>
      <c r="L470" s="6" t="s">
        <v>967</v>
      </c>
      <c r="M470" s="6" t="s">
        <v>967</v>
      </c>
      <c r="N470" s="6" t="s">
        <v>967</v>
      </c>
      <c r="O470" s="6" t="s">
        <v>967</v>
      </c>
      <c r="P470" s="5" t="s">
        <v>967</v>
      </c>
      <c r="Q470" s="5" t="s">
        <v>967</v>
      </c>
      <c r="R470" s="5" t="s">
        <v>967</v>
      </c>
      <c r="S470" s="5" t="s">
        <v>967</v>
      </c>
      <c r="T470" s="5" t="s">
        <v>967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1.25" outlineLevelCol="6"/>
  <cols>
    <col min="1" max="1" width="32.7555555555556" style="1" customWidth="1"/>
    <col min="2" max="2" width="16.6" style="1" customWidth="1"/>
    <col min="3" max="3" width="60" style="1" customWidth="1"/>
    <col min="4" max="4" width="8.1" style="1" customWidth="1"/>
    <col min="5" max="6" width="11.5" style="1" customWidth="1"/>
    <col min="7" max="7" width="16.6" style="1" customWidth="1"/>
  </cols>
  <sheetData>
    <row r="1" ht="33" spans="1:7">
      <c r="A1" s="2" t="s">
        <v>2778</v>
      </c>
      <c r="B1" s="2" t="s">
        <v>2779</v>
      </c>
      <c r="C1" s="2" t="s">
        <v>2780</v>
      </c>
      <c r="D1" s="2" t="s">
        <v>2781</v>
      </c>
      <c r="E1" s="2" t="s">
        <v>2782</v>
      </c>
      <c r="F1" s="2" t="s">
        <v>2783</v>
      </c>
      <c r="G1" s="2" t="s">
        <v>2784</v>
      </c>
    </row>
    <row r="2" ht="20" customHeight="1" spans="1:7">
      <c r="A2" s="3" t="s">
        <v>2</v>
      </c>
      <c r="B2" s="4" t="s">
        <v>2785</v>
      </c>
      <c r="C2" s="3" t="s">
        <v>2786</v>
      </c>
      <c r="D2" s="3">
        <v>469</v>
      </c>
      <c r="E2" s="3">
        <v>469</v>
      </c>
      <c r="F2" s="4" t="s">
        <v>2787</v>
      </c>
      <c r="G2" s="4" t="s">
        <v>2788</v>
      </c>
    </row>
    <row r="3" ht="20" customHeight="1" spans="1:7">
      <c r="A3" s="3" t="s">
        <v>961</v>
      </c>
      <c r="B3" s="4" t="s">
        <v>2785</v>
      </c>
      <c r="C3" s="3" t="s">
        <v>2786</v>
      </c>
      <c r="D3" s="3">
        <v>469</v>
      </c>
      <c r="E3" s="3">
        <v>469</v>
      </c>
      <c r="F3" s="4" t="s">
        <v>2787</v>
      </c>
      <c r="G3" s="4" t="s">
        <v>2788</v>
      </c>
    </row>
    <row r="4" ht="20" customHeight="1" spans="1:7">
      <c r="A4" s="3" t="s">
        <v>3</v>
      </c>
      <c r="B4" s="4" t="s">
        <v>2785</v>
      </c>
      <c r="C4" s="3" t="s">
        <v>2786</v>
      </c>
      <c r="D4" s="3">
        <v>469</v>
      </c>
      <c r="E4" s="3">
        <v>431</v>
      </c>
      <c r="F4" s="4" t="s">
        <v>2789</v>
      </c>
      <c r="G4" s="4" t="s">
        <v>2788</v>
      </c>
    </row>
    <row r="5" ht="20" customHeight="1" spans="1:7">
      <c r="A5" s="3" t="s">
        <v>4</v>
      </c>
      <c r="B5" s="4" t="s">
        <v>2785</v>
      </c>
      <c r="C5" s="3" t="s">
        <v>2786</v>
      </c>
      <c r="D5" s="3">
        <v>469</v>
      </c>
      <c r="E5" s="3">
        <v>469</v>
      </c>
      <c r="F5" s="4" t="s">
        <v>2787</v>
      </c>
      <c r="G5" s="4" t="s">
        <v>2788</v>
      </c>
    </row>
    <row r="6" ht="20" customHeight="1" spans="1:7">
      <c r="A6" s="3" t="s">
        <v>5</v>
      </c>
      <c r="B6" s="4" t="s">
        <v>2785</v>
      </c>
      <c r="C6" s="3" t="s">
        <v>2786</v>
      </c>
      <c r="D6" s="3">
        <v>469</v>
      </c>
      <c r="E6" s="3">
        <v>429</v>
      </c>
      <c r="F6" s="4" t="s">
        <v>2790</v>
      </c>
      <c r="G6" s="4" t="s">
        <v>2788</v>
      </c>
    </row>
    <row r="7" ht="20" customHeight="1" spans="1:7">
      <c r="A7" s="3" t="s">
        <v>6</v>
      </c>
      <c r="B7" s="4" t="s">
        <v>2785</v>
      </c>
      <c r="C7" s="3" t="s">
        <v>2786</v>
      </c>
      <c r="D7" s="3">
        <v>469</v>
      </c>
      <c r="E7" s="3">
        <v>429</v>
      </c>
      <c r="F7" s="4" t="s">
        <v>2790</v>
      </c>
      <c r="G7" s="4" t="s">
        <v>2788</v>
      </c>
    </row>
    <row r="8" ht="20" customHeight="1" spans="1:7">
      <c r="A8" s="3" t="s">
        <v>7</v>
      </c>
      <c r="B8" s="4" t="s">
        <v>2785</v>
      </c>
      <c r="C8" s="3" t="s">
        <v>2786</v>
      </c>
      <c r="D8" s="3">
        <v>469</v>
      </c>
      <c r="E8" s="3">
        <v>429</v>
      </c>
      <c r="F8" s="4" t="s">
        <v>2790</v>
      </c>
      <c r="G8" s="4" t="s">
        <v>2788</v>
      </c>
    </row>
    <row r="9" ht="20" customHeight="1" spans="1:7">
      <c r="A9" s="3" t="s">
        <v>8</v>
      </c>
      <c r="B9" s="4" t="s">
        <v>2785</v>
      </c>
      <c r="C9" s="3" t="s">
        <v>2786</v>
      </c>
      <c r="D9" s="3">
        <v>469</v>
      </c>
      <c r="E9" s="3">
        <v>429</v>
      </c>
      <c r="F9" s="4" t="s">
        <v>2790</v>
      </c>
      <c r="G9" s="4" t="s">
        <v>2788</v>
      </c>
    </row>
    <row r="10" ht="20" customHeight="1" spans="1:7">
      <c r="A10" s="3" t="s">
        <v>9</v>
      </c>
      <c r="B10" s="4" t="s">
        <v>2785</v>
      </c>
      <c r="C10" s="3" t="s">
        <v>2786</v>
      </c>
      <c r="D10" s="3">
        <v>469</v>
      </c>
      <c r="E10" s="3">
        <v>322</v>
      </c>
      <c r="F10" s="4" t="s">
        <v>2791</v>
      </c>
      <c r="G10" s="4" t="s">
        <v>2788</v>
      </c>
    </row>
    <row r="11" ht="20" customHeight="1" spans="1:7">
      <c r="A11" s="3" t="s">
        <v>10</v>
      </c>
      <c r="B11" s="4" t="s">
        <v>2792</v>
      </c>
      <c r="C11" s="3" t="s">
        <v>966</v>
      </c>
      <c r="D11" s="3">
        <v>469</v>
      </c>
      <c r="E11" s="3">
        <v>3</v>
      </c>
      <c r="F11" s="4" t="s">
        <v>2793</v>
      </c>
      <c r="G11" s="4" t="s">
        <v>2788</v>
      </c>
    </row>
    <row r="12" ht="20" customHeight="1" spans="1:7">
      <c r="A12" s="3" t="s">
        <v>11</v>
      </c>
      <c r="B12" s="4" t="s">
        <v>2785</v>
      </c>
      <c r="C12" s="3" t="s">
        <v>2786</v>
      </c>
      <c r="D12" s="3">
        <v>469</v>
      </c>
      <c r="E12" s="3">
        <v>0</v>
      </c>
      <c r="F12" s="4" t="s">
        <v>2794</v>
      </c>
      <c r="G12" s="4" t="s">
        <v>2795</v>
      </c>
    </row>
    <row r="13" ht="20" customHeight="1" spans="1:7">
      <c r="A13" s="3" t="s">
        <v>12</v>
      </c>
      <c r="B13" s="4" t="s">
        <v>2785</v>
      </c>
      <c r="C13" s="3" t="s">
        <v>2786</v>
      </c>
      <c r="D13" s="3">
        <v>469</v>
      </c>
      <c r="E13" s="3">
        <v>0</v>
      </c>
      <c r="F13" s="4" t="s">
        <v>2794</v>
      </c>
      <c r="G13" s="4" t="s">
        <v>2795</v>
      </c>
    </row>
    <row r="14" ht="20" customHeight="1" spans="1:7">
      <c r="A14" s="3" t="s">
        <v>13</v>
      </c>
      <c r="B14" s="4" t="s">
        <v>2785</v>
      </c>
      <c r="C14" s="3" t="s">
        <v>2786</v>
      </c>
      <c r="D14" s="3">
        <v>469</v>
      </c>
      <c r="E14" s="3">
        <v>0</v>
      </c>
      <c r="F14" s="4" t="s">
        <v>2794</v>
      </c>
      <c r="G14" s="4" t="s">
        <v>2795</v>
      </c>
    </row>
    <row r="15" ht="20" customHeight="1" spans="1:7">
      <c r="A15" s="3" t="s">
        <v>14</v>
      </c>
      <c r="B15" s="4" t="s">
        <v>2785</v>
      </c>
      <c r="C15" s="3" t="s">
        <v>2786</v>
      </c>
      <c r="D15" s="3">
        <v>469</v>
      </c>
      <c r="E15" s="3">
        <v>0</v>
      </c>
      <c r="F15" s="4" t="s">
        <v>2794</v>
      </c>
      <c r="G15" s="4" t="s">
        <v>2795</v>
      </c>
    </row>
    <row r="16" ht="20" customHeight="1" spans="1:7">
      <c r="A16" s="3" t="s">
        <v>15</v>
      </c>
      <c r="B16" s="4" t="s">
        <v>2785</v>
      </c>
      <c r="C16" s="3" t="s">
        <v>2786</v>
      </c>
      <c r="D16" s="3">
        <v>469</v>
      </c>
      <c r="E16" s="3">
        <v>429</v>
      </c>
      <c r="F16" s="4" t="s">
        <v>2790</v>
      </c>
      <c r="G16" s="4" t="s">
        <v>2788</v>
      </c>
    </row>
    <row r="17" ht="20" customHeight="1" spans="1:7">
      <c r="A17" s="3" t="s">
        <v>16</v>
      </c>
      <c r="B17" s="4" t="s">
        <v>2785</v>
      </c>
      <c r="C17" s="3" t="s">
        <v>2786</v>
      </c>
      <c r="D17" s="3">
        <v>469</v>
      </c>
      <c r="E17" s="3">
        <v>429</v>
      </c>
      <c r="F17" s="4" t="s">
        <v>2790</v>
      </c>
      <c r="G17" s="4" t="s">
        <v>2788</v>
      </c>
    </row>
    <row r="18" ht="20" customHeight="1" spans="1:7">
      <c r="A18" s="3" t="s">
        <v>17</v>
      </c>
      <c r="B18" s="4" t="s">
        <v>2785</v>
      </c>
      <c r="C18" s="3" t="s">
        <v>2786</v>
      </c>
      <c r="D18" s="3">
        <v>469</v>
      </c>
      <c r="E18" s="3">
        <v>0</v>
      </c>
      <c r="F18" s="4" t="s">
        <v>2794</v>
      </c>
      <c r="G18" s="4" t="s">
        <v>2795</v>
      </c>
    </row>
    <row r="19" ht="20" customHeight="1" spans="1:7">
      <c r="A19" s="3" t="s">
        <v>18</v>
      </c>
      <c r="B19" s="4" t="s">
        <v>2785</v>
      </c>
      <c r="C19" s="3" t="s">
        <v>2786</v>
      </c>
      <c r="D19" s="3">
        <v>469</v>
      </c>
      <c r="E19" s="3">
        <v>0</v>
      </c>
      <c r="F19" s="4" t="s">
        <v>2794</v>
      </c>
      <c r="G19" s="4" t="s">
        <v>2795</v>
      </c>
    </row>
    <row r="20" ht="20" customHeight="1" spans="1:7">
      <c r="A20" s="3" t="s">
        <v>19</v>
      </c>
      <c r="B20" s="4" t="s">
        <v>2785</v>
      </c>
      <c r="C20" s="3" t="s">
        <v>2786</v>
      </c>
      <c r="D20" s="3">
        <v>469</v>
      </c>
      <c r="E20" s="3">
        <v>0</v>
      </c>
      <c r="F20" s="4" t="s">
        <v>2794</v>
      </c>
      <c r="G20" s="4" t="s">
        <v>2795</v>
      </c>
    </row>
    <row r="21" ht="20" customHeight="1" spans="1:7">
      <c r="A21" s="3" t="s">
        <v>20</v>
      </c>
      <c r="B21" s="4" t="s">
        <v>2785</v>
      </c>
      <c r="C21" s="3" t="s">
        <v>2786</v>
      </c>
      <c r="D21" s="3">
        <v>469</v>
      </c>
      <c r="E21" s="3">
        <v>0</v>
      </c>
      <c r="F21" s="4" t="s">
        <v>2794</v>
      </c>
      <c r="G21" s="4" t="s">
        <v>2795</v>
      </c>
    </row>
    <row r="22" ht="20" customHeight="1" spans="1:7">
      <c r="A22" s="3" t="s">
        <v>21</v>
      </c>
      <c r="B22" s="4" t="s">
        <v>2785</v>
      </c>
      <c r="C22" s="3" t="s">
        <v>2786</v>
      </c>
      <c r="D22" s="3">
        <v>469</v>
      </c>
      <c r="E22" s="3">
        <v>262</v>
      </c>
      <c r="F22" s="4" t="s">
        <v>2796</v>
      </c>
      <c r="G22" s="4" t="s">
        <v>2788</v>
      </c>
    </row>
    <row r="23" ht="20" customHeight="1" spans="1:7">
      <c r="A23" s="3" t="s">
        <v>22</v>
      </c>
      <c r="B23" s="4" t="s">
        <v>2785</v>
      </c>
      <c r="C23" s="3" t="s">
        <v>2786</v>
      </c>
      <c r="D23" s="3">
        <v>469</v>
      </c>
      <c r="E23" s="3">
        <v>257</v>
      </c>
      <c r="F23" s="4" t="s">
        <v>2797</v>
      </c>
      <c r="G23" s="4" t="s">
        <v>2788</v>
      </c>
    </row>
    <row r="24" ht="20" customHeight="1" spans="1:7">
      <c r="A24" s="3" t="s">
        <v>23</v>
      </c>
      <c r="B24" s="4" t="s">
        <v>2785</v>
      </c>
      <c r="C24" s="3" t="s">
        <v>2786</v>
      </c>
      <c r="D24" s="3">
        <v>469</v>
      </c>
      <c r="E24" s="3">
        <v>28</v>
      </c>
      <c r="F24" s="4" t="s">
        <v>2798</v>
      </c>
      <c r="G24" s="4" t="s">
        <v>2788</v>
      </c>
    </row>
    <row r="25" ht="20" customHeight="1" spans="1:7">
      <c r="A25" s="3" t="s">
        <v>24</v>
      </c>
      <c r="B25" s="4" t="s">
        <v>2785</v>
      </c>
      <c r="C25" s="3" t="s">
        <v>2786</v>
      </c>
      <c r="D25" s="3">
        <v>469</v>
      </c>
      <c r="E25" s="3">
        <v>0</v>
      </c>
      <c r="F25" s="4" t="s">
        <v>2794</v>
      </c>
      <c r="G25" s="4" t="s">
        <v>2795</v>
      </c>
    </row>
    <row r="26" ht="20" customHeight="1" spans="1:7">
      <c r="A26" s="3" t="s">
        <v>25</v>
      </c>
      <c r="B26" s="4" t="s">
        <v>2785</v>
      </c>
      <c r="C26" s="3" t="s">
        <v>2786</v>
      </c>
      <c r="D26" s="3">
        <v>469</v>
      </c>
      <c r="E26" s="3">
        <v>0</v>
      </c>
      <c r="F26" s="4" t="s">
        <v>2794</v>
      </c>
      <c r="G26" s="4" t="s">
        <v>2795</v>
      </c>
    </row>
    <row r="27" ht="20" customHeight="1" spans="1:7">
      <c r="A27" s="3" t="s">
        <v>26</v>
      </c>
      <c r="B27" s="4" t="s">
        <v>2785</v>
      </c>
      <c r="C27" s="3" t="s">
        <v>2786</v>
      </c>
      <c r="D27" s="3">
        <v>469</v>
      </c>
      <c r="E27" s="3">
        <v>0</v>
      </c>
      <c r="F27" s="4" t="s">
        <v>2794</v>
      </c>
      <c r="G27" s="4" t="s">
        <v>2795</v>
      </c>
    </row>
    <row r="28" ht="20" customHeight="1" spans="1:7">
      <c r="A28" s="3" t="s">
        <v>27</v>
      </c>
      <c r="B28" s="4" t="s">
        <v>2785</v>
      </c>
      <c r="C28" s="3" t="s">
        <v>2786</v>
      </c>
      <c r="D28" s="3">
        <v>469</v>
      </c>
      <c r="E28" s="3">
        <v>22</v>
      </c>
      <c r="F28" s="4" t="s">
        <v>2799</v>
      </c>
      <c r="G28" s="4" t="s">
        <v>2788</v>
      </c>
    </row>
    <row r="29" ht="20" customHeight="1" spans="1:7">
      <c r="A29" s="3" t="s">
        <v>962</v>
      </c>
      <c r="B29" s="4" t="s">
        <v>2792</v>
      </c>
      <c r="C29" s="3" t="s">
        <v>966</v>
      </c>
      <c r="D29" s="3">
        <v>469</v>
      </c>
      <c r="E29" s="3">
        <v>18</v>
      </c>
      <c r="F29" s="4" t="s">
        <v>2800</v>
      </c>
      <c r="G29" s="4" t="s">
        <v>2788</v>
      </c>
    </row>
    <row r="30" ht="20" customHeight="1" spans="1:7">
      <c r="A30" s="3" t="s">
        <v>963</v>
      </c>
      <c r="B30" s="4" t="s">
        <v>2792</v>
      </c>
      <c r="C30" s="3" t="s">
        <v>966</v>
      </c>
      <c r="D30" s="3">
        <v>469</v>
      </c>
      <c r="E30" s="3">
        <v>1</v>
      </c>
      <c r="F30" s="4" t="s">
        <v>2801</v>
      </c>
      <c r="G30" s="4" t="s">
        <v>2788</v>
      </c>
    </row>
    <row r="31" ht="20" customHeight="1" spans="1:7">
      <c r="A31" s="3" t="s">
        <v>964</v>
      </c>
      <c r="B31" s="4" t="s">
        <v>2792</v>
      </c>
      <c r="C31" s="3" t="s">
        <v>966</v>
      </c>
      <c r="D31" s="3">
        <v>469</v>
      </c>
      <c r="E31" s="3">
        <v>1</v>
      </c>
      <c r="F31" s="4" t="s">
        <v>2801</v>
      </c>
      <c r="G31" s="4" t="s">
        <v>2788</v>
      </c>
    </row>
    <row r="32" ht="20" customHeight="1" spans="1:7">
      <c r="A32" s="3" t="s">
        <v>965</v>
      </c>
      <c r="B32" s="4" t="s">
        <v>2792</v>
      </c>
      <c r="C32" s="3" t="s">
        <v>966</v>
      </c>
      <c r="D32" s="3">
        <v>469</v>
      </c>
      <c r="E32" s="3">
        <v>2</v>
      </c>
      <c r="F32" s="4" t="s">
        <v>2802</v>
      </c>
      <c r="G32" s="4" t="s">
        <v>2788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表-08 分部分项工程和单价措施项目清单-综合楼</vt:lpstr>
      <vt:lpstr>表-08 分部分项工程和单价措施项目清单-教学楼</vt:lpstr>
      <vt:lpstr>清单汇总</vt:lpstr>
      <vt:lpstr>合并说明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MR.wang</cp:lastModifiedBy>
  <dcterms:created xsi:type="dcterms:W3CDTF">2024-05-23T09:30:00Z</dcterms:created>
  <dcterms:modified xsi:type="dcterms:W3CDTF">2026-05-25T14:58:52Z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72587A5E18BB442DBB10D6AF90649885_13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false</vt:bool>
  </property>
</Properties>
</file>