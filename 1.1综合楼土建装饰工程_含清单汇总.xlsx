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2375" tabRatio="600" firstSheet="0" activeTab="1" autoFilterDateGrouping="1"/>
  </bookViews>
  <sheets>
    <sheet name="表-08 分部分项工程和单价措施项目清单-综合楼" sheetId="1" state="visible" r:id="rId1"/>
    <sheet name="表-08 分部分项工程和单价措施项目清单-教学楼" sheetId="2" state="visible" r:id="rId2"/>
    <sheet name="清单汇总" sheetId="3" state="visible" r:id="rId3"/>
    <sheet name="公式核查报告" sheetId="4" state="visible" r:id="rId4"/>
    <sheet name="合并说明" sheetId="5" state="visible" r:id="rId5"/>
  </sheets>
  <definedNames>
    <definedName name="_xlnm._FilterDatabase" localSheetId="0" hidden="1">'表-08 分部分项工程和单价措施项目清单-综合楼'!$A$5:$AD$263</definedName>
    <definedName name="_xlnm.Print_Titles" localSheetId="0">'表-08 分部分项工程和单价措施项目清单-综合楼'!$1:$5</definedName>
    <definedName name="_xlnm.Print_Area" localSheetId="0">'表-08 分部分项工程和单价措施项目清单-综合楼'!$A$1:$Z$263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_ "/>
    <numFmt numFmtId="165" formatCode="0_ "/>
    <numFmt numFmtId="166" formatCode="0.000_ "/>
    <numFmt numFmtId="167" formatCode="#,##0.00_ ;[Red]\-#,##0.00\ "/>
  </numFmts>
  <fonts count="33">
    <font>
      <name val="宋体"/>
      <charset val="134"/>
      <color theme="1"/>
      <sz val="9"/>
      <scheme val="minor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b val="1"/>
      <sz val="2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sz val="9"/>
    </font>
    <font>
      <name val="宋体"/>
      <charset val="134"/>
      <b val="1"/>
      <sz val="10"/>
    </font>
    <font>
      <name val="宋体"/>
      <charset val="134"/>
      <sz val="9"/>
    </font>
    <font>
      <name val="宋体"/>
      <charset val="134"/>
      <b val="1"/>
      <color indexed="8"/>
      <sz val="9"/>
    </font>
    <font>
      <name val="宋体"/>
      <charset val="134"/>
      <b val="1"/>
      <color indexed="8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39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9"/>
        <bgColor rgb="001F4E79"/>
      </patternFill>
    </fill>
  </fills>
  <borders count="75">
    <border>
      <left/>
      <right/>
      <top/>
      <bottom/>
      <diagonal/>
    </border>
    <border>
      <left style="medium">
        <color auto="1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50">
    <xf numFmtId="0" fontId="0" fillId="0" borderId="0" applyAlignment="1">
      <alignment vertical="center"/>
    </xf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7" borderId="48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49" applyAlignment="1">
      <alignment vertical="center"/>
    </xf>
    <xf numFmtId="0" fontId="18" fillId="0" borderId="49" applyAlignment="1">
      <alignment vertical="center"/>
    </xf>
    <xf numFmtId="0" fontId="19" fillId="0" borderId="50" applyAlignment="1">
      <alignment vertical="center"/>
    </xf>
    <xf numFmtId="0" fontId="19" fillId="0" borderId="0" applyAlignment="1">
      <alignment vertical="center"/>
    </xf>
    <xf numFmtId="0" fontId="20" fillId="8" borderId="51" applyAlignment="1">
      <alignment vertical="center"/>
    </xf>
    <xf numFmtId="0" fontId="21" fillId="9" borderId="52" applyAlignment="1">
      <alignment vertical="center"/>
    </xf>
    <xf numFmtId="0" fontId="22" fillId="9" borderId="51" applyAlignment="1">
      <alignment vertical="center"/>
    </xf>
    <xf numFmtId="0" fontId="23" fillId="10" borderId="53" applyAlignment="1">
      <alignment vertical="center"/>
    </xf>
    <xf numFmtId="0" fontId="24" fillId="0" borderId="54" applyAlignment="1">
      <alignment vertical="center"/>
    </xf>
    <xf numFmtId="0" fontId="25" fillId="0" borderId="55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30" fillId="35" borderId="0" applyAlignment="1">
      <alignment vertical="center"/>
    </xf>
    <xf numFmtId="0" fontId="30" fillId="36" borderId="0" applyAlignment="1">
      <alignment vertical="center"/>
    </xf>
    <xf numFmtId="0" fontId="29" fillId="37" borderId="0" applyAlignment="1">
      <alignment vertical="center"/>
    </xf>
    <xf numFmtId="0" fontId="0" fillId="0" borderId="0"/>
  </cellStyleXfs>
  <cellXfs count="247">
    <xf numFmtId="0" fontId="0" fillId="0" borderId="0" applyAlignment="1" pivotButton="0" quotePrefix="0" xfId="0">
      <alignment vertical="center"/>
    </xf>
    <xf numFmtId="0" fontId="0" fillId="0" borderId="0" pivotButton="0" quotePrefix="0" xfId="49"/>
    <xf numFmtId="0" fontId="0" fillId="2" borderId="0" pivotButton="0" quotePrefix="0" xfId="49"/>
    <xf numFmtId="0" fontId="0" fillId="3" borderId="0" pivotButton="0" quotePrefix="0" xfId="49"/>
    <xf numFmtId="0" fontId="0" fillId="4" borderId="0" pivotButton="0" quotePrefix="0" xfId="49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49">
      <alignment horizontal="center"/>
    </xf>
    <xf numFmtId="0" fontId="0" fillId="5" borderId="0" applyAlignment="1" pivotButton="0" quotePrefix="0" xfId="49">
      <alignment horizontal="center"/>
    </xf>
    <xf numFmtId="164" fontId="0" fillId="5" borderId="0" applyAlignment="1" pivotButton="0" quotePrefix="0" xfId="49">
      <alignment horizontal="center"/>
    </xf>
    <xf numFmtId="164" fontId="0" fillId="0" borderId="0" applyAlignment="1" pivotButton="0" quotePrefix="0" xfId="49">
      <alignment horizontal="center"/>
    </xf>
    <xf numFmtId="164" fontId="0" fillId="6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vertical="center" wrapText="1"/>
    </xf>
    <xf numFmtId="0" fontId="4" fillId="0" borderId="0" applyAlignment="1" pivotButton="0" quotePrefix="0" xfId="49">
      <alignment horizontal="left" wrapText="1"/>
    </xf>
    <xf numFmtId="0" fontId="4" fillId="0" borderId="0" applyAlignment="1" pivotButton="0" quotePrefix="0" xfId="49">
      <alignment horizontal="center" wrapText="1"/>
    </xf>
    <xf numFmtId="0" fontId="4" fillId="5" borderId="0" applyAlignment="1" pivotButton="0" quotePrefix="0" xfId="49">
      <alignment horizontal="center" wrapText="1"/>
    </xf>
    <xf numFmtId="0" fontId="4" fillId="0" borderId="1" applyAlignment="1" pivotButton="0" quotePrefix="0" xfId="49">
      <alignment horizontal="center" vertical="center" wrapText="1"/>
    </xf>
    <xf numFmtId="0" fontId="4" fillId="0" borderId="2" applyAlignment="1" pivotButton="0" quotePrefix="0" xfId="49">
      <alignment horizontal="center" vertical="center" wrapText="1"/>
    </xf>
    <xf numFmtId="0" fontId="4" fillId="0" borderId="3" applyAlignment="1" pivotButton="0" quotePrefix="0" xfId="49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49">
      <alignment horizontal="center" vertical="center" wrapText="1"/>
    </xf>
    <xf numFmtId="0" fontId="4" fillId="5" borderId="7" applyAlignment="1" pivotButton="0" quotePrefix="0" xfId="49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4" fillId="0" borderId="10" applyAlignment="1" pivotButton="0" quotePrefix="0" xfId="49">
      <alignment horizontal="center" vertical="center" wrapText="1"/>
    </xf>
    <xf numFmtId="0" fontId="4" fillId="0" borderId="11" applyAlignment="1" pivotButton="0" quotePrefix="0" xfId="49">
      <alignment horizontal="left" vertical="center" wrapText="1"/>
    </xf>
    <xf numFmtId="0" fontId="4" fillId="0" borderId="11" applyAlignment="1" pivotButton="0" quotePrefix="0" xfId="49">
      <alignment horizontal="center" vertical="center" wrapText="1"/>
    </xf>
    <xf numFmtId="0" fontId="4" fillId="5" borderId="11" applyAlignment="1" pivotButton="0" quotePrefix="0" xfId="49">
      <alignment horizontal="center" vertical="center" wrapText="1"/>
    </xf>
    <xf numFmtId="164" fontId="4" fillId="0" borderId="11" applyAlignment="1" pivotButton="0" quotePrefix="0" xfId="49">
      <alignment horizontal="center" vertical="center" wrapText="1"/>
    </xf>
    <xf numFmtId="164" fontId="4" fillId="5" borderId="11" applyAlignment="1" pivotButton="0" quotePrefix="0" xfId="49">
      <alignment horizontal="center" vertical="center" wrapText="1"/>
    </xf>
    <xf numFmtId="165" fontId="4" fillId="0" borderId="11" applyAlignment="1" pivotButton="0" quotePrefix="0" xfId="49">
      <alignment horizontal="center" vertical="center" wrapText="1"/>
    </xf>
    <xf numFmtId="165" fontId="4" fillId="5" borderId="11" applyAlignment="1" pivotButton="0" quotePrefix="0" xfId="49">
      <alignment horizontal="center" vertical="center" wrapText="1"/>
    </xf>
    <xf numFmtId="166" fontId="4" fillId="5" borderId="11" applyAlignment="1" pivotButton="0" quotePrefix="0" xfId="49">
      <alignment horizontal="center" vertical="center" wrapText="1"/>
    </xf>
    <xf numFmtId="0" fontId="4" fillId="2" borderId="10" applyAlignment="1" pivotButton="0" quotePrefix="0" xfId="49">
      <alignment horizontal="center" vertical="center" wrapText="1"/>
    </xf>
    <xf numFmtId="0" fontId="4" fillId="2" borderId="11" applyAlignment="1" pivotButton="0" quotePrefix="0" xfId="49">
      <alignment horizontal="left" vertical="center" wrapText="1"/>
    </xf>
    <xf numFmtId="0" fontId="4" fillId="2" borderId="11" applyAlignment="1" pivotButton="0" quotePrefix="0" xfId="49">
      <alignment horizontal="center" vertical="center" wrapText="1"/>
    </xf>
    <xf numFmtId="164" fontId="4" fillId="2" borderId="11" applyAlignment="1" pivotButton="0" quotePrefix="0" xfId="49">
      <alignment horizontal="center" vertical="center" wrapText="1"/>
    </xf>
    <xf numFmtId="0" fontId="0" fillId="0" borderId="12" pivotButton="0" quotePrefix="0" xfId="0"/>
    <xf numFmtId="0" fontId="4" fillId="0" borderId="12" applyAlignment="1" pivotButton="0" quotePrefix="0" xfId="49">
      <alignment horizontal="center" vertical="center" wrapText="1"/>
    </xf>
    <xf numFmtId="10" fontId="4" fillId="0" borderId="7" applyAlignment="1" pivotButton="0" quotePrefix="0" xfId="49">
      <alignment horizontal="center" vertical="center" wrapText="1"/>
    </xf>
    <xf numFmtId="164" fontId="4" fillId="0" borderId="7" applyAlignment="1" pivotButton="0" quotePrefix="0" xfId="49">
      <alignment horizontal="center" vertical="center" wrapText="1"/>
    </xf>
    <xf numFmtId="0" fontId="4" fillId="0" borderId="13" applyAlignment="1" pivotButton="0" quotePrefix="0" xfId="49">
      <alignment horizontal="center" vertical="center" wrapText="1"/>
    </xf>
    <xf numFmtId="10" fontId="4" fillId="0" borderId="13" applyAlignment="1" pivotButton="0" quotePrefix="0" xfId="49">
      <alignment horizontal="center" vertical="center" wrapText="1"/>
    </xf>
    <xf numFmtId="164" fontId="4" fillId="0" borderId="13" applyAlignment="1" pivotButton="0" quotePrefix="0" xfId="49">
      <alignment horizontal="center" vertical="center" wrapText="1"/>
    </xf>
    <xf numFmtId="10" fontId="5" fillId="0" borderId="11" applyAlignment="1" pivotButton="0" quotePrefix="0" xfId="49">
      <alignment horizontal="center" vertical="center" wrapText="1"/>
    </xf>
    <xf numFmtId="10" fontId="4" fillId="0" borderId="11" applyAlignment="1" pivotButton="0" quotePrefix="0" xfId="49">
      <alignment horizontal="center" vertical="center" wrapText="1"/>
    </xf>
    <xf numFmtId="166" fontId="4" fillId="0" borderId="11" applyAlignment="1" pivotButton="0" quotePrefix="0" xfId="49">
      <alignment horizontal="center" vertical="center" wrapText="1"/>
    </xf>
    <xf numFmtId="10" fontId="4" fillId="2" borderId="11" applyAlignment="1" pivotButton="0" quotePrefix="0" xfId="49">
      <alignment horizontal="center" vertical="center" wrapText="1"/>
    </xf>
    <xf numFmtId="0" fontId="4" fillId="0" borderId="4" applyAlignment="1" pivotButton="0" quotePrefix="0" xfId="49">
      <alignment horizontal="center" vertical="center" wrapText="1"/>
    </xf>
    <xf numFmtId="164" fontId="4" fillId="0" borderId="3" applyAlignment="1" pivotButton="0" quotePrefix="0" xfId="49">
      <alignment horizontal="center" vertical="center" wrapText="1"/>
    </xf>
    <xf numFmtId="164" fontId="4" fillId="5" borderId="12" applyAlignment="1" pivotButton="0" quotePrefix="0" xfId="49">
      <alignment horizontal="center" vertical="center" wrapText="1"/>
    </xf>
    <xf numFmtId="164" fontId="4" fillId="6" borderId="12" applyAlignment="1" pivotButton="0" quotePrefix="0" xfId="49">
      <alignment horizontal="center" vertical="center" wrapText="1"/>
    </xf>
    <xf numFmtId="164" fontId="4" fillId="5" borderId="14" applyAlignment="1" pivotButton="0" quotePrefix="0" xfId="49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0" borderId="17" applyAlignment="1" pivotButton="0" quotePrefix="0" xfId="49">
      <alignment horizontal="center" vertical="center" wrapText="1"/>
    </xf>
    <xf numFmtId="164" fontId="4" fillId="0" borderId="18" applyAlignment="1" pivotButton="0" quotePrefix="0" xfId="49">
      <alignment horizontal="center" vertical="center" wrapText="1"/>
    </xf>
    <xf numFmtId="164" fontId="4" fillId="5" borderId="19" applyAlignment="1" pivotButton="0" quotePrefix="0" xfId="49">
      <alignment horizontal="center" vertical="center" wrapText="1"/>
    </xf>
    <xf numFmtId="164" fontId="4" fillId="0" borderId="14" applyAlignment="1" pivotButton="0" quotePrefix="0" xfId="49">
      <alignment horizontal="center" vertical="center" wrapText="1"/>
    </xf>
    <xf numFmtId="164" fontId="4" fillId="5" borderId="20" applyAlignment="1" pivotButton="0" quotePrefix="0" xfId="49">
      <alignment horizontal="center" vertical="center" wrapText="1"/>
    </xf>
    <xf numFmtId="164" fontId="4" fillId="6" borderId="20" applyAlignment="1" pivotButton="0" quotePrefix="0" xfId="49">
      <alignment horizontal="center" vertical="center" wrapText="1"/>
    </xf>
    <xf numFmtId="164" fontId="4" fillId="0" borderId="21" applyAlignment="1" pivotButton="0" quotePrefix="0" xfId="49">
      <alignment horizontal="center" vertical="center" wrapText="1"/>
    </xf>
    <xf numFmtId="164" fontId="4" fillId="5" borderId="21" applyAlignment="1" pivotButton="0" quotePrefix="0" xfId="49">
      <alignment horizontal="center" vertical="center" wrapText="1"/>
    </xf>
    <xf numFmtId="164" fontId="4" fillId="6" borderId="21" applyAlignment="1" pivotButton="0" quotePrefix="0" xfId="49">
      <alignment horizontal="center" vertical="center" wrapText="1"/>
    </xf>
    <xf numFmtId="164" fontId="4" fillId="6" borderId="22" applyAlignment="1" pivotButton="0" quotePrefix="0" xfId="49">
      <alignment horizontal="center" vertical="center" wrapText="1"/>
    </xf>
    <xf numFmtId="164" fontId="4" fillId="2" borderId="7" applyAlignment="1" pivotButton="0" quotePrefix="0" xfId="49">
      <alignment horizontal="center" vertical="center" wrapText="1"/>
    </xf>
    <xf numFmtId="0" fontId="4" fillId="0" borderId="23" applyAlignment="1" pivotButton="0" quotePrefix="0" xfId="49">
      <alignment horizontal="center" vertical="center" wrapText="1"/>
    </xf>
    <xf numFmtId="0" fontId="0" fillId="0" borderId="0" applyAlignment="1" pivotButton="0" quotePrefix="0" xfId="49">
      <alignment horizontal="center" vertical="center"/>
    </xf>
    <xf numFmtId="0" fontId="0" fillId="0" borderId="24" pivotButton="0" quotePrefix="0" xfId="0"/>
    <xf numFmtId="0" fontId="4" fillId="0" borderId="25" applyAlignment="1" pivotButton="0" quotePrefix="0" xfId="49">
      <alignment vertical="center" wrapText="1"/>
    </xf>
    <xf numFmtId="0" fontId="4" fillId="0" borderId="26" applyAlignment="1" pivotButton="0" quotePrefix="0" xfId="49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4" fillId="2" borderId="26" applyAlignment="1" pivotButton="0" quotePrefix="0" xfId="49">
      <alignment horizontal="center" vertical="center" wrapText="1"/>
    </xf>
    <xf numFmtId="0" fontId="0" fillId="2" borderId="0" applyAlignment="1" pivotButton="0" quotePrefix="0" xfId="49">
      <alignment horizontal="center" vertical="center"/>
    </xf>
    <xf numFmtId="0" fontId="4" fillId="0" borderId="29" applyAlignment="1" pivotButton="0" quotePrefix="0" xfId="49">
      <alignment horizontal="center" vertical="center" wrapText="1"/>
    </xf>
    <xf numFmtId="0" fontId="4" fillId="0" borderId="30" applyAlignment="1" pivotButton="0" quotePrefix="0" xfId="49">
      <alignment horizontal="center" vertical="center" wrapText="1"/>
    </xf>
    <xf numFmtId="0" fontId="4" fillId="0" borderId="28" applyAlignment="1" pivotButton="0" quotePrefix="0" xfId="49">
      <alignment horizontal="center" vertical="center" wrapText="1"/>
    </xf>
    <xf numFmtId="0" fontId="4" fillId="4" borderId="10" applyAlignment="1" pivotButton="0" quotePrefix="0" xfId="49">
      <alignment horizontal="center" vertical="center" wrapText="1"/>
    </xf>
    <xf numFmtId="0" fontId="4" fillId="4" borderId="11" applyAlignment="1" pivotButton="0" quotePrefix="0" xfId="49">
      <alignment horizontal="left" vertical="center" wrapText="1"/>
    </xf>
    <xf numFmtId="0" fontId="4" fillId="4" borderId="11" applyAlignment="1" pivotButton="0" quotePrefix="0" xfId="49">
      <alignment horizontal="center" vertical="center" wrapText="1"/>
    </xf>
    <xf numFmtId="164" fontId="4" fillId="4" borderId="11" applyAlignment="1" pivotButton="0" quotePrefix="0" xfId="49">
      <alignment horizontal="center" vertical="center" wrapText="1"/>
    </xf>
    <xf numFmtId="10" fontId="4" fillId="4" borderId="11" applyAlignment="1" pivotButton="0" quotePrefix="0" xfId="49">
      <alignment horizontal="center" vertical="center" wrapText="1"/>
    </xf>
    <xf numFmtId="164" fontId="4" fillId="4" borderId="7" applyAlignment="1" pivotButton="0" quotePrefix="0" xfId="49">
      <alignment horizontal="center" vertical="center" wrapText="1"/>
    </xf>
    <xf numFmtId="164" fontId="4" fillId="2" borderId="21" applyAlignment="1" pivotButton="0" quotePrefix="0" xfId="49">
      <alignment horizontal="center" vertical="center" wrapText="1"/>
    </xf>
    <xf numFmtId="164" fontId="4" fillId="2" borderId="22" applyAlignment="1" pivotButton="0" quotePrefix="0" xfId="49">
      <alignment horizontal="center" vertical="center" wrapText="1"/>
    </xf>
    <xf numFmtId="0" fontId="4" fillId="4" borderId="29" applyAlignment="1" pivotButton="0" quotePrefix="0" xfId="49">
      <alignment horizontal="center" vertical="center" wrapText="1"/>
    </xf>
    <xf numFmtId="0" fontId="4" fillId="0" borderId="26" applyAlignment="1" pivotButton="0" quotePrefix="0" xfId="49">
      <alignment horizontal="right" vertical="center" wrapText="1"/>
    </xf>
    <xf numFmtId="0" fontId="0" fillId="2" borderId="0" applyAlignment="1" pivotButton="0" quotePrefix="0" xfId="49">
      <alignment horizontal="center" vertical="center" wrapText="1"/>
    </xf>
    <xf numFmtId="49" fontId="6" fillId="0" borderId="31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 wrapText="1"/>
    </xf>
    <xf numFmtId="164" fontId="6" fillId="0" borderId="7" applyAlignment="1" pivotButton="0" quotePrefix="0" xfId="0">
      <alignment horizontal="center" vertical="center" wrapText="1"/>
    </xf>
    <xf numFmtId="49" fontId="8" fillId="0" borderId="31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0" borderId="32" pivotButton="0" quotePrefix="0" xfId="0"/>
    <xf numFmtId="0" fontId="8" fillId="0" borderId="7" applyAlignment="1" pivotButton="0" quotePrefix="0" xfId="0">
      <alignment horizontal="center" vertical="center" wrapText="1"/>
    </xf>
    <xf numFmtId="164" fontId="8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49">
      <alignment horizontal="left" vertical="center" wrapText="1"/>
    </xf>
    <xf numFmtId="164" fontId="6" fillId="0" borderId="7" applyAlignment="1" pivotButton="0" quotePrefix="0" xfId="49">
      <alignment horizontal="center" vertical="center" wrapText="1"/>
    </xf>
    <xf numFmtId="10" fontId="6" fillId="0" borderId="7" applyAlignment="1" pivotButton="0" quotePrefix="0" xfId="49">
      <alignment horizontal="center" vertical="center" wrapText="1"/>
    </xf>
    <xf numFmtId="167" fontId="6" fillId="0" borderId="7" applyAlignment="1" pivotButton="0" quotePrefix="0" xfId="0">
      <alignment horizontal="center" vertical="center" wrapText="1"/>
    </xf>
    <xf numFmtId="164" fontId="8" fillId="0" borderId="7" applyAlignment="1" pivotButton="0" quotePrefix="0" xfId="49">
      <alignment horizontal="center" vertical="center" wrapText="1"/>
    </xf>
    <xf numFmtId="10" fontId="8" fillId="0" borderId="7" applyAlignment="1" pivotButton="0" quotePrefix="0" xfId="49">
      <alignment horizontal="center" vertical="center" wrapText="1"/>
    </xf>
    <xf numFmtId="167" fontId="8" fillId="0" borderId="7" applyAlignment="1" pivotButton="0" quotePrefix="0" xfId="0">
      <alignment horizontal="center" vertical="center" wrapText="1"/>
    </xf>
    <xf numFmtId="164" fontId="7" fillId="0" borderId="7" applyAlignment="1" pivotButton="0" quotePrefix="0" xfId="49">
      <alignment horizontal="center" vertical="center" wrapText="1"/>
    </xf>
    <xf numFmtId="164" fontId="7" fillId="5" borderId="7" applyAlignment="1" pivotButton="0" quotePrefix="0" xfId="49">
      <alignment horizontal="center" vertical="center" wrapText="1"/>
    </xf>
    <xf numFmtId="164" fontId="7" fillId="5" borderId="21" applyAlignment="1" pivotButton="0" quotePrefix="0" xfId="49">
      <alignment horizontal="center" vertical="center" wrapText="1"/>
    </xf>
    <xf numFmtId="164" fontId="7" fillId="6" borderId="22" applyAlignment="1" pivotButton="0" quotePrefix="0" xfId="49">
      <alignment horizontal="center" vertical="center" wrapText="1"/>
    </xf>
    <xf numFmtId="164" fontId="4" fillId="5" borderId="7" applyAlignment="1" pivotButton="0" quotePrefix="0" xfId="49">
      <alignment horizontal="center" vertical="center" wrapText="1"/>
    </xf>
    <xf numFmtId="164" fontId="8" fillId="5" borderId="7" applyAlignment="1" pivotButton="0" quotePrefix="0" xfId="0">
      <alignment vertical="center" wrapText="1"/>
    </xf>
    <xf numFmtId="164" fontId="8" fillId="6" borderId="14" applyAlignment="1" pivotButton="0" quotePrefix="0" xfId="0">
      <alignment vertical="center" wrapText="1"/>
    </xf>
    <xf numFmtId="0" fontId="6" fillId="0" borderId="30" applyAlignment="1" pivotButton="0" quotePrefix="0" xfId="0">
      <alignment vertical="center" wrapText="1"/>
    </xf>
    <xf numFmtId="0" fontId="8" fillId="0" borderId="30" applyAlignment="1" pivotButton="0" quotePrefix="0" xfId="0">
      <alignment vertical="center" wrapText="1"/>
    </xf>
    <xf numFmtId="0" fontId="7" fillId="0" borderId="31" applyAlignment="1" pivotButton="0" quotePrefix="0" xfId="49">
      <alignment horizontal="center" vertical="center" wrapText="1"/>
    </xf>
    <xf numFmtId="0" fontId="7" fillId="0" borderId="7" applyAlignment="1" pivotButton="0" quotePrefix="0" xfId="49">
      <alignment horizontal="left" vertical="center" wrapText="1"/>
    </xf>
    <xf numFmtId="0" fontId="7" fillId="0" borderId="7" applyAlignment="1" pivotButton="0" quotePrefix="0" xfId="49">
      <alignment horizontal="center" vertical="center" wrapText="1"/>
    </xf>
    <xf numFmtId="0" fontId="9" fillId="0" borderId="33" applyAlignment="1" pivotButton="0" quotePrefix="0" xfId="0">
      <alignment horizontal="center" vertical="center" wrapText="1"/>
    </xf>
    <xf numFmtId="0" fontId="9" fillId="0" borderId="34" applyAlignment="1" pivotButton="0" quotePrefix="0" xfId="0">
      <alignment horizontal="center" vertical="center" wrapText="1"/>
    </xf>
    <xf numFmtId="0" fontId="0" fillId="0" borderId="35" pivotButton="0" quotePrefix="0" xfId="0"/>
    <xf numFmtId="167" fontId="9" fillId="0" borderId="34" applyAlignment="1" pivotButton="0" quotePrefix="0" xfId="0">
      <alignment horizontal="center" vertical="center" wrapText="1"/>
    </xf>
    <xf numFmtId="164" fontId="9" fillId="0" borderId="34" applyAlignment="1" pivotButton="0" quotePrefix="0" xfId="0">
      <alignment horizontal="center" vertical="center" wrapText="1"/>
    </xf>
    <xf numFmtId="0" fontId="4" fillId="5" borderId="36" applyAlignment="1" pivotButton="0" quotePrefix="0" xfId="49">
      <alignment horizontal="center" vertical="center" wrapText="1"/>
    </xf>
    <xf numFmtId="0" fontId="4" fillId="5" borderId="0" applyAlignment="1" pivotButton="0" quotePrefix="0" xfId="49">
      <alignment horizontal="center" vertical="center" wrapText="1"/>
    </xf>
    <xf numFmtId="0" fontId="7" fillId="5" borderId="0" applyAlignment="1" pivotButton="0" quotePrefix="0" xfId="49">
      <alignment horizontal="center" vertical="center" wrapText="1"/>
    </xf>
    <xf numFmtId="167" fontId="9" fillId="5" borderId="0" applyAlignment="1" pivotButton="0" quotePrefix="0" xfId="0">
      <alignment horizontal="center" vertical="center" wrapText="1"/>
    </xf>
    <xf numFmtId="10" fontId="7" fillId="0" borderId="7" applyAlignment="1" pivotButton="0" quotePrefix="0" xfId="49">
      <alignment horizontal="center" vertical="center" wrapText="1"/>
    </xf>
    <xf numFmtId="10" fontId="9" fillId="0" borderId="34" applyAlignment="1" pivotButton="0" quotePrefix="0" xfId="0">
      <alignment horizontal="center" vertical="center" wrapText="1"/>
    </xf>
    <xf numFmtId="164" fontId="10" fillId="0" borderId="34" applyAlignment="1" pivotButton="0" quotePrefix="0" xfId="0">
      <alignment horizontal="center" vertical="center" wrapText="1"/>
    </xf>
    <xf numFmtId="164" fontId="10" fillId="5" borderId="34" applyAlignment="1" pivotButton="0" quotePrefix="0" xfId="0">
      <alignment horizontal="center" vertical="center" wrapText="1"/>
    </xf>
    <xf numFmtId="164" fontId="7" fillId="0" borderId="34" applyAlignment="1" pivotButton="0" quotePrefix="0" xfId="49">
      <alignment horizontal="center" vertical="center" wrapText="1"/>
    </xf>
    <xf numFmtId="10" fontId="0" fillId="6" borderId="0" applyAlignment="1" pivotButton="0" quotePrefix="0" xfId="49">
      <alignment horizontal="center"/>
    </xf>
    <xf numFmtId="164" fontId="7" fillId="0" borderId="30" applyAlignment="1" pivotButton="0" quotePrefix="0" xfId="49">
      <alignment horizontal="center" vertical="center" wrapText="1"/>
    </xf>
    <xf numFmtId="0" fontId="7" fillId="0" borderId="0" applyAlignment="1" pivotButton="0" quotePrefix="0" xfId="0">
      <alignment vertical="center" wrapText="1"/>
    </xf>
    <xf numFmtId="164" fontId="9" fillId="0" borderId="37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10" fontId="0" fillId="0" borderId="0" applyAlignment="1" pivotButton="0" quotePrefix="0" xfId="49">
      <alignment horizontal="center"/>
    </xf>
    <xf numFmtId="164" fontId="4" fillId="0" borderId="0" applyAlignment="1" pivotButton="0" quotePrefix="0" xfId="49">
      <alignment horizontal="center" wrapText="1"/>
    </xf>
    <xf numFmtId="0" fontId="4" fillId="0" borderId="38" applyAlignment="1" pivotButton="0" quotePrefix="0" xfId="49">
      <alignment horizontal="center" vertical="center" wrapText="1"/>
    </xf>
    <xf numFmtId="0" fontId="4" fillId="0" borderId="39" applyAlignment="1" pivotButton="0" quotePrefix="0" xfId="49">
      <alignment horizontal="center" vertical="center" wrapText="1"/>
    </xf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4" fillId="0" borderId="31" applyAlignment="1" pivotButton="0" quotePrefix="0" xfId="49">
      <alignment horizontal="center" vertical="center" wrapText="1"/>
    </xf>
    <xf numFmtId="165" fontId="4" fillId="0" borderId="7" applyAlignment="1" pivotButton="0" quotePrefix="0" xfId="49">
      <alignment horizontal="center" vertical="center" wrapText="1"/>
    </xf>
    <xf numFmtId="166" fontId="4" fillId="0" borderId="7" applyAlignment="1" pivotButton="0" quotePrefix="0" xfId="49">
      <alignment horizontal="center" vertical="center" wrapText="1"/>
    </xf>
    <xf numFmtId="10" fontId="4" fillId="0" borderId="0" applyAlignment="1" pivotButton="0" quotePrefix="0" xfId="49">
      <alignment horizontal="center" wrapText="1"/>
    </xf>
    <xf numFmtId="0" fontId="0" fillId="0" borderId="44" pivotButton="0" quotePrefix="0" xfId="0"/>
    <xf numFmtId="164" fontId="4" fillId="0" borderId="39" applyAlignment="1" pivotButton="0" quotePrefix="0" xfId="49">
      <alignment horizontal="center" vertical="center" wrapText="1"/>
    </xf>
    <xf numFmtId="0" fontId="4" fillId="0" borderId="45" applyAlignment="1" pivotButton="0" quotePrefix="0" xfId="49">
      <alignment horizontal="center" vertical="center" wrapText="1"/>
    </xf>
    <xf numFmtId="0" fontId="0" fillId="0" borderId="46" pivotButton="0" quotePrefix="0" xfId="0"/>
    <xf numFmtId="0" fontId="4" fillId="0" borderId="30" applyAlignment="1" pivotButton="0" quotePrefix="0" xfId="49">
      <alignment vertical="center" wrapText="1"/>
    </xf>
    <xf numFmtId="0" fontId="0" fillId="0" borderId="47" pivotButton="0" quotePrefix="0" xfId="0"/>
    <xf numFmtId="0" fontId="4" fillId="0" borderId="30" applyAlignment="1" pivotButton="0" quotePrefix="0" xfId="49">
      <alignment horizontal="right" vertical="center" wrapText="1"/>
    </xf>
    <xf numFmtId="0" fontId="0" fillId="0" borderId="0" applyAlignment="1" pivotButton="0" quotePrefix="0" xfId="49">
      <alignment horizontal="center" vertical="center" wrapText="1"/>
    </xf>
    <xf numFmtId="0" fontId="0" fillId="0" borderId="0" applyAlignment="1" pivotButton="0" quotePrefix="0" xfId="49">
      <alignment vertical="center"/>
    </xf>
    <xf numFmtId="10" fontId="0" fillId="0" borderId="0" applyAlignment="1" pivotButton="0" quotePrefix="0" xfId="3">
      <alignment horizontal="center"/>
    </xf>
    <xf numFmtId="0" fontId="4" fillId="0" borderId="7" applyAlignment="1" pivotButton="0" quotePrefix="1" xfId="49">
      <alignment horizontal="left" vertical="center" wrapText="1"/>
    </xf>
    <xf numFmtId="164" fontId="0" fillId="0" borderId="0" applyAlignment="1" pivotButton="0" quotePrefix="0" xfId="49">
      <alignment horizontal="center"/>
    </xf>
    <xf numFmtId="0" fontId="0" fillId="0" borderId="0" pivotButton="0" quotePrefix="0" xfId="0"/>
    <xf numFmtId="164" fontId="4" fillId="0" borderId="0" applyAlignment="1" pivotButton="0" quotePrefix="0" xfId="49">
      <alignment horizontal="center" wrapText="1"/>
    </xf>
    <xf numFmtId="164" fontId="4" fillId="0" borderId="39" applyAlignment="1" pivotButton="0" quotePrefix="0" xfId="49">
      <alignment horizontal="center" vertical="center" wrapText="1"/>
    </xf>
    <xf numFmtId="164" fontId="4" fillId="0" borderId="7" applyAlignment="1" pivotButton="0" quotePrefix="0" xfId="49">
      <alignment horizontal="center" vertical="center" wrapText="1"/>
    </xf>
    <xf numFmtId="165" fontId="4" fillId="0" borderId="7" applyAlignment="1" pivotButton="0" quotePrefix="0" xfId="49">
      <alignment horizontal="center" vertical="center" wrapText="1"/>
    </xf>
    <xf numFmtId="166" fontId="4" fillId="0" borderId="7" applyAlignment="1" pivotButton="0" quotePrefix="0" xfId="49">
      <alignment horizontal="center" vertical="center" wrapText="1"/>
    </xf>
    <xf numFmtId="164" fontId="6" fillId="0" borderId="7" applyAlignment="1" pivotButton="0" quotePrefix="0" xfId="0">
      <alignment horizontal="center" vertical="center" wrapText="1"/>
    </xf>
    <xf numFmtId="164" fontId="6" fillId="0" borderId="7" applyAlignment="1" pivotButton="0" quotePrefix="0" xfId="49">
      <alignment horizontal="center" vertical="center" wrapText="1"/>
    </xf>
    <xf numFmtId="167" fontId="6" fillId="0" borderId="7" applyAlignment="1" pivotButton="0" quotePrefix="0" xfId="0">
      <alignment horizontal="center" vertical="center" wrapText="1"/>
    </xf>
    <xf numFmtId="164" fontId="7" fillId="0" borderId="7" applyAlignment="1" pivotButton="0" quotePrefix="0" xfId="49">
      <alignment horizontal="center" vertical="center" wrapText="1"/>
    </xf>
    <xf numFmtId="164" fontId="8" fillId="0" borderId="7" applyAlignment="1" pivotButton="0" quotePrefix="0" xfId="0">
      <alignment horizontal="center" vertical="center" wrapText="1"/>
    </xf>
    <xf numFmtId="164" fontId="8" fillId="0" borderId="7" applyAlignment="1" pivotButton="0" quotePrefix="0" xfId="49">
      <alignment horizontal="center" vertical="center" wrapText="1"/>
    </xf>
    <xf numFmtId="167" fontId="8" fillId="0" borderId="7" applyAlignment="1" pivotButton="0" quotePrefix="0" xfId="0">
      <alignment horizontal="center" vertical="center" wrapText="1"/>
    </xf>
    <xf numFmtId="164" fontId="7" fillId="0" borderId="30" applyAlignment="1" pivotButton="0" quotePrefix="0" xfId="49">
      <alignment horizontal="center" vertical="center" wrapText="1"/>
    </xf>
    <xf numFmtId="167" fontId="9" fillId="0" borderId="34" applyAlignment="1" pivotButton="0" quotePrefix="0" xfId="0">
      <alignment horizontal="center" vertical="center" wrapText="1"/>
    </xf>
    <xf numFmtId="164" fontId="9" fillId="0" borderId="34" applyAlignment="1" pivotButton="0" quotePrefix="0" xfId="0">
      <alignment horizontal="center" vertical="center" wrapText="1"/>
    </xf>
    <xf numFmtId="164" fontId="7" fillId="0" borderId="34" applyAlignment="1" pivotButton="0" quotePrefix="0" xfId="49">
      <alignment horizontal="center" vertical="center" wrapText="1"/>
    </xf>
    <xf numFmtId="164" fontId="9" fillId="0" borderId="37" applyAlignment="1" pivotButton="0" quotePrefix="0" xfId="0">
      <alignment horizontal="center" vertical="center" wrapText="1"/>
    </xf>
    <xf numFmtId="164" fontId="0" fillId="5" borderId="0" applyAlignment="1" pivotButton="0" quotePrefix="0" xfId="49">
      <alignment horizontal="center"/>
    </xf>
    <xf numFmtId="164" fontId="0" fillId="6" borderId="0" applyAlignment="1" pivotButton="0" quotePrefix="0" xfId="49">
      <alignment horizontal="center"/>
    </xf>
    <xf numFmtId="164" fontId="4" fillId="0" borderId="3" applyAlignment="1" pivotButton="0" quotePrefix="0" xfId="49">
      <alignment horizontal="center" vertical="center" wrapText="1"/>
    </xf>
    <xf numFmtId="164" fontId="4" fillId="5" borderId="12" applyAlignment="1" pivotButton="0" quotePrefix="0" xfId="49">
      <alignment horizontal="center" vertical="center" wrapText="1"/>
    </xf>
    <xf numFmtId="164" fontId="4" fillId="6" borderId="12" applyAlignment="1" pivotButton="0" quotePrefix="0" xfId="49">
      <alignment horizontal="center" vertical="center" wrapText="1"/>
    </xf>
    <xf numFmtId="164" fontId="4" fillId="5" borderId="14" applyAlignment="1" pivotButton="0" quotePrefix="0" xfId="49">
      <alignment horizontal="center" vertical="center" wrapText="1"/>
    </xf>
    <xf numFmtId="164" fontId="4" fillId="0" borderId="13" applyAlignment="1" pivotButton="0" quotePrefix="0" xfId="49">
      <alignment horizontal="center" vertical="center" wrapText="1"/>
    </xf>
    <xf numFmtId="164" fontId="4" fillId="0" borderId="18" applyAlignment="1" pivotButton="0" quotePrefix="0" xfId="49">
      <alignment horizontal="center" vertical="center" wrapText="1"/>
    </xf>
    <xf numFmtId="164" fontId="4" fillId="5" borderId="19" applyAlignment="1" pivotButton="0" quotePrefix="0" xfId="49">
      <alignment horizontal="center" vertical="center" wrapText="1"/>
    </xf>
    <xf numFmtId="164" fontId="4" fillId="0" borderId="14" applyAlignment="1" pivotButton="0" quotePrefix="0" xfId="49">
      <alignment horizontal="center" vertical="center" wrapText="1"/>
    </xf>
    <xf numFmtId="164" fontId="4" fillId="5" borderId="20" applyAlignment="1" pivotButton="0" quotePrefix="0" xfId="49">
      <alignment horizontal="center" vertical="center" wrapText="1"/>
    </xf>
    <xf numFmtId="164" fontId="4" fillId="6" borderId="20" applyAlignment="1" pivotButton="0" quotePrefix="0" xfId="49">
      <alignment horizontal="center" vertical="center" wrapText="1"/>
    </xf>
    <xf numFmtId="164" fontId="4" fillId="0" borderId="21" applyAlignment="1" pivotButton="0" quotePrefix="0" xfId="49">
      <alignment horizontal="center" vertical="center" wrapText="1"/>
    </xf>
    <xf numFmtId="164" fontId="4" fillId="5" borderId="21" applyAlignment="1" pivotButton="0" quotePrefix="0" xfId="49">
      <alignment horizontal="center" vertical="center" wrapText="1"/>
    </xf>
    <xf numFmtId="164" fontId="4" fillId="6" borderId="21" applyAlignment="1" pivotButton="0" quotePrefix="0" xfId="49">
      <alignment horizontal="center" vertical="center" wrapText="1"/>
    </xf>
    <xf numFmtId="164" fontId="4" fillId="0" borderId="11" applyAlignment="1" pivotButton="0" quotePrefix="0" xfId="49">
      <alignment horizontal="center" vertical="center" wrapText="1"/>
    </xf>
    <xf numFmtId="164" fontId="4" fillId="5" borderId="11" applyAlignment="1" pivotButton="0" quotePrefix="0" xfId="49">
      <alignment horizontal="center" vertical="center" wrapText="1"/>
    </xf>
    <xf numFmtId="164" fontId="4" fillId="6" borderId="22" applyAlignment="1" pivotButton="0" quotePrefix="0" xfId="49">
      <alignment horizontal="center" vertical="center" wrapText="1"/>
    </xf>
    <xf numFmtId="165" fontId="4" fillId="0" borderId="11" applyAlignment="1" pivotButton="0" quotePrefix="0" xfId="49">
      <alignment horizontal="center" vertical="center" wrapText="1"/>
    </xf>
    <xf numFmtId="165" fontId="4" fillId="5" borderId="11" applyAlignment="1" pivotButton="0" quotePrefix="0" xfId="49">
      <alignment horizontal="center" vertical="center" wrapText="1"/>
    </xf>
    <xf numFmtId="166" fontId="4" fillId="5" borderId="11" applyAlignment="1" pivotButton="0" quotePrefix="0" xfId="49">
      <alignment horizontal="center" vertical="center" wrapText="1"/>
    </xf>
    <xf numFmtId="166" fontId="4" fillId="0" borderId="11" applyAlignment="1" pivotButton="0" quotePrefix="0" xfId="49">
      <alignment horizontal="center" vertical="center" wrapText="1"/>
    </xf>
    <xf numFmtId="164" fontId="4" fillId="2" borderId="11" applyAlignment="1" pivotButton="0" quotePrefix="0" xfId="49">
      <alignment horizontal="center" vertical="center" wrapText="1"/>
    </xf>
    <xf numFmtId="164" fontId="4" fillId="2" borderId="7" applyAlignment="1" pivotButton="0" quotePrefix="0" xfId="49">
      <alignment horizontal="center" vertical="center" wrapText="1"/>
    </xf>
    <xf numFmtId="164" fontId="4" fillId="4" borderId="11" applyAlignment="1" pivotButton="0" quotePrefix="0" xfId="49">
      <alignment horizontal="center" vertical="center" wrapText="1"/>
    </xf>
    <xf numFmtId="164" fontId="4" fillId="4" borderId="7" applyAlignment="1" pivotButton="0" quotePrefix="0" xfId="49">
      <alignment horizontal="center" vertical="center" wrapText="1"/>
    </xf>
    <xf numFmtId="164" fontId="4" fillId="2" borderId="21" applyAlignment="1" pivotButton="0" quotePrefix="0" xfId="49">
      <alignment horizontal="center" vertical="center" wrapText="1"/>
    </xf>
    <xf numFmtId="164" fontId="4" fillId="2" borderId="22" applyAlignment="1" pivotButton="0" quotePrefix="0" xfId="49">
      <alignment horizontal="center" vertical="center" wrapText="1"/>
    </xf>
    <xf numFmtId="164" fontId="7" fillId="5" borderId="7" applyAlignment="1" pivotButton="0" quotePrefix="0" xfId="49">
      <alignment horizontal="center" vertical="center" wrapText="1"/>
    </xf>
    <xf numFmtId="164" fontId="7" fillId="5" borderId="21" applyAlignment="1" pivotButton="0" quotePrefix="0" xfId="49">
      <alignment horizontal="center" vertical="center" wrapText="1"/>
    </xf>
    <xf numFmtId="164" fontId="7" fillId="6" borderId="22" applyAlignment="1" pivotButton="0" quotePrefix="0" xfId="49">
      <alignment horizontal="center" vertical="center" wrapText="1"/>
    </xf>
    <xf numFmtId="164" fontId="4" fillId="5" borderId="7" applyAlignment="1" pivotButton="0" quotePrefix="0" xfId="49">
      <alignment horizontal="center" vertical="center" wrapText="1"/>
    </xf>
    <xf numFmtId="164" fontId="8" fillId="5" borderId="7" applyAlignment="1" pivotButton="0" quotePrefix="0" xfId="0">
      <alignment vertical="center" wrapText="1"/>
    </xf>
    <xf numFmtId="164" fontId="8" fillId="6" borderId="14" applyAlignment="1" pivotButton="0" quotePrefix="0" xfId="0">
      <alignment vertical="center" wrapText="1"/>
    </xf>
    <xf numFmtId="164" fontId="10" fillId="0" borderId="34" applyAlignment="1" pivotButton="0" quotePrefix="0" xfId="0">
      <alignment horizontal="center" vertical="center" wrapText="1"/>
    </xf>
    <xf numFmtId="164" fontId="10" fillId="5" borderId="34" applyAlignment="1" pivotButton="0" quotePrefix="0" xfId="0">
      <alignment horizontal="center" vertical="center" wrapText="1"/>
    </xf>
    <xf numFmtId="167" fontId="9" fillId="5" borderId="0" applyAlignment="1" pivotButton="0" quotePrefix="0" xfId="0">
      <alignment horizontal="center" vertical="center" wrapText="1"/>
    </xf>
    <xf numFmtId="0" fontId="31" fillId="38" borderId="67" applyAlignment="1" pivotButton="0" quotePrefix="0" xfId="0">
      <alignment horizontal="center" vertical="center" wrapText="1"/>
    </xf>
    <xf numFmtId="0" fontId="32" fillId="0" borderId="67" applyAlignment="1" pivotButton="0" quotePrefix="0" xfId="0">
      <alignment horizontal="left" vertical="center" wrapText="1"/>
    </xf>
    <xf numFmtId="164" fontId="32" fillId="0" borderId="67" applyAlignment="1" pivotButton="0" quotePrefix="0" xfId="0">
      <alignment horizontal="left" vertical="center" wrapText="1"/>
    </xf>
    <xf numFmtId="10" fontId="32" fillId="0" borderId="67" applyAlignment="1" pivotButton="0" quotePrefix="0" xfId="0">
      <alignment horizontal="left" vertical="center" wrapText="1"/>
    </xf>
    <xf numFmtId="165" fontId="32" fillId="0" borderId="67" applyAlignment="1" pivotButton="0" quotePrefix="0" xfId="0">
      <alignment horizontal="left" vertical="center" wrapText="1"/>
    </xf>
    <xf numFmtId="166" fontId="32" fillId="0" borderId="67" applyAlignment="1" pivotButton="0" quotePrefix="0" xfId="0">
      <alignment horizontal="left" vertical="center" wrapText="1"/>
    </xf>
    <xf numFmtId="49" fontId="32" fillId="0" borderId="67" applyAlignment="1" pivotButton="0" quotePrefix="0" xfId="0">
      <alignment horizontal="left" vertical="center" wrapText="1"/>
    </xf>
    <xf numFmtId="167" fontId="32" fillId="0" borderId="67" applyAlignment="1" pivotButton="0" quotePrefix="0" xfId="0">
      <alignment horizontal="left" vertical="center" wrapText="1"/>
    </xf>
    <xf numFmtId="0" fontId="32" fillId="5" borderId="67" applyAlignment="1" pivotButton="0" quotePrefix="0" xfId="0">
      <alignment horizontal="left" vertical="center" wrapText="1"/>
    </xf>
    <xf numFmtId="164" fontId="32" fillId="5" borderId="67" applyAlignment="1" pivotButton="0" quotePrefix="0" xfId="0">
      <alignment horizontal="left" vertical="center" wrapText="1"/>
    </xf>
    <xf numFmtId="164" fontId="32" fillId="6" borderId="67" applyAlignment="1" pivotButton="0" quotePrefix="0" xfId="0">
      <alignment horizontal="left" vertical="center" wrapText="1"/>
    </xf>
    <xf numFmtId="165" fontId="32" fillId="5" borderId="67" applyAlignment="1" pivotButton="0" quotePrefix="0" xfId="0">
      <alignment horizontal="left" vertical="center" wrapText="1"/>
    </xf>
    <xf numFmtId="166" fontId="32" fillId="5" borderId="67" applyAlignment="1" pivotButton="0" quotePrefix="0" xfId="0">
      <alignment horizontal="left" vertical="center" wrapText="1"/>
    </xf>
    <xf numFmtId="0" fontId="32" fillId="2" borderId="67" applyAlignment="1" pivotButton="0" quotePrefix="0" xfId="0">
      <alignment horizontal="left" vertical="center" wrapText="1"/>
    </xf>
    <xf numFmtId="164" fontId="32" fillId="2" borderId="67" applyAlignment="1" pivotButton="0" quotePrefix="0" xfId="0">
      <alignment horizontal="left" vertical="center" wrapText="1"/>
    </xf>
    <xf numFmtId="10" fontId="32" fillId="2" borderId="67" applyAlignment="1" pivotButton="0" quotePrefix="0" xfId="0">
      <alignment horizontal="left" vertical="center" wrapText="1"/>
    </xf>
    <xf numFmtId="0" fontId="32" fillId="4" borderId="67" applyAlignment="1" pivotButton="0" quotePrefix="0" xfId="0">
      <alignment horizontal="left" vertical="center" wrapText="1"/>
    </xf>
    <xf numFmtId="164" fontId="32" fillId="4" borderId="67" applyAlignment="1" pivotButton="0" quotePrefix="0" xfId="0">
      <alignment horizontal="left" vertical="center" wrapText="1"/>
    </xf>
    <xf numFmtId="10" fontId="32" fillId="4" borderId="67" applyAlignment="1" pivotButton="0" quotePrefix="0" xfId="0">
      <alignment horizontal="left" vertical="center" wrapText="1"/>
    </xf>
    <xf numFmtId="10" fontId="32" fillId="6" borderId="67" applyAlignment="1" pivotButton="0" quotePrefix="0" xfId="0">
      <alignment horizontal="left" vertical="center" wrapText="1"/>
    </xf>
    <xf numFmtId="167" fontId="32" fillId="5" borderId="67" applyAlignment="1" pivotButton="0" quotePrefix="0" xfId="0">
      <alignment horizontal="left" vertical="center" wrapText="1"/>
    </xf>
    <xf numFmtId="0" fontId="0" fillId="0" borderId="67" pivotButton="0" quotePrefix="0" xfId="0"/>
    <xf numFmtId="0" fontId="32" fillId="0" borderId="6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wrapText="1"/>
    </xf>
    <xf numFmtId="164" fontId="31" fillId="38" borderId="67" applyAlignment="1" pivotButton="0" quotePrefix="0" xfId="0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27</col>
      <colOff>65405</colOff>
      <row>178</row>
      <rowOff>207010</rowOff>
    </from>
    <to>
      <col>28</col>
      <colOff>68580</colOff>
      <row>178</row>
      <rowOff>1104265</rowOff>
    </to>
    <pic>
      <nvPicPr>
        <cNvPr id="2" name="图片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3022560" y="132433060"/>
          <a:ext cx="812800" cy="89725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30</col>
      <colOff>329565</colOff>
      <row>178</row>
      <rowOff>245110</rowOff>
    </from>
    <to>
      <col>32</col>
      <colOff>114935</colOff>
      <row>178</row>
      <rowOff>1062990</rowOff>
    </to>
    <pic>
      <nvPicPr>
        <cNvPr id="3" name="图片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5439370" y="132471160"/>
          <a:ext cx="985520" cy="81788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26</col>
      <colOff>855980</colOff>
      <row>162</row>
      <rowOff>360680</rowOff>
    </from>
    <to>
      <col>28</col>
      <colOff>356870</colOff>
      <row>164</row>
      <rowOff>238125</rowOff>
    </to>
    <pic>
      <nvPicPr>
        <cNvPr id="4" name="图片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22955885" y="118051580"/>
          <a:ext cx="1167765" cy="76327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28</col>
      <colOff>420370</colOff>
      <row>162</row>
      <rowOff>361315</rowOff>
    </from>
    <to>
      <col>29</col>
      <colOff>478790</colOff>
      <row>164</row>
      <rowOff>274320</rowOff>
    </to>
    <pic>
      <nvPicPr>
        <cNvPr id="5" name="图片 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24187150" y="118052215"/>
          <a:ext cx="658495" cy="79883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32</col>
      <colOff>247650</colOff>
      <row>178</row>
      <rowOff>247650</rowOff>
    </from>
    <to>
      <col>33</col>
      <colOff>553085</colOff>
      <row>178</row>
      <rowOff>1047750</rowOff>
    </to>
    <pic>
      <nvPicPr>
        <cNvPr id="6" name="图片 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26557605" y="132473700"/>
          <a:ext cx="905510" cy="80010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28</col>
      <colOff>209550</colOff>
      <row>178</row>
      <rowOff>189865</rowOff>
    </from>
    <to>
      <col>29</col>
      <colOff>589915</colOff>
      <row>178</row>
      <rowOff>1143635</rowOff>
    </to>
    <pic>
      <nvPicPr>
        <cNvPr id="7" name="图片 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23976330" y="132415915"/>
          <a:ext cx="980440" cy="953770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I268"/>
  <sheetViews>
    <sheetView showGridLines="0" view="pageBreakPreview" zoomScale="70" zoomScaleNormal="100" workbookViewId="0">
      <pane ySplit="5" topLeftCell="A6" activePane="bottomLeft" state="frozen"/>
      <selection activeCell="A1" sqref="A1"/>
      <selection pane="bottomLeft" activeCell="F3" sqref="$A3:$XFD5"/>
    </sheetView>
  </sheetViews>
  <sheetFormatPr baseColWidth="8" defaultColWidth="10.5" defaultRowHeight="11.25"/>
  <cols>
    <col width="4.33333333333333" customWidth="1" style="1" min="1" max="1"/>
    <col width="16.1666666666667" customWidth="1" style="1" min="2" max="2"/>
    <col width="16.8444444444444" customWidth="1" style="1" min="3" max="3"/>
    <col width="29.5555555555556" customWidth="1" style="1" min="4" max="4"/>
    <col width="6.22222222222222" customWidth="1" style="1" min="5" max="5"/>
    <col width="11.7555555555556" customWidth="1" style="9" min="6" max="7"/>
    <col width="11.7555555555556" customWidth="1" style="165" min="8" max="9"/>
    <col width="12.3222222222222" customWidth="1" style="9" min="10" max="10"/>
    <col width="18.2777777777778" customWidth="1" style="165" min="11" max="12"/>
    <col width="18.2777777777778" customWidth="1" style="142" min="13" max="13"/>
    <col width="11.2777777777778" customWidth="1" style="9" min="14" max="15"/>
    <col width="11.2777777777778" customWidth="1" style="142" min="16" max="16"/>
    <col width="15.7555555555556" customWidth="1" style="165" min="17" max="17"/>
    <col width="15.1666666666667" customWidth="1" style="165" min="18" max="18"/>
    <col width="11.2777777777778" customWidth="1" style="165" min="19" max="19"/>
    <col width="17.3333333333333" customWidth="1" style="9" min="20" max="20"/>
    <col width="17.6666666666667" customWidth="1" style="9" min="21" max="21"/>
    <col width="17.6333333333333" customWidth="1" style="165" min="22" max="22"/>
    <col width="17.1666666666667" customWidth="1" style="9" min="23" max="23"/>
    <col width="19.6111111111111" customWidth="1" style="165" min="24" max="24"/>
    <col width="18.6222222222222" customWidth="1" style="165" min="25" max="25"/>
    <col width="15.3333333333333" customWidth="1" style="9" min="26" max="26"/>
    <col width="15" customWidth="1" style="71" min="27" max="27"/>
    <col width="14.1666666666667" customWidth="1" style="1" min="28" max="28"/>
    <col width="10.5" customWidth="1" style="1" min="29" max="29"/>
    <col width="13" customWidth="1" style="1" min="30" max="30"/>
    <col width="10.5" customWidth="1" style="1" min="31" max="16384"/>
  </cols>
  <sheetData>
    <row r="1" ht="32" customHeight="1" s="166">
      <c r="A1" s="14" t="inlineStr">
        <is>
          <t>工程量偏差或漏项对比表</t>
        </is>
      </c>
    </row>
    <row r="2" ht="25" customHeight="1" s="166">
      <c r="A2" s="15" t="inlineStr">
        <is>
          <t>工程名称：综合楼</t>
        </is>
      </c>
      <c r="E2" s="15" t="n"/>
      <c r="G2" s="16" t="n"/>
      <c r="H2" s="167" t="n"/>
      <c r="I2" s="167" t="n"/>
      <c r="J2" s="16" t="n"/>
      <c r="K2" s="167" t="n"/>
      <c r="L2" s="167" t="n"/>
      <c r="M2" s="153" t="n"/>
      <c r="N2" s="16" t="n"/>
    </row>
    <row r="3" ht="20" customHeight="1" s="166">
      <c r="A3" s="144" t="inlineStr">
        <is>
          <t>序号</t>
        </is>
      </c>
      <c r="B3" s="145" t="inlineStr">
        <is>
          <t>项目编码</t>
        </is>
      </c>
      <c r="C3" s="145" t="inlineStr">
        <is>
          <t>项目名称</t>
        </is>
      </c>
      <c r="D3" s="145" t="inlineStr">
        <is>
          <t>项目特征描述</t>
        </is>
      </c>
      <c r="E3" s="145" t="inlineStr">
        <is>
          <t>计量单位</t>
        </is>
      </c>
      <c r="F3" s="145" t="inlineStr">
        <is>
          <t>工程量</t>
        </is>
      </c>
      <c r="G3" s="146" t="n"/>
      <c r="H3" s="146" t="n"/>
      <c r="I3" s="146" t="n"/>
      <c r="J3" s="146" t="n"/>
      <c r="K3" s="146" t="n"/>
      <c r="L3" s="146" t="n"/>
      <c r="M3" s="154" t="n"/>
      <c r="N3" s="145" t="inlineStr">
        <is>
          <t>单价（元）</t>
        </is>
      </c>
      <c r="O3" s="146" t="n"/>
      <c r="P3" s="146" t="n"/>
      <c r="Q3" s="146" t="n"/>
      <c r="R3" s="146" t="n"/>
      <c r="S3" s="154" t="n"/>
      <c r="T3" s="145" t="inlineStr">
        <is>
          <t>合价（元）</t>
        </is>
      </c>
      <c r="U3" s="146" t="n"/>
      <c r="V3" s="154" t="n"/>
      <c r="W3" s="168" t="inlineStr">
        <is>
          <t>送审增减部分金额（元）</t>
        </is>
      </c>
      <c r="X3" s="168" t="inlineStr">
        <is>
          <t>审核增减部分金额（元）</t>
        </is>
      </c>
      <c r="Y3" s="168" t="inlineStr">
        <is>
          <t>核增减金额（元）</t>
        </is>
      </c>
      <c r="Z3" s="156" t="inlineStr">
        <is>
          <t>备注</t>
        </is>
      </c>
      <c r="AB3" s="71" t="n"/>
    </row>
    <row r="4" ht="38" customHeight="1" s="166">
      <c r="A4" s="147" t="n"/>
      <c r="B4" s="57" t="n"/>
      <c r="C4" s="57" t="n"/>
      <c r="D4" s="57" t="n"/>
      <c r="E4" s="57" t="n"/>
      <c r="F4" s="24" t="inlineStr">
        <is>
          <t>合同工程量</t>
        </is>
      </c>
      <c r="G4" s="24" t="inlineStr">
        <is>
          <t>送审工程量</t>
        </is>
      </c>
      <c r="H4" s="169" t="inlineStr">
        <is>
          <t>审核工程量</t>
        </is>
      </c>
      <c r="I4" s="169" t="inlineStr">
        <is>
          <t>施工单位复核工程量</t>
        </is>
      </c>
      <c r="J4" s="24" t="inlineStr">
        <is>
          <t>送审增减工程量（±）</t>
        </is>
      </c>
      <c r="K4" s="169" t="inlineStr">
        <is>
          <t>增减工程量（±）</t>
        </is>
      </c>
      <c r="L4" s="169" t="inlineStr">
        <is>
          <t>核增减工程量（±）</t>
        </is>
      </c>
      <c r="M4" s="24" t="inlineStr">
        <is>
          <t>增减工程量比例（%）</t>
        </is>
      </c>
      <c r="N4" s="24" t="inlineStr">
        <is>
          <t>投标单价 （元）</t>
        </is>
      </c>
      <c r="O4" s="24" t="inlineStr">
        <is>
          <t>预算备案单价（元）</t>
        </is>
      </c>
      <c r="P4" s="43" t="inlineStr">
        <is>
          <t>单价偏差率（%）</t>
        </is>
      </c>
      <c r="Q4" s="169" t="inlineStr">
        <is>
          <t>P1*L*(1-15%)</t>
        </is>
      </c>
      <c r="R4" s="169" t="inlineStr">
        <is>
          <t>P1*(1+15%)</t>
        </is>
      </c>
      <c r="S4" s="169" t="inlineStr">
        <is>
          <t>增减部分单价（元）</t>
        </is>
      </c>
      <c r="T4" s="24" t="inlineStr">
        <is>
          <t>合同合价（元）</t>
        </is>
      </c>
      <c r="U4" s="169" t="inlineStr">
        <is>
          <t>结算合价（元）</t>
        </is>
      </c>
      <c r="V4" s="169" t="inlineStr">
        <is>
          <t>审核合价（元）</t>
        </is>
      </c>
      <c r="W4" s="149" t="n"/>
      <c r="X4" s="149" t="n"/>
      <c r="Y4" s="149" t="n"/>
      <c r="Z4" s="157" t="n"/>
    </row>
    <row r="5" ht="25" customHeight="1" s="166">
      <c r="A5" s="148" t="n"/>
      <c r="B5" s="149" t="n"/>
      <c r="C5" s="149" t="n"/>
      <c r="D5" s="149" t="n"/>
      <c r="E5" s="149" t="n"/>
      <c r="F5" s="24" t="inlineStr">
        <is>
          <t>A</t>
        </is>
      </c>
      <c r="G5" s="24" t="inlineStr">
        <is>
          <t>B</t>
        </is>
      </c>
      <c r="H5" s="169" t="inlineStr">
        <is>
          <t>C</t>
        </is>
      </c>
      <c r="I5" s="169" t="n"/>
      <c r="J5" s="24" t="inlineStr">
        <is>
          <t>D=B-A</t>
        </is>
      </c>
      <c r="K5" s="169" t="inlineStr">
        <is>
          <t>D=C-A</t>
        </is>
      </c>
      <c r="L5" s="169" t="inlineStr">
        <is>
          <t>E=C-B</t>
        </is>
      </c>
      <c r="M5" s="24" t="inlineStr">
        <is>
          <t>E=D/A</t>
        </is>
      </c>
      <c r="N5" s="24" t="inlineStr">
        <is>
          <t>P0</t>
        </is>
      </c>
      <c r="O5" s="24" t="inlineStr">
        <is>
          <t>P1</t>
        </is>
      </c>
      <c r="P5" s="43" t="inlineStr">
        <is>
          <t>H=(P1-P0)/P1</t>
        </is>
      </c>
      <c r="Q5" s="169" t="inlineStr">
        <is>
          <t>打印时隐藏</t>
        </is>
      </c>
      <c r="R5" s="169" t="inlineStr">
        <is>
          <t>打印时隐藏</t>
        </is>
      </c>
      <c r="S5" s="169" t="inlineStr">
        <is>
          <t>I</t>
        </is>
      </c>
      <c r="T5" s="24" t="inlineStr">
        <is>
          <t>J</t>
        </is>
      </c>
      <c r="U5" s="169" t="inlineStr">
        <is>
          <t>K</t>
        </is>
      </c>
      <c r="V5" s="169" t="inlineStr">
        <is>
          <t>L</t>
        </is>
      </c>
      <c r="W5" s="169" t="inlineStr">
        <is>
          <t>M=K-J</t>
        </is>
      </c>
      <c r="X5" s="169" t="inlineStr">
        <is>
          <t>N</t>
        </is>
      </c>
      <c r="Y5" s="169" t="inlineStr">
        <is>
          <t>O</t>
        </is>
      </c>
      <c r="Z5" s="158" t="n"/>
    </row>
    <row r="6" ht="28.5" customFormat="1" customHeight="1" s="1">
      <c r="A6" s="150" t="n"/>
      <c r="B6" s="104" t="n"/>
      <c r="C6" s="104" t="inlineStr">
        <is>
          <t>土石方工程</t>
        </is>
      </c>
      <c r="D6" s="104" t="n"/>
      <c r="E6" s="104" t="n"/>
      <c r="F6" s="24" t="n"/>
      <c r="G6" s="24" t="n"/>
      <c r="H6" s="169" t="n"/>
      <c r="I6" s="169" t="n"/>
      <c r="J6" s="24" t="n"/>
      <c r="K6" s="169" t="n"/>
      <c r="L6" s="169" t="n"/>
      <c r="M6" s="43" t="n"/>
      <c r="N6" s="24" t="n"/>
      <c r="O6" s="24" t="n"/>
      <c r="P6" s="43" t="n"/>
      <c r="Q6" s="169" t="n"/>
      <c r="R6" s="169" t="n"/>
      <c r="S6" s="169" t="n"/>
      <c r="T6" s="169" t="n">
        <v>139151.88</v>
      </c>
      <c r="U6" s="169" t="n">
        <v>139151.88</v>
      </c>
      <c r="V6" s="169">
        <f>+SUM(V7:V12)</f>
        <v/>
      </c>
      <c r="W6" s="169">
        <f>U6-T6</f>
        <v/>
      </c>
      <c r="X6" s="169" t="n"/>
      <c r="Y6" s="169" t="n"/>
      <c r="Z6" s="80" t="n"/>
      <c r="AA6" s="71" t="n"/>
    </row>
    <row r="7" ht="18" customHeight="1" s="166">
      <c r="A7" s="150" t="n">
        <v>1</v>
      </c>
      <c r="B7" s="104" t="inlineStr">
        <is>
          <t>010101001001</t>
        </is>
      </c>
      <c r="C7" s="104" t="inlineStr">
        <is>
          <t>平整场地</t>
        </is>
      </c>
      <c r="D7" s="104" t="inlineStr">
        <is>
          <t>1.平整场地</t>
        </is>
      </c>
      <c r="E7" s="24" t="inlineStr">
        <is>
          <t>m2</t>
        </is>
      </c>
      <c r="F7" s="169" t="n">
        <v>2090.01</v>
      </c>
      <c r="G7" s="169" t="n">
        <v>2090.01</v>
      </c>
      <c r="H7" s="169" t="n">
        <v>2090.01</v>
      </c>
      <c r="I7" s="169" t="n"/>
      <c r="J7" s="169">
        <f>G7-F7</f>
        <v/>
      </c>
      <c r="K7" s="169">
        <f>H7-F7</f>
        <v/>
      </c>
      <c r="L7" s="169">
        <f>H7-G7</f>
        <v/>
      </c>
      <c r="M7" s="43">
        <f>J7/F7</f>
        <v/>
      </c>
      <c r="N7" s="24" t="n">
        <v>2.32</v>
      </c>
      <c r="O7" s="24" t="n">
        <v>2.49</v>
      </c>
      <c r="P7" s="43">
        <f>(N7-O7)/O7</f>
        <v/>
      </c>
      <c r="Q7" s="169">
        <f>O7*0.9056*0.85</f>
        <v/>
      </c>
      <c r="R7" s="169">
        <f>O7*1.15</f>
        <v/>
      </c>
      <c r="S7" s="169">
        <f>IF(N7&lt;O7*0.9056*0.85,O7*0.9056*0.85,IF(N7&gt;O7*1.15,O7*1.15,N7))</f>
        <v/>
      </c>
      <c r="T7" s="169" t="n">
        <v>4848.83</v>
      </c>
      <c r="U7" s="169" t="n">
        <v>4848.83</v>
      </c>
      <c r="V7" s="169">
        <f>T7+S7*K7</f>
        <v/>
      </c>
      <c r="W7" s="169">
        <f>U7-T7</f>
        <v/>
      </c>
      <c r="X7" s="169">
        <f>V7-T7</f>
        <v/>
      </c>
      <c r="Y7" s="169">
        <f>V7-U7</f>
        <v/>
      </c>
      <c r="Z7" s="80" t="inlineStr">
        <is>
          <t>包干</t>
        </is>
      </c>
    </row>
    <row r="8" ht="42" customHeight="1" s="166">
      <c r="A8" s="150" t="n">
        <v>2</v>
      </c>
      <c r="B8" s="104" t="inlineStr">
        <is>
          <t>010101002001</t>
        </is>
      </c>
      <c r="C8" s="104" t="inlineStr">
        <is>
          <t>挖一般土方</t>
        </is>
      </c>
      <c r="D8" s="104" t="inlineStr">
        <is>
          <t>1.土壤类别:综合考虑
2.挖土深度:综合考虑
3.综合考虑桩间土开挖等因素</t>
        </is>
      </c>
      <c r="E8" s="24" t="inlineStr">
        <is>
          <t>m3</t>
        </is>
      </c>
      <c r="F8" s="169" t="n">
        <v>1585.62</v>
      </c>
      <c r="G8" s="169" t="n">
        <v>1585.62</v>
      </c>
      <c r="H8" s="169" t="n">
        <v>1585.62</v>
      </c>
      <c r="I8" s="169" t="n"/>
      <c r="J8" s="169">
        <f>G8-F8</f>
        <v/>
      </c>
      <c r="K8" s="169">
        <f>H8-F8</f>
        <v/>
      </c>
      <c r="L8" s="169">
        <f>H8-G8</f>
        <v/>
      </c>
      <c r="M8" s="43">
        <f>J8/F8</f>
        <v/>
      </c>
      <c r="N8" s="24" t="n">
        <v>5.77</v>
      </c>
      <c r="O8" s="24" t="n">
        <v>6.22</v>
      </c>
      <c r="P8" s="43">
        <f>(N8-O8)/O8</f>
        <v/>
      </c>
      <c r="Q8" s="169">
        <f>O8*0.9056*0.85</f>
        <v/>
      </c>
      <c r="R8" s="169">
        <f>O8*1.15</f>
        <v/>
      </c>
      <c r="S8" s="169">
        <f>IF(N8&lt;O8*0.9056*0.85,O8*0.9056*0.85,IF(N8&gt;O8*1.15,O8*1.15,N8))</f>
        <v/>
      </c>
      <c r="T8" s="169" t="n">
        <v>9149</v>
      </c>
      <c r="U8" s="169" t="n">
        <v>9149</v>
      </c>
      <c r="V8" s="169">
        <f>T8+S8*K8</f>
        <v/>
      </c>
      <c r="W8" s="169">
        <f>U8-T8</f>
        <v/>
      </c>
      <c r="X8" s="169">
        <f>V8-T8</f>
        <v/>
      </c>
      <c r="Y8" s="169">
        <f>V8-U8</f>
        <v/>
      </c>
      <c r="Z8" s="159" t="n"/>
    </row>
    <row r="9" ht="43" customHeight="1" s="166">
      <c r="A9" s="150" t="n">
        <v>3</v>
      </c>
      <c r="B9" s="104" t="inlineStr">
        <is>
          <t>010101003001</t>
        </is>
      </c>
      <c r="C9" s="104" t="inlineStr">
        <is>
          <t>挖沟槽土方</t>
        </is>
      </c>
      <c r="D9" s="104" t="inlineStr">
        <is>
          <t>1.土壤类别:综合考虑
2.挖土深度:综合考虑</t>
        </is>
      </c>
      <c r="E9" s="24" t="inlineStr">
        <is>
          <t>m3</t>
        </is>
      </c>
      <c r="F9" s="169" t="n">
        <v>350.37</v>
      </c>
      <c r="G9" s="169" t="n">
        <v>350.37</v>
      </c>
      <c r="H9" s="169" t="n">
        <v>350.37</v>
      </c>
      <c r="I9" s="169" t="n"/>
      <c r="J9" s="169">
        <f>G9-F9</f>
        <v/>
      </c>
      <c r="K9" s="169">
        <f>H9-F9</f>
        <v/>
      </c>
      <c r="L9" s="169">
        <f>H9-G9</f>
        <v/>
      </c>
      <c r="M9" s="43">
        <f>J9/F9</f>
        <v/>
      </c>
      <c r="N9" s="24" t="n">
        <v>9.859999999999999</v>
      </c>
      <c r="O9" s="24" t="n">
        <v>9.32</v>
      </c>
      <c r="P9" s="43">
        <f>(N9-O9)/O9</f>
        <v/>
      </c>
      <c r="Q9" s="169">
        <f>O9*0.9056*0.85</f>
        <v/>
      </c>
      <c r="R9" s="169">
        <f>O9*1.15</f>
        <v/>
      </c>
      <c r="S9" s="169">
        <f>IF(N9&lt;O9*0.9056*0.85,O9*0.9056*0.85,IF(N9&gt;O9*1.15,O9*1.15,N9))</f>
        <v/>
      </c>
      <c r="T9" s="169" t="n">
        <v>3454.64</v>
      </c>
      <c r="U9" s="169" t="n">
        <v>3454.64</v>
      </c>
      <c r="V9" s="169">
        <f>T9+S9*K9</f>
        <v/>
      </c>
      <c r="W9" s="169">
        <f>U9-T9</f>
        <v/>
      </c>
      <c r="X9" s="169">
        <f>V9-T9</f>
        <v/>
      </c>
      <c r="Y9" s="169">
        <f>V9-U9</f>
        <v/>
      </c>
      <c r="Z9" s="159" t="n"/>
    </row>
    <row r="10" ht="43" customHeight="1" s="166">
      <c r="A10" s="150" t="n">
        <v>4</v>
      </c>
      <c r="B10" s="104" t="inlineStr">
        <is>
          <t>010101004001</t>
        </is>
      </c>
      <c r="C10" s="104" t="inlineStr">
        <is>
          <t>挖基坑土方</t>
        </is>
      </c>
      <c r="D10" s="104" t="inlineStr">
        <is>
          <t>1.土壤类别:综合考虑
2.挖土深度:综合考虑</t>
        </is>
      </c>
      <c r="E10" s="24" t="inlineStr">
        <is>
          <t>m3</t>
        </is>
      </c>
      <c r="F10" s="169" t="n">
        <v>752.53</v>
      </c>
      <c r="G10" s="169" t="n">
        <v>752.53</v>
      </c>
      <c r="H10" s="169" t="n">
        <v>752.53</v>
      </c>
      <c r="I10" s="169" t="n"/>
      <c r="J10" s="169">
        <f>G10-F10</f>
        <v/>
      </c>
      <c r="K10" s="169">
        <f>H10-F10</f>
        <v/>
      </c>
      <c r="L10" s="169">
        <f>H10-G10</f>
        <v/>
      </c>
      <c r="M10" s="43">
        <f>J10/F10</f>
        <v/>
      </c>
      <c r="N10" s="24" t="n">
        <v>8.25</v>
      </c>
      <c r="O10" s="24" t="n">
        <v>9.449999999999999</v>
      </c>
      <c r="P10" s="43">
        <f>(N10-O10)/O10</f>
        <v/>
      </c>
      <c r="Q10" s="169">
        <f>O10*0.9056*0.85</f>
        <v/>
      </c>
      <c r="R10" s="169">
        <f>O10*1.15</f>
        <v/>
      </c>
      <c r="S10" s="169">
        <f>IF(N10&lt;O10*0.9056*0.85,O10*0.9056*0.85,IF(N10&gt;O10*1.15,O10*1.15,N10))</f>
        <v/>
      </c>
      <c r="T10" s="169" t="n">
        <v>6208.41</v>
      </c>
      <c r="U10" s="169" t="n">
        <v>6208.41</v>
      </c>
      <c r="V10" s="169">
        <f>T10+S10*K10</f>
        <v/>
      </c>
      <c r="W10" s="169">
        <f>U10-T10</f>
        <v/>
      </c>
      <c r="X10" s="169">
        <f>V10-T10</f>
        <v/>
      </c>
      <c r="Y10" s="169">
        <f>V10-U10</f>
        <v/>
      </c>
      <c r="Z10" s="159" t="n"/>
    </row>
    <row r="11" ht="41.25" customHeight="1" s="166">
      <c r="A11" s="150" t="n">
        <v>5</v>
      </c>
      <c r="B11" s="104" t="inlineStr">
        <is>
          <t>010103001001</t>
        </is>
      </c>
      <c r="C11" s="104" t="inlineStr">
        <is>
          <t>回填方</t>
        </is>
      </c>
      <c r="D11" s="104" t="inlineStr">
        <is>
          <t>1.填方材料品种:原土
2.密实度要求:按设计及规范要求</t>
        </is>
      </c>
      <c r="E11" s="24" t="inlineStr">
        <is>
          <t>m3</t>
        </is>
      </c>
      <c r="F11" s="169" t="n">
        <v>764.17</v>
      </c>
      <c r="G11" s="169" t="n">
        <v>764.17</v>
      </c>
      <c r="H11" s="169" t="n">
        <v>764.17</v>
      </c>
      <c r="I11" s="169" t="n"/>
      <c r="J11" s="169">
        <f>G11-F11</f>
        <v/>
      </c>
      <c r="K11" s="169">
        <f>H11-F11</f>
        <v/>
      </c>
      <c r="L11" s="169">
        <f>H11-G11</f>
        <v/>
      </c>
      <c r="M11" s="43">
        <f>J11/F11</f>
        <v/>
      </c>
      <c r="N11" s="24" t="n">
        <v>17.92</v>
      </c>
      <c r="O11" s="24" t="n">
        <v>19.89</v>
      </c>
      <c r="P11" s="43">
        <f>(N11-O11)/O11</f>
        <v/>
      </c>
      <c r="Q11" s="169">
        <f>O11*0.9056*0.85</f>
        <v/>
      </c>
      <c r="R11" s="169">
        <f>O11*1.15</f>
        <v/>
      </c>
      <c r="S11" s="169">
        <f>IF(N11&lt;O11*0.9056*0.85,O11*0.9056*0.85,IF(N11&gt;O11*1.15,O11*1.15,N11))</f>
        <v/>
      </c>
      <c r="T11" s="169" t="n">
        <v>13694</v>
      </c>
      <c r="U11" s="169" t="n">
        <v>13694</v>
      </c>
      <c r="V11" s="169">
        <f>T11+S11*K11</f>
        <v/>
      </c>
      <c r="W11" s="169">
        <f>U11-T11</f>
        <v/>
      </c>
      <c r="X11" s="169">
        <f>V11-T11</f>
        <v/>
      </c>
      <c r="Y11" s="169">
        <f>V11-U11</f>
        <v/>
      </c>
      <c r="Z11" s="159" t="n"/>
    </row>
    <row r="12" ht="41.25" customHeight="1" s="166">
      <c r="A12" s="150" t="n">
        <v>6</v>
      </c>
      <c r="B12" s="104" t="inlineStr">
        <is>
          <t>010103002001</t>
        </is>
      </c>
      <c r="C12" s="104" t="inlineStr">
        <is>
          <t>余方弃置</t>
        </is>
      </c>
      <c r="D12" s="104" t="inlineStr">
        <is>
          <t>1.土方弃置
2.运距:智能渣土车运输运距综合考虑</t>
        </is>
      </c>
      <c r="E12" s="24" t="inlineStr">
        <is>
          <t>m3</t>
        </is>
      </c>
      <c r="F12" s="169" t="n">
        <v>1809.72</v>
      </c>
      <c r="G12" s="169" t="n">
        <v>1809.72</v>
      </c>
      <c r="H12" s="169" t="n">
        <v>1809.72</v>
      </c>
      <c r="I12" s="169" t="n"/>
      <c r="J12" s="169">
        <f>G12-F12</f>
        <v/>
      </c>
      <c r="K12" s="169">
        <f>H12-F12</f>
        <v/>
      </c>
      <c r="L12" s="169">
        <f>H12-G12</f>
        <v/>
      </c>
      <c r="M12" s="43">
        <f>J12/F12</f>
        <v/>
      </c>
      <c r="N12" s="24" t="n">
        <v>56.25</v>
      </c>
      <c r="O12" s="24" t="n">
        <v>59.2</v>
      </c>
      <c r="P12" s="43">
        <f>(N12-O12)/O12</f>
        <v/>
      </c>
      <c r="Q12" s="169">
        <f>O12*0.9056*0.85</f>
        <v/>
      </c>
      <c r="R12" s="169">
        <f>O12*1.15</f>
        <v/>
      </c>
      <c r="S12" s="169">
        <f>IF(N12&lt;O12*0.9056*0.85,O12*0.9056*0.85,IF(N12&gt;O12*1.15,O12*1.15,N12))</f>
        <v/>
      </c>
      <c r="T12" s="169" t="n">
        <v>101797</v>
      </c>
      <c r="U12" s="169" t="n">
        <v>101797</v>
      </c>
      <c r="V12" s="169">
        <f>T12+S12*K12</f>
        <v/>
      </c>
      <c r="W12" s="169">
        <f>U12-T12</f>
        <v/>
      </c>
      <c r="X12" s="169">
        <f>V12-T12</f>
        <v/>
      </c>
      <c r="Y12" s="169">
        <f>V12-U12</f>
        <v/>
      </c>
      <c r="Z12" s="157" t="n"/>
    </row>
    <row r="13" ht="28.5" customFormat="1" customHeight="1" s="1">
      <c r="A13" s="150" t="n"/>
      <c r="B13" s="104" t="n"/>
      <c r="C13" s="104" t="inlineStr">
        <is>
          <t>桩基工程</t>
        </is>
      </c>
      <c r="D13" s="104" t="n"/>
      <c r="E13" s="104" t="n"/>
      <c r="F13" s="169" t="n"/>
      <c r="G13" s="169" t="n"/>
      <c r="H13" s="169" t="n"/>
      <c r="I13" s="169" t="n"/>
      <c r="J13" s="169" t="n"/>
      <c r="K13" s="169" t="n"/>
      <c r="L13" s="169" t="n"/>
      <c r="M13" s="43" t="n"/>
      <c r="N13" s="24" t="n"/>
      <c r="O13" s="24" t="n"/>
      <c r="P13" s="43" t="n"/>
      <c r="Q13" s="169" t="n"/>
      <c r="R13" s="169" t="n"/>
      <c r="S13" s="169" t="n"/>
      <c r="T13" s="169" t="n">
        <v>1069070.38</v>
      </c>
      <c r="U13" s="169" t="n">
        <v>1137925.24</v>
      </c>
      <c r="V13" s="169">
        <f>+SUM(V14:V19)</f>
        <v/>
      </c>
      <c r="W13" s="169">
        <f>U13-T13</f>
        <v/>
      </c>
      <c r="X13" s="169">
        <f>V13-T13</f>
        <v/>
      </c>
      <c r="Y13" s="169">
        <f>V13-U13</f>
        <v/>
      </c>
      <c r="Z13" s="80" t="n"/>
      <c r="AA13" s="71" t="n"/>
    </row>
    <row r="14" ht="107" customHeight="1" s="166">
      <c r="A14" s="150" t="n">
        <v>7</v>
      </c>
      <c r="B14" s="104" t="inlineStr">
        <is>
          <t>010301002001</t>
        </is>
      </c>
      <c r="C14" s="104" t="inlineStr">
        <is>
          <t>预制钢筋混凝土管桩</t>
        </is>
      </c>
      <c r="D14" s="104" t="inlineStr">
        <is>
          <t>1.桩外径、壁厚:Φ400PHC80预应力管桩AB型壁厚95mm（综合考虑抗拔桩）
2.沉桩方法:静压
3.混凝土强度等级:C40\C30
4.填充材料种类:微膨胀混凝土
5.接桩
6.预埋钢板</t>
        </is>
      </c>
      <c r="E14" s="24" t="inlineStr">
        <is>
          <t>m</t>
        </is>
      </c>
      <c r="F14" s="169" t="n">
        <v>3420</v>
      </c>
      <c r="G14" s="169" t="n">
        <v>3847.9</v>
      </c>
      <c r="H14" s="169" t="n">
        <v>3536.74</v>
      </c>
      <c r="I14" s="169" t="n"/>
      <c r="J14" s="169">
        <f>G14-F14</f>
        <v/>
      </c>
      <c r="K14" s="169">
        <f>H14-F14</f>
        <v/>
      </c>
      <c r="L14" s="169">
        <f>H14-G14</f>
        <v/>
      </c>
      <c r="M14" s="43">
        <f>J14/F14</f>
        <v/>
      </c>
      <c r="N14" s="24" t="n">
        <v>276.89</v>
      </c>
      <c r="O14" s="24" t="n">
        <v>320.16</v>
      </c>
      <c r="P14" s="43">
        <f>(N14-O14)/O14</f>
        <v/>
      </c>
      <c r="Q14" s="169">
        <f>O14*0.9056*0.85</f>
        <v/>
      </c>
      <c r="R14" s="169">
        <f>O14*1.15</f>
        <v/>
      </c>
      <c r="S14" s="169">
        <f>IF(N14&lt;O14*0.9056*0.85,O14*0.9056*0.85,IF(N14&gt;O14*1.15,O14*1.15,N14))</f>
        <v/>
      </c>
      <c r="T14" s="169" t="n">
        <v>946963.8</v>
      </c>
      <c r="U14" s="169" t="n">
        <v>1065445.03</v>
      </c>
      <c r="V14" s="169">
        <f>T14+S14*K14</f>
        <v/>
      </c>
      <c r="W14" s="169">
        <f>U14-T14</f>
        <v/>
      </c>
      <c r="X14" s="169">
        <f>V14-T14</f>
        <v/>
      </c>
      <c r="Y14" s="169">
        <f>V14-U14</f>
        <v/>
      </c>
      <c r="Z14" s="80" t="n"/>
    </row>
    <row r="15" ht="98" customFormat="1" customHeight="1" s="1">
      <c r="A15" s="150" t="n">
        <v>8</v>
      </c>
      <c r="B15" s="104" t="inlineStr">
        <is>
          <t>010301002002</t>
        </is>
      </c>
      <c r="C15" s="104" t="inlineStr">
        <is>
          <t>预制钢筋混凝土管桩（试验桩）</t>
        </is>
      </c>
      <c r="D15" s="104" t="inlineStr">
        <is>
          <t>1.桩外径、壁厚:Φ400PHC80预应力管桩AB型壁厚95mm
2.沉桩方法:静压
3.混凝土强度等级:C40\C30
4.填充材料种类:微膨胀混凝土
5.接桩
6.预埋钢板</t>
        </is>
      </c>
      <c r="E15" s="24" t="inlineStr">
        <is>
          <t>m</t>
        </is>
      </c>
      <c r="F15" s="169" t="n">
        <v>100</v>
      </c>
      <c r="G15" s="169" t="n">
        <v>0</v>
      </c>
      <c r="H15" s="169" t="n">
        <v>0</v>
      </c>
      <c r="I15" s="169" t="n"/>
      <c r="J15" s="169">
        <f>G15-F15</f>
        <v/>
      </c>
      <c r="K15" s="169">
        <f>H15-F15</f>
        <v/>
      </c>
      <c r="L15" s="169">
        <f>H15-G15</f>
        <v/>
      </c>
      <c r="M15" s="43">
        <f>J15/F15</f>
        <v/>
      </c>
      <c r="N15" s="24" t="n">
        <v>315.52</v>
      </c>
      <c r="O15" s="24" t="n">
        <v>357.1</v>
      </c>
      <c r="P15" s="43">
        <f>(N15-O15)/O15</f>
        <v/>
      </c>
      <c r="Q15" s="169">
        <f>O15*0.9056*0.85</f>
        <v/>
      </c>
      <c r="R15" s="169">
        <f>O15*1.15</f>
        <v/>
      </c>
      <c r="S15" s="169">
        <f>IF(N15&lt;O15*0.9056*0.85,O15*0.9056*0.85,IF(N15&gt;O15*1.15,O15*1.15,N15))</f>
        <v/>
      </c>
      <c r="T15" s="169" t="n">
        <v>31552</v>
      </c>
      <c r="U15" s="169" t="n">
        <v>0</v>
      </c>
      <c r="V15" s="169">
        <f>T15+S15*K15</f>
        <v/>
      </c>
      <c r="W15" s="169">
        <f>U15-T15</f>
        <v/>
      </c>
      <c r="X15" s="169">
        <f>V15-T15</f>
        <v/>
      </c>
      <c r="Y15" s="169">
        <f>V15-U15</f>
        <v/>
      </c>
      <c r="Z15" s="160" t="n"/>
      <c r="AA15" s="71" t="n"/>
    </row>
    <row r="16" ht="58" customFormat="1" customHeight="1" s="1">
      <c r="A16" s="150" t="n">
        <v>9</v>
      </c>
      <c r="B16" s="104" t="inlineStr">
        <is>
          <t>010301002004</t>
        </is>
      </c>
      <c r="C16" s="104" t="inlineStr">
        <is>
          <t>预制钢筋混凝土管桩（送桩）</t>
        </is>
      </c>
      <c r="D16" s="104" t="inlineStr">
        <is>
          <t>1.桩外径、壁厚:Φ400PHC80预应力管桩AB型壁厚95mm</t>
        </is>
      </c>
      <c r="E16" s="24" t="inlineStr">
        <is>
          <t>m</t>
        </is>
      </c>
      <c r="F16" s="169" t="n">
        <v>264</v>
      </c>
      <c r="G16" s="169" t="n">
        <v>122.3</v>
      </c>
      <c r="H16" s="169" t="n">
        <v>122.3</v>
      </c>
      <c r="I16" s="169" t="n"/>
      <c r="J16" s="169">
        <f>G16-F16</f>
        <v/>
      </c>
      <c r="K16" s="169">
        <f>H16-F16</f>
        <v/>
      </c>
      <c r="L16" s="169">
        <f>H16-G16</f>
        <v/>
      </c>
      <c r="M16" s="43">
        <f>J16/F16</f>
        <v/>
      </c>
      <c r="N16" s="24" t="n">
        <v>56.37</v>
      </c>
      <c r="O16" s="24" t="n">
        <v>58.71</v>
      </c>
      <c r="P16" s="43">
        <f>(N16-O16)/O16</f>
        <v/>
      </c>
      <c r="Q16" s="169">
        <f>O16*0.9056*0.85</f>
        <v/>
      </c>
      <c r="R16" s="169">
        <f>O16*1.15</f>
        <v/>
      </c>
      <c r="S16" s="169">
        <f>IF(N16&lt;O16*0.9056*0.85,O16*0.9056*0.85,IF(N16&gt;O16*1.15,O16*1.15,N16))</f>
        <v/>
      </c>
      <c r="T16" s="169" t="n">
        <v>14881.68</v>
      </c>
      <c r="U16" s="169" t="n">
        <v>6894.05</v>
      </c>
      <c r="V16" s="169">
        <f>T16+S16*K16</f>
        <v/>
      </c>
      <c r="W16" s="169">
        <f>U16-T16</f>
        <v/>
      </c>
      <c r="X16" s="169">
        <f>V16-T16</f>
        <v/>
      </c>
      <c r="Y16" s="169">
        <f>V16-U16</f>
        <v/>
      </c>
      <c r="Z16" s="160" t="n"/>
      <c r="AA16" s="71" t="n"/>
    </row>
    <row r="17" ht="66" customHeight="1" s="166">
      <c r="A17" s="150" t="n">
        <v>10</v>
      </c>
      <c r="B17" s="104" t="inlineStr">
        <is>
          <t>010301004001</t>
        </is>
      </c>
      <c r="C17" s="104" t="inlineStr">
        <is>
          <t>截(凿)桩头</t>
        </is>
      </c>
      <c r="D17" s="104" t="inlineStr">
        <is>
          <t>1.桩类型:管桩
2.桩头截面、高度:桩径D为400
3.场外运输:综合考虑</t>
        </is>
      </c>
      <c r="E17" s="24" t="inlineStr">
        <is>
          <t>根</t>
        </is>
      </c>
      <c r="F17" s="169" t="n">
        <v>176</v>
      </c>
      <c r="G17" s="169" t="n">
        <v>176</v>
      </c>
      <c r="H17" s="170" t="n">
        <v>176</v>
      </c>
      <c r="I17" s="170" t="n"/>
      <c r="J17" s="169">
        <f>G17-F17</f>
        <v/>
      </c>
      <c r="K17" s="169">
        <f>H17-F17</f>
        <v/>
      </c>
      <c r="L17" s="169">
        <f>H17-G17</f>
        <v/>
      </c>
      <c r="M17" s="43">
        <f>J17/F17</f>
        <v/>
      </c>
      <c r="N17" s="24" t="n">
        <v>78.16</v>
      </c>
      <c r="O17" s="24" t="n">
        <v>95.36</v>
      </c>
      <c r="P17" s="43">
        <f>(N17-O17)/O17</f>
        <v/>
      </c>
      <c r="Q17" s="169">
        <f>O17*0.9056*0.85</f>
        <v/>
      </c>
      <c r="R17" s="169">
        <f>O17*1.15</f>
        <v/>
      </c>
      <c r="S17" s="169">
        <f>IF(N17&lt;O17*0.9056*0.85,O17*0.9056*0.85,IF(N17&gt;O17*1.15,O17*1.15,N17))</f>
        <v/>
      </c>
      <c r="T17" s="169" t="n">
        <v>13756.16</v>
      </c>
      <c r="U17" s="169" t="n">
        <v>13756.16</v>
      </c>
      <c r="V17" s="169">
        <f>T17+S17*K17</f>
        <v/>
      </c>
      <c r="W17" s="169">
        <f>U17-T17</f>
        <v/>
      </c>
      <c r="X17" s="169">
        <f>V17-T17</f>
        <v/>
      </c>
      <c r="Y17" s="169">
        <f>V17-U17</f>
        <v/>
      </c>
      <c r="Z17" s="80" t="n"/>
    </row>
    <row r="18" ht="41.25" customHeight="1" s="166">
      <c r="A18" s="150" t="n">
        <v>11</v>
      </c>
      <c r="B18" s="104" t="inlineStr">
        <is>
          <t>粤010301005001</t>
        </is>
      </c>
      <c r="C18" s="104" t="inlineStr">
        <is>
          <t>桩尖</t>
        </is>
      </c>
      <c r="D18" s="104" t="inlineStr">
        <is>
          <t>1.钢桩尖制作
2.桩径:400
3.具体做法详见图纸</t>
        </is>
      </c>
      <c r="E18" s="24" t="inlineStr">
        <is>
          <t>个</t>
        </is>
      </c>
      <c r="F18" s="169" t="n">
        <v>176</v>
      </c>
      <c r="G18" s="169" t="n">
        <v>176</v>
      </c>
      <c r="H18" s="170" t="n">
        <v>176</v>
      </c>
      <c r="I18" s="170" t="n"/>
      <c r="J18" s="169">
        <f>G18-F18</f>
        <v/>
      </c>
      <c r="K18" s="169">
        <f>H18-F18</f>
        <v/>
      </c>
      <c r="L18" s="169">
        <f>H18-G18</f>
        <v/>
      </c>
      <c r="M18" s="43">
        <f>J18/F18</f>
        <v/>
      </c>
      <c r="N18" s="24" t="n">
        <v>268.05</v>
      </c>
      <c r="O18" s="24" t="n">
        <v>259.06</v>
      </c>
      <c r="P18" s="43">
        <f>(N18-O18)/O18</f>
        <v/>
      </c>
      <c r="Q18" s="169">
        <f>O18*0.9056*0.85</f>
        <v/>
      </c>
      <c r="R18" s="169">
        <f>O18*1.15</f>
        <v/>
      </c>
      <c r="S18" s="169">
        <f>IF(N18&lt;O18*0.9056*0.85,O18*0.9056*0.85,IF(N18&gt;O18*1.15,O18*1.15,N18))</f>
        <v/>
      </c>
      <c r="T18" s="169" t="n">
        <v>47176.8</v>
      </c>
      <c r="U18" s="169" t="n">
        <v>47176.8</v>
      </c>
      <c r="V18" s="169">
        <f>T18+S18*K18</f>
        <v/>
      </c>
      <c r="W18" s="169">
        <f>U18-T18</f>
        <v/>
      </c>
      <c r="X18" s="169">
        <f>V18-T18</f>
        <v/>
      </c>
      <c r="Y18" s="169">
        <f>V18-U18</f>
        <v/>
      </c>
      <c r="Z18" s="80" t="n"/>
    </row>
    <row r="19" ht="28.5" customHeight="1" s="166">
      <c r="A19" s="150" t="n">
        <v>12</v>
      </c>
      <c r="B19" s="104" t="inlineStr">
        <is>
          <t>010515001001</t>
        </is>
      </c>
      <c r="C19" s="104" t="inlineStr">
        <is>
          <t>现浇构件钢筋</t>
        </is>
      </c>
      <c r="D19" s="104" t="inlineStr">
        <is>
          <t>1.桩头插筋</t>
        </is>
      </c>
      <c r="E19" s="24" t="inlineStr">
        <is>
          <t>t</t>
        </is>
      </c>
      <c r="F19" s="169" t="n">
        <v>2.76</v>
      </c>
      <c r="G19" s="169" t="n">
        <v>0.87</v>
      </c>
      <c r="H19" s="171" t="n">
        <v>0.87</v>
      </c>
      <c r="I19" s="171" t="n"/>
      <c r="J19" s="169">
        <f>G19-F19</f>
        <v/>
      </c>
      <c r="K19" s="169">
        <f>H19-F19</f>
        <v/>
      </c>
      <c r="L19" s="169">
        <f>H19-G19</f>
        <v/>
      </c>
      <c r="M19" s="43">
        <f>J19/F19</f>
        <v/>
      </c>
      <c r="N19" s="24" t="n">
        <v>5341.14</v>
      </c>
      <c r="O19" s="24" t="n">
        <v>6492.43</v>
      </c>
      <c r="P19" s="43">
        <f>(N19-O19)/O19</f>
        <v/>
      </c>
      <c r="Q19" s="169">
        <f>O19*0.9056*0.85</f>
        <v/>
      </c>
      <c r="R19" s="169">
        <f>O19*1.15</f>
        <v/>
      </c>
      <c r="S19" s="169">
        <f>IF(N19&lt;O19*0.9056*0.85,O19*0.9056*0.85,IF(N19&gt;O19*1.15,O19*1.15,N19))</f>
        <v/>
      </c>
      <c r="T19" s="169" t="n">
        <v>14739.94</v>
      </c>
      <c r="U19" s="169" t="n">
        <v>4653.2</v>
      </c>
      <c r="V19" s="169">
        <f>T19+S19*K19</f>
        <v/>
      </c>
      <c r="W19" s="169">
        <f>U19-T19</f>
        <v/>
      </c>
      <c r="X19" s="169">
        <f>V19-T19</f>
        <v/>
      </c>
      <c r="Y19" s="169">
        <f>V19-U19</f>
        <v/>
      </c>
      <c r="Z19" s="80" t="n"/>
    </row>
    <row r="20" ht="28.5" customFormat="1" customHeight="1" s="1">
      <c r="A20" s="150" t="n"/>
      <c r="B20" s="104" t="n"/>
      <c r="C20" s="104" t="inlineStr">
        <is>
          <t>砌筑工程</t>
        </is>
      </c>
      <c r="D20" s="104" t="n"/>
      <c r="E20" s="104" t="n"/>
      <c r="F20" s="169" t="n"/>
      <c r="G20" s="169" t="n"/>
      <c r="H20" s="169" t="n"/>
      <c r="I20" s="169" t="n"/>
      <c r="J20" s="169" t="n"/>
      <c r="K20" s="169" t="n"/>
      <c r="L20" s="169" t="n"/>
      <c r="M20" s="43" t="n"/>
      <c r="N20" s="24" t="n"/>
      <c r="O20" s="24" t="n"/>
      <c r="P20" s="43" t="n"/>
      <c r="Q20" s="169" t="n"/>
      <c r="R20" s="169" t="n"/>
      <c r="S20" s="169" t="n"/>
      <c r="T20" s="169" t="n">
        <v>563645.6899999999</v>
      </c>
      <c r="U20" s="169" t="n">
        <v>835049.33</v>
      </c>
      <c r="V20" s="169">
        <f>+SUM(V21:V29)</f>
        <v/>
      </c>
      <c r="W20" s="169">
        <f>U20-T20</f>
        <v/>
      </c>
      <c r="X20" s="169">
        <f>V20-T20</f>
        <v/>
      </c>
      <c r="Y20" s="169">
        <f>V20-U20</f>
        <v/>
      </c>
      <c r="Z20" s="80" t="n"/>
      <c r="AA20" s="71" t="n"/>
    </row>
    <row r="21" ht="66.75" customHeight="1" s="166">
      <c r="A21" s="150" t="n">
        <v>13</v>
      </c>
      <c r="B21" s="104" t="inlineStr">
        <is>
          <t>010103001002</t>
        </is>
      </c>
      <c r="C21" s="104" t="inlineStr">
        <is>
          <t>回填方</t>
        </is>
      </c>
      <c r="D21" s="104" t="inlineStr">
        <is>
          <t>1.卫生间回填
2.20厚WSM15找平层
3.陶粒混凝土(水泥:陶粒=1:8)回填兼找坡
4.20厚M20水泥砂浆找平层</t>
        </is>
      </c>
      <c r="E21" s="24" t="inlineStr">
        <is>
          <t>m3</t>
        </is>
      </c>
      <c r="F21" s="169" t="n">
        <v>27.86</v>
      </c>
      <c r="G21" s="169" t="n">
        <v>266.77</v>
      </c>
      <c r="H21" s="169" t="n">
        <v>266.77</v>
      </c>
      <c r="I21" s="169" t="n"/>
      <c r="J21" s="169">
        <f>G21-F21</f>
        <v/>
      </c>
      <c r="K21" s="169">
        <f>H21-F21</f>
        <v/>
      </c>
      <c r="L21" s="169">
        <f>H21-G21</f>
        <v/>
      </c>
      <c r="M21" s="43">
        <f>J21/F21</f>
        <v/>
      </c>
      <c r="N21" s="24" t="n">
        <v>793.8099999999999</v>
      </c>
      <c r="O21" s="24" t="n">
        <v>770.77</v>
      </c>
      <c r="P21" s="43">
        <f>(N21-O21)/O21</f>
        <v/>
      </c>
      <c r="Q21" s="169">
        <f>O21*0.9056*0.85</f>
        <v/>
      </c>
      <c r="R21" s="169">
        <f>O21*1.15</f>
        <v/>
      </c>
      <c r="S21" s="169">
        <f>IF(N21&lt;O21*0.9056*0.85,O21*0.9056*0.85,IF(N21&gt;O21*1.15,O21*1.15,N21))</f>
        <v/>
      </c>
      <c r="T21" s="169" t="n">
        <v>22116.18</v>
      </c>
      <c r="U21" s="169" t="n">
        <v>211762.63</v>
      </c>
      <c r="V21" s="169" t="n">
        <v>211762.63</v>
      </c>
      <c r="W21" s="169">
        <f>U21-T21</f>
        <v/>
      </c>
      <c r="X21" s="169">
        <f>V21-T21</f>
        <v/>
      </c>
      <c r="Y21" s="169">
        <f>V21-U21</f>
        <v/>
      </c>
      <c r="Z21" s="80" t="n"/>
    </row>
    <row r="22" ht="76" customHeight="1" s="166">
      <c r="A22" s="150" t="n">
        <v>14</v>
      </c>
      <c r="B22" s="104" t="inlineStr">
        <is>
          <t>010402001001</t>
        </is>
      </c>
      <c r="C22" s="104" t="inlineStr">
        <is>
          <t>砌块墙</t>
        </is>
      </c>
      <c r="D22" s="104" t="inlineStr">
        <is>
          <t>1.砌块品种、规格、强度等级:A5.0蒸压加气混凝土砌块
2.墙体类型:外墙
3.厚度:200
4.砂浆强度等级、配合比:DMM5专用砌筑砂浆</t>
        </is>
      </c>
      <c r="E22" s="24" t="inlineStr">
        <is>
          <t>m3</t>
        </is>
      </c>
      <c r="F22" s="169" t="n">
        <v>384.69</v>
      </c>
      <c r="G22" s="169" t="n">
        <v>399.19</v>
      </c>
      <c r="H22" s="169">
        <f>268.41</f>
        <v/>
      </c>
      <c r="I22" s="169" t="n"/>
      <c r="J22" s="169">
        <f>G22-F22</f>
        <v/>
      </c>
      <c r="K22" s="169">
        <f>H22-F22</f>
        <v/>
      </c>
      <c r="L22" s="169">
        <f>H22-G22</f>
        <v/>
      </c>
      <c r="M22" s="43">
        <f>J22/F22</f>
        <v/>
      </c>
      <c r="N22" s="24" t="n">
        <v>589.41</v>
      </c>
      <c r="O22" s="24" t="n">
        <v>676.12</v>
      </c>
      <c r="P22" s="43">
        <f>(N22-O22)/O22</f>
        <v/>
      </c>
      <c r="Q22" s="169">
        <f>O22*0.9056*0.85</f>
        <v/>
      </c>
      <c r="R22" s="169">
        <f>O22*1.15</f>
        <v/>
      </c>
      <c r="S22" s="169">
        <f>IF(N22&lt;O22*0.9056*0.85,O22*0.9056*0.85,IF(N22&gt;O22*1.15,O22*1.15,N22))</f>
        <v/>
      </c>
      <c r="T22" s="169" t="n">
        <v>226742.37</v>
      </c>
      <c r="U22" s="169" t="n">
        <v>235288.82</v>
      </c>
      <c r="V22" s="169">
        <f>T22+S22*K22</f>
        <v/>
      </c>
      <c r="W22" s="169">
        <f>U22-T22</f>
        <v/>
      </c>
      <c r="X22" s="169">
        <f>V22-T22</f>
        <v/>
      </c>
      <c r="Y22" s="169">
        <f>V22-U22</f>
        <v/>
      </c>
      <c r="Z22" s="80" t="n"/>
    </row>
    <row r="23" ht="76" customHeight="1" s="166">
      <c r="A23" s="150" t="n">
        <v>15</v>
      </c>
      <c r="B23" s="104" t="inlineStr">
        <is>
          <t>010402001002</t>
        </is>
      </c>
      <c r="C23" s="104" t="inlineStr">
        <is>
          <t>砌块墙</t>
        </is>
      </c>
      <c r="D23" s="104" t="inlineStr">
        <is>
          <t>1.砌块品种、规格、强度等级:A5.0蒸压加气混凝土砌块
2.墙体类型:内墙
3.厚度:200
4.砂浆强度等级、配合比:DMM5专用砌筑砂浆</t>
        </is>
      </c>
      <c r="E23" s="24" t="inlineStr">
        <is>
          <t>m3</t>
        </is>
      </c>
      <c r="F23" s="169" t="n">
        <v>331.51</v>
      </c>
      <c r="G23" s="169" t="n">
        <v>440.98</v>
      </c>
      <c r="H23" s="169" t="n">
        <v>424.16</v>
      </c>
      <c r="I23" s="169" t="n"/>
      <c r="J23" s="169">
        <f>G23-F23</f>
        <v/>
      </c>
      <c r="K23" s="169">
        <f>H23-F23</f>
        <v/>
      </c>
      <c r="L23" s="169">
        <f>H23-G23</f>
        <v/>
      </c>
      <c r="M23" s="43">
        <f>J23/F23</f>
        <v/>
      </c>
      <c r="N23" s="24" t="n">
        <v>576.98</v>
      </c>
      <c r="O23" s="24" t="n">
        <v>661.47</v>
      </c>
      <c r="P23" s="43">
        <f>(N23-O23)/O23</f>
        <v/>
      </c>
      <c r="Q23" s="169">
        <f>O23*0.9056*0.85</f>
        <v/>
      </c>
      <c r="R23" s="169">
        <f>O23*1.15</f>
        <v/>
      </c>
      <c r="S23" s="169">
        <f>IF(N23&lt;O23*0.9056*0.85,O23*0.9056*0.85,IF(N23&gt;O23*1.15,O23*1.15,N23))</f>
        <v/>
      </c>
      <c r="T23" s="169" t="n">
        <v>191272.56</v>
      </c>
      <c r="U23" s="169" t="n">
        <v>254438.2</v>
      </c>
      <c r="V23" s="169">
        <f>T23+S23*K23</f>
        <v/>
      </c>
      <c r="W23" s="169">
        <f>U23-T23</f>
        <v/>
      </c>
      <c r="X23" s="169">
        <f>V23-T23</f>
        <v/>
      </c>
      <c r="Y23" s="169">
        <f>V23-U23</f>
        <v/>
      </c>
      <c r="Z23" s="80" t="n"/>
    </row>
    <row r="24" ht="76" customFormat="1" customHeight="1" s="1">
      <c r="A24" s="150" t="n">
        <v>16</v>
      </c>
      <c r="B24" s="104" t="inlineStr">
        <is>
          <t>010402001004</t>
        </is>
      </c>
      <c r="C24" s="104" t="inlineStr">
        <is>
          <t>砌块墙</t>
        </is>
      </c>
      <c r="D24" s="104" t="inlineStr">
        <is>
          <t>1.砌块品种、规格、强度等级:A5.0蒸压加气混凝土砌块
2.墙体类型:内墙
3.厚度:100
4.砂浆强度等级、配合比:DMM5专用砌筑砂浆</t>
        </is>
      </c>
      <c r="E24" s="24" t="inlineStr">
        <is>
          <t>m3</t>
        </is>
      </c>
      <c r="F24" s="169" t="n">
        <v>1.09</v>
      </c>
      <c r="G24" s="169" t="n">
        <v>2.59</v>
      </c>
      <c r="H24" s="169" t="n">
        <v>0</v>
      </c>
      <c r="I24" s="169" t="n"/>
      <c r="J24" s="169">
        <f>G24-F24</f>
        <v/>
      </c>
      <c r="K24" s="169">
        <f>H24-F24</f>
        <v/>
      </c>
      <c r="L24" s="169">
        <f>H24-G24</f>
        <v/>
      </c>
      <c r="M24" s="43">
        <f>J24/F24</f>
        <v/>
      </c>
      <c r="N24" s="24" t="n">
        <v>599.51</v>
      </c>
      <c r="O24" s="24" t="n">
        <v>686.9</v>
      </c>
      <c r="P24" s="43">
        <f>(N24-O24)/O24</f>
        <v/>
      </c>
      <c r="Q24" s="169">
        <f>O24*0.9056*0.85</f>
        <v/>
      </c>
      <c r="R24" s="169">
        <f>O24*1.15</f>
        <v/>
      </c>
      <c r="S24" s="169">
        <f>IF(N24&lt;O24*0.9056*0.85,O24*0.9056*0.85,IF(N24&gt;O24*1.15,O24*1.15,N24))</f>
        <v/>
      </c>
      <c r="T24" s="169" t="n">
        <v>655.5</v>
      </c>
      <c r="U24" s="169" t="n">
        <v>1554.77</v>
      </c>
      <c r="V24" s="169">
        <f>T24+S24*K24</f>
        <v/>
      </c>
      <c r="W24" s="169">
        <f>U24-T24</f>
        <v/>
      </c>
      <c r="X24" s="169">
        <f>V24-T24</f>
        <v/>
      </c>
      <c r="Y24" s="169">
        <f>V24-U24</f>
        <v/>
      </c>
      <c r="Z24" s="160" t="n"/>
      <c r="AA24" s="71" t="n"/>
    </row>
    <row r="25" ht="76" customHeight="1" s="166">
      <c r="A25" s="150" t="n">
        <v>17</v>
      </c>
      <c r="B25" s="104" t="inlineStr">
        <is>
          <t>010402001005</t>
        </is>
      </c>
      <c r="C25" s="104" t="inlineStr">
        <is>
          <t>砌块墙</t>
        </is>
      </c>
      <c r="D25" s="104" t="inlineStr">
        <is>
          <t>1.砌块品种、规格、强度等级:A5.0蒸压加气混凝土砌块
2.墙体类型:装饰墙
3.厚度:100
4.砂浆强度等级、配合比:DMM5专用砌筑砂浆</t>
        </is>
      </c>
      <c r="E25" s="24" t="inlineStr">
        <is>
          <t>m3</t>
        </is>
      </c>
      <c r="F25" s="169" t="n">
        <v>147.47</v>
      </c>
      <c r="G25" s="169" t="n">
        <v>148.91</v>
      </c>
      <c r="H25" s="169">
        <f>72.8+74.08</f>
        <v/>
      </c>
      <c r="I25" s="169" t="n"/>
      <c r="J25" s="169">
        <f>G25-F25</f>
        <v/>
      </c>
      <c r="K25" s="169">
        <f>H25-F25</f>
        <v/>
      </c>
      <c r="L25" s="169">
        <f>H25-G25</f>
        <v/>
      </c>
      <c r="M25" s="43">
        <f>J25/F25</f>
        <v/>
      </c>
      <c r="N25" s="24" t="n">
        <v>599.53</v>
      </c>
      <c r="O25" s="24" t="n">
        <v>686.9</v>
      </c>
      <c r="P25" s="43">
        <f>(N25-O25)/O25</f>
        <v/>
      </c>
      <c r="Q25" s="169">
        <f>O25*0.9056*0.85</f>
        <v/>
      </c>
      <c r="R25" s="169">
        <f>O25*1.15</f>
        <v/>
      </c>
      <c r="S25" s="169">
        <f>IF(N25&lt;O25*0.9056*0.85,O25*0.9056*0.85,IF(N25&gt;O25*1.15,O25*1.15,N25))</f>
        <v/>
      </c>
      <c r="T25" s="169" t="n">
        <v>88409.92999999999</v>
      </c>
      <c r="U25" s="169" t="n">
        <v>89273.91</v>
      </c>
      <c r="V25" s="169">
        <f>T25+S25*K25</f>
        <v/>
      </c>
      <c r="W25" s="169">
        <f>U25-T25</f>
        <v/>
      </c>
      <c r="X25" s="169">
        <f>V25-T25</f>
        <v/>
      </c>
      <c r="Y25" s="169">
        <f>V25-U25</f>
        <v/>
      </c>
      <c r="Z25" s="80" t="n"/>
    </row>
    <row r="26" ht="78" customHeight="1" s="166">
      <c r="A26" s="150" t="n">
        <v>18</v>
      </c>
      <c r="B26" s="104" t="inlineStr">
        <is>
          <t>010402001006</t>
        </is>
      </c>
      <c r="C26" s="104" t="inlineStr">
        <is>
          <t>砌块墙</t>
        </is>
      </c>
      <c r="D26" s="104" t="inlineStr">
        <is>
          <t>1.砌块品种、规格、强度等级:A5.0蒸压加气混凝土砌块
2.墙体类型:装饰墙
3.厚度:200
4.砂浆强度等级、配合比:DMM5专用砌筑砂浆</t>
        </is>
      </c>
      <c r="E26" s="24" t="inlineStr">
        <is>
          <t>m3</t>
        </is>
      </c>
      <c r="F26" s="169" t="n">
        <v>33.46</v>
      </c>
      <c r="G26" s="169" t="n">
        <v>35.46</v>
      </c>
      <c r="H26" s="169">
        <f>4.1+25.86+0.57+0.11</f>
        <v/>
      </c>
      <c r="I26" s="169" t="n"/>
      <c r="J26" s="169">
        <f>G26-F26</f>
        <v/>
      </c>
      <c r="K26" s="169">
        <f>H26-F26</f>
        <v/>
      </c>
      <c r="L26" s="169">
        <f>H26-G26</f>
        <v/>
      </c>
      <c r="M26" s="43">
        <f>J26/F26</f>
        <v/>
      </c>
      <c r="N26" s="24" t="n">
        <v>589.41</v>
      </c>
      <c r="O26" s="24" t="n">
        <v>661.47</v>
      </c>
      <c r="P26" s="43">
        <f>(N26-O26)/O26</f>
        <v/>
      </c>
      <c r="Q26" s="169">
        <f>O26*0.9056*0.85</f>
        <v/>
      </c>
      <c r="R26" s="169">
        <f>O26*1.15</f>
        <v/>
      </c>
      <c r="S26" s="169">
        <f>IF(N26&lt;O26*0.9056*0.85,O26*0.9056*0.85,IF(N26&gt;O26*1.15,O26*1.15,N26))</f>
        <v/>
      </c>
      <c r="T26" s="169" t="n">
        <v>19722.31</v>
      </c>
      <c r="U26" s="169" t="n">
        <v>20901.13</v>
      </c>
      <c r="V26" s="169">
        <f>T26+S26*K26</f>
        <v/>
      </c>
      <c r="W26" s="169">
        <f>U26-T26</f>
        <v/>
      </c>
      <c r="X26" s="169">
        <f>V26-T26</f>
        <v/>
      </c>
      <c r="Y26" s="169">
        <f>V26-U26</f>
        <v/>
      </c>
      <c r="Z26" s="80" t="n"/>
    </row>
    <row r="27" ht="77" customHeight="1" s="166">
      <c r="A27" s="150" t="n">
        <v>19</v>
      </c>
      <c r="B27" s="104" t="inlineStr">
        <is>
          <t>010402001007</t>
        </is>
      </c>
      <c r="C27" s="104" t="inlineStr">
        <is>
          <t>砌块墙</t>
        </is>
      </c>
      <c r="D27" s="104" t="inlineStr">
        <is>
          <t>1.砌块品种、规格、强度等级:MU15混凝土实心砖
2.墙体类型:女儿墙、栏板
3.厚度:200
4.砂浆强度等级、配合比:DMM10专用砌筑砂浆</t>
        </is>
      </c>
      <c r="E27" s="24" t="inlineStr">
        <is>
          <t>m3</t>
        </is>
      </c>
      <c r="F27" s="169" t="n">
        <v>17.53</v>
      </c>
      <c r="G27" s="169" t="n">
        <v>18.74</v>
      </c>
      <c r="H27" s="169">
        <f>11.3+7.01</f>
        <v/>
      </c>
      <c r="I27" s="169" t="n"/>
      <c r="J27" s="169">
        <f>G27-F27</f>
        <v/>
      </c>
      <c r="K27" s="169">
        <f>H27-F27</f>
        <v/>
      </c>
      <c r="L27" s="169">
        <f>H27-G27</f>
        <v/>
      </c>
      <c r="M27" s="43">
        <f>J27/F27</f>
        <v/>
      </c>
      <c r="N27" s="24" t="n">
        <v>591.21</v>
      </c>
      <c r="O27" s="24" t="n">
        <v>677</v>
      </c>
      <c r="P27" s="43">
        <f>(N27-O27)/O27</f>
        <v/>
      </c>
      <c r="Q27" s="169">
        <f>O27*0.9056*0.85</f>
        <v/>
      </c>
      <c r="R27" s="169">
        <f>O27*1.15</f>
        <v/>
      </c>
      <c r="S27" s="169">
        <f>IF(N27&lt;O27*0.9056*0.85,O27*0.9056*0.85,IF(N27&gt;O27*1.15,O27*1.15,N27))</f>
        <v/>
      </c>
      <c r="T27" s="169" t="n">
        <v>10362.08</v>
      </c>
      <c r="U27" s="169" t="n">
        <v>11081.76</v>
      </c>
      <c r="V27" s="169">
        <f>T27+S27*K27</f>
        <v/>
      </c>
      <c r="W27" s="169">
        <f>U27-T27</f>
        <v/>
      </c>
      <c r="X27" s="169">
        <f>V27-T27</f>
        <v/>
      </c>
      <c r="Y27" s="169">
        <f>V27-U27</f>
        <v/>
      </c>
      <c r="Z27" s="80" t="n"/>
    </row>
    <row r="28" ht="41.25" customHeight="1" s="166">
      <c r="A28" s="150" t="n">
        <v>20</v>
      </c>
      <c r="B28" s="104" t="inlineStr">
        <is>
          <t>010401012001</t>
        </is>
      </c>
      <c r="C28" s="104" t="inlineStr">
        <is>
          <t>零星砌砖</t>
        </is>
      </c>
      <c r="D28" s="104" t="inlineStr">
        <is>
          <t>1.砖砌台阶
2.砂浆强度等级、配合比:WMM5专用砌筑砂浆</t>
        </is>
      </c>
      <c r="E28" s="24" t="inlineStr">
        <is>
          <t>m2</t>
        </is>
      </c>
      <c r="F28" s="169" t="n">
        <v>6.24</v>
      </c>
      <c r="G28" s="169" t="n">
        <v>10.57</v>
      </c>
      <c r="H28" s="169" t="n">
        <v>10.57</v>
      </c>
      <c r="I28" s="169" t="n"/>
      <c r="J28" s="169">
        <f>G28-F28</f>
        <v/>
      </c>
      <c r="K28" s="169">
        <f>H28-F28</f>
        <v/>
      </c>
      <c r="L28" s="169">
        <f>H28-G28</f>
        <v/>
      </c>
      <c r="M28" s="43">
        <f>J28/F28</f>
        <v/>
      </c>
      <c r="N28" s="24" t="n">
        <v>159.23</v>
      </c>
      <c r="O28" s="24" t="n">
        <v>189.88</v>
      </c>
      <c r="P28" s="43">
        <f>(N28-O28)/O28</f>
        <v/>
      </c>
      <c r="Q28" s="169">
        <f>O28*0.9056*0.85</f>
        <v/>
      </c>
      <c r="R28" s="169">
        <f>O28*1.15</f>
        <v/>
      </c>
      <c r="S28" s="169">
        <f>IF(N28&lt;O28*0.9056*0.85,O28*0.9056*0.85,IF(N28&gt;O28*1.15,O28*1.15,N28))</f>
        <v/>
      </c>
      <c r="T28" s="169" t="n">
        <v>993.6</v>
      </c>
      <c r="U28" s="169" t="n">
        <v>1683.7</v>
      </c>
      <c r="V28" s="169">
        <f>T28+S28*K28</f>
        <v/>
      </c>
      <c r="W28" s="169">
        <f>U28-T28</f>
        <v/>
      </c>
      <c r="X28" s="169">
        <f>V28-T28</f>
        <v/>
      </c>
      <c r="Y28" s="169">
        <f>V28-U28</f>
        <v/>
      </c>
      <c r="Z28" s="80" t="n"/>
    </row>
    <row r="29" ht="41.25" customHeight="1" s="166">
      <c r="A29" s="150" t="n">
        <v>21</v>
      </c>
      <c r="B29" s="104" t="inlineStr">
        <is>
          <t>010401012003</t>
        </is>
      </c>
      <c r="C29" s="104" t="inlineStr">
        <is>
          <t>零星砌砖</t>
        </is>
      </c>
      <c r="D29" s="104" t="inlineStr">
        <is>
          <t>1.台阶侧边、砖砌小步级
2.砂浆强度等级、配合比:WMM5专用砌筑砂浆</t>
        </is>
      </c>
      <c r="E29" s="24" t="inlineStr">
        <is>
          <t>m3</t>
        </is>
      </c>
      <c r="F29" s="169" t="n">
        <v>4.66</v>
      </c>
      <c r="G29" s="169" t="n">
        <v>12.54</v>
      </c>
      <c r="H29" s="169">
        <f>7.75+4.79</f>
        <v/>
      </c>
      <c r="I29" s="169" t="n"/>
      <c r="J29" s="169">
        <f>G29-F29</f>
        <v/>
      </c>
      <c r="K29" s="169">
        <f>H29-F29</f>
        <v/>
      </c>
      <c r="L29" s="169">
        <f>H29-G29</f>
        <v/>
      </c>
      <c r="M29" s="43">
        <f>J29/F29</f>
        <v/>
      </c>
      <c r="N29" s="24" t="n">
        <v>722.99</v>
      </c>
      <c r="O29" s="24" t="n">
        <v>864.65</v>
      </c>
      <c r="P29" s="43">
        <f>(N29-O29)/O29</f>
        <v/>
      </c>
      <c r="Q29" s="169">
        <f>O29*0.9056*0.85</f>
        <v/>
      </c>
      <c r="R29" s="169">
        <f>O29*1.15</f>
        <v/>
      </c>
      <c r="S29" s="169">
        <f>IF(N29&lt;O29*0.9056*0.85,O29*0.9056*0.85,IF(N29&gt;O29*1.15,O29*1.15,N29))</f>
        <v/>
      </c>
      <c r="T29" s="169" t="n">
        <v>3371.16</v>
      </c>
      <c r="U29" s="169" t="n">
        <v>9064.41</v>
      </c>
      <c r="V29" s="169" t="n">
        <v>9064.41</v>
      </c>
      <c r="W29" s="169">
        <f>U29-T29</f>
        <v/>
      </c>
      <c r="X29" s="169">
        <f>V29-T29</f>
        <v/>
      </c>
      <c r="Y29" s="169">
        <f>V29-U29</f>
        <v/>
      </c>
      <c r="Z29" s="80" t="n"/>
    </row>
    <row r="30" ht="28.5" customFormat="1" customHeight="1" s="1">
      <c r="A30" s="150" t="n"/>
      <c r="B30" s="104" t="n"/>
      <c r="C30" s="104" t="inlineStr">
        <is>
          <t>混凝土及钢筋混凝土工程</t>
        </is>
      </c>
      <c r="D30" s="104" t="n"/>
      <c r="E30" s="104" t="n"/>
      <c r="F30" s="169" t="n"/>
      <c r="G30" s="169" t="n"/>
      <c r="H30" s="169" t="n"/>
      <c r="I30" s="169" t="n"/>
      <c r="J30" s="169" t="n"/>
      <c r="K30" s="169" t="n"/>
      <c r="L30" s="169" t="n"/>
      <c r="M30" s="43" t="n"/>
      <c r="N30" s="24" t="n"/>
      <c r="O30" s="24" t="n"/>
      <c r="P30" s="43" t="n"/>
      <c r="Q30" s="169" t="n"/>
      <c r="R30" s="169" t="n"/>
      <c r="S30" s="169" t="n"/>
      <c r="T30" s="169" t="n">
        <v>4004682.77</v>
      </c>
      <c r="U30" s="169" t="n">
        <v>3988491.76</v>
      </c>
      <c r="V30" s="169">
        <f>+SUM(V31:V56)</f>
        <v/>
      </c>
      <c r="W30" s="169">
        <f>U30-T30</f>
        <v/>
      </c>
      <c r="X30" s="169">
        <f>V30-T30</f>
        <v/>
      </c>
      <c r="Y30" s="169">
        <f>V30-U30</f>
        <v/>
      </c>
      <c r="Z30" s="80" t="n"/>
      <c r="AA30" s="71" t="n"/>
    </row>
    <row r="31" ht="54" customHeight="1" s="166">
      <c r="A31" s="150" t="n">
        <v>22</v>
      </c>
      <c r="B31" s="104" t="inlineStr">
        <is>
          <t>010501001001</t>
        </is>
      </c>
      <c r="C31" s="104" t="inlineStr">
        <is>
          <t>垫层</t>
        </is>
      </c>
      <c r="D31" s="104" t="inlineStr">
        <is>
          <t>1.垫层
2.混凝土种类:预拌混凝土
3.混凝土强度等级:C15
4.含混凝土泵送费用</t>
        </is>
      </c>
      <c r="E31" s="24" t="inlineStr">
        <is>
          <t>m3</t>
        </is>
      </c>
      <c r="F31" s="169" t="n">
        <v>295.51</v>
      </c>
      <c r="G31" s="169" t="n">
        <v>261.34</v>
      </c>
      <c r="H31" s="169">
        <f>237.87+10.87</f>
        <v/>
      </c>
      <c r="I31" s="169" t="n"/>
      <c r="J31" s="169">
        <f>G31-F31</f>
        <v/>
      </c>
      <c r="K31" s="169">
        <f>H31-F31</f>
        <v/>
      </c>
      <c r="L31" s="169">
        <f>H31-G31</f>
        <v/>
      </c>
      <c r="M31" s="43">
        <f>J31/F31</f>
        <v/>
      </c>
      <c r="N31" s="24" t="n">
        <v>626.1799999999999</v>
      </c>
      <c r="O31" s="24" t="n">
        <v>830</v>
      </c>
      <c r="P31" s="43">
        <f>(N31-O31)/O31</f>
        <v/>
      </c>
      <c r="Q31" s="169">
        <f>O31*0.9056*0.85</f>
        <v/>
      </c>
      <c r="R31" s="169">
        <f>O31*1.15</f>
        <v/>
      </c>
      <c r="S31" s="169">
        <f>IF(N31&lt;O31*0.9056*0.85,O31*0.9056*0.85,IF(N31&gt;O31*1.15,O31*1.15,N31))</f>
        <v/>
      </c>
      <c r="T31" s="169" t="n">
        <v>185040.01</v>
      </c>
      <c r="U31" s="169" t="n">
        <v>163210.83</v>
      </c>
      <c r="V31" s="169">
        <f>T31+S31*K31</f>
        <v/>
      </c>
      <c r="W31" s="169">
        <f>U31-T31</f>
        <v/>
      </c>
      <c r="X31" s="169">
        <f>V31-T31</f>
        <v/>
      </c>
      <c r="Y31" s="169">
        <f>V31-U31</f>
        <v/>
      </c>
      <c r="Z31" s="80" t="n"/>
      <c r="AA31" s="71" t="inlineStr">
        <is>
          <t>加负一层垫层</t>
        </is>
      </c>
    </row>
    <row r="32" ht="54" customHeight="1" s="166">
      <c r="A32" s="150" t="n">
        <v>23</v>
      </c>
      <c r="B32" s="104" t="inlineStr">
        <is>
          <t>010501005001</t>
        </is>
      </c>
      <c r="C32" s="104" t="inlineStr">
        <is>
          <t>桩承台基础</t>
        </is>
      </c>
      <c r="D32" s="104" t="inlineStr">
        <is>
          <t>1.桩承台
2.混凝土种类:预拌混凝土
3.混凝土强度等级:C35P6
4.含混凝土泵送费用</t>
        </is>
      </c>
      <c r="E32" s="24" t="inlineStr">
        <is>
          <t>m3</t>
        </is>
      </c>
      <c r="F32" s="169" t="n">
        <v>181.51</v>
      </c>
      <c r="G32" s="169" t="n">
        <v>233.54</v>
      </c>
      <c r="H32" s="169">
        <f>53.3+176.3</f>
        <v/>
      </c>
      <c r="I32" s="169" t="n"/>
      <c r="J32" s="169">
        <f>G32-F32</f>
        <v/>
      </c>
      <c r="K32" s="169">
        <f>H32-F32</f>
        <v/>
      </c>
      <c r="L32" s="169">
        <f>H32-G32</f>
        <v/>
      </c>
      <c r="M32" s="43">
        <f>J32/F32</f>
        <v/>
      </c>
      <c r="N32" s="24" t="n">
        <v>687.16</v>
      </c>
      <c r="O32" s="24" t="n">
        <v>871.16</v>
      </c>
      <c r="P32" s="43">
        <f>(N32-O32)/O32</f>
        <v/>
      </c>
      <c r="Q32" s="169">
        <f>O32*0.9056*0.85</f>
        <v/>
      </c>
      <c r="R32" s="169">
        <f>O32*1.15</f>
        <v/>
      </c>
      <c r="S32" s="169">
        <f>IF(N32&lt;O32*0.9056*0.85,O32*0.9056*0.85,IF(N32&gt;O32*1.15,O32*1.15,N32))</f>
        <v/>
      </c>
      <c r="T32" s="169" t="n">
        <v>124725.04</v>
      </c>
      <c r="U32" s="169" t="n">
        <v>160477.65</v>
      </c>
      <c r="V32" s="169">
        <f>T32+S32*K32</f>
        <v/>
      </c>
      <c r="W32" s="169">
        <f>U32-T32</f>
        <v/>
      </c>
      <c r="X32" s="169">
        <f>V32-T32</f>
        <v/>
      </c>
      <c r="Y32" s="169">
        <f>V32-U32</f>
        <v/>
      </c>
      <c r="Z32" s="80" t="n"/>
    </row>
    <row r="33" ht="54" customHeight="1" s="166">
      <c r="A33" s="150" t="n">
        <v>24</v>
      </c>
      <c r="B33" s="104" t="inlineStr">
        <is>
          <t>010503001001</t>
        </is>
      </c>
      <c r="C33" s="104" t="inlineStr">
        <is>
          <t>基础梁</t>
        </is>
      </c>
      <c r="D33" s="104" t="inlineStr">
        <is>
          <t>1.基础梁
2.混凝土种类:预拌混凝土
3.混凝土强度等级:C35P6
4.含混凝土泵送费用</t>
        </is>
      </c>
      <c r="E33" s="24" t="inlineStr">
        <is>
          <t>m3</t>
        </is>
      </c>
      <c r="F33" s="169" t="n">
        <v>113.08</v>
      </c>
      <c r="G33" s="169" t="n">
        <v>114.47</v>
      </c>
      <c r="H33" s="169" t="n">
        <v>110.3</v>
      </c>
      <c r="I33" s="169" t="n"/>
      <c r="J33" s="169">
        <f>G33-F33</f>
        <v/>
      </c>
      <c r="K33" s="169">
        <f>H33-F33</f>
        <v/>
      </c>
      <c r="L33" s="169">
        <f>H33-G33</f>
        <v/>
      </c>
      <c r="M33" s="43">
        <f>J33/F33</f>
        <v/>
      </c>
      <c r="N33" s="24" t="n">
        <v>679.67</v>
      </c>
      <c r="O33" s="24" t="n">
        <v>863.84</v>
      </c>
      <c r="P33" s="43">
        <f>(N33-O33)/O33</f>
        <v/>
      </c>
      <c r="Q33" s="169">
        <f>O33*0.9056*0.85</f>
        <v/>
      </c>
      <c r="R33" s="169">
        <f>O33*1.15</f>
        <v/>
      </c>
      <c r="S33" s="169">
        <f>IF(N33&lt;O33*0.9056*0.85,O33*0.9056*0.85,IF(N33&gt;O33*1.15,O33*1.15,N33))</f>
        <v/>
      </c>
      <c r="T33" s="169" t="n">
        <v>76855.86</v>
      </c>
      <c r="U33" s="169" t="n">
        <v>77801.22</v>
      </c>
      <c r="V33" s="169">
        <f>T33+S33*K33</f>
        <v/>
      </c>
      <c r="W33" s="169">
        <f>U33-T33</f>
        <v/>
      </c>
      <c r="X33" s="169">
        <f>V33-T33</f>
        <v/>
      </c>
      <c r="Y33" s="169">
        <f>V33-U33</f>
        <v/>
      </c>
      <c r="Z33" s="80" t="n"/>
    </row>
    <row r="34" ht="54" customHeight="1" s="166">
      <c r="A34" s="150" t="n">
        <v>25</v>
      </c>
      <c r="B34" s="104" t="inlineStr">
        <is>
          <t>010501004001</t>
        </is>
      </c>
      <c r="C34" s="104" t="inlineStr">
        <is>
          <t>满堂基础</t>
        </is>
      </c>
      <c r="D34" s="104" t="inlineStr">
        <is>
          <t>1.满堂基础
2.预拌混凝土
3.混凝土强度等级:C35P6
4.含混凝土泵送费用</t>
        </is>
      </c>
      <c r="E34" s="24" t="inlineStr">
        <is>
          <t>m3</t>
        </is>
      </c>
      <c r="F34" s="169" t="n">
        <v>411.63</v>
      </c>
      <c r="G34" s="169" t="n">
        <v>360.95</v>
      </c>
      <c r="H34" s="169">
        <f>340.67+3.09</f>
        <v/>
      </c>
      <c r="I34" s="169" t="n"/>
      <c r="J34" s="169">
        <f>G34-F34</f>
        <v/>
      </c>
      <c r="K34" s="169">
        <f>H34-F34</f>
        <v/>
      </c>
      <c r="L34" s="169">
        <f>H34-G34</f>
        <v/>
      </c>
      <c r="M34" s="43">
        <f>J34/F34</f>
        <v/>
      </c>
      <c r="N34" s="24" t="n">
        <v>686.38</v>
      </c>
      <c r="O34" s="24" t="n">
        <v>871.16</v>
      </c>
      <c r="P34" s="43">
        <f>(N34-O34)/O34</f>
        <v/>
      </c>
      <c r="Q34" s="169">
        <f>O34*0.9056*0.85</f>
        <v/>
      </c>
      <c r="R34" s="169">
        <f>O34*1.15</f>
        <v/>
      </c>
      <c r="S34" s="169">
        <f>IF(N34&lt;O34*0.9056*0.85,O34*0.9056*0.85,IF(N34&gt;O34*1.15,O34*1.15,N34))</f>
        <v/>
      </c>
      <c r="T34" s="169" t="n">
        <v>282533.23</v>
      </c>
      <c r="U34" s="169" t="n">
        <v>247750.59</v>
      </c>
      <c r="V34" s="169">
        <f>T34+S34*K34</f>
        <v/>
      </c>
      <c r="W34" s="169">
        <f>U34-T34</f>
        <v/>
      </c>
      <c r="X34" s="169">
        <f>V34-T34</f>
        <v/>
      </c>
      <c r="Y34" s="169">
        <f>V34-U34</f>
        <v/>
      </c>
      <c r="Z34" s="160" t="n"/>
      <c r="AA34" s="71" t="inlineStr">
        <is>
          <t>加首层集水井</t>
        </is>
      </c>
    </row>
    <row r="35" ht="70" customHeight="1" s="166">
      <c r="A35" s="150" t="n">
        <v>26</v>
      </c>
      <c r="B35" s="104" t="inlineStr">
        <is>
          <t>010502001005</t>
        </is>
      </c>
      <c r="C35" s="104" t="inlineStr">
        <is>
          <t>矩形柱、异性柱</t>
        </is>
      </c>
      <c r="D35" s="104" t="inlineStr">
        <is>
          <t>1.现浇建筑物混凝土矩形、多边形、异形、圆形柱、钢管柱
2.混凝土种类:预拌混凝土
3.混凝土强度等级:C30
4.含混凝土泵送费用</t>
        </is>
      </c>
      <c r="E35" s="24" t="inlineStr">
        <is>
          <t>m3</t>
        </is>
      </c>
      <c r="F35" s="169" t="n">
        <v>374.97</v>
      </c>
      <c r="G35" s="169" t="n">
        <v>389.37</v>
      </c>
      <c r="H35" s="169">
        <f>340.09+30.12+0.61+14.7</f>
        <v/>
      </c>
      <c r="I35" s="169" t="n"/>
      <c r="J35" s="169">
        <f>G35-F35</f>
        <v/>
      </c>
      <c r="K35" s="169">
        <f>H35-F35</f>
        <v/>
      </c>
      <c r="L35" s="169">
        <f>H35-G35</f>
        <v/>
      </c>
      <c r="M35" s="43">
        <f>J35/F35</f>
        <v/>
      </c>
      <c r="N35" s="24" t="n">
        <v>767.6900000000001</v>
      </c>
      <c r="O35" s="24" t="n">
        <v>959.74</v>
      </c>
      <c r="P35" s="43">
        <f>(N35-O35)/O35</f>
        <v/>
      </c>
      <c r="Q35" s="169">
        <f>O35*0.9056*0.85</f>
        <v/>
      </c>
      <c r="R35" s="169">
        <f>O35*1.15</f>
        <v/>
      </c>
      <c r="S35" s="169">
        <f>IF(N35&lt;O35*0.9056*0.85,O35*0.9056*0.85,IF(N35&gt;O35*1.15,O35*1.15,N35))</f>
        <v/>
      </c>
      <c r="T35" s="169" t="n">
        <v>287859.49</v>
      </c>
      <c r="U35" s="169" t="n">
        <v>298913.06</v>
      </c>
      <c r="V35" s="169">
        <f>T35+S35*K35</f>
        <v/>
      </c>
      <c r="W35" s="169">
        <f>U35-T35</f>
        <v/>
      </c>
      <c r="X35" s="169">
        <f>V35-T35</f>
        <v/>
      </c>
      <c r="Y35" s="169">
        <f>V35-U35</f>
        <v/>
      </c>
      <c r="Z35" s="160" t="n"/>
    </row>
    <row r="36" ht="41.25" customHeight="1" s="166">
      <c r="A36" s="150" t="n">
        <v>27</v>
      </c>
      <c r="B36" s="104" t="inlineStr">
        <is>
          <t>010502002001</t>
        </is>
      </c>
      <c r="C36" s="104" t="inlineStr">
        <is>
          <t>构造柱</t>
        </is>
      </c>
      <c r="D36" s="104" t="inlineStr">
        <is>
          <t>1.构造柱
2.混凝土种类:预拌混凝土
3.混凝土强度等级:C25</t>
        </is>
      </c>
      <c r="E36" s="24" t="inlineStr">
        <is>
          <t>m3</t>
        </is>
      </c>
      <c r="F36" s="169" t="n">
        <v>59.54</v>
      </c>
      <c r="G36" s="169" t="n">
        <v>65.14</v>
      </c>
      <c r="H36" s="169" t="n">
        <v>65.14</v>
      </c>
      <c r="I36" s="169" t="n"/>
      <c r="J36" s="169">
        <f>G36-F36</f>
        <v/>
      </c>
      <c r="K36" s="169">
        <f>H36-F36</f>
        <v/>
      </c>
      <c r="L36" s="169">
        <f>H36-G36</f>
        <v/>
      </c>
      <c r="M36" s="43">
        <f>J36/F36</f>
        <v/>
      </c>
      <c r="N36" s="24" t="n">
        <v>820.9400000000001</v>
      </c>
      <c r="O36" s="24" t="n">
        <v>1006.12</v>
      </c>
      <c r="P36" s="43">
        <f>(N36-O36)/O36</f>
        <v/>
      </c>
      <c r="Q36" s="169">
        <f>O36*0.9056*0.85</f>
        <v/>
      </c>
      <c r="R36" s="169">
        <f>O36*1.15</f>
        <v/>
      </c>
      <c r="S36" s="169">
        <f>IF(N36&lt;O36*0.9056*0.85,O36*0.9056*0.85,IF(N36&gt;O36*1.15,O36*1.15,N36))</f>
        <v/>
      </c>
      <c r="T36" s="169" t="n">
        <v>48878.52</v>
      </c>
      <c r="U36" s="169" t="n">
        <v>53476.03</v>
      </c>
      <c r="V36" s="169">
        <f>T36+S36*K36</f>
        <v/>
      </c>
      <c r="W36" s="169">
        <f>U36-T36</f>
        <v/>
      </c>
      <c r="X36" s="169">
        <f>V36-T36</f>
        <v/>
      </c>
      <c r="Y36" s="169">
        <f>V36-U36</f>
        <v/>
      </c>
      <c r="Z36" s="160" t="n"/>
    </row>
    <row r="37" ht="54" customHeight="1" s="166">
      <c r="A37" s="150" t="n">
        <v>28</v>
      </c>
      <c r="B37" s="104" t="inlineStr">
        <is>
          <t>010505001002</t>
        </is>
      </c>
      <c r="C37" s="104" t="inlineStr">
        <is>
          <t>有梁板</t>
        </is>
      </c>
      <c r="D37" s="104" t="inlineStr">
        <is>
          <t>1.有梁板
2.混凝土种类:预拌混凝土
3.混凝土强度等级:C30
4.含混凝土泵送费用</t>
        </is>
      </c>
      <c r="E37" s="24" t="inlineStr">
        <is>
          <t>m3</t>
        </is>
      </c>
      <c r="F37" s="169" t="n">
        <v>1100.15</v>
      </c>
      <c r="G37" s="169" t="n">
        <v>1139.02</v>
      </c>
      <c r="H37" s="169">
        <f>549.51+211.22+325.1</f>
        <v/>
      </c>
      <c r="I37" s="169" t="n"/>
      <c r="J37" s="169">
        <f>G37-F37</f>
        <v/>
      </c>
      <c r="K37" s="169">
        <f>H37-F37</f>
        <v/>
      </c>
      <c r="L37" s="169">
        <f>H37-G37</f>
        <v/>
      </c>
      <c r="M37" s="43">
        <f>J37/F37</f>
        <v/>
      </c>
      <c r="N37" s="24" t="n">
        <v>674.8</v>
      </c>
      <c r="O37" s="24" t="n">
        <v>855.35</v>
      </c>
      <c r="P37" s="43">
        <f>(N37-O37)/O37</f>
        <v/>
      </c>
      <c r="Q37" s="169">
        <f>O37*0.9056*0.85</f>
        <v/>
      </c>
      <c r="R37" s="169">
        <f>O37*1.15</f>
        <v/>
      </c>
      <c r="S37" s="169">
        <f>IF(N37&lt;O37*0.9056*0.85,O37*0.9056*0.85,IF(N37&gt;O37*1.15,O37*1.15,N37))</f>
        <v/>
      </c>
      <c r="T37" s="169" t="n">
        <v>742380.21</v>
      </c>
      <c r="U37" s="169" t="n">
        <v>768609.1</v>
      </c>
      <c r="V37" s="169">
        <f>T37+S37*K37</f>
        <v/>
      </c>
      <c r="W37" s="169">
        <f>U37-T37</f>
        <v/>
      </c>
      <c r="X37" s="169">
        <f>V37-T37</f>
        <v/>
      </c>
      <c r="Y37" s="169">
        <f>V37-U37</f>
        <v/>
      </c>
      <c r="Z37" s="160" t="n"/>
    </row>
    <row r="38" ht="54" customHeight="1" s="166">
      <c r="A38" s="150" t="n">
        <v>29</v>
      </c>
      <c r="B38" s="104" t="inlineStr">
        <is>
          <t>010505001003</t>
        </is>
      </c>
      <c r="C38" s="104" t="inlineStr">
        <is>
          <t>有梁板（斜板）</t>
        </is>
      </c>
      <c r="D38" s="104" t="inlineStr">
        <is>
          <t>1.有梁板
2.混凝土种类:预拌混凝土
3.混凝土强度等级:C30
4.含混凝土泵送费用</t>
        </is>
      </c>
      <c r="E38" s="24" t="inlineStr">
        <is>
          <t>m3</t>
        </is>
      </c>
      <c r="F38" s="169" t="n">
        <v>36.14</v>
      </c>
      <c r="G38" s="169" t="n">
        <v>27.25</v>
      </c>
      <c r="H38" s="169">
        <f>2.75+23.2</f>
        <v/>
      </c>
      <c r="I38" s="169" t="n"/>
      <c r="J38" s="169">
        <f>G38-F38</f>
        <v/>
      </c>
      <c r="K38" s="169">
        <f>H38-F38</f>
        <v/>
      </c>
      <c r="L38" s="169">
        <f>H38-G38</f>
        <v/>
      </c>
      <c r="M38" s="43">
        <f>J38/F38</f>
        <v/>
      </c>
      <c r="N38" s="24" t="n">
        <v>674.8</v>
      </c>
      <c r="O38" s="24" t="n">
        <v>869.35</v>
      </c>
      <c r="P38" s="43">
        <f>(N38-O38)/O38</f>
        <v/>
      </c>
      <c r="Q38" s="169">
        <f>O38*0.9056*0.85</f>
        <v/>
      </c>
      <c r="R38" s="169">
        <f>O38*1.15</f>
        <v/>
      </c>
      <c r="S38" s="169">
        <f>IF(N38&lt;O38*0.9056*0.85,O38*0.9056*0.85,IF(N38&gt;O38*1.15,O38*1.15,N38))</f>
        <v/>
      </c>
      <c r="T38" s="169" t="n">
        <v>24386.26</v>
      </c>
      <c r="U38" s="169" t="n">
        <v>18387.39</v>
      </c>
      <c r="V38" s="169">
        <f>T38+S38*K38</f>
        <v/>
      </c>
      <c r="W38" s="169">
        <f>U38-T38</f>
        <v/>
      </c>
      <c r="X38" s="169">
        <f>V38-T38</f>
        <v/>
      </c>
      <c r="Y38" s="169">
        <f>V38-U38</f>
        <v/>
      </c>
      <c r="Z38" s="160" t="n"/>
    </row>
    <row r="39" ht="54" customHeight="1" s="166">
      <c r="A39" s="150" t="n">
        <v>30</v>
      </c>
      <c r="B39" s="104" t="inlineStr">
        <is>
          <t>010504001003</t>
        </is>
      </c>
      <c r="C39" s="104" t="inlineStr">
        <is>
          <t>直形墙</t>
        </is>
      </c>
      <c r="D39" s="104" t="inlineStr">
        <is>
          <t>1.直行墙
2.混凝土种类:预拌混凝土
3.混凝土强度等级:C30
4.含混凝土泵送费用</t>
        </is>
      </c>
      <c r="E39" s="24" t="inlineStr">
        <is>
          <t>m3</t>
        </is>
      </c>
      <c r="F39" s="169" t="n">
        <v>49.41</v>
      </c>
      <c r="G39" s="169" t="n">
        <v>22.39</v>
      </c>
      <c r="H39" s="169">
        <f>21.29</f>
        <v/>
      </c>
      <c r="I39" s="169" t="n"/>
      <c r="J39" s="169">
        <f>G39-F39</f>
        <v/>
      </c>
      <c r="K39" s="169">
        <f>H39-F39</f>
        <v/>
      </c>
      <c r="L39" s="169">
        <f>H39-G39</f>
        <v/>
      </c>
      <c r="M39" s="43">
        <f>J39/F39</f>
        <v/>
      </c>
      <c r="N39" s="24" t="n">
        <v>699.01</v>
      </c>
      <c r="O39" s="24" t="n">
        <v>882.4400000000001</v>
      </c>
      <c r="P39" s="43">
        <f>(N39-O39)/O39</f>
        <v/>
      </c>
      <c r="Q39" s="169">
        <f>O39*0.9056*0.85</f>
        <v/>
      </c>
      <c r="R39" s="169">
        <f>O39*1.15</f>
        <v/>
      </c>
      <c r="S39" s="169">
        <f>IF(N39&lt;O39*0.9056*0.85,O39*0.9056*0.85,IF(N39&gt;O39*1.15,O39*1.15,N39))</f>
        <v/>
      </c>
      <c r="T39" s="169" t="n">
        <v>34535.99</v>
      </c>
      <c r="U39" s="169" t="n">
        <v>15647.96</v>
      </c>
      <c r="V39" s="169">
        <f>T39+S39*K39</f>
        <v/>
      </c>
      <c r="W39" s="169">
        <f>U39-T39</f>
        <v/>
      </c>
      <c r="X39" s="169">
        <f>V39-T39</f>
        <v/>
      </c>
      <c r="Y39" s="169">
        <f>V39-U39</f>
        <v/>
      </c>
      <c r="Z39" s="160" t="n"/>
    </row>
    <row r="40" ht="41.25" customHeight="1" s="166">
      <c r="A40" s="150" t="n">
        <v>31</v>
      </c>
      <c r="B40" s="104" t="inlineStr">
        <is>
          <t>010506001002</t>
        </is>
      </c>
      <c r="C40" s="104" t="inlineStr">
        <is>
          <t>直形楼梯</t>
        </is>
      </c>
      <c r="D40" s="104" t="inlineStr">
        <is>
          <t>1.混凝土种类:预拌混凝土
2.混凝土强度等级:C30
3.含混凝土泵送费用</t>
        </is>
      </c>
      <c r="E40" s="24" t="inlineStr">
        <is>
          <t>m3</t>
        </is>
      </c>
      <c r="F40" s="169" t="n">
        <v>145.46</v>
      </c>
      <c r="G40" s="169" t="n">
        <v>111.17</v>
      </c>
      <c r="H40" s="169" t="n">
        <v>107.54</v>
      </c>
      <c r="I40" s="169" t="n"/>
      <c r="J40" s="169">
        <f>G40-F40</f>
        <v/>
      </c>
      <c r="K40" s="169">
        <f>H40-F40</f>
        <v/>
      </c>
      <c r="L40" s="169">
        <f>H40-G40</f>
        <v/>
      </c>
      <c r="M40" s="43">
        <f>J40/F40</f>
        <v/>
      </c>
      <c r="N40" s="24" t="n">
        <v>726.66</v>
      </c>
      <c r="O40" s="24" t="n">
        <v>913.95</v>
      </c>
      <c r="P40" s="43">
        <f>(N40-O40)/O40</f>
        <v/>
      </c>
      <c r="Q40" s="169">
        <f>O40*0.9056*0.85</f>
        <v/>
      </c>
      <c r="R40" s="169">
        <f>O40*1.15</f>
        <v/>
      </c>
      <c r="S40" s="169">
        <f>IF(N40&lt;O40*0.9056*0.85,O40*0.9056*0.85,IF(N40&gt;O40*1.15,O40*1.15,N40))</f>
        <v/>
      </c>
      <c r="T40" s="169" t="n">
        <v>105702.36</v>
      </c>
      <c r="U40" s="169" t="n">
        <v>80781.2</v>
      </c>
      <c r="V40" s="169">
        <f>T40+S40*K40</f>
        <v/>
      </c>
      <c r="W40" s="169">
        <f>U40-T40</f>
        <v/>
      </c>
      <c r="X40" s="169">
        <f>V40-T40</f>
        <v/>
      </c>
      <c r="Y40" s="169">
        <f>V40-U40</f>
        <v/>
      </c>
      <c r="Z40" s="160" t="n"/>
    </row>
    <row r="41" ht="54" customHeight="1" s="166">
      <c r="A41" s="150" t="n">
        <v>32</v>
      </c>
      <c r="B41" s="104" t="inlineStr">
        <is>
          <t>010505008001</t>
        </is>
      </c>
      <c r="C41" s="104" t="inlineStr">
        <is>
          <t>飘板</t>
        </is>
      </c>
      <c r="D41" s="104" t="inlineStr">
        <is>
          <t>1.部位:空调板、装饰飘板
2.混凝土种类:预拌混凝土
3.混凝土强度等级:C30
4.含混凝土泵送费用</t>
        </is>
      </c>
      <c r="E41" s="24" t="inlineStr">
        <is>
          <t>m3</t>
        </is>
      </c>
      <c r="F41" s="169" t="n">
        <v>3.49</v>
      </c>
      <c r="G41" s="169" t="n">
        <v>12.68</v>
      </c>
      <c r="H41" s="169">
        <f>4.33+6.24+1.51</f>
        <v/>
      </c>
      <c r="I41" s="169" t="n"/>
      <c r="J41" s="169">
        <f>G41-F41</f>
        <v/>
      </c>
      <c r="K41" s="169">
        <f>H41-F41</f>
        <v/>
      </c>
      <c r="L41" s="169">
        <f>H41-G41</f>
        <v/>
      </c>
      <c r="M41" s="43">
        <f>J41/F41</f>
        <v/>
      </c>
      <c r="N41" s="24" t="n">
        <v>838.64</v>
      </c>
      <c r="O41" s="24" t="n">
        <v>1035.77</v>
      </c>
      <c r="P41" s="43">
        <f>(N41-O41)/O41</f>
        <v/>
      </c>
      <c r="Q41" s="169">
        <f>O41*0.9056*0.85</f>
        <v/>
      </c>
      <c r="R41" s="169">
        <f>O41*1.15</f>
        <v/>
      </c>
      <c r="S41" s="169">
        <f>IF(N41&lt;O41*0.9056*0.85,O41*0.9056*0.85,IF(N41&gt;O41*1.15,O41*1.15,N41))</f>
        <v/>
      </c>
      <c r="T41" s="169" t="n">
        <v>2923</v>
      </c>
      <c r="U41" s="169" t="n">
        <v>10630.79</v>
      </c>
      <c r="V41" s="169">
        <f>T41+S41*K41</f>
        <v/>
      </c>
      <c r="W41" s="169">
        <f>U41-T41</f>
        <v/>
      </c>
      <c r="X41" s="169">
        <f>V41-T41</f>
        <v/>
      </c>
      <c r="Y41" s="169">
        <f>V41-U41</f>
        <v/>
      </c>
      <c r="Z41" s="160" t="n"/>
      <c r="AA41" s="71" t="inlineStr">
        <is>
          <t>加首层排水沟，复核单价</t>
        </is>
      </c>
    </row>
    <row r="42" ht="54" customHeight="1" s="166">
      <c r="A42" s="150" t="n">
        <v>33</v>
      </c>
      <c r="B42" s="104" t="inlineStr">
        <is>
          <t>010507007002</t>
        </is>
      </c>
      <c r="C42" s="104" t="inlineStr">
        <is>
          <t>其他构件</t>
        </is>
      </c>
      <c r="D42" s="104" t="inlineStr">
        <is>
          <t>1.部位:外墙造型、挑檐
2.混凝土种类:预拌混凝土
3.混凝土强度等级:C30
4.含混凝土泵送费用</t>
        </is>
      </c>
      <c r="E42" s="24" t="inlineStr">
        <is>
          <t>m3</t>
        </is>
      </c>
      <c r="F42" s="169" t="n">
        <v>116.23</v>
      </c>
      <c r="G42" s="169" t="n">
        <v>71.20999999999999</v>
      </c>
      <c r="H42" s="169" t="n">
        <v>69.73999999999999</v>
      </c>
      <c r="I42" s="169" t="n"/>
      <c r="J42" s="169">
        <f>G42-F42</f>
        <v/>
      </c>
      <c r="K42" s="169">
        <f>H42-F42</f>
        <v/>
      </c>
      <c r="L42" s="169">
        <f>H42-G42</f>
        <v/>
      </c>
      <c r="M42" s="43">
        <f>J42/F42</f>
        <v/>
      </c>
      <c r="N42" s="24" t="n">
        <v>994.4400000000001</v>
      </c>
      <c r="O42" s="24" t="n">
        <v>1058.32</v>
      </c>
      <c r="P42" s="43">
        <f>(N42-O42)/O42</f>
        <v/>
      </c>
      <c r="Q42" s="169">
        <f>O42*0.9056*0.85</f>
        <v/>
      </c>
      <c r="R42" s="169">
        <f>O42*1.15</f>
        <v/>
      </c>
      <c r="S42" s="169">
        <f>IF(N42&lt;O42*0.9056*0.85,O42*0.9056*0.85,IF(N42&gt;O42*1.15,O42*1.15,N42))</f>
        <v/>
      </c>
      <c r="T42" s="169" t="n">
        <v>115587.84</v>
      </c>
      <c r="U42" s="169" t="n">
        <v>70817.89</v>
      </c>
      <c r="V42" s="169">
        <f>T42+S42*K42</f>
        <v/>
      </c>
      <c r="W42" s="169">
        <f>U42-T42</f>
        <v/>
      </c>
      <c r="X42" s="169">
        <f>V42-T42</f>
        <v/>
      </c>
      <c r="Y42" s="169">
        <f>V42-U42</f>
        <v/>
      </c>
      <c r="Z42" s="160" t="n"/>
    </row>
    <row r="43" ht="54" customHeight="1" s="166">
      <c r="A43" s="150" t="n">
        <v>34</v>
      </c>
      <c r="B43" s="104" t="inlineStr">
        <is>
          <t>010503004002</t>
        </is>
      </c>
      <c r="C43" s="104" t="inlineStr">
        <is>
          <t>圈梁</t>
        </is>
      </c>
      <c r="D43" s="104" t="inlineStr">
        <is>
          <t>1.部位:圈梁
2.混凝土种类:预拌混凝土
3.混凝土强度等级:C30
4.含混凝土泵送费用</t>
        </is>
      </c>
      <c r="E43" s="24" t="inlineStr">
        <is>
          <t>m3</t>
        </is>
      </c>
      <c r="F43" s="169" t="n">
        <v>4.76</v>
      </c>
      <c r="G43" s="169" t="n">
        <v>15.08</v>
      </c>
      <c r="H43" s="169">
        <f>8.31+4.06+2.68</f>
        <v/>
      </c>
      <c r="I43" s="169" t="n"/>
      <c r="J43" s="169">
        <f>G43-F43</f>
        <v/>
      </c>
      <c r="K43" s="169">
        <f>H43-F43</f>
        <v/>
      </c>
      <c r="L43" s="169">
        <f>H43-G43</f>
        <v/>
      </c>
      <c r="M43" s="43">
        <f>J43/F43</f>
        <v/>
      </c>
      <c r="N43" s="24" t="n">
        <v>766.65</v>
      </c>
      <c r="O43" s="24" t="n">
        <v>957.91</v>
      </c>
      <c r="P43" s="43">
        <f>(N43-O43)/O43</f>
        <v/>
      </c>
      <c r="Q43" s="169">
        <f>O43*0.9056*0.85</f>
        <v/>
      </c>
      <c r="R43" s="169">
        <f>O43*1.15</f>
        <v/>
      </c>
      <c r="S43" s="169">
        <f>IF(N43&lt;O43*0.9056*0.85,O43*0.9056*0.85,IF(N43&gt;O43*1.15,O43*1.15,N43))</f>
        <v/>
      </c>
      <c r="T43" s="169" t="n">
        <v>3650.17</v>
      </c>
      <c r="U43" s="169" t="n">
        <v>11559.47</v>
      </c>
      <c r="V43" s="169">
        <f>T43+S43*K43</f>
        <v/>
      </c>
      <c r="W43" s="169">
        <f>U43-T43</f>
        <v/>
      </c>
      <c r="X43" s="169">
        <f>V43-T43</f>
        <v/>
      </c>
      <c r="Y43" s="169">
        <f>V43-U43</f>
        <v/>
      </c>
      <c r="Z43" s="80" t="n"/>
    </row>
    <row r="44" ht="54" customFormat="1" customHeight="1" s="1">
      <c r="A44" s="150" t="n">
        <v>35</v>
      </c>
      <c r="B44" s="104" t="inlineStr">
        <is>
          <t>010503004003</t>
        </is>
      </c>
      <c r="C44" s="104" t="inlineStr">
        <is>
          <t>圈梁</t>
        </is>
      </c>
      <c r="D44" s="104" t="inlineStr">
        <is>
          <t>1.部位:圈梁、压顶
2.混凝土种类:预拌混凝土
3.混凝土强度等级:C25
4.含混凝土泵送费用</t>
        </is>
      </c>
      <c r="E44" s="24" t="inlineStr">
        <is>
          <t>m3</t>
        </is>
      </c>
      <c r="F44" s="169" t="n">
        <v>7.63</v>
      </c>
      <c r="G44" s="169" t="n">
        <v>24.62</v>
      </c>
      <c r="H44" s="169">
        <f>24.62</f>
        <v/>
      </c>
      <c r="I44" s="169" t="n"/>
      <c r="J44" s="169">
        <f>G44-F44</f>
        <v/>
      </c>
      <c r="K44" s="169">
        <f>H44-F44</f>
        <v/>
      </c>
      <c r="L44" s="169">
        <f>H44-G44</f>
        <v/>
      </c>
      <c r="M44" s="43">
        <f>J44/F44</f>
        <v/>
      </c>
      <c r="N44" s="24" t="n">
        <v>730.1</v>
      </c>
      <c r="O44" s="24" t="n">
        <v>934.35</v>
      </c>
      <c r="P44" s="43">
        <f>(N44-O44)/O44</f>
        <v/>
      </c>
      <c r="Q44" s="169">
        <f>O44*0.9056*0.85</f>
        <v/>
      </c>
      <c r="R44" s="169">
        <f>O44*1.15</f>
        <v/>
      </c>
      <c r="S44" s="169">
        <f>IF(N44&lt;O44*0.9056*0.85,O44*0.9056*0.85,IF(N44&gt;O44*1.15,O44*1.15,N44))</f>
        <v/>
      </c>
      <c r="T44" s="169" t="n">
        <v>5568.11</v>
      </c>
      <c r="U44" s="169" t="n">
        <v>17975.06</v>
      </c>
      <c r="V44" s="169">
        <f>T44+S44*K44</f>
        <v/>
      </c>
      <c r="W44" s="169">
        <f>U44-T44</f>
        <v/>
      </c>
      <c r="X44" s="169">
        <f>V44-T44</f>
        <v/>
      </c>
      <c r="Y44" s="169">
        <f>V44-U44</f>
        <v/>
      </c>
      <c r="Z44" s="80" t="n"/>
      <c r="AA44" s="71" t="n"/>
      <c r="AB44" s="1" t="n"/>
      <c r="AD44" s="1">
        <f>+AB44+AB36</f>
        <v/>
      </c>
    </row>
    <row r="45" ht="41.25" customFormat="1" customHeight="1" s="1">
      <c r="A45" s="150" t="n">
        <v>36</v>
      </c>
      <c r="B45" s="104" t="inlineStr">
        <is>
          <t>010503005001</t>
        </is>
      </c>
      <c r="C45" s="104" t="inlineStr">
        <is>
          <t>过梁</t>
        </is>
      </c>
      <c r="D45" s="104" t="inlineStr">
        <is>
          <t>1.过梁
2.混凝土种类:预拌混凝土
3.混凝土强度等级:C25</t>
        </is>
      </c>
      <c r="E45" s="24" t="inlineStr">
        <is>
          <t>m3</t>
        </is>
      </c>
      <c r="F45" s="169" t="n">
        <v>4.46</v>
      </c>
      <c r="G45" s="169" t="n">
        <v>4.46</v>
      </c>
      <c r="H45" s="169">
        <f>1.66</f>
        <v/>
      </c>
      <c r="I45" s="169" t="n"/>
      <c r="J45" s="169">
        <f>G45-F45</f>
        <v/>
      </c>
      <c r="K45" s="169">
        <f>H45-F45</f>
        <v/>
      </c>
      <c r="L45" s="169">
        <f>H45-G45</f>
        <v/>
      </c>
      <c r="M45" s="43">
        <f>J45/F45</f>
        <v/>
      </c>
      <c r="N45" s="24" t="n">
        <v>730.1</v>
      </c>
      <c r="O45" s="24" t="n">
        <v>906.2</v>
      </c>
      <c r="P45" s="43">
        <f>(N45-O45)/O45</f>
        <v/>
      </c>
      <c r="Q45" s="169">
        <f>O45*0.9056*0.85</f>
        <v/>
      </c>
      <c r="R45" s="169">
        <f>O45*1.15</f>
        <v/>
      </c>
      <c r="S45" s="169">
        <f>IF(N45&lt;O45*0.9056*0.85,O45*0.9056*0.85,IF(N45&gt;O45*1.15,O45*1.15,N45))</f>
        <v/>
      </c>
      <c r="T45" s="169" t="n">
        <v>3257.2</v>
      </c>
      <c r="U45" s="169" t="n">
        <v>3257.2</v>
      </c>
      <c r="V45" s="169">
        <f>T45+S45*K45</f>
        <v/>
      </c>
      <c r="W45" s="169">
        <f>U45-T45</f>
        <v/>
      </c>
      <c r="X45" s="169">
        <f>V45-T45</f>
        <v/>
      </c>
      <c r="Y45" s="169">
        <f>V45-U45</f>
        <v/>
      </c>
      <c r="Z45" s="80" t="n"/>
      <c r="AA45" s="71" t="n"/>
    </row>
    <row r="46" ht="54" customHeight="1" s="166">
      <c r="A46" s="150" t="n">
        <v>37</v>
      </c>
      <c r="B46" s="104" t="inlineStr">
        <is>
          <t>010505006001</t>
        </is>
      </c>
      <c r="C46" s="104" t="inlineStr">
        <is>
          <t>栏板、反檐</t>
        </is>
      </c>
      <c r="D46" s="104" t="inlineStr">
        <is>
          <t>1.部位:栏板、反坎
2.混凝土强度等级:C25商品混凝土
3.含混凝土泵送费用</t>
        </is>
      </c>
      <c r="E46" s="24" t="inlineStr">
        <is>
          <t>m3</t>
        </is>
      </c>
      <c r="F46" s="169" t="n">
        <v>4.3</v>
      </c>
      <c r="G46" s="169" t="n">
        <v>0.2</v>
      </c>
      <c r="H46" s="169" t="n">
        <v>0.19</v>
      </c>
      <c r="I46" s="169" t="n"/>
      <c r="J46" s="169">
        <f>G46-F46</f>
        <v/>
      </c>
      <c r="K46" s="169">
        <f>H46-F46</f>
        <v/>
      </c>
      <c r="L46" s="169">
        <f>H46-G46</f>
        <v/>
      </c>
      <c r="M46" s="43">
        <f>J46/F46</f>
        <v/>
      </c>
      <c r="N46" s="24" t="n">
        <v>826.88</v>
      </c>
      <c r="O46" s="24" t="n">
        <v>1019.22</v>
      </c>
      <c r="P46" s="43">
        <f>(N46-O46)/O46</f>
        <v/>
      </c>
      <c r="Q46" s="169">
        <f>O46*0.9056*0.85</f>
        <v/>
      </c>
      <c r="R46" s="169">
        <f>O46*1.15</f>
        <v/>
      </c>
      <c r="S46" s="169">
        <f>IF(N46&lt;O46*0.9056*0.85,O46*0.9056*0.85,IF(N46&gt;O46*1.15,O46*1.15,N46))</f>
        <v/>
      </c>
      <c r="T46" s="169" t="n">
        <v>3557.57</v>
      </c>
      <c r="U46" s="169" t="n">
        <v>166.7</v>
      </c>
      <c r="V46" s="169">
        <f>T46+S46*K46</f>
        <v/>
      </c>
      <c r="W46" s="169">
        <f>U46-T46</f>
        <v/>
      </c>
      <c r="X46" s="169">
        <f>V46-T46</f>
        <v/>
      </c>
      <c r="Y46" s="169">
        <f>V46-U46</f>
        <v/>
      </c>
      <c r="Z46" s="80" t="n"/>
    </row>
    <row r="47" ht="41.25" customHeight="1" s="166">
      <c r="A47" s="150" t="n">
        <v>38</v>
      </c>
      <c r="B47" s="104" t="inlineStr">
        <is>
          <t>010401013001</t>
        </is>
      </c>
      <c r="C47" s="104" t="inlineStr">
        <is>
          <t>砖散水、地坪</t>
        </is>
      </c>
      <c r="D47" s="104" t="inlineStr">
        <is>
          <t>1.散水
2.C20素砼垫层60厚
3.150厚3:7灰土</t>
        </is>
      </c>
      <c r="E47" s="24" t="inlineStr">
        <is>
          <t>m2</t>
        </is>
      </c>
      <c r="F47" s="169" t="n">
        <v>142.78</v>
      </c>
      <c r="G47" s="169" t="n">
        <v>142.78</v>
      </c>
      <c r="H47" s="169" t="n">
        <v>0</v>
      </c>
      <c r="I47" s="169" t="n"/>
      <c r="J47" s="169">
        <f>G47-F47</f>
        <v/>
      </c>
      <c r="K47" s="169">
        <f>H47-F47</f>
        <v/>
      </c>
      <c r="L47" s="169">
        <f>H47-G47</f>
        <v/>
      </c>
      <c r="M47" s="43">
        <f>J47/F47</f>
        <v/>
      </c>
      <c r="N47" s="24" t="n">
        <v>80.23999999999999</v>
      </c>
      <c r="O47" s="24" t="n">
        <v>95.34</v>
      </c>
      <c r="P47" s="43">
        <f>(N47-O47)/O47</f>
        <v/>
      </c>
      <c r="Q47" s="169">
        <f>O47*0.9056*0.85</f>
        <v/>
      </c>
      <c r="R47" s="169">
        <f>O47*1.15</f>
        <v/>
      </c>
      <c r="S47" s="169">
        <f>IF(N47&lt;O47*0.9056*0.85,O47*0.9056*0.85,IF(N47&gt;O47*1.15,O47*1.15,N47))</f>
        <v/>
      </c>
      <c r="T47" s="169" t="n">
        <v>11456.35</v>
      </c>
      <c r="U47" s="169" t="n">
        <v>11456.35</v>
      </c>
      <c r="V47" s="169">
        <f>T47+S47*K47</f>
        <v/>
      </c>
      <c r="W47" s="169">
        <f>U47-T47</f>
        <v/>
      </c>
      <c r="X47" s="169">
        <f>V47-T47</f>
        <v/>
      </c>
      <c r="Y47" s="169">
        <f>V47-U47</f>
        <v/>
      </c>
      <c r="Z47" s="80" t="n"/>
      <c r="AA47" s="161" t="inlineStr">
        <is>
          <t>周边有园建铺装，无需做散水</t>
        </is>
      </c>
    </row>
    <row r="48" ht="33" customHeight="1" s="166">
      <c r="A48" s="150" t="n">
        <v>39</v>
      </c>
      <c r="B48" s="104" t="inlineStr">
        <is>
          <t>010515001002</t>
        </is>
      </c>
      <c r="C48" s="104" t="inlineStr">
        <is>
          <t>现浇构件钢筋</t>
        </is>
      </c>
      <c r="D48" s="104" t="inlineStr">
        <is>
          <t>1.钢筋种类、规格:现浇构件带肋钢筋(HRB400)φ10以内</t>
        </is>
      </c>
      <c r="E48" s="24" t="inlineStr">
        <is>
          <t>t</t>
        </is>
      </c>
      <c r="F48" s="169" t="n">
        <v>88.84</v>
      </c>
      <c r="G48" s="169" t="n">
        <v>100.86</v>
      </c>
      <c r="H48" s="171" t="n">
        <v>100.86</v>
      </c>
      <c r="I48" s="171" t="n"/>
      <c r="J48" s="169">
        <f>G48-F48</f>
        <v/>
      </c>
      <c r="K48" s="169">
        <f>H48-F48</f>
        <v/>
      </c>
      <c r="L48" s="169">
        <f>H48-G48</f>
        <v/>
      </c>
      <c r="M48" s="43">
        <f>J48/F48</f>
        <v/>
      </c>
      <c r="N48" s="24" t="n">
        <v>5708.81</v>
      </c>
      <c r="O48" s="24" t="n">
        <v>6995.45</v>
      </c>
      <c r="P48" s="43">
        <f>(N48-O48)/O48</f>
        <v/>
      </c>
      <c r="Q48" s="169">
        <f>O48*0.9056*0.85</f>
        <v/>
      </c>
      <c r="R48" s="169">
        <f>O48*1.15</f>
        <v/>
      </c>
      <c r="S48" s="169">
        <f>IF(N48&lt;O48*0.9056*0.85,O48*0.9056*0.85,IF(N48&gt;O48*1.15,O48*1.15,N48))</f>
        <v/>
      </c>
      <c r="T48" s="169" t="n">
        <v>507176.39</v>
      </c>
      <c r="U48" s="169" t="n">
        <v>575817.64</v>
      </c>
      <c r="V48" s="169">
        <f>T48+S48*K48</f>
        <v/>
      </c>
      <c r="W48" s="169">
        <f>U48-T48</f>
        <v/>
      </c>
      <c r="X48" s="169">
        <f>V48-T48</f>
        <v/>
      </c>
      <c r="Y48" s="169">
        <f>V48-U48</f>
        <v/>
      </c>
      <c r="Z48" s="80" t="n"/>
    </row>
    <row r="49" ht="33" customHeight="1" s="166">
      <c r="A49" s="150" t="n">
        <v>40</v>
      </c>
      <c r="B49" s="104" t="inlineStr">
        <is>
          <t>010515001003</t>
        </is>
      </c>
      <c r="C49" s="104" t="inlineStr">
        <is>
          <t>现浇构件钢筋</t>
        </is>
      </c>
      <c r="D49" s="104" t="inlineStr">
        <is>
          <t>1.钢筋种类、规格:现浇构件带肋钢筋(HRB400E)φ10以内</t>
        </is>
      </c>
      <c r="E49" s="24" t="inlineStr">
        <is>
          <t>t</t>
        </is>
      </c>
      <c r="F49" s="169" t="n">
        <v>10.71</v>
      </c>
      <c r="G49" s="169" t="n">
        <v>7.35</v>
      </c>
      <c r="H49" s="171" t="n">
        <v>7.35</v>
      </c>
      <c r="I49" s="171" t="n"/>
      <c r="J49" s="169">
        <f>G49-F49</f>
        <v/>
      </c>
      <c r="K49" s="169">
        <f>H49-F49</f>
        <v/>
      </c>
      <c r="L49" s="169">
        <f>H49-G49</f>
        <v/>
      </c>
      <c r="M49" s="43">
        <f>J49/F49</f>
        <v/>
      </c>
      <c r="N49" s="24" t="n">
        <v>5708.81</v>
      </c>
      <c r="O49" s="24" t="n">
        <v>7085.72</v>
      </c>
      <c r="P49" s="43">
        <f>(N49-O49)/O49</f>
        <v/>
      </c>
      <c r="Q49" s="169">
        <f>O49*0.9056*0.85</f>
        <v/>
      </c>
      <c r="R49" s="169">
        <f>O49*1.15</f>
        <v/>
      </c>
      <c r="S49" s="169">
        <f>IF(N49&lt;O49*0.9056*0.85,O49*0.9056*0.85,IF(N49&gt;O49*1.15,O49*1.15,N49))</f>
        <v/>
      </c>
      <c r="T49" s="169" t="n">
        <v>61118.52</v>
      </c>
      <c r="U49" s="169" t="n">
        <v>41966.95</v>
      </c>
      <c r="V49" s="169">
        <f>T49+S49*K49</f>
        <v/>
      </c>
      <c r="W49" s="169">
        <f>U49-T49</f>
        <v/>
      </c>
      <c r="X49" s="169">
        <f>V49-T49</f>
        <v/>
      </c>
      <c r="Y49" s="169">
        <f>V49-U49</f>
        <v/>
      </c>
      <c r="Z49" s="80" t="n"/>
    </row>
    <row r="50" ht="33" customHeight="1" s="166">
      <c r="A50" s="150" t="n">
        <v>41</v>
      </c>
      <c r="B50" s="104" t="inlineStr">
        <is>
          <t>010515001004</t>
        </is>
      </c>
      <c r="C50" s="104" t="inlineStr">
        <is>
          <t>现浇构件钢筋</t>
        </is>
      </c>
      <c r="D50" s="104" t="inlineStr">
        <is>
          <t>1.钢筋种类、规格:现浇构件带肋钢筋(HRB400)φ25以内</t>
        </is>
      </c>
      <c r="E50" s="24" t="inlineStr">
        <is>
          <t>t</t>
        </is>
      </c>
      <c r="F50" s="169" t="n">
        <v>44.38</v>
      </c>
      <c r="G50" s="169" t="n">
        <v>41.66</v>
      </c>
      <c r="H50" s="171" t="n">
        <v>41.66</v>
      </c>
      <c r="I50" s="171" t="n"/>
      <c r="J50" s="169">
        <f>G50-F50</f>
        <v/>
      </c>
      <c r="K50" s="169">
        <f>H50-F50</f>
        <v/>
      </c>
      <c r="L50" s="169">
        <f>H50-G50</f>
        <v/>
      </c>
      <c r="M50" s="43">
        <f>J50/F50</f>
        <v/>
      </c>
      <c r="N50" s="24" t="n">
        <v>5570.86</v>
      </c>
      <c r="O50" s="24" t="n">
        <v>6793.55</v>
      </c>
      <c r="P50" s="43">
        <f>(N50-O50)/O50</f>
        <v/>
      </c>
      <c r="Q50" s="169">
        <f>O50*0.9056*0.85</f>
        <v/>
      </c>
      <c r="R50" s="169">
        <f>O50*1.15</f>
        <v/>
      </c>
      <c r="S50" s="169">
        <f>IF(N50&lt;O50*0.9056*0.85,O50*0.9056*0.85,IF(N50&gt;O50*1.15,O50*1.15,N50))</f>
        <v/>
      </c>
      <c r="T50" s="169" t="n">
        <v>247212.48</v>
      </c>
      <c r="U50" s="169" t="n">
        <v>232074.03</v>
      </c>
      <c r="V50" s="169">
        <f>T50+S50*K50</f>
        <v/>
      </c>
      <c r="W50" s="169">
        <f>U50-T50</f>
        <v/>
      </c>
      <c r="X50" s="169">
        <f>V50-T50</f>
        <v/>
      </c>
      <c r="Y50" s="169">
        <f>V50-U50</f>
        <v/>
      </c>
      <c r="Z50" s="80" t="n"/>
    </row>
    <row r="51" ht="35" customHeight="1" s="166">
      <c r="A51" s="150" t="n">
        <v>42</v>
      </c>
      <c r="B51" s="104" t="inlineStr">
        <is>
          <t>010515001005</t>
        </is>
      </c>
      <c r="C51" s="104" t="inlineStr">
        <is>
          <t>现浇构件钢筋</t>
        </is>
      </c>
      <c r="D51" s="104" t="inlineStr">
        <is>
          <t>1.钢筋种类、规格:现浇构件带肋钢筋(HRB400E)φ25以内</t>
        </is>
      </c>
      <c r="E51" s="24" t="inlineStr">
        <is>
          <t>t</t>
        </is>
      </c>
      <c r="F51" s="169" t="n">
        <v>102.11</v>
      </c>
      <c r="G51" s="169" t="n">
        <v>110.02</v>
      </c>
      <c r="H51" s="171" t="n">
        <v>110.02</v>
      </c>
      <c r="I51" s="171" t="n"/>
      <c r="J51" s="169">
        <f>G51-F51</f>
        <v/>
      </c>
      <c r="K51" s="169">
        <f>H51-F51</f>
        <v/>
      </c>
      <c r="L51" s="169">
        <f>H51-G51</f>
        <v/>
      </c>
      <c r="M51" s="43">
        <f>J51/F51</f>
        <v/>
      </c>
      <c r="N51" s="24" t="n">
        <v>5570.86</v>
      </c>
      <c r="O51" s="24" t="n">
        <v>6884.26</v>
      </c>
      <c r="P51" s="43">
        <f>(N51-O51)/O51</f>
        <v/>
      </c>
      <c r="Q51" s="169">
        <f>O51*0.9056*0.85</f>
        <v/>
      </c>
      <c r="R51" s="169">
        <f>O51*1.15</f>
        <v/>
      </c>
      <c r="S51" s="169">
        <f>IF(N51&lt;O51*0.9056*0.85,O51*0.9056*0.85,IF(N51&gt;O51*1.15,O51*1.15,N51))</f>
        <v/>
      </c>
      <c r="T51" s="169" t="n">
        <v>568818.23</v>
      </c>
      <c r="U51" s="169" t="n">
        <v>612880.85</v>
      </c>
      <c r="V51" s="169" t="n">
        <v>612880.85</v>
      </c>
      <c r="W51" s="169">
        <f>U51-T51</f>
        <v/>
      </c>
      <c r="X51" s="169">
        <f>V51-T51</f>
        <v/>
      </c>
      <c r="Y51" s="169">
        <f>V51-U51</f>
        <v/>
      </c>
      <c r="Z51" s="80" t="n"/>
    </row>
    <row r="52" ht="33" customHeight="1" s="166">
      <c r="A52" s="150" t="n">
        <v>43</v>
      </c>
      <c r="B52" s="104" t="inlineStr">
        <is>
          <t>010515001006</t>
        </is>
      </c>
      <c r="C52" s="104" t="inlineStr">
        <is>
          <t>现浇构件钢筋</t>
        </is>
      </c>
      <c r="D52" s="104" t="inlineStr">
        <is>
          <t>1.钢筋种类、规格:现浇构件带肋钢筋(HRB400E)φ25以外</t>
        </is>
      </c>
      <c r="E52" s="24" t="inlineStr">
        <is>
          <t>t</t>
        </is>
      </c>
      <c r="F52" s="169" t="n">
        <v>13.81</v>
      </c>
      <c r="G52" s="169" t="n">
        <v>11.02</v>
      </c>
      <c r="H52" s="171" t="n">
        <v>11.015</v>
      </c>
      <c r="I52" s="171" t="n"/>
      <c r="J52" s="169">
        <f>G52-F52</f>
        <v/>
      </c>
      <c r="K52" s="169">
        <f>H52-F52</f>
        <v/>
      </c>
      <c r="L52" s="169">
        <f>H52-G52</f>
        <v/>
      </c>
      <c r="M52" s="43">
        <f>J52/F52</f>
        <v/>
      </c>
      <c r="N52" s="24" t="n">
        <v>5507.01</v>
      </c>
      <c r="O52" s="24" t="n">
        <v>6766.86</v>
      </c>
      <c r="P52" s="43">
        <f>(N52-O52)/O52</f>
        <v/>
      </c>
      <c r="Q52" s="169">
        <f>O52*0.9056*0.85</f>
        <v/>
      </c>
      <c r="R52" s="169">
        <f>O52*1.15</f>
        <v/>
      </c>
      <c r="S52" s="169">
        <f>IF(N52&lt;O52*0.9056*0.85,O52*0.9056*0.85,IF(N52&gt;O52*1.15,O52*1.15,N52))</f>
        <v/>
      </c>
      <c r="T52" s="169" t="n">
        <v>76051.81</v>
      </c>
      <c r="U52" s="169" t="n">
        <v>60671.42</v>
      </c>
      <c r="V52" s="169">
        <f>T52+S52*K52</f>
        <v/>
      </c>
      <c r="W52" s="169">
        <f>U52-T52</f>
        <v/>
      </c>
      <c r="X52" s="169">
        <f>V52-T52</f>
        <v/>
      </c>
      <c r="Y52" s="169">
        <f>V52-U52</f>
        <v/>
      </c>
      <c r="Z52" s="80" t="n"/>
    </row>
    <row r="53" ht="34" customHeight="1" s="166">
      <c r="A53" s="150" t="n">
        <v>44</v>
      </c>
      <c r="B53" s="104" t="inlineStr">
        <is>
          <t>010515001007</t>
        </is>
      </c>
      <c r="C53" s="104" t="inlineStr">
        <is>
          <t>现浇构件钢筋</t>
        </is>
      </c>
      <c r="D53" s="104" t="inlineStr">
        <is>
          <t>1.钢筋种类、规格:现浇构件箍筋带肋钢筋(HRB400)φ10以内</t>
        </is>
      </c>
      <c r="E53" s="24" t="inlineStr">
        <is>
          <t>t</t>
        </is>
      </c>
      <c r="F53" s="169" t="n">
        <v>64.06999999999999</v>
      </c>
      <c r="G53" s="169" t="n">
        <v>66.42</v>
      </c>
      <c r="H53" s="171" t="n">
        <v>66.42</v>
      </c>
      <c r="I53" s="171" t="n"/>
      <c r="J53" s="169">
        <f>G53-F53</f>
        <v/>
      </c>
      <c r="K53" s="169">
        <f>H53-F53</f>
        <v/>
      </c>
      <c r="L53" s="169">
        <f>H53-G53</f>
        <v/>
      </c>
      <c r="M53" s="43">
        <f>J53/F53</f>
        <v/>
      </c>
      <c r="N53" s="24" t="n">
        <v>6837.26</v>
      </c>
      <c r="O53" s="24" t="n">
        <v>8255.91</v>
      </c>
      <c r="P53" s="43">
        <f>(N53-O53)/O53</f>
        <v/>
      </c>
      <c r="Q53" s="169">
        <f>O53*0.9056*0.85</f>
        <v/>
      </c>
      <c r="R53" s="169">
        <f>O53*1.15</f>
        <v/>
      </c>
      <c r="S53" s="169">
        <f>IF(N53&lt;O53*0.9056*0.85,O53*0.9056*0.85,IF(N53&gt;O53*1.15,O53*1.15,N53))</f>
        <v/>
      </c>
      <c r="T53" s="169" t="n">
        <v>438076.92</v>
      </c>
      <c r="U53" s="169" t="n">
        <v>454162.38</v>
      </c>
      <c r="V53" s="169">
        <f>T53+S53*K53</f>
        <v/>
      </c>
      <c r="W53" s="169">
        <f>U53-T53</f>
        <v/>
      </c>
      <c r="X53" s="169">
        <f>V53-T53</f>
        <v/>
      </c>
      <c r="Y53" s="169">
        <f>V53-U53</f>
        <v/>
      </c>
      <c r="Z53" s="80" t="n"/>
    </row>
    <row r="54" ht="28.5" customHeight="1" s="166">
      <c r="A54" s="150" t="n">
        <v>45</v>
      </c>
      <c r="B54" s="104" t="inlineStr">
        <is>
          <t>010516003001</t>
        </is>
      </c>
      <c r="C54" s="104" t="inlineStr">
        <is>
          <t>钢筋连接</t>
        </is>
      </c>
      <c r="D54" s="104" t="inlineStr">
        <is>
          <t>1.连接方式:电渣压力焊接
2.规格:φ18以内</t>
        </is>
      </c>
      <c r="E54" s="24" t="inlineStr">
        <is>
          <t>个</t>
        </is>
      </c>
      <c r="F54" s="169" t="n">
        <v>1022</v>
      </c>
      <c r="G54" s="169" t="n">
        <v>0</v>
      </c>
      <c r="H54" s="170" t="n">
        <v>0</v>
      </c>
      <c r="I54" s="170" t="n"/>
      <c r="J54" s="169">
        <f>G54-F54</f>
        <v/>
      </c>
      <c r="K54" s="169">
        <f>H54-F54</f>
        <v/>
      </c>
      <c r="L54" s="169">
        <f>H54-G54</f>
        <v/>
      </c>
      <c r="M54" s="43">
        <f>J54/F54</f>
        <v/>
      </c>
      <c r="N54" s="24" t="n">
        <v>7.47</v>
      </c>
      <c r="O54" s="24" t="n">
        <v>8.25</v>
      </c>
      <c r="P54" s="43">
        <f>(N54-O54)/O54</f>
        <v/>
      </c>
      <c r="Q54" s="169">
        <f>O54*0.9056*0.85</f>
        <v/>
      </c>
      <c r="R54" s="169">
        <f>O54*1.15</f>
        <v/>
      </c>
      <c r="S54" s="169">
        <f>IF(N54&lt;O54*0.9056*0.85,O54*0.9056*0.85,IF(N54&gt;O54*1.15,O54*1.15,N54))</f>
        <v/>
      </c>
      <c r="T54" s="169" t="n">
        <v>7634.34</v>
      </c>
      <c r="U54" s="169" t="n">
        <v>0</v>
      </c>
      <c r="V54" s="169">
        <f>T54+S54*K54</f>
        <v/>
      </c>
      <c r="W54" s="169">
        <f>U54-T54</f>
        <v/>
      </c>
      <c r="X54" s="169">
        <f>V54-T54</f>
        <v/>
      </c>
      <c r="Y54" s="169">
        <f>V54-U54</f>
        <v/>
      </c>
      <c r="Z54" s="160" t="n"/>
    </row>
    <row r="55" ht="28.5" customHeight="1" s="166">
      <c r="A55" s="150" t="n">
        <v>46</v>
      </c>
      <c r="B55" s="104" t="inlineStr">
        <is>
          <t>010516003002</t>
        </is>
      </c>
      <c r="C55" s="104" t="inlineStr">
        <is>
          <t>钢筋连接</t>
        </is>
      </c>
      <c r="D55" s="104" t="inlineStr">
        <is>
          <t>1.连接方式:电渣压力焊接
2.规格:φ32以内</t>
        </is>
      </c>
      <c r="E55" s="24" t="inlineStr">
        <is>
          <t>个</t>
        </is>
      </c>
      <c r="F55" s="169" t="n">
        <v>1509</v>
      </c>
      <c r="G55" s="169" t="n">
        <v>0</v>
      </c>
      <c r="H55" s="170" t="n">
        <v>0</v>
      </c>
      <c r="I55" s="170" t="n"/>
      <c r="J55" s="169">
        <f>G55-F55</f>
        <v/>
      </c>
      <c r="K55" s="169">
        <f>H55-F55</f>
        <v/>
      </c>
      <c r="L55" s="169">
        <f>H55-G55</f>
        <v/>
      </c>
      <c r="M55" s="43">
        <f>J55/F55</f>
        <v/>
      </c>
      <c r="N55" s="24" t="n">
        <v>9.460000000000001</v>
      </c>
      <c r="O55" s="24" t="n">
        <v>10.44</v>
      </c>
      <c r="P55" s="43">
        <f>(N55-O55)/O55</f>
        <v/>
      </c>
      <c r="Q55" s="169">
        <f>O55*0.9056*0.85</f>
        <v/>
      </c>
      <c r="R55" s="169">
        <f>O55*1.15</f>
        <v/>
      </c>
      <c r="S55" s="169">
        <f>IF(N55&lt;O55*0.9056*0.85,O55*0.9056*0.85,IF(N55&gt;O55*1.15,O55*1.15,N55))</f>
        <v/>
      </c>
      <c r="T55" s="169" t="n">
        <v>14275.14</v>
      </c>
      <c r="U55" s="169" t="n">
        <v>0</v>
      </c>
      <c r="V55" s="169">
        <f>T55+S55*K55</f>
        <v/>
      </c>
      <c r="W55" s="169">
        <f>U55-T55</f>
        <v/>
      </c>
      <c r="X55" s="169">
        <f>V55-T55</f>
        <v/>
      </c>
      <c r="Y55" s="169">
        <f>V55-U55</f>
        <v/>
      </c>
      <c r="Z55" s="80" t="n"/>
    </row>
    <row r="56" ht="41.25" customHeight="1" s="166">
      <c r="A56" s="150" t="n">
        <v>47</v>
      </c>
      <c r="B56" s="104" t="inlineStr">
        <is>
          <t>010516003003</t>
        </is>
      </c>
      <c r="C56" s="104" t="inlineStr">
        <is>
          <t>机械连接</t>
        </is>
      </c>
      <c r="D56" s="104" t="inlineStr">
        <is>
          <t>1.连接方式:套筒直螺纹钢筋接头
2.规格:φ32以内</t>
        </is>
      </c>
      <c r="E56" s="24" t="inlineStr">
        <is>
          <t>个</t>
        </is>
      </c>
      <c r="F56" s="169" t="n">
        <v>1525</v>
      </c>
      <c r="G56" s="169" t="n">
        <v>0</v>
      </c>
      <c r="H56" s="170" t="n">
        <v>0</v>
      </c>
      <c r="I56" s="170" t="n"/>
      <c r="J56" s="169">
        <f>G56-F56</f>
        <v/>
      </c>
      <c r="K56" s="169">
        <f>H56-F56</f>
        <v/>
      </c>
      <c r="L56" s="169">
        <f>H56-G56</f>
        <v/>
      </c>
      <c r="M56" s="43">
        <f>J56/F56</f>
        <v/>
      </c>
      <c r="N56" s="24" t="n">
        <v>16.67</v>
      </c>
      <c r="O56" s="24" t="n">
        <v>21.53</v>
      </c>
      <c r="P56" s="43">
        <f>(N56-O56)/O56</f>
        <v/>
      </c>
      <c r="Q56" s="169">
        <f>O56*0.9056*0.85</f>
        <v/>
      </c>
      <c r="R56" s="169">
        <f>O56*1.15</f>
        <v/>
      </c>
      <c r="S56" s="169">
        <f>IF(N56&lt;O56*0.9056*0.85,O56*0.9056*0.85,IF(N56&gt;O56*1.15,O56*1.15,N56))</f>
        <v/>
      </c>
      <c r="T56" s="169" t="n">
        <v>25421.75</v>
      </c>
      <c r="U56" s="169" t="n">
        <v>0</v>
      </c>
      <c r="V56" s="169">
        <f>T56+S56*K56</f>
        <v/>
      </c>
      <c r="W56" s="169">
        <f>U56-T56</f>
        <v/>
      </c>
      <c r="X56" s="169">
        <f>V56-T56</f>
        <v/>
      </c>
      <c r="Y56" s="169">
        <f>V56-U56</f>
        <v/>
      </c>
      <c r="Z56" s="80" t="n"/>
    </row>
    <row r="57" ht="28.5" customFormat="1" customHeight="1" s="1">
      <c r="A57" s="150" t="n"/>
      <c r="B57" s="104" t="n"/>
      <c r="C57" s="104" t="inlineStr">
        <is>
          <t>金属结构工程</t>
        </is>
      </c>
      <c r="D57" s="104" t="n"/>
      <c r="E57" s="104" t="n"/>
      <c r="F57" s="169" t="n"/>
      <c r="G57" s="169" t="n"/>
      <c r="H57" s="169" t="n"/>
      <c r="I57" s="169" t="n"/>
      <c r="J57" s="169" t="n"/>
      <c r="K57" s="169" t="n"/>
      <c r="L57" s="169" t="n"/>
      <c r="M57" s="43" t="n"/>
      <c r="N57" s="24" t="n"/>
      <c r="O57" s="24" t="n"/>
      <c r="P57" s="43" t="n"/>
      <c r="Q57" s="169" t="n"/>
      <c r="R57" s="169" t="n"/>
      <c r="S57" s="169" t="n"/>
      <c r="T57" s="169" t="n">
        <v>1979944.66</v>
      </c>
      <c r="U57" s="169" t="n">
        <v>1901843.25</v>
      </c>
      <c r="V57" s="169">
        <f>+SUM(V58:V73)</f>
        <v/>
      </c>
      <c r="W57" s="169">
        <f>U57-T57</f>
        <v/>
      </c>
      <c r="X57" s="169">
        <f>V57-T57</f>
        <v/>
      </c>
      <c r="Y57" s="169">
        <f>V57-U57</f>
        <v/>
      </c>
      <c r="Z57" s="80" t="n"/>
      <c r="AA57" s="71" t="n"/>
    </row>
    <row r="58" ht="54" customHeight="1" s="166">
      <c r="A58" s="150" t="n">
        <v>48</v>
      </c>
      <c r="B58" s="104" t="inlineStr">
        <is>
          <t>010607005001</t>
        </is>
      </c>
      <c r="C58" s="104" t="inlineStr">
        <is>
          <t>砌块墙钢丝网加固</t>
        </is>
      </c>
      <c r="D58" s="104" t="inlineStr">
        <is>
          <t>1.镀锌钢丝网
2.材料品种、规格:Φ0.9@12.7*12.7</t>
        </is>
      </c>
      <c r="E58" s="24" t="inlineStr">
        <is>
          <t>m2</t>
        </is>
      </c>
      <c r="F58" s="169" t="n">
        <v>5631.67</v>
      </c>
      <c r="G58" s="169" t="n">
        <v>4161.91</v>
      </c>
      <c r="H58" s="169" t="n">
        <v>4161.91</v>
      </c>
      <c r="I58" s="169" t="n"/>
      <c r="J58" s="169">
        <f>G58-F58</f>
        <v/>
      </c>
      <c r="K58" s="169">
        <f>H58-F58</f>
        <v/>
      </c>
      <c r="L58" s="169">
        <f>H58-G58</f>
        <v/>
      </c>
      <c r="M58" s="43">
        <f>J58/F58</f>
        <v/>
      </c>
      <c r="N58" s="24" t="n">
        <v>6.91</v>
      </c>
      <c r="O58" s="24" t="n">
        <v>16.21</v>
      </c>
      <c r="P58" s="43">
        <f>(N58-O58)/O58</f>
        <v/>
      </c>
      <c r="Q58" s="169">
        <f>O58*0.9056*0.85</f>
        <v/>
      </c>
      <c r="R58" s="169">
        <f>O58*1.15</f>
        <v/>
      </c>
      <c r="S58" s="169">
        <f>IF(N58&lt;O58*0.9056*0.85,O58*0.9056*0.85,IF(N58&gt;O58*1.15,O58*1.15,N58))</f>
        <v/>
      </c>
      <c r="T58" s="169" t="n">
        <v>38914.84</v>
      </c>
      <c r="U58" s="169" t="n">
        <v>20575.48</v>
      </c>
      <c r="V58" s="169">
        <f>T58+S58*K58</f>
        <v/>
      </c>
      <c r="W58" s="169">
        <f>U58-T58</f>
        <v/>
      </c>
      <c r="X58" s="169">
        <f>V58-T58</f>
        <v/>
      </c>
      <c r="Y58" s="169">
        <f>V58-U58</f>
        <v/>
      </c>
      <c r="Z58" s="160" t="n"/>
    </row>
    <row r="59" ht="75" customHeight="1" s="166">
      <c r="A59" s="150" t="n">
        <v>49</v>
      </c>
      <c r="B59" s="104" t="inlineStr">
        <is>
          <t>010607005002</t>
        </is>
      </c>
      <c r="C59" s="104" t="inlineStr">
        <is>
          <t>砌块墙钢丝网加固</t>
        </is>
      </c>
      <c r="D59" s="104" t="inlineStr">
        <is>
          <t>1.耐碱玻璃纤维网布</t>
        </is>
      </c>
      <c r="E59" s="24" t="inlineStr">
        <is>
          <t>m2</t>
        </is>
      </c>
      <c r="F59" s="169" t="n">
        <v>781.41</v>
      </c>
      <c r="G59" s="169" t="n">
        <v>788.4</v>
      </c>
      <c r="H59" s="169" t="n">
        <v>784.84</v>
      </c>
      <c r="I59" s="169" t="n"/>
      <c r="J59" s="169">
        <f>G59-F59</f>
        <v/>
      </c>
      <c r="K59" s="169">
        <f>H59-F59</f>
        <v/>
      </c>
      <c r="L59" s="169">
        <f>H59-G59</f>
        <v/>
      </c>
      <c r="M59" s="43">
        <f>J59/F59</f>
        <v/>
      </c>
      <c r="N59" s="24" t="n">
        <v>4.58</v>
      </c>
      <c r="O59" s="24" t="n">
        <v>11.97</v>
      </c>
      <c r="P59" s="43">
        <f>(N59-O59)/O59</f>
        <v/>
      </c>
      <c r="Q59" s="169">
        <f>O59*0.9056*0.85</f>
        <v/>
      </c>
      <c r="R59" s="169">
        <f>O59*1.15</f>
        <v/>
      </c>
      <c r="S59" s="169">
        <f>IF(N59&lt;O59*0.9056*0.85,O59*0.9056*0.85,IF(N59&gt;O59*1.15,O59*1.15,N59))</f>
        <v/>
      </c>
      <c r="T59" s="169" t="n">
        <v>3578.85</v>
      </c>
      <c r="U59" s="169" t="n">
        <v>3643.3</v>
      </c>
      <c r="V59" s="169">
        <f>T59+S59*K59</f>
        <v/>
      </c>
      <c r="W59" s="169">
        <f>U59-T59</f>
        <v/>
      </c>
      <c r="X59" s="169">
        <f>V59-T59</f>
        <v/>
      </c>
      <c r="Y59" s="169">
        <f>V59-U59</f>
        <v/>
      </c>
      <c r="Z59" s="160" t="n"/>
    </row>
    <row r="60" ht="66.75" customHeight="1" s="166">
      <c r="A60" s="150" t="n">
        <v>50</v>
      </c>
      <c r="B60" s="104" t="inlineStr">
        <is>
          <t>010603002001</t>
        </is>
      </c>
      <c r="C60" s="104" t="inlineStr">
        <is>
          <t>钢柱</t>
        </is>
      </c>
      <c r="D60" s="104" t="inlineStr">
        <is>
          <t>1.钢结构柱
2.钢材品种、规格:Q235B
3.钢柱制作、安装、除锈
4.综合考虑场内、场外运输
5.其他详见施工设计图</t>
        </is>
      </c>
      <c r="E60" s="24" t="inlineStr">
        <is>
          <t>t</t>
        </is>
      </c>
      <c r="F60" s="169" t="n">
        <v>0.6899999999999999</v>
      </c>
      <c r="G60" s="169" t="n">
        <v>1.85</v>
      </c>
      <c r="H60" s="171">
        <f>4*(20.03-9)*36.55/1000</f>
        <v/>
      </c>
      <c r="I60" s="171" t="n"/>
      <c r="J60" s="169">
        <f>G60-F60</f>
        <v/>
      </c>
      <c r="K60" s="169">
        <f>H60-F60</f>
        <v/>
      </c>
      <c r="L60" s="169">
        <f>H60-G60</f>
        <v/>
      </c>
      <c r="M60" s="43">
        <f>J60/F60</f>
        <v/>
      </c>
      <c r="N60" s="24" t="n">
        <v>8068.1</v>
      </c>
      <c r="O60" s="24" t="n">
        <v>9670.09</v>
      </c>
      <c r="P60" s="43">
        <f>(N60-O60)/O60</f>
        <v/>
      </c>
      <c r="Q60" s="169">
        <f>O60*0.9056*0.85</f>
        <v/>
      </c>
      <c r="R60" s="169">
        <f>O60*1.15</f>
        <v/>
      </c>
      <c r="S60" s="169">
        <f>IF(N60&lt;O60*0.9056*0.85,O60*0.9056*0.85,IF(N60&gt;O60*1.15,O60*1.15,N60))</f>
        <v/>
      </c>
      <c r="T60" s="169" t="n">
        <v>5534.72</v>
      </c>
      <c r="U60" s="169" t="n">
        <v>14887.26</v>
      </c>
      <c r="V60" s="169">
        <f>T60+S60*K60</f>
        <v/>
      </c>
      <c r="W60" s="169">
        <f>U60-T60</f>
        <v/>
      </c>
      <c r="X60" s="169">
        <f>V60-T60</f>
        <v/>
      </c>
      <c r="Y60" s="169">
        <f>V60-U60</f>
        <v/>
      </c>
      <c r="Z60" s="80" t="n"/>
    </row>
    <row r="61" ht="54" customHeight="1" s="166">
      <c r="A61" s="150" t="n">
        <v>51</v>
      </c>
      <c r="B61" s="104" t="inlineStr">
        <is>
          <t>010604001001</t>
        </is>
      </c>
      <c r="C61" s="104" t="inlineStr">
        <is>
          <t>钢梁</t>
        </is>
      </c>
      <c r="D61" s="104" t="inlineStr">
        <is>
          <t>1.钢结构梁
2.钢材品种、规格:Q355B
3.钢梁制作、安装、除锈
4.其他详见施工设计图</t>
        </is>
      </c>
      <c r="E61" s="24" t="inlineStr">
        <is>
          <t>t</t>
        </is>
      </c>
      <c r="F61" s="169" t="n">
        <v>12.35</v>
      </c>
      <c r="G61" s="169" t="n">
        <v>19.01</v>
      </c>
      <c r="H61" s="171" t="n">
        <v>19.004</v>
      </c>
      <c r="I61" s="171" t="n"/>
      <c r="J61" s="169">
        <f>G61-F61</f>
        <v/>
      </c>
      <c r="K61" s="169">
        <f>H61-F61</f>
        <v/>
      </c>
      <c r="L61" s="169">
        <f>H61-G61</f>
        <v/>
      </c>
      <c r="M61" s="43">
        <f>J61/F61</f>
        <v/>
      </c>
      <c r="N61" s="24" t="n">
        <v>8895</v>
      </c>
      <c r="O61" s="24" t="n">
        <v>9802.52</v>
      </c>
      <c r="P61" s="43">
        <f>(N61-O61)/O61</f>
        <v/>
      </c>
      <c r="Q61" s="169">
        <f>O61*0.9056*0.85</f>
        <v/>
      </c>
      <c r="R61" s="169">
        <f>O61*1.15</f>
        <v/>
      </c>
      <c r="S61" s="169">
        <f>IF(N61&lt;O61*0.9056*0.85,O61*0.9056*0.85,IF(N61&gt;O61*1.15,O61*1.15,N61))</f>
        <v/>
      </c>
      <c r="T61" s="169" t="n">
        <v>109890.61</v>
      </c>
      <c r="U61" s="169" t="n">
        <v>169073.49</v>
      </c>
      <c r="V61" s="169">
        <f>T61+S61*K61</f>
        <v/>
      </c>
      <c r="W61" s="169">
        <f>U61-T61</f>
        <v/>
      </c>
      <c r="X61" s="169">
        <f>V61-T61</f>
        <v/>
      </c>
      <c r="Y61" s="169">
        <f>V61-U61</f>
        <v/>
      </c>
      <c r="Z61" s="80" t="n"/>
    </row>
    <row r="62" ht="54" customHeight="1" s="166">
      <c r="A62" s="150" t="n">
        <v>52</v>
      </c>
      <c r="B62" s="104" t="inlineStr">
        <is>
          <t>010604001002</t>
        </is>
      </c>
      <c r="C62" s="104" t="inlineStr">
        <is>
          <t>钢梁</t>
        </is>
      </c>
      <c r="D62" s="104" t="inlineStr">
        <is>
          <t>1.钢结构梁
2.钢材品种、规格:Q235B
3.钢梁制作、安装、除锈
4.其他详见施工设计图</t>
        </is>
      </c>
      <c r="E62" s="24" t="inlineStr">
        <is>
          <t>t</t>
        </is>
      </c>
      <c r="F62" s="169" t="n">
        <v>38.23</v>
      </c>
      <c r="G62" s="169" t="n">
        <v>11.43</v>
      </c>
      <c r="H62" s="171" t="n">
        <v>11.424</v>
      </c>
      <c r="I62" s="171" t="n"/>
      <c r="J62" s="169">
        <f>G62-F62</f>
        <v/>
      </c>
      <c r="K62" s="169">
        <f>H62-F62</f>
        <v/>
      </c>
      <c r="L62" s="169">
        <f>H62-G62</f>
        <v/>
      </c>
      <c r="M62" s="43">
        <f>J62/F62</f>
        <v/>
      </c>
      <c r="N62" s="24" t="n">
        <v>6839.9</v>
      </c>
      <c r="O62" s="24" t="n">
        <v>9706.68</v>
      </c>
      <c r="P62" s="43">
        <f>(N62-O62)/O62</f>
        <v/>
      </c>
      <c r="Q62" s="169">
        <f>O62*0.9056*0.85</f>
        <v/>
      </c>
      <c r="R62" s="169">
        <f>O62*1.15</f>
        <v/>
      </c>
      <c r="S62" s="169">
        <f>IF(N62&lt;O62*0.9056*0.85,O62*0.9056*0.85,IF(N62&gt;O62*1.15,O62*1.15,N62))</f>
        <v/>
      </c>
      <c r="T62" s="169" t="n">
        <v>261520.16</v>
      </c>
      <c r="U62" s="169" t="n">
        <v>61226.23</v>
      </c>
      <c r="V62" s="169">
        <f>T62+S62*K62</f>
        <v/>
      </c>
      <c r="W62" s="169">
        <f>U62-T62</f>
        <v/>
      </c>
      <c r="X62" s="169">
        <f>V62-T62</f>
        <v/>
      </c>
      <c r="Y62" s="169">
        <f>V62-U62</f>
        <v/>
      </c>
      <c r="Z62" s="80" t="n"/>
    </row>
    <row r="63" ht="66.75" customHeight="1" s="166">
      <c r="A63" s="150" t="n">
        <v>53</v>
      </c>
      <c r="B63" s="104" t="inlineStr">
        <is>
          <t>010602003001</t>
        </is>
      </c>
      <c r="C63" s="104" t="inlineStr">
        <is>
          <t>钢桁架</t>
        </is>
      </c>
      <c r="D63" s="104" t="inlineStr">
        <is>
          <t>1.钢桁架
2.钢材品种、规格:Q355B
3.钢桁架制作、安装、除锈
4.综合考虑场内、场外运输
5.其他详见施工设计图</t>
        </is>
      </c>
      <c r="E63" s="24" t="inlineStr">
        <is>
          <t>t</t>
        </is>
      </c>
      <c r="F63" s="169" t="n">
        <v>49.33</v>
      </c>
      <c r="G63" s="169" t="n">
        <v>45.65</v>
      </c>
      <c r="H63" s="171" t="n">
        <v>45.645</v>
      </c>
      <c r="I63" s="171" t="n"/>
      <c r="J63" s="169">
        <f>G63-F63</f>
        <v/>
      </c>
      <c r="K63" s="169">
        <f>H63-F63</f>
        <v/>
      </c>
      <c r="L63" s="169">
        <f>H63-G63</f>
        <v/>
      </c>
      <c r="M63" s="43">
        <f>J63/F63</f>
        <v/>
      </c>
      <c r="N63" s="24" t="n">
        <v>10367.99</v>
      </c>
      <c r="O63" s="24" t="n">
        <v>11465.39</v>
      </c>
      <c r="P63" s="43">
        <f>(N63-O63)/O63</f>
        <v/>
      </c>
      <c r="Q63" s="169">
        <f>O63*0.9056*0.85</f>
        <v/>
      </c>
      <c r="R63" s="169">
        <f>O63*1.15</f>
        <v/>
      </c>
      <c r="S63" s="169">
        <f>IF(N63&lt;O63*0.9056*0.85,O63*0.9056*0.85,IF(N63&gt;O63*1.15,O63*1.15,N63))</f>
        <v/>
      </c>
      <c r="T63" s="169" t="n">
        <v>511438.43</v>
      </c>
      <c r="U63" s="169" t="n">
        <v>473276.97</v>
      </c>
      <c r="V63" s="169">
        <f>T63+S63*K63</f>
        <v/>
      </c>
      <c r="W63" s="169">
        <f>U63-T63</f>
        <v/>
      </c>
      <c r="X63" s="169">
        <f>V63-T63</f>
        <v/>
      </c>
      <c r="Y63" s="169">
        <f>V63-U63</f>
        <v/>
      </c>
      <c r="Z63" s="80" t="n"/>
    </row>
    <row r="64" ht="66.75" customHeight="1" s="166">
      <c r="A64" s="150" t="n">
        <v>54</v>
      </c>
      <c r="B64" s="104" t="inlineStr">
        <is>
          <t>010602001001</t>
        </is>
      </c>
      <c r="C64" s="104" t="inlineStr">
        <is>
          <t>钢屋架</t>
        </is>
      </c>
      <c r="D64" s="104" t="inlineStr">
        <is>
          <t>1.钢屋架
2.钢材品种、规格:Q235B
3.钢屋架制作、安装、除锈
4.综合考虑场内、场外运输
5.其他详见施工设计图</t>
        </is>
      </c>
      <c r="E64" s="24" t="inlineStr">
        <is>
          <t>t</t>
        </is>
      </c>
      <c r="F64" s="169" t="n">
        <v>23.92</v>
      </c>
      <c r="G64" s="169" t="n">
        <v>41.4</v>
      </c>
      <c r="H64" s="171" t="n">
        <v>41.4</v>
      </c>
      <c r="I64" s="171" t="n"/>
      <c r="J64" s="169">
        <f>G64-F64</f>
        <v/>
      </c>
      <c r="K64" s="169">
        <f>H64-F64</f>
        <v/>
      </c>
      <c r="L64" s="169">
        <f>H64-G64</f>
        <v/>
      </c>
      <c r="M64" s="43">
        <f>J64/F64</f>
        <v/>
      </c>
      <c r="N64" s="24" t="n">
        <v>7068.28</v>
      </c>
      <c r="O64" s="24" t="n">
        <v>9954.190000000001</v>
      </c>
      <c r="P64" s="43">
        <f>(N64-O64)/O64</f>
        <v/>
      </c>
      <c r="Q64" s="169">
        <f>O64*0.9056*0.85</f>
        <v/>
      </c>
      <c r="R64" s="169">
        <f>O64*1.15</f>
        <v/>
      </c>
      <c r="S64" s="169">
        <f>IF(N64&lt;O64*0.9056*0.85,O64*0.9056*0.85,IF(N64&gt;O64*1.15,O64*1.15,N64))</f>
        <v/>
      </c>
      <c r="T64" s="169" t="n">
        <v>169081.74</v>
      </c>
      <c r="U64" s="169" t="n">
        <v>303046.21</v>
      </c>
      <c r="V64" s="169">
        <f>T64+S64*K64</f>
        <v/>
      </c>
      <c r="W64" s="169">
        <f>U64-T64</f>
        <v/>
      </c>
      <c r="X64" s="169">
        <f>V64-T64</f>
        <v/>
      </c>
      <c r="Y64" s="169">
        <f>V64-U64</f>
        <v/>
      </c>
      <c r="Z64" s="80" t="n"/>
    </row>
    <row r="65" ht="66.75" customHeight="1" s="166">
      <c r="A65" s="150" t="n">
        <v>55</v>
      </c>
      <c r="B65" s="104" t="inlineStr">
        <is>
          <t>010602001002</t>
        </is>
      </c>
      <c r="C65" s="104" t="inlineStr">
        <is>
          <t>钢屋架</t>
        </is>
      </c>
      <c r="D65" s="104" t="inlineStr">
        <is>
          <t>1.钢屋架
2.钢材品种、规格:Q355B
3.钢屋架制作、安装、除锈
4.综合考虑场内、场外运输
5.其他详见施工设计图</t>
        </is>
      </c>
      <c r="E65" s="24" t="inlineStr">
        <is>
          <t>t</t>
        </is>
      </c>
      <c r="F65" s="169" t="n">
        <v>9.51</v>
      </c>
      <c r="G65" s="169" t="n">
        <v>10.26</v>
      </c>
      <c r="H65" s="171" t="n">
        <v>10.26</v>
      </c>
      <c r="I65" s="171" t="n"/>
      <c r="J65" s="169">
        <f>G65-F65</f>
        <v/>
      </c>
      <c r="K65" s="169">
        <f>H65-F65</f>
        <v/>
      </c>
      <c r="L65" s="169">
        <f>H65-G65</f>
        <v/>
      </c>
      <c r="M65" s="43">
        <f>J65/F65</f>
        <v/>
      </c>
      <c r="N65" s="24" t="n">
        <v>9123.379999999999</v>
      </c>
      <c r="O65" s="24" t="n">
        <v>10054.19</v>
      </c>
      <c r="P65" s="43">
        <f>(N65-O65)/O65</f>
        <v/>
      </c>
      <c r="Q65" s="169">
        <f>O65*0.9056*0.85</f>
        <v/>
      </c>
      <c r="R65" s="169">
        <f>O65*1.15</f>
        <v/>
      </c>
      <c r="S65" s="169">
        <f>IF(N65&lt;O65*0.9056*0.85,O65*0.9056*0.85,IF(N65&gt;O65*1.15,O65*1.15,N65))</f>
        <v/>
      </c>
      <c r="T65" s="169" t="n">
        <v>86719.55</v>
      </c>
      <c r="U65" s="169" t="n">
        <v>93584.89999999999</v>
      </c>
      <c r="V65" s="169">
        <f>T65+S65*K65</f>
        <v/>
      </c>
      <c r="W65" s="169">
        <f>U65-T65</f>
        <v/>
      </c>
      <c r="X65" s="169">
        <f>V65-T65</f>
        <v/>
      </c>
      <c r="Y65" s="169">
        <f>V65-U65</f>
        <v/>
      </c>
      <c r="Z65" s="80" t="n"/>
    </row>
    <row r="66" ht="66.75" customHeight="1" s="166">
      <c r="A66" s="150" t="n">
        <v>56</v>
      </c>
      <c r="B66" s="104" t="inlineStr">
        <is>
          <t>010606007001</t>
        </is>
      </c>
      <c r="C66" s="104" t="inlineStr">
        <is>
          <t>钢马道</t>
        </is>
      </c>
      <c r="D66" s="104" t="inlineStr">
        <is>
          <t>1.钢马道
2.钢材品种、规格:Q235B、
3.钢屋架制作、安装、除锈
4.综合考虑场内、场外运输
5.其他详见施工设计图</t>
        </is>
      </c>
      <c r="E66" s="24" t="inlineStr">
        <is>
          <t>t</t>
        </is>
      </c>
      <c r="F66" s="169" t="n">
        <v>5.92</v>
      </c>
      <c r="G66" s="169" t="n">
        <v>9.02</v>
      </c>
      <c r="H66" s="171" t="n">
        <v>9.02</v>
      </c>
      <c r="I66" s="171" t="n"/>
      <c r="J66" s="169">
        <f>G66-F66</f>
        <v/>
      </c>
      <c r="K66" s="169">
        <f>H66-F66</f>
        <v/>
      </c>
      <c r="L66" s="169">
        <f>H66-G66</f>
        <v/>
      </c>
      <c r="M66" s="43">
        <f>J66/F66</f>
        <v/>
      </c>
      <c r="N66" s="24" t="n">
        <v>7232.27</v>
      </c>
      <c r="O66" s="24" t="n">
        <v>10133.72</v>
      </c>
      <c r="P66" s="43">
        <f>(N66-O66)/O66</f>
        <v/>
      </c>
      <c r="Q66" s="169">
        <f>O66*0.9056*0.85</f>
        <v/>
      </c>
      <c r="R66" s="169">
        <f>O66*1.15</f>
        <v/>
      </c>
      <c r="S66" s="169">
        <f>IF(N66&lt;O66*0.9056*0.85,O66*0.9056*0.85,IF(N66&gt;O66*1.15,O66*1.15,N66))</f>
        <v/>
      </c>
      <c r="T66" s="169" t="n">
        <v>42788.28</v>
      </c>
      <c r="U66" s="169" t="n">
        <v>67004.25</v>
      </c>
      <c r="V66" s="169">
        <f>T66+S66*K66</f>
        <v/>
      </c>
      <c r="W66" s="169">
        <f>U66-T66</f>
        <v/>
      </c>
      <c r="X66" s="169">
        <f>V66-T66</f>
        <v/>
      </c>
      <c r="Y66" s="169">
        <f>V66-U66</f>
        <v/>
      </c>
      <c r="Z66" s="80" t="n"/>
    </row>
    <row r="67" ht="28.5" customHeight="1" s="166">
      <c r="A67" s="150" t="n">
        <v>57</v>
      </c>
      <c r="B67" s="104" t="inlineStr">
        <is>
          <t>010516002001</t>
        </is>
      </c>
      <c r="C67" s="104" t="inlineStr">
        <is>
          <t>预埋铁件</t>
        </is>
      </c>
      <c r="D67" s="104" t="inlineStr">
        <is>
          <t>1.钢材种类:预埋铁件
2.其他详见施工设计图</t>
        </is>
      </c>
      <c r="E67" s="24" t="inlineStr">
        <is>
          <t>t</t>
        </is>
      </c>
      <c r="F67" s="169" t="n">
        <v>2.11</v>
      </c>
      <c r="G67" s="169" t="n">
        <v>2.12</v>
      </c>
      <c r="H67" s="171" t="n">
        <v>2.12</v>
      </c>
      <c r="I67" s="171" t="n"/>
      <c r="J67" s="169">
        <f>G67-F67</f>
        <v/>
      </c>
      <c r="K67" s="169">
        <f>H67-F67</f>
        <v/>
      </c>
      <c r="L67" s="169">
        <f>H67-G67</f>
        <v/>
      </c>
      <c r="M67" s="43">
        <f>J67/F67</f>
        <v/>
      </c>
      <c r="N67" s="24" t="n">
        <v>9040.459999999999</v>
      </c>
      <c r="O67" s="24" t="n">
        <v>10467.11</v>
      </c>
      <c r="P67" s="43">
        <f>(N67-O67)/O67</f>
        <v/>
      </c>
      <c r="Q67" s="169">
        <f>O67*0.9056*0.85</f>
        <v/>
      </c>
      <c r="R67" s="169">
        <f>O67*1.15</f>
        <v/>
      </c>
      <c r="S67" s="169">
        <f>IF(N67&lt;O67*0.9056*0.85,O67*0.9056*0.85,IF(N67&gt;O67*1.15,O67*1.15,N67))</f>
        <v/>
      </c>
      <c r="T67" s="169" t="n">
        <v>19099.78</v>
      </c>
      <c r="U67" s="169" t="n">
        <v>19208.27</v>
      </c>
      <c r="V67" s="169">
        <f>T67+S67*K67</f>
        <v/>
      </c>
      <c r="W67" s="169">
        <f>U67-T67</f>
        <v/>
      </c>
      <c r="X67" s="169">
        <f>V67-T67</f>
        <v/>
      </c>
      <c r="Y67" s="169">
        <f>V67-U67</f>
        <v/>
      </c>
      <c r="Z67" s="80" t="n"/>
    </row>
    <row r="68" ht="92.25" customHeight="1" s="166">
      <c r="A68" s="150" t="n">
        <v>58</v>
      </c>
      <c r="B68" s="104" t="inlineStr">
        <is>
          <t>010605001001</t>
        </is>
      </c>
      <c r="C68" s="104" t="inlineStr">
        <is>
          <t>钢板楼板</t>
        </is>
      </c>
      <c r="D68" s="104" t="inlineStr">
        <is>
          <t>1.部位：钢板楼板
2.钢材品种、规格：压型钢板YXB65-185-555(B)Q355B（含镀锌层）
3.钢板厚：0.91mm
4.金属结构件场内运输
5.其他详见施工设计图</t>
        </is>
      </c>
      <c r="E68" s="24" t="inlineStr">
        <is>
          <t>m2</t>
        </is>
      </c>
      <c r="F68" s="169" t="n">
        <v>1681.88</v>
      </c>
      <c r="G68" s="169" t="n">
        <v>1695</v>
      </c>
      <c r="H68" s="169">
        <f>317.9+1367.78</f>
        <v/>
      </c>
      <c r="I68" s="169" t="n"/>
      <c r="J68" s="169">
        <f>G68-F68</f>
        <v/>
      </c>
      <c r="K68" s="169">
        <f>H68-F68</f>
        <v/>
      </c>
      <c r="L68" s="169">
        <f>H68-G68</f>
        <v/>
      </c>
      <c r="M68" s="43">
        <f>J68/F68</f>
        <v/>
      </c>
      <c r="N68" s="24" t="n">
        <v>133.37</v>
      </c>
      <c r="O68" s="24" t="n">
        <v>156.01</v>
      </c>
      <c r="P68" s="43">
        <f>(N68-O68)/O68</f>
        <v/>
      </c>
      <c r="Q68" s="169">
        <f>O68*0.9056*0.85</f>
        <v/>
      </c>
      <c r="R68" s="169">
        <f>O68*1.15</f>
        <v/>
      </c>
      <c r="S68" s="169">
        <f>IF(N68&lt;O68*0.9056*0.85,O68*0.9056*0.85,IF(N68&gt;O68*1.15,O68*1.15,N68))</f>
        <v/>
      </c>
      <c r="T68" s="169" t="n">
        <v>224312.34</v>
      </c>
      <c r="U68" s="169" t="n">
        <v>226062.15</v>
      </c>
      <c r="V68" s="169">
        <f>T68+S68*K68</f>
        <v/>
      </c>
      <c r="W68" s="169">
        <f>U68-T68</f>
        <v/>
      </c>
      <c r="X68" s="169">
        <f>V68-T68</f>
        <v/>
      </c>
      <c r="Y68" s="169">
        <f>V68-U68</f>
        <v/>
      </c>
      <c r="Z68" s="80" t="n"/>
      <c r="AA68" s="71" t="inlineStr">
        <is>
          <t>区分0.75和0.91</t>
        </is>
      </c>
    </row>
    <row r="69" ht="46" customHeight="1" s="166">
      <c r="A69" s="150" t="n">
        <v>59</v>
      </c>
      <c r="B69" s="104" t="inlineStr">
        <is>
          <t>010606013001</t>
        </is>
      </c>
      <c r="C69" s="104" t="inlineStr">
        <is>
          <t>零星钢构件</t>
        </is>
      </c>
      <c r="D69" s="104" t="inlineStr">
        <is>
          <t>1.构件名称:栓钉
2.钢材规格:Φ16，L=100mm
3.其他:具体详见图纸</t>
        </is>
      </c>
      <c r="E69" s="24" t="inlineStr">
        <is>
          <t>套</t>
        </is>
      </c>
      <c r="F69" s="169" t="n">
        <v>5586</v>
      </c>
      <c r="G69" s="169" t="n">
        <v>6828</v>
      </c>
      <c r="H69" s="170" t="n">
        <v>6828</v>
      </c>
      <c r="I69" s="170" t="n"/>
      <c r="J69" s="169">
        <f>G69-F69</f>
        <v/>
      </c>
      <c r="K69" s="169">
        <f>H69-F69</f>
        <v/>
      </c>
      <c r="L69" s="169">
        <f>H69-G69</f>
        <v/>
      </c>
      <c r="M69" s="43">
        <f>J69/F69</f>
        <v/>
      </c>
      <c r="N69" s="24" t="n">
        <v>3.34</v>
      </c>
      <c r="O69" s="24" t="n">
        <v>5.64</v>
      </c>
      <c r="P69" s="43">
        <f>(N69-O69)/O69</f>
        <v/>
      </c>
      <c r="Q69" s="169">
        <f>O69*0.9056*0.85</f>
        <v/>
      </c>
      <c r="R69" s="169">
        <f>O69*1.15</f>
        <v/>
      </c>
      <c r="S69" s="169">
        <f>IF(N69&lt;O69*0.9056*0.85,O69*0.9056*0.85,IF(N69&gt;O69*1.15,O69*1.15,N69))</f>
        <v/>
      </c>
      <c r="T69" s="169" t="n">
        <v>18657.24</v>
      </c>
      <c r="U69" s="169" t="n">
        <v>24049.32</v>
      </c>
      <c r="V69" s="169">
        <f>T69+S69*K69</f>
        <v/>
      </c>
      <c r="W69" s="169">
        <f>U69-T69</f>
        <v/>
      </c>
      <c r="X69" s="169">
        <f>V69-T69</f>
        <v/>
      </c>
      <c r="Y69" s="169">
        <f>V69-U69</f>
        <v/>
      </c>
      <c r="Z69" s="80" t="n"/>
    </row>
    <row r="70" ht="66.75" customHeight="1" s="166">
      <c r="A70" s="150" t="n">
        <v>60</v>
      </c>
      <c r="B70" s="104" t="inlineStr">
        <is>
          <t>011405001004</t>
        </is>
      </c>
      <c r="C70" s="104" t="inlineStr">
        <is>
          <t>金属面油漆</t>
        </is>
      </c>
      <c r="D70" s="104" t="inlineStr">
        <is>
          <t>部位：钢板楼板
1.膨胀型防火涂料（耐火极限1.0h）
2.聚硅氧烷面漆2遍
3.其他详见施工设计图</t>
        </is>
      </c>
      <c r="E70" s="24" t="inlineStr">
        <is>
          <t>m2</t>
        </is>
      </c>
      <c r="F70" s="169" t="n">
        <v>1681.88</v>
      </c>
      <c r="G70" s="169" t="n">
        <v>1695</v>
      </c>
      <c r="H70" s="169">
        <f>H68</f>
        <v/>
      </c>
      <c r="I70" s="169" t="n"/>
      <c r="J70" s="169">
        <f>G70-F70</f>
        <v/>
      </c>
      <c r="K70" s="169">
        <f>H70-F70</f>
        <v/>
      </c>
      <c r="L70" s="169">
        <f>H70-G70</f>
        <v/>
      </c>
      <c r="M70" s="43">
        <f>J70/F70</f>
        <v/>
      </c>
      <c r="N70" s="24" t="n">
        <v>32.5</v>
      </c>
      <c r="O70" s="24" t="n">
        <v>42.71</v>
      </c>
      <c r="P70" s="43">
        <f>(N70-O70)/O70</f>
        <v/>
      </c>
      <c r="Q70" s="169">
        <f>O70*0.9056*0.85</f>
        <v/>
      </c>
      <c r="R70" s="169">
        <f>O70*1.15</f>
        <v/>
      </c>
      <c r="S70" s="169">
        <f>IF(N70&lt;O70*0.9056*0.85,O70*0.9056*0.85,IF(N70&gt;O70*1.15,O70*1.15,N70))</f>
        <v/>
      </c>
      <c r="T70" s="169" t="n">
        <v>54661.1</v>
      </c>
      <c r="U70" s="169" t="n">
        <v>55092.44</v>
      </c>
      <c r="V70" s="169">
        <f>T70+S70*K70</f>
        <v/>
      </c>
      <c r="W70" s="169">
        <f>U70-T70</f>
        <v/>
      </c>
      <c r="X70" s="169">
        <f>V70-T70</f>
        <v/>
      </c>
      <c r="Y70" s="169">
        <f>V70-U70</f>
        <v/>
      </c>
      <c r="Z70" s="80" t="n"/>
      <c r="AA70" s="71" t="inlineStr">
        <is>
          <t>金属面油漆</t>
        </is>
      </c>
      <c r="AB70" s="162" t="n">
        <v>1695</v>
      </c>
    </row>
    <row r="71" ht="92.25" customHeight="1" s="166">
      <c r="A71" s="150" t="n">
        <v>61</v>
      </c>
      <c r="B71" s="104" t="inlineStr">
        <is>
          <t>011405001002</t>
        </is>
      </c>
      <c r="C71" s="104" t="inlineStr">
        <is>
          <t>金属面油漆</t>
        </is>
      </c>
      <c r="D71" s="104" t="inlineStr">
        <is>
          <t>部位：钢柱
1.环氧富锌底漆2遍
2.环氧云铁中间漆3遍
3.非膨胀型防火涂料40mm（耐火极限2.5h）
4.聚硅氧烷面漆2遍
5.其他详见施工设计图</t>
        </is>
      </c>
      <c r="E71" s="24" t="inlineStr">
        <is>
          <t>m2</t>
        </is>
      </c>
      <c r="F71" s="169" t="n">
        <v>14.99</v>
      </c>
      <c r="G71" s="169" t="n">
        <v>25.23</v>
      </c>
      <c r="H71" s="169" t="n">
        <v>25.23</v>
      </c>
      <c r="I71" s="169" t="n"/>
      <c r="J71" s="169">
        <f>G71-F71</f>
        <v/>
      </c>
      <c r="K71" s="169">
        <f>H71-F71</f>
        <v/>
      </c>
      <c r="L71" s="169">
        <f>H71-G71</f>
        <v/>
      </c>
      <c r="M71" s="43">
        <f>J71/F71</f>
        <v/>
      </c>
      <c r="N71" s="24" t="n">
        <v>311.94</v>
      </c>
      <c r="O71" s="24" t="n">
        <v>214.23</v>
      </c>
      <c r="P71" s="43">
        <f>(N71-O71)/O71</f>
        <v/>
      </c>
      <c r="Q71" s="169">
        <f>O71*0.9056*0.85</f>
        <v/>
      </c>
      <c r="R71" s="169">
        <f>O71*1.15</f>
        <v/>
      </c>
      <c r="S71" s="169">
        <f>IF(N71&lt;O71*0.9056*0.85,O71*0.9056*0.85,IF(N71&gt;O71*1.15,O71*1.15,N71))</f>
        <v/>
      </c>
      <c r="T71" s="169" t="n">
        <v>4675.98</v>
      </c>
      <c r="U71" s="169" t="n">
        <v>7198.75</v>
      </c>
      <c r="V71" s="169">
        <f>T71+S71*K71</f>
        <v/>
      </c>
      <c r="W71" s="169">
        <f>U71-T71</f>
        <v/>
      </c>
      <c r="X71" s="169">
        <f>V71-T71</f>
        <v/>
      </c>
      <c r="Y71" s="169">
        <f>V71-U71</f>
        <v/>
      </c>
      <c r="Z71" s="80" t="n"/>
    </row>
    <row r="72" ht="105" customHeight="1" s="166">
      <c r="A72" s="150" t="n">
        <v>62</v>
      </c>
      <c r="B72" s="104" t="inlineStr">
        <is>
          <t>011405001003</t>
        </is>
      </c>
      <c r="C72" s="104" t="inlineStr">
        <is>
          <t>金属面油漆</t>
        </is>
      </c>
      <c r="D72" s="104" t="inlineStr">
        <is>
          <t>部位：钢梁、钢屋架、钢桁架、钢马道等
1.环氧富锌底漆2遍
2.环氧云铁中间漆3遍
3.膨胀型防火涂料（耐火极限1.5h）
4.聚硅氧烷面漆2遍
5.其他详见施工设计图</t>
        </is>
      </c>
      <c r="E72" s="24" t="inlineStr">
        <is>
          <t>m2</t>
        </is>
      </c>
      <c r="F72" s="169" t="n">
        <v>3436.94</v>
      </c>
      <c r="G72" s="169" t="n">
        <v>2873.67</v>
      </c>
      <c r="H72" s="169" t="n">
        <v>2873.67</v>
      </c>
      <c r="I72" s="169" t="n"/>
      <c r="J72" s="169">
        <f>G72-F72</f>
        <v/>
      </c>
      <c r="K72" s="169">
        <f>H72-F72</f>
        <v/>
      </c>
      <c r="L72" s="169">
        <f>H72-G72</f>
        <v/>
      </c>
      <c r="M72" s="43">
        <f>J72/F72</f>
        <v/>
      </c>
      <c r="N72" s="24" t="n">
        <v>116.14</v>
      </c>
      <c r="O72" s="24" t="n">
        <v>114.29</v>
      </c>
      <c r="P72" s="43">
        <f>(N72-O72)/O72</f>
        <v/>
      </c>
      <c r="Q72" s="169">
        <f>O72*0.9056*0.85</f>
        <v/>
      </c>
      <c r="R72" s="169">
        <f>O72*1.15</f>
        <v/>
      </c>
      <c r="S72" s="169">
        <f>IF(N72&lt;O72*0.9056*0.85,O72*0.9056*0.85,IF(N72&gt;O72*1.15,O72*1.15,N72))</f>
        <v/>
      </c>
      <c r="T72" s="169" t="n">
        <v>399166.21</v>
      </c>
      <c r="U72" s="169" t="n">
        <v>333748.03</v>
      </c>
      <c r="V72" s="169">
        <f>T72+S72*K72</f>
        <v/>
      </c>
      <c r="W72" s="169">
        <f>U72-T72</f>
        <v/>
      </c>
      <c r="X72" s="169">
        <f>V72-T72</f>
        <v/>
      </c>
      <c r="Y72" s="169">
        <f>V72-U72</f>
        <v/>
      </c>
      <c r="Z72" s="160" t="n"/>
    </row>
    <row r="73" ht="66.75" customHeight="1" s="166">
      <c r="A73" s="150" t="n">
        <v>63</v>
      </c>
      <c r="B73" s="104" t="inlineStr">
        <is>
          <t>011303001001</t>
        </is>
      </c>
      <c r="C73" s="104" t="inlineStr">
        <is>
          <t>采光窗</t>
        </is>
      </c>
      <c r="D73" s="104" t="inlineStr">
        <is>
          <t>1.low-E中空玻璃（6+12A+6）+0.76PVB+6mm夹胶玻璃采光窗
2.铝合金骨架、铁丝网防护
3.其他详见施工设计图</t>
        </is>
      </c>
      <c r="E73" s="24" t="inlineStr">
        <is>
          <t>m2</t>
        </is>
      </c>
      <c r="F73" s="169" t="n">
        <v>36.82</v>
      </c>
      <c r="G73" s="169" t="n">
        <v>37.24</v>
      </c>
      <c r="H73" s="169" t="n">
        <v>37.24</v>
      </c>
      <c r="I73" s="169" t="n"/>
      <c r="J73" s="169">
        <f>G73-F73</f>
        <v/>
      </c>
      <c r="K73" s="169">
        <f>H73-F73</f>
        <v/>
      </c>
      <c r="L73" s="169">
        <f>H73-G73</f>
        <v/>
      </c>
      <c r="M73" s="43">
        <f>J73/F73</f>
        <v/>
      </c>
      <c r="N73" s="24" t="n">
        <v>812.1900000000001</v>
      </c>
      <c r="O73" s="24" t="n">
        <v>537.8099999999999</v>
      </c>
      <c r="P73" s="43">
        <f>(N73-O73)/O73</f>
        <v/>
      </c>
      <c r="Q73" s="169">
        <f>O73*0.9056*0.85</f>
        <v/>
      </c>
      <c r="R73" s="169">
        <f>O73*1.15</f>
        <v/>
      </c>
      <c r="S73" s="169">
        <f>IF(N73&lt;O73*0.9056*0.85,O73*0.9056*0.85,IF(N73&gt;O73*1.15,O73*1.15,N73))</f>
        <v/>
      </c>
      <c r="T73" s="169" t="n">
        <v>29904.84</v>
      </c>
      <c r="U73" s="169" t="n">
        <v>30166.21</v>
      </c>
      <c r="V73" s="169">
        <f>T73+S73*K73</f>
        <v/>
      </c>
      <c r="W73" s="169">
        <f>U73-T73</f>
        <v/>
      </c>
      <c r="X73" s="169">
        <f>V73-T73</f>
        <v/>
      </c>
      <c r="Y73" s="169">
        <f>V73-U73</f>
        <v/>
      </c>
      <c r="Z73" s="80" t="n"/>
    </row>
    <row r="74" ht="28.5" customFormat="1" customHeight="1" s="1">
      <c r="A74" s="150" t="n"/>
      <c r="B74" s="104" t="n"/>
      <c r="C74" s="104" t="inlineStr">
        <is>
          <t>门窗工程</t>
        </is>
      </c>
      <c r="D74" s="104" t="n"/>
      <c r="E74" s="104" t="n"/>
      <c r="F74" s="169" t="n"/>
      <c r="G74" s="169" t="n"/>
      <c r="H74" s="169" t="n"/>
      <c r="I74" s="169" t="n"/>
      <c r="J74" s="169" t="n"/>
      <c r="K74" s="169" t="n"/>
      <c r="L74" s="169" t="n"/>
      <c r="M74" s="43" t="n"/>
      <c r="N74" s="24" t="n"/>
      <c r="O74" s="24" t="n"/>
      <c r="P74" s="43" t="n"/>
      <c r="Q74" s="169" t="n"/>
      <c r="R74" s="169" t="n"/>
      <c r="S74" s="169" t="n"/>
      <c r="T74" s="169" t="n">
        <v>954137.67</v>
      </c>
      <c r="U74" s="169" t="n">
        <v>998562.1899999999</v>
      </c>
      <c r="V74" s="169">
        <f>+SUM(V75:V95)</f>
        <v/>
      </c>
      <c r="W74" s="169">
        <f>U74-T74</f>
        <v/>
      </c>
      <c r="X74" s="169">
        <f>V74-T74</f>
        <v/>
      </c>
      <c r="Y74" s="169">
        <f>V74-U74</f>
        <v/>
      </c>
      <c r="Z74" s="80" t="n"/>
      <c r="AA74" s="71" t="n"/>
    </row>
    <row r="75" ht="54" customHeight="1" s="166">
      <c r="A75" s="150" t="n">
        <v>64</v>
      </c>
      <c r="B75" s="104" t="inlineStr">
        <is>
          <t>010802003001</t>
        </is>
      </c>
      <c r="C75" s="104" t="inlineStr">
        <is>
          <t>钢质防火门</t>
        </is>
      </c>
      <c r="D75" s="104" t="inlineStr">
        <is>
          <t>1.门类型:钢质防火门单扇(甲级）
2.闭门器安装
3.其他详见施工设计图</t>
        </is>
      </c>
      <c r="E75" s="24" t="inlineStr">
        <is>
          <t>m2</t>
        </is>
      </c>
      <c r="F75" s="169" t="n">
        <v>2.3</v>
      </c>
      <c r="G75" s="169" t="n">
        <v>3.85</v>
      </c>
      <c r="H75" s="169" t="n">
        <v>3.85</v>
      </c>
      <c r="I75" s="169" t="n"/>
      <c r="J75" s="169">
        <f>G75-F75</f>
        <v/>
      </c>
      <c r="K75" s="169">
        <f>H75-F75</f>
        <v/>
      </c>
      <c r="L75" s="169">
        <f>H75-G75</f>
        <v/>
      </c>
      <c r="M75" s="43">
        <f>J75/F75</f>
        <v/>
      </c>
      <c r="N75" s="24" t="n">
        <v>569.8099999999999</v>
      </c>
      <c r="O75" s="24" t="n">
        <v>650.54</v>
      </c>
      <c r="P75" s="43">
        <f>(N75-O75)/O75</f>
        <v/>
      </c>
      <c r="Q75" s="169">
        <f>O75*0.9056*0.85</f>
        <v/>
      </c>
      <c r="R75" s="169">
        <f>O75*1.15</f>
        <v/>
      </c>
      <c r="S75" s="169">
        <f>IF(N75&lt;O75*0.9056*0.85,O75*0.9056*0.85,IF(N75&gt;O75*1.15,O75*1.15,N75))</f>
        <v/>
      </c>
      <c r="T75" s="169" t="n">
        <v>1310.56</v>
      </c>
      <c r="U75" s="169" t="n">
        <v>2193.77</v>
      </c>
      <c r="V75" s="169">
        <f>T75+S75*K75</f>
        <v/>
      </c>
      <c r="W75" s="169">
        <f>U75-T75</f>
        <v/>
      </c>
      <c r="X75" s="169">
        <f>V75-T75</f>
        <v/>
      </c>
      <c r="Y75" s="169">
        <f>V75-U75</f>
        <v/>
      </c>
      <c r="Z75" s="80" t="n"/>
    </row>
    <row r="76" ht="54" customHeight="1" s="166">
      <c r="A76" s="150" t="n">
        <v>65</v>
      </c>
      <c r="B76" s="104" t="inlineStr">
        <is>
          <t>010802003002</t>
        </is>
      </c>
      <c r="C76" s="104" t="inlineStr">
        <is>
          <t>钢质防火门</t>
        </is>
      </c>
      <c r="D76" s="104" t="inlineStr">
        <is>
          <t>1.门类型:钢质防火门单扇(乙级）
2.闭门器安装
3.其他详见施工设计图</t>
        </is>
      </c>
      <c r="E76" s="24" t="inlineStr">
        <is>
          <t>m2</t>
        </is>
      </c>
      <c r="F76" s="169" t="n">
        <v>7.25</v>
      </c>
      <c r="G76" s="169" t="n">
        <v>11.15</v>
      </c>
      <c r="H76" s="169" t="n">
        <v>11.15</v>
      </c>
      <c r="I76" s="169" t="n"/>
      <c r="J76" s="169">
        <f>G76-F76</f>
        <v/>
      </c>
      <c r="K76" s="169">
        <f>H76-F76</f>
        <v/>
      </c>
      <c r="L76" s="169">
        <f>H76-G76</f>
        <v/>
      </c>
      <c r="M76" s="43">
        <f>J76/F76</f>
        <v/>
      </c>
      <c r="N76" s="24" t="n">
        <v>547.91</v>
      </c>
      <c r="O76" s="24" t="n">
        <v>602.37</v>
      </c>
      <c r="P76" s="43">
        <f>(N76-O76)/O76</f>
        <v/>
      </c>
      <c r="Q76" s="169">
        <f>O76*0.9056*0.85</f>
        <v/>
      </c>
      <c r="R76" s="169">
        <f>O76*1.15</f>
        <v/>
      </c>
      <c r="S76" s="169">
        <f>IF(N76&lt;O76*0.9056*0.85,O76*0.9056*0.85,IF(N76&gt;O76*1.15,O76*1.15,N76))</f>
        <v/>
      </c>
      <c r="T76" s="169" t="n">
        <v>3969.61</v>
      </c>
      <c r="U76" s="169" t="n">
        <v>6106.46</v>
      </c>
      <c r="V76" s="169">
        <f>T76+S76*K76</f>
        <v/>
      </c>
      <c r="W76" s="169">
        <f>U76-T76</f>
        <v/>
      </c>
      <c r="X76" s="169">
        <f>V76-T76</f>
        <v/>
      </c>
      <c r="Y76" s="169">
        <f>V76-U76</f>
        <v/>
      </c>
      <c r="Z76" s="80" t="n"/>
    </row>
    <row r="77" ht="54" customHeight="1" s="166">
      <c r="A77" s="150" t="n">
        <v>66</v>
      </c>
      <c r="B77" s="104" t="inlineStr">
        <is>
          <t>010802003003</t>
        </is>
      </c>
      <c r="C77" s="104" t="inlineStr">
        <is>
          <t>钢质防火门</t>
        </is>
      </c>
      <c r="D77" s="104" t="inlineStr">
        <is>
          <t>1.门类型:钢质防火门单扇(丙级）
2.闭门器安装
3.其他详见施工设计图</t>
        </is>
      </c>
      <c r="E77" s="24" t="inlineStr">
        <is>
          <t>m2</t>
        </is>
      </c>
      <c r="F77" s="169" t="n">
        <v>9.6</v>
      </c>
      <c r="G77" s="169" t="n">
        <v>17.6</v>
      </c>
      <c r="H77" s="169">
        <f>14.4+3.2</f>
        <v/>
      </c>
      <c r="I77" s="169" t="n"/>
      <c r="J77" s="169">
        <f>G77-F77</f>
        <v/>
      </c>
      <c r="K77" s="169">
        <f>H77-F77</f>
        <v/>
      </c>
      <c r="L77" s="169">
        <f>H77-G77</f>
        <v/>
      </c>
      <c r="M77" s="43">
        <f>J77/F77</f>
        <v/>
      </c>
      <c r="N77" s="24" t="n">
        <v>585.85</v>
      </c>
      <c r="O77" s="24" t="n">
        <v>565.65</v>
      </c>
      <c r="P77" s="43">
        <f>(N77-O77)/O77</f>
        <v/>
      </c>
      <c r="Q77" s="169">
        <f>O77*0.9056*0.85</f>
        <v/>
      </c>
      <c r="R77" s="169">
        <f>O77*1.15</f>
        <v/>
      </c>
      <c r="S77" s="169">
        <f>IF(N77&lt;O77*0.9056*0.85,O77*0.9056*0.85,IF(N77&gt;O77*1.15,O77*1.15,N77))</f>
        <v/>
      </c>
      <c r="T77" s="169" t="n">
        <v>5624.16</v>
      </c>
      <c r="U77" s="169" t="n">
        <v>10310.96</v>
      </c>
      <c r="V77" s="169">
        <f>T77+S77*K77</f>
        <v/>
      </c>
      <c r="W77" s="169">
        <f>U77-T77</f>
        <v/>
      </c>
      <c r="X77" s="169">
        <f>V77-T77</f>
        <v/>
      </c>
      <c r="Y77" s="169">
        <f>V77-U77</f>
        <v/>
      </c>
      <c r="Z77" s="80" t="n"/>
    </row>
    <row r="78" ht="54" customHeight="1" s="166">
      <c r="A78" s="150" t="n">
        <v>67</v>
      </c>
      <c r="B78" s="104" t="inlineStr">
        <is>
          <t>010802003004</t>
        </is>
      </c>
      <c r="C78" s="104" t="inlineStr">
        <is>
          <t>钢质防火门</t>
        </is>
      </c>
      <c r="D78" s="104" t="inlineStr">
        <is>
          <t>1.门类型:钢质防火门双扇(甲级）
2.闭门器安装
3.其他详见施工设计图</t>
        </is>
      </c>
      <c r="E78" s="24" t="inlineStr">
        <is>
          <t>m2</t>
        </is>
      </c>
      <c r="F78" s="169" t="n">
        <v>16.4</v>
      </c>
      <c r="G78" s="169" t="n">
        <v>16.4</v>
      </c>
      <c r="H78" s="169" t="n">
        <v>16.4</v>
      </c>
      <c r="I78" s="169" t="n"/>
      <c r="J78" s="169">
        <f>G78-F78</f>
        <v/>
      </c>
      <c r="K78" s="169">
        <f>H78-F78</f>
        <v/>
      </c>
      <c r="L78" s="169">
        <f>H78-G78</f>
        <v/>
      </c>
      <c r="M78" s="43">
        <f>J78/F78</f>
        <v/>
      </c>
      <c r="N78" s="24" t="n">
        <v>585.83</v>
      </c>
      <c r="O78" s="24" t="n">
        <v>686.35</v>
      </c>
      <c r="P78" s="43">
        <f>(N78-O78)/O78</f>
        <v/>
      </c>
      <c r="Q78" s="169">
        <f>O78*0.9056*0.85</f>
        <v/>
      </c>
      <c r="R78" s="169">
        <f>O78*1.15</f>
        <v/>
      </c>
      <c r="S78" s="169">
        <f>IF(N78&lt;O78*0.9056*0.85,O78*0.9056*0.85,IF(N78&gt;O78*1.15,O78*1.15,N78))</f>
        <v/>
      </c>
      <c r="T78" s="169" t="n">
        <v>9607.610000000001</v>
      </c>
      <c r="U78" s="169" t="n">
        <v>9607.610000000001</v>
      </c>
      <c r="V78" s="169">
        <f>T78+S78*K78</f>
        <v/>
      </c>
      <c r="W78" s="169">
        <f>U78-T78</f>
        <v/>
      </c>
      <c r="X78" s="169">
        <f>V78-T78</f>
        <v/>
      </c>
      <c r="Y78" s="169">
        <f>V78-U78</f>
        <v/>
      </c>
      <c r="Z78" s="80" t="n"/>
    </row>
    <row r="79" ht="54" customHeight="1" s="166">
      <c r="A79" s="150" t="n">
        <v>68</v>
      </c>
      <c r="B79" s="104" t="inlineStr">
        <is>
          <t>010802003005</t>
        </is>
      </c>
      <c r="C79" s="104" t="inlineStr">
        <is>
          <t>钢质防火门</t>
        </is>
      </c>
      <c r="D79" s="104" t="inlineStr">
        <is>
          <t>1.门类型:钢质防火门双扇(乙级）
2.闭门器安装
3.其他详见施工设计图</t>
        </is>
      </c>
      <c r="E79" s="24" t="inlineStr">
        <is>
          <t>m2</t>
        </is>
      </c>
      <c r="F79" s="169" t="n">
        <v>38.87</v>
      </c>
      <c r="G79" s="169" t="n">
        <v>52.67</v>
      </c>
      <c r="H79" s="169">
        <f>3.68+40.71+8.28</f>
        <v/>
      </c>
      <c r="I79" s="169" t="n"/>
      <c r="J79" s="169">
        <f>G79-F79</f>
        <v/>
      </c>
      <c r="K79" s="169">
        <f>H79-F79</f>
        <v/>
      </c>
      <c r="L79" s="169">
        <f>H79-G79</f>
        <v/>
      </c>
      <c r="M79" s="43">
        <f>J79/F79</f>
        <v/>
      </c>
      <c r="N79" s="24" t="n">
        <v>514.6900000000001</v>
      </c>
      <c r="O79" s="24" t="n">
        <v>636.8</v>
      </c>
      <c r="P79" s="43">
        <f>(N79-O79)/O79</f>
        <v/>
      </c>
      <c r="Q79" s="169">
        <f>O79*0.9056*0.85</f>
        <v/>
      </c>
      <c r="R79" s="169">
        <f>O79*1.15</f>
        <v/>
      </c>
      <c r="S79" s="169">
        <f>IF(N79&lt;O79*0.9056*0.85,O79*0.9056*0.85,IF(N79&gt;O79*1.15,O79*1.15,N79))</f>
        <v/>
      </c>
      <c r="T79" s="169" t="n">
        <v>20006</v>
      </c>
      <c r="U79" s="169" t="n">
        <v>27108.72</v>
      </c>
      <c r="V79" s="169">
        <f>T79+S79*K79</f>
        <v/>
      </c>
      <c r="W79" s="169">
        <f>U79-T79</f>
        <v/>
      </c>
      <c r="X79" s="169">
        <f>V79-T79</f>
        <v/>
      </c>
      <c r="Y79" s="169">
        <f>V79-U79</f>
        <v/>
      </c>
      <c r="Z79" s="80" t="n"/>
    </row>
    <row r="80" ht="54" customHeight="1" s="166">
      <c r="A80" s="150" t="n">
        <v>69</v>
      </c>
      <c r="B80" s="104" t="inlineStr">
        <is>
          <t>010802003006</t>
        </is>
      </c>
      <c r="C80" s="104" t="inlineStr">
        <is>
          <t>钢质防火门</t>
        </is>
      </c>
      <c r="D80" s="104" t="inlineStr">
        <is>
          <t>1.门类型:钢质防火门四扇(乙级）
2.闭门器安装
3.其他详见施工设计图</t>
        </is>
      </c>
      <c r="E80" s="24" t="inlineStr">
        <is>
          <t>m2</t>
        </is>
      </c>
      <c r="F80" s="169" t="n">
        <v>8.279999999999999</v>
      </c>
      <c r="G80" s="169" t="n">
        <v>8.279999999999999</v>
      </c>
      <c r="H80" s="169" t="n">
        <v>8.279999999999999</v>
      </c>
      <c r="I80" s="169" t="n"/>
      <c r="J80" s="169">
        <f>G80-F80</f>
        <v/>
      </c>
      <c r="K80" s="169">
        <f>H80-F80</f>
        <v/>
      </c>
      <c r="L80" s="169">
        <f>H80-G80</f>
        <v/>
      </c>
      <c r="M80" s="43">
        <f>J80/F80</f>
        <v/>
      </c>
      <c r="N80" s="24" t="n">
        <v>554.23</v>
      </c>
      <c r="O80" s="24" t="n">
        <v>636.9400000000001</v>
      </c>
      <c r="P80" s="43">
        <f>(N80-O80)/O80</f>
        <v/>
      </c>
      <c r="Q80" s="169">
        <f>O80*0.9056*0.85</f>
        <v/>
      </c>
      <c r="R80" s="169">
        <f>O80*1.15</f>
        <v/>
      </c>
      <c r="S80" s="169">
        <f>IF(N80&lt;O80*0.9056*0.85,O80*0.9056*0.85,IF(N80&gt;O80*1.15,O80*1.15,N80))</f>
        <v/>
      </c>
      <c r="T80" s="169" t="n">
        <v>4589.02</v>
      </c>
      <c r="U80" s="169" t="n">
        <v>4589.02</v>
      </c>
      <c r="V80" s="169">
        <f>T80+S80*K80</f>
        <v/>
      </c>
      <c r="W80" s="169">
        <f>U80-T80</f>
        <v/>
      </c>
      <c r="X80" s="169">
        <f>V80-T80</f>
        <v/>
      </c>
      <c r="Y80" s="169">
        <f>V80-U80</f>
        <v/>
      </c>
      <c r="Z80" s="80" t="n"/>
    </row>
    <row r="81" ht="41.25" customHeight="1" s="166">
      <c r="A81" s="150" t="n">
        <v>70</v>
      </c>
      <c r="B81" s="104" t="inlineStr">
        <is>
          <t>010802001001</t>
        </is>
      </c>
      <c r="C81" s="104" t="inlineStr">
        <is>
          <t>金属(塑钢)门</t>
        </is>
      </c>
      <c r="D81" s="104" t="inlineStr">
        <is>
          <t>1.门类型:钢质平开门单扇
2.闭门器安装
3.其他详见施工设计图</t>
        </is>
      </c>
      <c r="E81" s="24" t="inlineStr">
        <is>
          <t>m2</t>
        </is>
      </c>
      <c r="F81" s="169" t="n">
        <v>33.81</v>
      </c>
      <c r="G81" s="169" t="n">
        <v>33.81</v>
      </c>
      <c r="H81" s="169">
        <f>28.98+4.83</f>
        <v/>
      </c>
      <c r="I81" s="169" t="n"/>
      <c r="J81" s="169">
        <f>G81-F81</f>
        <v/>
      </c>
      <c r="K81" s="169">
        <f>H81-F81</f>
        <v/>
      </c>
      <c r="L81" s="169">
        <f>H81-G81</f>
        <v/>
      </c>
      <c r="M81" s="43">
        <f>J81/F81</f>
        <v/>
      </c>
      <c r="N81" s="24" t="n">
        <v>767.13</v>
      </c>
      <c r="O81" s="24" t="n">
        <v>592.75</v>
      </c>
      <c r="P81" s="43">
        <f>(N81-O81)/O81</f>
        <v/>
      </c>
      <c r="Q81" s="169">
        <f>O81*0.9056*0.85</f>
        <v/>
      </c>
      <c r="R81" s="169">
        <f>O81*1.15</f>
        <v/>
      </c>
      <c r="S81" s="169">
        <f>IF(N81&lt;O81*0.9056*0.85,O81*0.9056*0.85,IF(N81&gt;O81*1.15,O81*1.15,N81))</f>
        <v/>
      </c>
      <c r="T81" s="169" t="n">
        <v>25936.67</v>
      </c>
      <c r="U81" s="169" t="n">
        <v>25936.67</v>
      </c>
      <c r="V81" s="169">
        <f>T81+S81*K81</f>
        <v/>
      </c>
      <c r="W81" s="169">
        <f>U81-T81</f>
        <v/>
      </c>
      <c r="X81" s="169">
        <f>V81-T81</f>
        <v/>
      </c>
      <c r="Y81" s="169">
        <f>V81-U81</f>
        <v/>
      </c>
      <c r="Z81" s="80" t="n"/>
    </row>
    <row r="82" ht="41.25" customHeight="1" s="166">
      <c r="A82" s="150" t="n">
        <v>71</v>
      </c>
      <c r="B82" s="104" t="inlineStr">
        <is>
          <t>010802001002</t>
        </is>
      </c>
      <c r="C82" s="104" t="inlineStr">
        <is>
          <t>金属(塑钢)门</t>
        </is>
      </c>
      <c r="D82" s="104" t="inlineStr">
        <is>
          <t>1.门类型:钢质平开门双扇
2.闭门器安装
3.其他详见施工设计图</t>
        </is>
      </c>
      <c r="E82" s="24" t="inlineStr">
        <is>
          <t>m2</t>
        </is>
      </c>
      <c r="F82" s="169" t="n">
        <v>77.73999999999999</v>
      </c>
      <c r="G82" s="169" t="n">
        <v>77.73999999999999</v>
      </c>
      <c r="H82" s="169">
        <f>10.35+57.04</f>
        <v/>
      </c>
      <c r="I82" s="169" t="n"/>
      <c r="J82" s="169">
        <f>G82-F82</f>
        <v/>
      </c>
      <c r="K82" s="169">
        <f>H82-F82</f>
        <v/>
      </c>
      <c r="L82" s="169">
        <f>H82-G82</f>
        <v/>
      </c>
      <c r="M82" s="43">
        <f>J82/F82</f>
        <v/>
      </c>
      <c r="N82" s="24" t="n">
        <v>818.97</v>
      </c>
      <c r="O82" s="24" t="n">
        <v>638.3099999999999</v>
      </c>
      <c r="P82" s="43">
        <f>(N82-O82)/O82</f>
        <v/>
      </c>
      <c r="Q82" s="169">
        <f>O82*0.9056*0.85</f>
        <v/>
      </c>
      <c r="R82" s="169">
        <f>O82*1.15</f>
        <v/>
      </c>
      <c r="S82" s="169">
        <f>IF(N82&lt;O82*0.9056*0.85,O82*0.9056*0.85,IF(N82&gt;O82*1.15,O82*1.15,N82))</f>
        <v/>
      </c>
      <c r="T82" s="169" t="n">
        <v>63666.73</v>
      </c>
      <c r="U82" s="169" t="n">
        <v>63666.73</v>
      </c>
      <c r="V82" s="169">
        <f>T82+S82*K82</f>
        <v/>
      </c>
      <c r="W82" s="169">
        <f>U82-T82</f>
        <v/>
      </c>
      <c r="X82" s="169">
        <f>V82-T82</f>
        <v/>
      </c>
      <c r="Y82" s="169">
        <f>V82-U82</f>
        <v/>
      </c>
      <c r="Z82" s="80" t="n"/>
    </row>
    <row r="83" ht="41.25" customHeight="1" s="166">
      <c r="A83" s="150" t="n">
        <v>72</v>
      </c>
      <c r="B83" s="104" t="inlineStr">
        <is>
          <t>010802001003</t>
        </is>
      </c>
      <c r="C83" s="104" t="inlineStr">
        <is>
          <t>金属(塑钢)门</t>
        </is>
      </c>
      <c r="D83" s="104" t="inlineStr">
        <is>
          <t>1.门类型:钢质平开门四扇
2.闭门器安装
3.其他详见施工设计图</t>
        </is>
      </c>
      <c r="E83" s="24" t="inlineStr">
        <is>
          <t>m2</t>
        </is>
      </c>
      <c r="F83" s="169" t="n">
        <v>8.279999999999999</v>
      </c>
      <c r="G83" s="169" t="n">
        <v>13.32</v>
      </c>
      <c r="H83" s="169" t="n">
        <v>8.279999999999999</v>
      </c>
      <c r="I83" s="169" t="n"/>
      <c r="J83" s="169">
        <f>G83-F83</f>
        <v/>
      </c>
      <c r="K83" s="169">
        <f>H83-F83</f>
        <v/>
      </c>
      <c r="L83" s="169">
        <f>H83-G83</f>
        <v/>
      </c>
      <c r="M83" s="43">
        <f>J83/F83</f>
        <v/>
      </c>
      <c r="N83" s="24" t="n">
        <v>880.74</v>
      </c>
      <c r="O83" s="24" t="n">
        <v>636.9400000000001</v>
      </c>
      <c r="P83" s="43">
        <f>(N83-O83)/O83</f>
        <v/>
      </c>
      <c r="Q83" s="169">
        <f>O83*0.9056*0.85</f>
        <v/>
      </c>
      <c r="R83" s="169">
        <f>O83*1.15</f>
        <v/>
      </c>
      <c r="S83" s="169">
        <f>IF(N83&lt;O83*0.9056*0.85,O83*0.9056*0.85,IF(N83&gt;O83*1.15,O83*1.15,N83))</f>
        <v/>
      </c>
      <c r="T83" s="169" t="n">
        <v>7292.53</v>
      </c>
      <c r="U83" s="169" t="n">
        <v>10984.23</v>
      </c>
      <c r="V83" s="169">
        <f>T83+S83*K83</f>
        <v/>
      </c>
      <c r="W83" s="169">
        <f>U83-T83</f>
        <v/>
      </c>
      <c r="X83" s="169">
        <f>V83-T83</f>
        <v/>
      </c>
      <c r="Y83" s="169">
        <f>V83-U83</f>
        <v/>
      </c>
      <c r="Z83" s="80" t="n"/>
    </row>
    <row r="84" ht="79.5" customHeight="1" s="166">
      <c r="A84" s="150" t="n">
        <v>73</v>
      </c>
      <c r="B84" s="104" t="inlineStr">
        <is>
          <t>010802001004</t>
        </is>
      </c>
      <c r="C84" s="104" t="inlineStr">
        <is>
          <t>金属(塑钢)门</t>
        </is>
      </c>
      <c r="D84" s="104" t="inlineStr">
        <is>
          <t>1.门类型:铝合金门联窗
2.铝材厚度:1.8mm
3.玻璃品种、厚度:Low-E中空玻璃(6+12A+6)
4.门拉手安装
5.其他详见施工设计图</t>
        </is>
      </c>
      <c r="E84" s="24" t="inlineStr">
        <is>
          <t>m2</t>
        </is>
      </c>
      <c r="F84" s="169" t="n">
        <v>95.98</v>
      </c>
      <c r="G84" s="169" t="n">
        <v>95.98</v>
      </c>
      <c r="H84" s="169">
        <f>67.76+27.9</f>
        <v/>
      </c>
      <c r="I84" s="169" t="n"/>
      <c r="J84" s="169">
        <f>G84-F84</f>
        <v/>
      </c>
      <c r="K84" s="169">
        <f>H84-F84</f>
        <v/>
      </c>
      <c r="L84" s="169">
        <f>H84-G84</f>
        <v/>
      </c>
      <c r="M84" s="43">
        <f>J84/F84</f>
        <v/>
      </c>
      <c r="N84" s="24" t="n">
        <v>735.1</v>
      </c>
      <c r="O84" s="24" t="n">
        <v>686.26</v>
      </c>
      <c r="P84" s="43">
        <f>(N84-O84)/O84</f>
        <v/>
      </c>
      <c r="Q84" s="169">
        <f>O84*0.9056*0.85</f>
        <v/>
      </c>
      <c r="R84" s="169">
        <f>O84*1.15</f>
        <v/>
      </c>
      <c r="S84" s="169">
        <f>IF(N84&lt;O84*0.9056*0.85,O84*0.9056*0.85,IF(N84&gt;O84*1.15,O84*1.15,N84))</f>
        <v/>
      </c>
      <c r="T84" s="169" t="n">
        <v>70554.89999999999</v>
      </c>
      <c r="U84" s="169" t="n">
        <v>70554.89999999999</v>
      </c>
      <c r="V84" s="169">
        <f>T84+S84*K84</f>
        <v/>
      </c>
      <c r="W84" s="169">
        <f>U84-T84</f>
        <v/>
      </c>
      <c r="X84" s="169">
        <f>V84-T84</f>
        <v/>
      </c>
      <c r="Y84" s="169">
        <f>V84-U84</f>
        <v/>
      </c>
      <c r="Z84" s="80" t="n"/>
    </row>
    <row r="85" ht="117.75" customHeight="1" s="166">
      <c r="A85" s="150" t="n">
        <v>74</v>
      </c>
      <c r="B85" s="104" t="inlineStr">
        <is>
          <t>010807006001</t>
        </is>
      </c>
      <c r="C85" s="104" t="inlineStr">
        <is>
          <t>配餐间售卖窗</t>
        </is>
      </c>
      <c r="D85" s="104" t="inlineStr">
        <is>
          <t>1.配餐间售卖窗
2.立杆：1.0mm304原色磨砂不锈钢
3.横杆：1.0mm304原色哑光不锈钢
4.上部8mm钢化清玻璃
5.下部15mm活动透明亚克力板
6.其他详见施工设计图</t>
        </is>
      </c>
      <c r="E85" s="24" t="inlineStr">
        <is>
          <t>m2</t>
        </is>
      </c>
      <c r="F85" s="169" t="n">
        <v>42.28</v>
      </c>
      <c r="G85" s="169" t="n">
        <v>43.08</v>
      </c>
      <c r="H85" s="169" t="n">
        <v>43.08</v>
      </c>
      <c r="I85" s="169" t="n"/>
      <c r="J85" s="169">
        <f>G85-F85</f>
        <v/>
      </c>
      <c r="K85" s="169">
        <f>H85-F85</f>
        <v/>
      </c>
      <c r="L85" s="169">
        <f>H85-G85</f>
        <v/>
      </c>
      <c r="M85" s="43">
        <f>J85/F85</f>
        <v/>
      </c>
      <c r="N85" s="24" t="n">
        <v>543</v>
      </c>
      <c r="O85" s="24" t="n">
        <v>450</v>
      </c>
      <c r="P85" s="43">
        <f>(N85-O85)/O85</f>
        <v/>
      </c>
      <c r="Q85" s="169">
        <f>O85*0.9056*0.85</f>
        <v/>
      </c>
      <c r="R85" s="169">
        <f>O85*1.15</f>
        <v/>
      </c>
      <c r="S85" s="169">
        <f>IF(N85&lt;O85*0.9056*0.85,O85*0.9056*0.85,IF(N85&gt;O85*1.15,O85*1.15,N85))</f>
        <v/>
      </c>
      <c r="T85" s="169" t="n">
        <v>22958.04</v>
      </c>
      <c r="U85" s="169" t="n">
        <v>23372.04</v>
      </c>
      <c r="V85" s="169">
        <f>T85+S85*K85</f>
        <v/>
      </c>
      <c r="W85" s="169">
        <f>U85-T85</f>
        <v/>
      </c>
      <c r="X85" s="169">
        <f>V85-T85</f>
        <v/>
      </c>
      <c r="Y85" s="169">
        <f>V85-U85</f>
        <v/>
      </c>
      <c r="Z85" s="80" t="n"/>
      <c r="AA85" s="71" t="inlineStr">
        <is>
          <t>图纸手算</t>
        </is>
      </c>
    </row>
    <row r="86" ht="105" customHeight="1" s="166">
      <c r="A86" s="150" t="n">
        <v>75</v>
      </c>
      <c r="B86" s="104" t="inlineStr">
        <is>
          <t>010807001001</t>
        </is>
      </c>
      <c r="C86" s="104" t="inlineStr">
        <is>
          <t>金属(塑钢、断桥)窗</t>
        </is>
      </c>
      <c r="D86" s="104" t="inlineStr">
        <is>
          <t>1.窗类型:外墙铝合金玻璃窗（编号MQ）
2.铝材厚度:1.8mm
3.玻璃品种、厚度:Low-E中空玻璃(6+12A+6)
4.排烟窗、新风防雨百叶做法详见图纸
5.其他详见施工设计图</t>
        </is>
      </c>
      <c r="E86" s="24" t="inlineStr">
        <is>
          <t>m2</t>
        </is>
      </c>
      <c r="F86" s="169" t="n">
        <v>673.01</v>
      </c>
      <c r="G86" s="169" t="n">
        <v>673.25</v>
      </c>
      <c r="H86" s="169" t="n">
        <v>673.25</v>
      </c>
      <c r="I86" s="169" t="n"/>
      <c r="J86" s="169">
        <f>G86-F86</f>
        <v/>
      </c>
      <c r="K86" s="169">
        <f>H86-F86</f>
        <v/>
      </c>
      <c r="L86" s="169">
        <f>H86-G86</f>
        <v/>
      </c>
      <c r="M86" s="43">
        <f>J86/F86</f>
        <v/>
      </c>
      <c r="N86" s="24" t="n">
        <v>803.79</v>
      </c>
      <c r="O86" s="24" t="n">
        <v>591.27</v>
      </c>
      <c r="P86" s="43">
        <f>(N86-O86)/O86</f>
        <v/>
      </c>
      <c r="Q86" s="169">
        <f>O86*0.9056*0.85</f>
        <v/>
      </c>
      <c r="R86" s="169">
        <f>O86*1.15</f>
        <v/>
      </c>
      <c r="S86" s="169">
        <f>IF(N86&lt;O86*0.9056*0.85,O86*0.9056*0.85,IF(N86&gt;O86*1.15,O86*1.15,N86))</f>
        <v/>
      </c>
      <c r="T86" s="169" t="n">
        <v>540958.71</v>
      </c>
      <c r="U86" s="169" t="n">
        <v>541121.9</v>
      </c>
      <c r="V86" s="169">
        <f>T86+S86*K86</f>
        <v/>
      </c>
      <c r="W86" s="169">
        <f>U86-T86</f>
        <v/>
      </c>
      <c r="X86" s="169">
        <f>V86-T86</f>
        <v/>
      </c>
      <c r="Y86" s="169">
        <f>V86-U86</f>
        <v/>
      </c>
      <c r="Z86" s="80" t="n"/>
    </row>
    <row r="87" ht="42" customHeight="1" s="166">
      <c r="A87" s="150" t="n">
        <v>76</v>
      </c>
      <c r="B87" s="104" t="inlineStr">
        <is>
          <t>010807001002</t>
        </is>
      </c>
      <c r="C87" s="104" t="inlineStr">
        <is>
          <t>金属(塑钢、断桥)窗</t>
        </is>
      </c>
      <c r="D87" s="104" t="inlineStr">
        <is>
          <t>1.厨房钢质传递窗
2.其他详见施工设计图</t>
        </is>
      </c>
      <c r="E87" s="24" t="inlineStr">
        <is>
          <t>m2</t>
        </is>
      </c>
      <c r="F87" s="169" t="n">
        <v>0.96</v>
      </c>
      <c r="G87" s="169" t="n">
        <v>0.96</v>
      </c>
      <c r="H87" s="169">
        <f>0.8*1.2</f>
        <v/>
      </c>
      <c r="I87" s="169" t="n"/>
      <c r="J87" s="169">
        <f>G87-F87</f>
        <v/>
      </c>
      <c r="K87" s="169">
        <f>H87-F87</f>
        <v/>
      </c>
      <c r="L87" s="169">
        <f>H87-G87</f>
        <v/>
      </c>
      <c r="M87" s="43">
        <f>J87/F87</f>
        <v/>
      </c>
      <c r="N87" s="24" t="n">
        <v>582</v>
      </c>
      <c r="O87" s="24" t="n">
        <v>428.75</v>
      </c>
      <c r="P87" s="43">
        <f>(N87-O87)/O87</f>
        <v/>
      </c>
      <c r="Q87" s="169">
        <f>O87*0.9056*0.85</f>
        <v/>
      </c>
      <c r="R87" s="169">
        <f>O87*1.15</f>
        <v/>
      </c>
      <c r="S87" s="169">
        <f>IF(N87&lt;O87*0.9056*0.85,O87*0.9056*0.85,IF(N87&gt;O87*1.15,O87*1.15,N87))</f>
        <v/>
      </c>
      <c r="T87" s="169" t="n">
        <v>558.72</v>
      </c>
      <c r="U87" s="169" t="n">
        <v>558.72</v>
      </c>
      <c r="V87" s="169">
        <f>T87+S87*K87</f>
        <v/>
      </c>
      <c r="W87" s="169">
        <f>U87-T87</f>
        <v/>
      </c>
      <c r="X87" s="169">
        <f>V87-T87</f>
        <v/>
      </c>
      <c r="Y87" s="169">
        <f>V87-U87</f>
        <v/>
      </c>
      <c r="Z87" s="160" t="n"/>
    </row>
    <row r="88" ht="92.25" customHeight="1" s="166">
      <c r="A88" s="150" t="n">
        <v>77</v>
      </c>
      <c r="B88" s="104" t="inlineStr">
        <is>
          <t>010807001003</t>
        </is>
      </c>
      <c r="C88" s="104" t="inlineStr">
        <is>
          <t>金属(塑钢、断桥)窗</t>
        </is>
      </c>
      <c r="D88" s="104" t="inlineStr">
        <is>
          <t>1.窗类型:90系列推拉窗
2.铝材厚度:1.8mm
3.玻璃品种、厚度:Low-E中空玻璃(6+12A+6)
4.排烟窗、新风防雨百叶做法详见图纸
5.其他详见施工设计图</t>
        </is>
      </c>
      <c r="E88" s="24" t="inlineStr">
        <is>
          <t>m2</t>
        </is>
      </c>
      <c r="F88" s="169" t="n">
        <v>101.88</v>
      </c>
      <c r="G88" s="169" t="n">
        <v>101.88</v>
      </c>
      <c r="H88" s="169">
        <f>91.82</f>
        <v/>
      </c>
      <c r="I88" s="169" t="n"/>
      <c r="J88" s="169">
        <f>G88-F88</f>
        <v/>
      </c>
      <c r="K88" s="169">
        <f>H88-F88</f>
        <v/>
      </c>
      <c r="L88" s="169">
        <f>H88-G88</f>
        <v/>
      </c>
      <c r="M88" s="43">
        <f>J88/F88</f>
        <v/>
      </c>
      <c r="N88" s="24" t="n">
        <v>565.96</v>
      </c>
      <c r="O88" s="24" t="n">
        <v>604.01</v>
      </c>
      <c r="P88" s="43">
        <f>(N88-O88)/O88</f>
        <v/>
      </c>
      <c r="Q88" s="169">
        <f>O88*0.9056*0.85</f>
        <v/>
      </c>
      <c r="R88" s="169">
        <f>O88*1.15</f>
        <v/>
      </c>
      <c r="S88" s="169">
        <f>IF(N88&lt;O88*0.9056*0.85,O88*0.9056*0.85,IF(N88&gt;O88*1.15,O88*1.15,N88))</f>
        <v/>
      </c>
      <c r="T88" s="169" t="n">
        <v>57660</v>
      </c>
      <c r="U88" s="169" t="n">
        <v>57660</v>
      </c>
      <c r="V88" s="169">
        <f>T88+S88*K88</f>
        <v/>
      </c>
      <c r="W88" s="169">
        <f>U88-T88</f>
        <v/>
      </c>
      <c r="X88" s="169">
        <f>V88-T88</f>
        <v/>
      </c>
      <c r="Y88" s="169">
        <f>V88-U88</f>
        <v/>
      </c>
      <c r="Z88" s="80" t="n"/>
    </row>
    <row r="89" ht="79.5" customHeight="1" s="166">
      <c r="A89" s="150" t="n">
        <v>78</v>
      </c>
      <c r="B89" s="104" t="inlineStr">
        <is>
          <t>010807001004</t>
        </is>
      </c>
      <c r="C89" s="104" t="inlineStr">
        <is>
          <t>金属(塑钢、断桥)窗</t>
        </is>
      </c>
      <c r="D89" s="104" t="inlineStr">
        <is>
          <t>1.窗类型:70系列铝合金平开窗
2.铝材厚度:1.8mm
3.玻璃品种、厚度:Low-E中空玻璃(6+12A+6)
4.其他详见施工设计图</t>
        </is>
      </c>
      <c r="E89" s="24" t="inlineStr">
        <is>
          <t>m2</t>
        </is>
      </c>
      <c r="F89" s="169" t="n">
        <v>5.07</v>
      </c>
      <c r="G89" s="169" t="n">
        <v>5.85</v>
      </c>
      <c r="H89" s="169">
        <f>5.85</f>
        <v/>
      </c>
      <c r="I89" s="169" t="n"/>
      <c r="J89" s="169">
        <f>G89-F89</f>
        <v/>
      </c>
      <c r="K89" s="169">
        <f>H89-F89</f>
        <v/>
      </c>
      <c r="L89" s="169">
        <f>H89-G89</f>
        <v/>
      </c>
      <c r="M89" s="43">
        <f>J89/F89</f>
        <v/>
      </c>
      <c r="N89" s="24" t="n">
        <v>657.9299999999999</v>
      </c>
      <c r="O89" s="24" t="n">
        <v>574.3</v>
      </c>
      <c r="P89" s="43">
        <f>(N89-O89)/O89</f>
        <v/>
      </c>
      <c r="Q89" s="169">
        <f>O89*0.9056*0.85</f>
        <v/>
      </c>
      <c r="R89" s="169">
        <f>O89*1.15</f>
        <v/>
      </c>
      <c r="S89" s="169">
        <f>IF(N89&lt;O89*0.9056*0.85,O89*0.9056*0.85,IF(N89&gt;O89*1.15,O89*1.15,N89))</f>
        <v/>
      </c>
      <c r="T89" s="169" t="n">
        <v>3335.71</v>
      </c>
      <c r="U89" s="169" t="n">
        <v>3848.89</v>
      </c>
      <c r="V89" s="169" t="n">
        <v>3848.89</v>
      </c>
      <c r="W89" s="169">
        <f>U89-T89</f>
        <v/>
      </c>
      <c r="X89" s="169">
        <f>V89-T89</f>
        <v/>
      </c>
      <c r="Y89" s="169">
        <f>V89-U89</f>
        <v/>
      </c>
      <c r="Z89" s="80" t="n"/>
    </row>
    <row r="90" ht="66.75" customHeight="1" s="166">
      <c r="A90" s="150" t="n">
        <v>79</v>
      </c>
      <c r="B90" s="104" t="inlineStr">
        <is>
          <t>010807001005</t>
        </is>
      </c>
      <c r="C90" s="104" t="inlineStr">
        <is>
          <t>金属(塑钢、断桥)窗</t>
        </is>
      </c>
      <c r="D90" s="104" t="inlineStr">
        <is>
          <t>1.窗类型:铝合金固定窗
2.铝材厚度:1.8mm
3.玻璃品种、厚度:Low-E中空玻璃(6+12A+6)
4.其他详见施工设计图</t>
        </is>
      </c>
      <c r="E90" s="24" t="inlineStr">
        <is>
          <t>m2</t>
        </is>
      </c>
      <c r="F90" s="169" t="n">
        <v>48.24</v>
      </c>
      <c r="G90" s="169" t="n">
        <v>79.29000000000001</v>
      </c>
      <c r="H90" s="169">
        <f>16.29+38.88</f>
        <v/>
      </c>
      <c r="I90" s="169" t="n"/>
      <c r="J90" s="169">
        <f>G90-F90</f>
        <v/>
      </c>
      <c r="K90" s="169">
        <f>H90-F90</f>
        <v/>
      </c>
      <c r="L90" s="169">
        <f>H90-G90</f>
        <v/>
      </c>
      <c r="M90" s="43">
        <f>J90/F90</f>
        <v/>
      </c>
      <c r="N90" s="24" t="n">
        <v>568.25</v>
      </c>
      <c r="O90" s="24" t="n">
        <v>523.72</v>
      </c>
      <c r="P90" s="43">
        <f>(N90-O90)/O90</f>
        <v/>
      </c>
      <c r="Q90" s="169">
        <f>O90*0.9056*0.85</f>
        <v/>
      </c>
      <c r="R90" s="169">
        <f>O90*1.15</f>
        <v/>
      </c>
      <c r="S90" s="169">
        <f>IF(N90&lt;O90*0.9056*0.85,O90*0.9056*0.85,IF(N90&gt;O90*1.15,O90*1.15,N90))</f>
        <v/>
      </c>
      <c r="T90" s="169" t="n">
        <v>27412.38</v>
      </c>
      <c r="U90" s="169" t="n">
        <v>45053.7</v>
      </c>
      <c r="V90" s="169">
        <f>T90+S90*K90</f>
        <v/>
      </c>
      <c r="W90" s="169">
        <f>U90-T90</f>
        <v/>
      </c>
      <c r="X90" s="169">
        <f>V90-T90</f>
        <v/>
      </c>
      <c r="Y90" s="169">
        <f>V90-U90</f>
        <v/>
      </c>
      <c r="Z90" s="80" t="n"/>
    </row>
    <row r="91" ht="28.5" customHeight="1" s="166">
      <c r="A91" s="150" t="n">
        <v>80</v>
      </c>
      <c r="B91" s="104" t="inlineStr">
        <is>
          <t>010807003001</t>
        </is>
      </c>
      <c r="C91" s="104" t="inlineStr">
        <is>
          <t>金属百叶窗</t>
        </is>
      </c>
      <c r="D91" s="104" t="inlineStr">
        <is>
          <t>1.铝合金百叶窗
2.其他详见施工设计图</t>
        </is>
      </c>
      <c r="E91" s="24" t="inlineStr">
        <is>
          <t>m2</t>
        </is>
      </c>
      <c r="F91" s="169" t="n">
        <v>13.44</v>
      </c>
      <c r="G91" s="169" t="n">
        <v>36.73</v>
      </c>
      <c r="H91" s="169">
        <f>15.63</f>
        <v/>
      </c>
      <c r="I91" s="169" t="n"/>
      <c r="J91" s="169">
        <f>G91-F91</f>
        <v/>
      </c>
      <c r="K91" s="169">
        <f>H91-F91</f>
        <v/>
      </c>
      <c r="L91" s="169">
        <f>H91-G91</f>
        <v/>
      </c>
      <c r="M91" s="43">
        <f>J91/F91</f>
        <v/>
      </c>
      <c r="N91" s="24" t="n">
        <v>301.24</v>
      </c>
      <c r="O91" s="24" t="n">
        <v>401</v>
      </c>
      <c r="P91" s="43">
        <f>(N91-O91)/O91</f>
        <v/>
      </c>
      <c r="Q91" s="169">
        <f>O91*0.9056*0.85</f>
        <v/>
      </c>
      <c r="R91" s="169">
        <f>O91*1.15</f>
        <v/>
      </c>
      <c r="S91" s="169">
        <f>IF(N91&lt;O91*0.9056*0.85,O91*0.9056*0.85,IF(N91&gt;O91*1.15,O91*1.15,N91))</f>
        <v/>
      </c>
      <c r="T91" s="169" t="n">
        <v>4047.16</v>
      </c>
      <c r="U91" s="169" t="n">
        <v>11238.7</v>
      </c>
      <c r="V91" s="169">
        <f>T91+S91*K91</f>
        <v/>
      </c>
      <c r="W91" s="169">
        <f>U91-T91</f>
        <v/>
      </c>
      <c r="X91" s="169">
        <f>V91-T91</f>
        <v/>
      </c>
      <c r="Y91" s="169">
        <f>V91-U91</f>
        <v/>
      </c>
      <c r="Z91" s="80" t="n"/>
    </row>
    <row r="92" ht="54" customHeight="1" s="166">
      <c r="A92" s="150" t="n">
        <v>81</v>
      </c>
      <c r="B92" s="104" t="inlineStr">
        <is>
          <t>010807003004</t>
        </is>
      </c>
      <c r="C92" s="104" t="inlineStr">
        <is>
          <t>金属百叶窗</t>
        </is>
      </c>
      <c r="D92" s="104" t="inlineStr">
        <is>
          <t>1.铝合金空调百叶
2.30*30*2.0灰色铝方通
3.25*50*1.5灰色铝方通
4.其他详见施工设计图</t>
        </is>
      </c>
      <c r="E92" s="24" t="inlineStr">
        <is>
          <t>m2</t>
        </is>
      </c>
      <c r="F92" s="169" t="n">
        <v>21</v>
      </c>
      <c r="G92" s="169" t="n">
        <v>21</v>
      </c>
      <c r="H92" s="169" t="n">
        <v>21</v>
      </c>
      <c r="I92" s="169" t="n"/>
      <c r="J92" s="169">
        <f>G92-F92</f>
        <v/>
      </c>
      <c r="K92" s="169">
        <f>H92-F92</f>
        <v/>
      </c>
      <c r="L92" s="169">
        <f>H92-G92</f>
        <v/>
      </c>
      <c r="M92" s="43">
        <f>J92/F92</f>
        <v/>
      </c>
      <c r="N92" s="24" t="n">
        <v>301.24</v>
      </c>
      <c r="O92" s="24" t="n">
        <v>428.94</v>
      </c>
      <c r="P92" s="43">
        <f>(N92-O92)/O92</f>
        <v/>
      </c>
      <c r="Q92" s="169">
        <f>O92*0.9056*0.85</f>
        <v/>
      </c>
      <c r="R92" s="169">
        <f>O92*1.15</f>
        <v/>
      </c>
      <c r="S92" s="169">
        <f>IF(N92&lt;O92*0.9056*0.85,O92*0.9056*0.85,IF(N92&gt;O92*1.15,O92*1.15,N92))</f>
        <v/>
      </c>
      <c r="T92" s="169" t="n">
        <v>6326.04</v>
      </c>
      <c r="U92" s="169" t="n">
        <v>6326.04</v>
      </c>
      <c r="V92" s="169">
        <f>T92+S92*K92</f>
        <v/>
      </c>
      <c r="W92" s="169">
        <f>U92-T92</f>
        <v/>
      </c>
      <c r="X92" s="169">
        <f>V92-T92</f>
        <v/>
      </c>
      <c r="Y92" s="169">
        <f>V92-U92</f>
        <v/>
      </c>
      <c r="Z92" s="160" t="n"/>
    </row>
    <row r="93" ht="41.25" customHeight="1" s="166">
      <c r="A93" s="150" t="n">
        <v>82</v>
      </c>
      <c r="B93" s="104" t="inlineStr">
        <is>
          <t>010807005001</t>
        </is>
      </c>
      <c r="C93" s="104" t="inlineStr">
        <is>
          <t>封窗铁丝网</t>
        </is>
      </c>
      <c r="D93" s="104" t="inlineStr">
        <is>
          <t>1.室内篮球场窗内封定制铁丝网
2.其他详见施工设计图</t>
        </is>
      </c>
      <c r="E93" s="24" t="inlineStr">
        <is>
          <t>m2</t>
        </is>
      </c>
      <c r="F93" s="169" t="n">
        <v>324.72</v>
      </c>
      <c r="G93" s="169" t="n">
        <v>324.72</v>
      </c>
      <c r="H93" s="169" t="n">
        <v>324.72</v>
      </c>
      <c r="I93" s="169" t="n"/>
      <c r="J93" s="169">
        <f>G93-F93</f>
        <v/>
      </c>
      <c r="K93" s="169">
        <f>H93-F93</f>
        <v/>
      </c>
      <c r="L93" s="169">
        <f>H93-G93</f>
        <v/>
      </c>
      <c r="M93" s="43">
        <f>J93/F93</f>
        <v/>
      </c>
      <c r="N93" s="24" t="n">
        <v>200</v>
      </c>
      <c r="O93" s="24" t="n">
        <v>227.64</v>
      </c>
      <c r="P93" s="43">
        <f>(N93-O93)/O93</f>
        <v/>
      </c>
      <c r="Q93" s="169">
        <f>O93*0.9056*0.85</f>
        <v/>
      </c>
      <c r="R93" s="169">
        <f>O93*1.15</f>
        <v/>
      </c>
      <c r="S93" s="169">
        <f>IF(N93&lt;O93*0.9056*0.85,O93*0.9056*0.85,IF(N93&gt;O93*1.15,O93*1.15,N93))</f>
        <v/>
      </c>
      <c r="T93" s="169" t="n">
        <v>64944</v>
      </c>
      <c r="U93" s="169" t="n">
        <v>64944</v>
      </c>
      <c r="V93" s="169">
        <f>T93+S93*K93</f>
        <v/>
      </c>
      <c r="W93" s="169">
        <f>U93-T93</f>
        <v/>
      </c>
      <c r="X93" s="169">
        <f>V93-T93</f>
        <v/>
      </c>
      <c r="Y93" s="169">
        <f>V93-U93</f>
        <v/>
      </c>
      <c r="Z93" s="80" t="n"/>
    </row>
    <row r="94" ht="66.75" customHeight="1" s="166">
      <c r="A94" s="150" t="n">
        <v>83</v>
      </c>
      <c r="B94" s="104" t="inlineStr">
        <is>
          <t>010808004001</t>
        </is>
      </c>
      <c r="C94" s="104" t="inlineStr">
        <is>
          <t>金属门窗套</t>
        </is>
      </c>
      <c r="D94" s="104" t="inlineStr">
        <is>
          <t>1.基层材料种类:30*30阻燃木龙骨底架
2.面层材料品种、规格:2.5mm厚黄色铝单板
3.其他详见施工设计图</t>
        </is>
      </c>
      <c r="E94" s="24" t="inlineStr">
        <is>
          <t>m2</t>
        </is>
      </c>
      <c r="F94" s="169" t="n">
        <v>12.97</v>
      </c>
      <c r="G94" s="169" t="n">
        <v>12.97</v>
      </c>
      <c r="H94" s="169" t="n">
        <v>12.97</v>
      </c>
      <c r="I94" s="169" t="n"/>
      <c r="J94" s="169">
        <f>G94-F94</f>
        <v/>
      </c>
      <c r="K94" s="169">
        <f>H94-F94</f>
        <v/>
      </c>
      <c r="L94" s="169">
        <f>H94-G94</f>
        <v/>
      </c>
      <c r="M94" s="43">
        <f>J94/F94</f>
        <v/>
      </c>
      <c r="N94" s="24" t="n">
        <v>583.16</v>
      </c>
      <c r="O94" s="24" t="n">
        <v>890.22</v>
      </c>
      <c r="P94" s="43">
        <f>(N94-O94)/O94</f>
        <v/>
      </c>
      <c r="Q94" s="169">
        <f>O94*0.9056*0.85</f>
        <v/>
      </c>
      <c r="R94" s="169">
        <f>O94*1.15</f>
        <v/>
      </c>
      <c r="S94" s="169">
        <f>IF(N94&lt;O94*0.9056*0.85,O94*0.9056*0.85,IF(N94&gt;O94*1.15,O94*1.15,N94))</f>
        <v/>
      </c>
      <c r="T94" s="169" t="n">
        <v>7563.59</v>
      </c>
      <c r="U94" s="169" t="n">
        <v>7563.59</v>
      </c>
      <c r="V94" s="169">
        <f>T94+S94*K94</f>
        <v/>
      </c>
      <c r="W94" s="169">
        <f>U94-T94</f>
        <v/>
      </c>
      <c r="X94" s="169">
        <f>V94-T94</f>
        <v/>
      </c>
      <c r="Y94" s="169">
        <f>V94-U94</f>
        <v/>
      </c>
      <c r="Z94" s="80" t="n"/>
    </row>
    <row r="95" ht="18" customHeight="1" s="166">
      <c r="A95" s="150" t="n">
        <v>84</v>
      </c>
      <c r="B95" s="104" t="inlineStr">
        <is>
          <t>010808005001</t>
        </is>
      </c>
      <c r="C95" s="104" t="inlineStr">
        <is>
          <t>石材门窗套</t>
        </is>
      </c>
      <c r="D95" s="104" t="inlineStr">
        <is>
          <t>1.成品石材门窗套</t>
        </is>
      </c>
      <c r="E95" s="24" t="inlineStr">
        <is>
          <t>m2</t>
        </is>
      </c>
      <c r="F95" s="169" t="n">
        <v>4.49</v>
      </c>
      <c r="G95" s="169" t="n">
        <v>4.49</v>
      </c>
      <c r="H95" s="169" t="n">
        <v>4.49</v>
      </c>
      <c r="I95" s="169" t="n"/>
      <c r="J95" s="169">
        <f>G95-F95</f>
        <v/>
      </c>
      <c r="K95" s="169">
        <f>H95-F95</f>
        <v/>
      </c>
      <c r="L95" s="169">
        <f>H95-G95</f>
        <v/>
      </c>
      <c r="M95" s="43">
        <f>J95/F95</f>
        <v/>
      </c>
      <c r="N95" s="24" t="n">
        <v>1295.22</v>
      </c>
      <c r="O95" s="24" t="n">
        <v>410.19</v>
      </c>
      <c r="P95" s="43">
        <f>(N95-O95)/O95</f>
        <v/>
      </c>
      <c r="Q95" s="169">
        <f>O95*0.9056*0.85</f>
        <v/>
      </c>
      <c r="R95" s="169">
        <f>O95*1.15</f>
        <v/>
      </c>
      <c r="S95" s="169">
        <f>IF(N95&lt;O95*0.9056*0.85,O95*0.9056*0.85,IF(N95&gt;O95*1.15,O95*1.15,N95))</f>
        <v/>
      </c>
      <c r="T95" s="169" t="n">
        <v>5815.54</v>
      </c>
      <c r="U95" s="169" t="n">
        <v>5815.54</v>
      </c>
      <c r="V95" s="169">
        <f>T95+S95*K95</f>
        <v/>
      </c>
      <c r="W95" s="169">
        <f>U95-T95</f>
        <v/>
      </c>
      <c r="X95" s="169">
        <f>V95-T95</f>
        <v/>
      </c>
      <c r="Y95" s="169">
        <f>V95-U95</f>
        <v/>
      </c>
      <c r="Z95" s="80" t="n"/>
      <c r="AA95" s="71" t="inlineStr">
        <is>
          <t>在变更23扣减，变更23的投标单价有误，需修改</t>
        </is>
      </c>
    </row>
    <row r="96" ht="28.5" customFormat="1" customHeight="1" s="1">
      <c r="A96" s="150" t="n"/>
      <c r="B96" s="104" t="n"/>
      <c r="C96" s="104" t="inlineStr">
        <is>
          <t>屋面及防水工程</t>
        </is>
      </c>
      <c r="D96" s="104" t="n"/>
      <c r="E96" s="104" t="n"/>
      <c r="F96" s="169" t="n"/>
      <c r="G96" s="169" t="n"/>
      <c r="H96" s="169" t="n"/>
      <c r="I96" s="169" t="n"/>
      <c r="J96" s="169" t="n"/>
      <c r="K96" s="169" t="n"/>
      <c r="L96" s="169" t="n"/>
      <c r="M96" s="43" t="n"/>
      <c r="N96" s="24" t="n"/>
      <c r="O96" s="24" t="n"/>
      <c r="P96" s="43" t="n"/>
      <c r="Q96" s="169" t="n"/>
      <c r="R96" s="169" t="n"/>
      <c r="S96" s="169" t="n"/>
      <c r="T96" s="169" t="n">
        <v>789275.49</v>
      </c>
      <c r="U96" s="169" t="n">
        <v>880995.26</v>
      </c>
      <c r="V96" s="169">
        <f>+SUM(V97:V109)</f>
        <v/>
      </c>
      <c r="W96" s="169">
        <f>U96-T96</f>
        <v/>
      </c>
      <c r="X96" s="169">
        <f>V96-T96</f>
        <v/>
      </c>
      <c r="Y96" s="169">
        <f>V96-U96</f>
        <v/>
      </c>
      <c r="Z96" s="80" t="n"/>
      <c r="AA96" s="71" t="n"/>
    </row>
    <row r="97" ht="105" customHeight="1" s="166">
      <c r="A97" s="150" t="n">
        <v>85</v>
      </c>
      <c r="B97" s="104" t="inlineStr">
        <is>
          <t>010903002002</t>
        </is>
      </c>
      <c r="C97" s="104" t="inlineStr">
        <is>
          <t>墙面涂膜防水（墙4）</t>
        </is>
      </c>
      <c r="D97" s="104" t="inlineStr">
        <is>
          <t>1.1.5厚聚合物水泥防水涂料分3遍成活，遇门洞反入梁面不少于50mm（本防水层与地面反起防水层为同一道防水层）
2.15厚WPM20水泥砂浆找平,分两遍成活，底层抹灰应压实搓毛</t>
        </is>
      </c>
      <c r="E97" s="24" t="inlineStr">
        <is>
          <t>m2</t>
        </is>
      </c>
      <c r="F97" s="169" t="n">
        <v>1624.08</v>
      </c>
      <c r="G97" s="169" t="n">
        <v>1764.22</v>
      </c>
      <c r="H97" s="169" t="n">
        <v>1764.22</v>
      </c>
      <c r="I97" s="169" t="n"/>
      <c r="J97" s="169">
        <f>G97-F97</f>
        <v/>
      </c>
      <c r="K97" s="169">
        <f>H97-F97</f>
        <v/>
      </c>
      <c r="L97" s="169">
        <f>H97-G97</f>
        <v/>
      </c>
      <c r="M97" s="43">
        <f>J97/F97</f>
        <v/>
      </c>
      <c r="N97" s="24" t="n">
        <v>52.26</v>
      </c>
      <c r="O97" s="24" t="n">
        <v>81.34999999999999</v>
      </c>
      <c r="P97" s="43">
        <f>(N97-O97)/O97</f>
        <v/>
      </c>
      <c r="Q97" s="169">
        <f>O97*0.9056*0.85</f>
        <v/>
      </c>
      <c r="R97" s="169">
        <f>O97*1.15</f>
        <v/>
      </c>
      <c r="S97" s="169">
        <f>IF(N97&lt;O97*0.9056*0.85,O97*0.9056*0.85,IF(N97&gt;O97*1.15,O97*1.15,N97))</f>
        <v/>
      </c>
      <c r="T97" s="169" t="n">
        <v>84874.62</v>
      </c>
      <c r="U97" s="169" t="n">
        <v>93650.00999999999</v>
      </c>
      <c r="V97" s="169" t="n">
        <v>93650.00999999999</v>
      </c>
      <c r="W97" s="169">
        <f>U97-T97</f>
        <v/>
      </c>
      <c r="X97" s="169">
        <f>V97-T97</f>
        <v/>
      </c>
      <c r="Y97" s="169">
        <f>V97-U97</f>
        <v/>
      </c>
      <c r="Z97" s="80" t="n"/>
    </row>
    <row r="98" ht="54" customHeight="1" s="166">
      <c r="A98" s="150" t="n">
        <v>86</v>
      </c>
      <c r="B98" s="104" t="inlineStr">
        <is>
          <t>010904002001</t>
        </is>
      </c>
      <c r="C98" s="104" t="inlineStr">
        <is>
          <t>楼(地)面涂膜防水（沉池）</t>
        </is>
      </c>
      <c r="D98" s="104" t="inlineStr">
        <is>
          <t>1.1.5厚聚合物水泥防水涂料
2.20厚M20水泥砂浆找平找坡层</t>
        </is>
      </c>
      <c r="E98" s="24" t="inlineStr">
        <is>
          <t>m2</t>
        </is>
      </c>
      <c r="F98" s="169" t="n">
        <v>108.07</v>
      </c>
      <c r="G98" s="169" t="n">
        <v>108.07</v>
      </c>
      <c r="H98" s="169">
        <f>10.44</f>
        <v/>
      </c>
      <c r="I98" s="169" t="n"/>
      <c r="J98" s="169">
        <f>G98-F98</f>
        <v/>
      </c>
      <c r="K98" s="169">
        <f>H98-F98</f>
        <v/>
      </c>
      <c r="L98" s="169">
        <f>H98-G98</f>
        <v/>
      </c>
      <c r="M98" s="43">
        <f>J98/F98</f>
        <v/>
      </c>
      <c r="N98" s="24" t="n">
        <v>63.95</v>
      </c>
      <c r="O98" s="24" t="n">
        <v>70.44</v>
      </c>
      <c r="P98" s="43">
        <f>(N98-O98)/O98</f>
        <v/>
      </c>
      <c r="Q98" s="169">
        <f>O98*0.9056*0.85</f>
        <v/>
      </c>
      <c r="R98" s="169">
        <f>O98*1.15</f>
        <v/>
      </c>
      <c r="S98" s="169">
        <f>IF(N98&lt;O98*0.9056*0.85,O98*0.9056*0.85,IF(N98&gt;O98*1.15,O98*1.15,N98))</f>
        <v/>
      </c>
      <c r="T98" s="169" t="n">
        <v>6911.22</v>
      </c>
      <c r="U98" s="169" t="n">
        <v>6911.22</v>
      </c>
      <c r="V98" s="169">
        <f>T98+S98*K98</f>
        <v/>
      </c>
      <c r="W98" s="169">
        <f>U98-T98</f>
        <v/>
      </c>
      <c r="X98" s="169">
        <f>V98-T98</f>
        <v/>
      </c>
      <c r="Y98" s="169">
        <f>V98-U98</f>
        <v/>
      </c>
      <c r="Z98" s="80" t="n"/>
    </row>
    <row r="99" ht="60" customHeight="1" s="166">
      <c r="A99" s="150" t="n">
        <v>87</v>
      </c>
      <c r="B99" s="104" t="inlineStr">
        <is>
          <t>010904002002</t>
        </is>
      </c>
      <c r="C99" s="104" t="inlineStr">
        <is>
          <t>楼(地)面涂膜防水（卫生间）</t>
        </is>
      </c>
      <c r="D99" s="104" t="inlineStr">
        <is>
          <t>1.1.5厚聚合物水泥防水涂料</t>
        </is>
      </c>
      <c r="E99" s="24" t="inlineStr">
        <is>
          <t>m2</t>
        </is>
      </c>
      <c r="F99" s="169" t="n">
        <v>78.15000000000001</v>
      </c>
      <c r="G99" s="169" t="n">
        <v>0</v>
      </c>
      <c r="H99" s="169" t="n">
        <v>78.42</v>
      </c>
      <c r="I99" s="169" t="n"/>
      <c r="J99" s="169">
        <f>G99-F99</f>
        <v/>
      </c>
      <c r="K99" s="169">
        <f>H99-F99</f>
        <v/>
      </c>
      <c r="L99" s="169">
        <f>H99-G99</f>
        <v/>
      </c>
      <c r="M99" s="43">
        <f>J99/F99</f>
        <v/>
      </c>
      <c r="N99" s="24" t="n">
        <v>42.91</v>
      </c>
      <c r="O99" s="24" t="n">
        <v>46.07</v>
      </c>
      <c r="P99" s="43">
        <f>(N99-O99)/O99</f>
        <v/>
      </c>
      <c r="Q99" s="169">
        <f>O99*0.9056*0.85</f>
        <v/>
      </c>
      <c r="R99" s="169">
        <f>O99*1.15</f>
        <v/>
      </c>
      <c r="S99" s="169">
        <f>IF(N99&lt;O99*0.9056*0.85,O99*0.9056*0.85,IF(N99&gt;O99*1.15,O99*1.15,N99))</f>
        <v/>
      </c>
      <c r="T99" s="169" t="n">
        <v>3353.3</v>
      </c>
      <c r="U99" s="169" t="n">
        <v>0</v>
      </c>
      <c r="V99" s="169">
        <f>T99+S99*K99</f>
        <v/>
      </c>
      <c r="W99" s="169">
        <f>U99-T99</f>
        <v/>
      </c>
      <c r="X99" s="169">
        <f>V99-T99</f>
        <v/>
      </c>
      <c r="Y99" s="169">
        <f>V99-U99</f>
        <v/>
      </c>
      <c r="Z99" s="160" t="n"/>
    </row>
    <row r="100" ht="66.75" customHeight="1" s="166">
      <c r="A100" s="150" t="n">
        <v>88</v>
      </c>
      <c r="B100" s="104" t="inlineStr">
        <is>
          <t>010903002003</t>
        </is>
      </c>
      <c r="C100" s="104" t="inlineStr">
        <is>
          <t>墙面涂膜防水（墙4）</t>
        </is>
      </c>
      <c r="D100" s="104" t="inlineStr">
        <is>
          <t>1.1.5厚聚合物水泥基防水涂料
2.15厚WPM20水泥砂浆找平,分两遍成活,底层抹灰应压实搓毛</t>
        </is>
      </c>
      <c r="E100" s="24" t="inlineStr">
        <is>
          <t>m2</t>
        </is>
      </c>
      <c r="F100" s="169" t="n">
        <v>1624.08</v>
      </c>
      <c r="G100" s="169" t="n">
        <v>0</v>
      </c>
      <c r="H100" s="169" t="n">
        <v>0</v>
      </c>
      <c r="I100" s="169" t="n"/>
      <c r="J100" s="169">
        <f>G100-F100</f>
        <v/>
      </c>
      <c r="K100" s="169">
        <f>H100-F100</f>
        <v/>
      </c>
      <c r="L100" s="169">
        <f>H100-G100</f>
        <v/>
      </c>
      <c r="M100" s="43">
        <f>J100/F100</f>
        <v/>
      </c>
      <c r="N100" s="24" t="n">
        <v>52.26</v>
      </c>
      <c r="O100" s="24" t="n">
        <v>80.23</v>
      </c>
      <c r="P100" s="43">
        <f>(N100-O100)/O100</f>
        <v/>
      </c>
      <c r="Q100" s="169">
        <f>O100*0.9056*0.85</f>
        <v/>
      </c>
      <c r="R100" s="169">
        <f>O100*1.15</f>
        <v/>
      </c>
      <c r="S100" s="169">
        <f>IF(N100&lt;O100*0.9056*0.85,O100*0.9056*0.85,IF(N100&gt;O100*1.15,O100*1.15,N100))</f>
        <v/>
      </c>
      <c r="T100" s="169" t="n">
        <v>84874.62</v>
      </c>
      <c r="U100" s="169" t="n">
        <v>-15425.3</v>
      </c>
      <c r="V100" s="169">
        <f>T100+S100*K100</f>
        <v/>
      </c>
      <c r="W100" s="169">
        <f>U100-T100</f>
        <v/>
      </c>
      <c r="X100" s="169">
        <f>V100-T100</f>
        <v/>
      </c>
      <c r="Y100" s="169">
        <f>V100-U100</f>
        <v/>
      </c>
      <c r="Z100" s="160" t="n"/>
    </row>
    <row r="101" ht="41.25" customHeight="1" s="166">
      <c r="A101" s="150" t="n">
        <v>89</v>
      </c>
      <c r="B101" s="104" t="inlineStr">
        <is>
          <t>011102003001</t>
        </is>
      </c>
      <c r="C101" s="104" t="inlineStr">
        <is>
          <t>块料楼地面（屋1）</t>
        </is>
      </c>
      <c r="D101" s="104" t="inlineStr">
        <is>
          <t>1.面层:8~10厚防滑地砖,缝宽5~8
2.20厚M15干硬性水泥沙浆</t>
        </is>
      </c>
      <c r="E101" s="24" t="inlineStr">
        <is>
          <t>m2</t>
        </is>
      </c>
      <c r="F101" s="169" t="n">
        <v>1372.8</v>
      </c>
      <c r="G101" s="169" t="n">
        <v>2337.08</v>
      </c>
      <c r="H101" s="169">
        <f>2118.46+161.94+56.68</f>
        <v/>
      </c>
      <c r="I101" s="169" t="n"/>
      <c r="J101" s="169">
        <f>G101-F101</f>
        <v/>
      </c>
      <c r="K101" s="169">
        <f>H101-F101</f>
        <v/>
      </c>
      <c r="L101" s="169">
        <f>H101-G101</f>
        <v/>
      </c>
      <c r="M101" s="43">
        <f>J101/F101</f>
        <v/>
      </c>
      <c r="N101" s="24" t="n">
        <v>117.09</v>
      </c>
      <c r="O101" s="24" t="n">
        <v>116.28</v>
      </c>
      <c r="P101" s="43">
        <f>(N101-O101)/O101</f>
        <v/>
      </c>
      <c r="Q101" s="169">
        <f>O101*0.9056*0.85</f>
        <v/>
      </c>
      <c r="R101" s="169">
        <f>O101*1.15</f>
        <v/>
      </c>
      <c r="S101" s="169">
        <f>IF(N101&lt;O101*0.9056*0.85,O101*0.9056*0.85,IF(N101&gt;O101*1.15,O101*1.15,N101))</f>
        <v/>
      </c>
      <c r="T101" s="169" t="n">
        <v>160741.15</v>
      </c>
      <c r="U101" s="169" t="n">
        <v>273648.33</v>
      </c>
      <c r="V101" s="169" t="n">
        <v>273648.33</v>
      </c>
      <c r="W101" s="169">
        <f>U101-T101</f>
        <v/>
      </c>
      <c r="X101" s="169">
        <f>V101-T101</f>
        <v/>
      </c>
      <c r="Y101" s="169">
        <f>V101-U101</f>
        <v/>
      </c>
      <c r="Z101" s="80" t="n"/>
    </row>
    <row r="102" ht="54" customHeight="1" s="166">
      <c r="A102" s="150" t="n">
        <v>90</v>
      </c>
      <c r="B102" s="104" t="inlineStr">
        <is>
          <t>010902003002</t>
        </is>
      </c>
      <c r="C102" s="104" t="inlineStr">
        <is>
          <t>屋面刚性层（屋1）</t>
        </is>
      </c>
      <c r="D102" s="104" t="inlineStr">
        <is>
          <t>1.40厚C20细石混凝土找平层,表面压光。(双向配筋ΦC4@150,每6米设缝,密封胶嵌缝。）</t>
        </is>
      </c>
      <c r="E102" s="24" t="inlineStr">
        <is>
          <t>m2</t>
        </is>
      </c>
      <c r="F102" s="169" t="n">
        <v>1943.37</v>
      </c>
      <c r="G102" s="169" t="n">
        <v>2337.08</v>
      </c>
      <c r="H102" s="169" t="n">
        <v>2337.08</v>
      </c>
      <c r="I102" s="169" t="n"/>
      <c r="J102" s="169">
        <f>G102-F102</f>
        <v/>
      </c>
      <c r="K102" s="169">
        <f>H102-F102</f>
        <v/>
      </c>
      <c r="L102" s="169">
        <f>H102-G102</f>
        <v/>
      </c>
      <c r="M102" s="43">
        <f>J102/F102</f>
        <v/>
      </c>
      <c r="N102" s="24" t="n">
        <v>59.04</v>
      </c>
      <c r="O102" s="24" t="n">
        <v>56.42</v>
      </c>
      <c r="P102" s="43">
        <f>(N102-O102)/O102</f>
        <v/>
      </c>
      <c r="Q102" s="169">
        <f>O102*0.9056*0.85</f>
        <v/>
      </c>
      <c r="R102" s="169">
        <f>O102*1.15</f>
        <v/>
      </c>
      <c r="S102" s="169">
        <f>IF(N102&lt;O102*0.9056*0.85,O102*0.9056*0.85,IF(N102&gt;O102*1.15,O102*1.15,N102))</f>
        <v/>
      </c>
      <c r="T102" s="169" t="n">
        <v>114736.56</v>
      </c>
      <c r="U102" s="169" t="n">
        <v>137981.02</v>
      </c>
      <c r="V102" s="169" t="n">
        <v>137981.02</v>
      </c>
      <c r="W102" s="169">
        <f>U102-T102</f>
        <v/>
      </c>
      <c r="X102" s="169">
        <f>V102-T102</f>
        <v/>
      </c>
      <c r="Y102" s="169">
        <f>V102-U102</f>
        <v/>
      </c>
      <c r="Z102" s="80" t="n"/>
    </row>
    <row r="103" ht="41.25" customHeight="1" s="166">
      <c r="A103" s="150" t="n">
        <v>91</v>
      </c>
      <c r="B103" s="104" t="inlineStr">
        <is>
          <t>010902001004</t>
        </is>
      </c>
      <c r="C103" s="104" t="inlineStr">
        <is>
          <t>屋面卷材防水（屋1、屋3、屋4）</t>
        </is>
      </c>
      <c r="D103" s="104" t="inlineStr">
        <is>
          <t>1.1.5厚自粘聚合物改性沥青防水卷材(无胎)</t>
        </is>
      </c>
      <c r="E103" s="24" t="inlineStr">
        <is>
          <t>m2</t>
        </is>
      </c>
      <c r="F103" s="169" t="n">
        <v>2533.72</v>
      </c>
      <c r="G103" s="169" t="n">
        <v>2890.84</v>
      </c>
      <c r="H103" s="169">
        <f>2275.39+196.6+61.15+30.24+237.67+89.79</f>
        <v/>
      </c>
      <c r="I103" s="169" t="n"/>
      <c r="J103" s="169">
        <f>G103-F103</f>
        <v/>
      </c>
      <c r="K103" s="169">
        <f>H103-F103</f>
        <v/>
      </c>
      <c r="L103" s="169">
        <f>H103-G103</f>
        <v/>
      </c>
      <c r="M103" s="43">
        <f>J103/F103</f>
        <v/>
      </c>
      <c r="N103" s="24" t="n">
        <v>38.75</v>
      </c>
      <c r="O103" s="24" t="n">
        <v>31.86</v>
      </c>
      <c r="P103" s="43">
        <f>(N103-O103)/O103</f>
        <v/>
      </c>
      <c r="Q103" s="169">
        <f>O103*0.9056*0.85</f>
        <v/>
      </c>
      <c r="R103" s="169">
        <f>O103*1.15</f>
        <v/>
      </c>
      <c r="S103" s="169">
        <f>IF(N103&lt;O103*0.9056*0.85,O103*0.9056*0.85,IF(N103&gt;O103*1.15,O103*1.15,N103))</f>
        <v/>
      </c>
      <c r="T103" s="169" t="n">
        <v>98181.75</v>
      </c>
      <c r="U103" s="169" t="n">
        <v>111266.07</v>
      </c>
      <c r="V103" s="169">
        <f>T103+S103*K103</f>
        <v/>
      </c>
      <c r="W103" s="169">
        <f>U103-T103</f>
        <v/>
      </c>
      <c r="X103" s="169">
        <f>V103-T103</f>
        <v/>
      </c>
      <c r="Y103" s="169">
        <f>V103-U103</f>
        <v/>
      </c>
      <c r="Z103" s="80" t="n"/>
    </row>
    <row r="104" ht="41.25" customHeight="1" s="166">
      <c r="A104" s="150" t="n">
        <v>92</v>
      </c>
      <c r="B104" s="104" t="inlineStr">
        <is>
          <t>010902003003</t>
        </is>
      </c>
      <c r="C104" s="104" t="inlineStr">
        <is>
          <t>屋面刚性层（屋1）</t>
        </is>
      </c>
      <c r="D104" s="104" t="inlineStr">
        <is>
          <t>1.40厚WSM20水泥浆找平层,纵横设置分格缝间距≤4000,缝宽15~20</t>
        </is>
      </c>
      <c r="E104" s="24" t="inlineStr">
        <is>
          <t>m2</t>
        </is>
      </c>
      <c r="F104" s="169" t="n">
        <v>1943.37</v>
      </c>
      <c r="G104" s="169" t="n">
        <v>2459.24</v>
      </c>
      <c r="H104" s="169">
        <f>2150.83+161.94+56.68+89.79</f>
        <v/>
      </c>
      <c r="I104" s="169" t="n"/>
      <c r="J104" s="169">
        <f>G104-F104</f>
        <v/>
      </c>
      <c r="K104" s="169">
        <f>H104-F104</f>
        <v/>
      </c>
      <c r="L104" s="169">
        <f>H104-G104</f>
        <v/>
      </c>
      <c r="M104" s="43">
        <f>J104/F104</f>
        <v/>
      </c>
      <c r="N104" s="24" t="n">
        <v>37.14</v>
      </c>
      <c r="O104" s="24" t="n">
        <v>55.93</v>
      </c>
      <c r="P104" s="43">
        <f>(N104-O104)/O104</f>
        <v/>
      </c>
      <c r="Q104" s="169">
        <f>O104*0.9056*0.85</f>
        <v/>
      </c>
      <c r="R104" s="169">
        <f>O104*1.15</f>
        <v/>
      </c>
      <c r="S104" s="169">
        <f>IF(N104&lt;O104*0.9056*0.85,O104*0.9056*0.85,IF(N104&gt;O104*1.15,O104*1.15,N104))</f>
        <v/>
      </c>
      <c r="T104" s="169" t="n">
        <v>72176.75999999999</v>
      </c>
      <c r="U104" s="169" t="n">
        <v>94386.21000000001</v>
      </c>
      <c r="V104" s="169">
        <f>T104+S104*K104</f>
        <v/>
      </c>
      <c r="W104" s="169">
        <f>U104-T104</f>
        <v/>
      </c>
      <c r="X104" s="169">
        <f>V104-T104</f>
        <v/>
      </c>
      <c r="Y104" s="169">
        <f>V104-U104</f>
        <v/>
      </c>
      <c r="Z104" s="80" t="n"/>
    </row>
    <row r="105" ht="41.25" customHeight="1" s="166">
      <c r="A105" s="150" t="n">
        <v>93</v>
      </c>
      <c r="B105" s="104" t="inlineStr">
        <is>
          <t>010902002001</t>
        </is>
      </c>
      <c r="C105" s="104" t="inlineStr">
        <is>
          <t>屋面涂膜防水（屋1、屋3、屋4）</t>
        </is>
      </c>
      <c r="D105" s="104" t="inlineStr">
        <is>
          <t>1.1.5厚聚氨酯防水涂膜</t>
        </is>
      </c>
      <c r="E105" s="24" t="inlineStr">
        <is>
          <t>m2</t>
        </is>
      </c>
      <c r="F105" s="169" t="n">
        <v>2449.13</v>
      </c>
      <c r="G105" s="169" t="n">
        <v>2890.84</v>
      </c>
      <c r="H105" s="169">
        <f>H103</f>
        <v/>
      </c>
      <c r="I105" s="169" t="n"/>
      <c r="J105" s="169">
        <f>G105-F105</f>
        <v/>
      </c>
      <c r="K105" s="169">
        <f>H105-F105</f>
        <v/>
      </c>
      <c r="L105" s="169">
        <f>H105-G105</f>
        <v/>
      </c>
      <c r="M105" s="43">
        <f>J105/F105</f>
        <v/>
      </c>
      <c r="N105" s="24" t="n">
        <v>33.79</v>
      </c>
      <c r="O105" s="24" t="n">
        <v>31.82</v>
      </c>
      <c r="P105" s="43">
        <f>(N105-O105)/O105</f>
        <v/>
      </c>
      <c r="Q105" s="169">
        <f>O105*0.9056*0.85</f>
        <v/>
      </c>
      <c r="R105" s="169">
        <f>O105*1.15</f>
        <v/>
      </c>
      <c r="S105" s="169">
        <f>IF(N105&lt;O105*0.9056*0.85,O105*0.9056*0.85,IF(N105&gt;O105*1.15,O105*1.15,N105))</f>
        <v/>
      </c>
      <c r="T105" s="169" t="n">
        <v>82756.10000000001</v>
      </c>
      <c r="U105" s="169" t="n">
        <v>97681.39</v>
      </c>
      <c r="V105" s="169">
        <f>T105+S105*K105</f>
        <v/>
      </c>
      <c r="W105" s="169">
        <f>U105-T105</f>
        <v/>
      </c>
      <c r="X105" s="169">
        <f>V105-T105</f>
        <v/>
      </c>
      <c r="Y105" s="169">
        <f>V105-U105</f>
        <v/>
      </c>
      <c r="Z105" s="80" t="n"/>
      <c r="AA105" s="71" t="inlineStr">
        <is>
          <t>建筑大样图有注明上翻</t>
        </is>
      </c>
    </row>
    <row r="106" ht="54" customHeight="1" s="166">
      <c r="A106" s="150" t="n">
        <v>94</v>
      </c>
      <c r="B106" s="104" t="inlineStr">
        <is>
          <t>010902003004</t>
        </is>
      </c>
      <c r="C106" s="104" t="inlineStr">
        <is>
          <t>屋面刚性层（屋3）</t>
        </is>
      </c>
      <c r="D106" s="104" t="inlineStr">
        <is>
          <t>1.20厚(最薄处)WSM20水泥浆找2%坡,纵横设置分格缝间距≤6000,缝宽10~20的分格缝</t>
        </is>
      </c>
      <c r="E106" s="24" t="inlineStr">
        <is>
          <t>m2</t>
        </is>
      </c>
      <c r="F106" s="169" t="n">
        <v>303.77</v>
      </c>
      <c r="G106" s="169" t="n">
        <v>303.77</v>
      </c>
      <c r="H106" s="169">
        <f>23.7</f>
        <v/>
      </c>
      <c r="I106" s="169" t="n"/>
      <c r="J106" s="169">
        <f>G106-F106</f>
        <v/>
      </c>
      <c r="K106" s="169">
        <f>H106-F106</f>
        <v/>
      </c>
      <c r="L106" s="169">
        <f>H106-G106</f>
        <v/>
      </c>
      <c r="M106" s="43">
        <f>J106/F106</f>
        <v/>
      </c>
      <c r="N106" s="24" t="n">
        <v>28.13</v>
      </c>
      <c r="O106" s="24" t="n">
        <v>21.75</v>
      </c>
      <c r="P106" s="43">
        <f>(N106-O106)/O106</f>
        <v/>
      </c>
      <c r="Q106" s="169">
        <f>O106*0.9056*0.85</f>
        <v/>
      </c>
      <c r="R106" s="169">
        <f>O106*1.15</f>
        <v/>
      </c>
      <c r="S106" s="169">
        <f>IF(N106&lt;O106*0.9056*0.85,O106*0.9056*0.85,IF(N106&gt;O106*1.15,O106*1.15,N106))</f>
        <v/>
      </c>
      <c r="T106" s="169" t="n">
        <v>8545.049999999999</v>
      </c>
      <c r="U106" s="169" t="n">
        <v>8545.049999999999</v>
      </c>
      <c r="V106" s="169">
        <f>T106+S106*K106</f>
        <v/>
      </c>
      <c r="W106" s="169">
        <f>U106-T106</f>
        <v/>
      </c>
      <c r="X106" s="169">
        <f>V106-T106</f>
        <v/>
      </c>
      <c r="Y106" s="169">
        <f>V106-U106</f>
        <v/>
      </c>
      <c r="Z106" s="160" t="n"/>
    </row>
    <row r="107" ht="54" customHeight="1" s="166">
      <c r="A107" s="150" t="n">
        <v>95</v>
      </c>
      <c r="B107" s="104" t="inlineStr">
        <is>
          <t>010902003005</t>
        </is>
      </c>
      <c r="C107" s="104" t="inlineStr">
        <is>
          <t>屋面刚性层（屋3）</t>
        </is>
      </c>
      <c r="D107" s="104" t="inlineStr">
        <is>
          <t>1.20厚(最薄处)WSM20水泥浆找平,纵横设置分格缝间距≤4000,缝宽10~20的分格缝</t>
        </is>
      </c>
      <c r="E107" s="24" t="inlineStr">
        <is>
          <t>m2</t>
        </is>
      </c>
      <c r="F107" s="169" t="n">
        <v>303.77</v>
      </c>
      <c r="G107" s="169" t="n">
        <v>303.77</v>
      </c>
      <c r="H107" s="169" t="n">
        <v>23.7</v>
      </c>
      <c r="I107" s="169" t="n"/>
      <c r="J107" s="169">
        <f>G107-F107</f>
        <v/>
      </c>
      <c r="K107" s="169">
        <f>H107-F107</f>
        <v/>
      </c>
      <c r="L107" s="169">
        <f>H107-G107</f>
        <v/>
      </c>
      <c r="M107" s="43">
        <f>J107/F107</f>
        <v/>
      </c>
      <c r="N107" s="24" t="n">
        <v>28.16</v>
      </c>
      <c r="O107" s="24" t="n">
        <v>21.75</v>
      </c>
      <c r="P107" s="43">
        <f>(N107-O107)/O107</f>
        <v/>
      </c>
      <c r="Q107" s="169">
        <f>O107*0.9056*0.85</f>
        <v/>
      </c>
      <c r="R107" s="169">
        <f>O107*1.15</f>
        <v/>
      </c>
      <c r="S107" s="169">
        <f>IF(N107&lt;O107*0.9056*0.85,O107*0.9056*0.85,IF(N107&gt;O107*1.15,O107*1.15,N107))</f>
        <v/>
      </c>
      <c r="T107" s="169" t="n">
        <v>8554.16</v>
      </c>
      <c r="U107" s="169" t="n">
        <v>8554.16</v>
      </c>
      <c r="V107" s="169">
        <f>T107+S107*K107</f>
        <v/>
      </c>
      <c r="W107" s="169">
        <f>U107-T107</f>
        <v/>
      </c>
      <c r="X107" s="169">
        <f>V107-T107</f>
        <v/>
      </c>
      <c r="Y107" s="169">
        <f>V107-U107</f>
        <v/>
      </c>
      <c r="Z107" s="160" t="n"/>
    </row>
    <row r="108" ht="66" customHeight="1" s="166">
      <c r="A108" s="150" t="n">
        <v>96</v>
      </c>
      <c r="B108" s="104" t="inlineStr">
        <is>
          <t>010902003006</t>
        </is>
      </c>
      <c r="C108" s="104" t="inlineStr">
        <is>
          <t>屋面刚性层（屋4）</t>
        </is>
      </c>
      <c r="D108" s="104" t="inlineStr">
        <is>
          <t>1.20厚(最薄处)DSM15水泥浆找平</t>
        </is>
      </c>
      <c r="E108" s="24" t="inlineStr">
        <is>
          <t>m2</t>
        </is>
      </c>
      <c r="F108" s="169" t="n">
        <v>242.44</v>
      </c>
      <c r="G108" s="169" t="n">
        <v>253.07</v>
      </c>
      <c r="H108" s="169">
        <f>229.37</f>
        <v/>
      </c>
      <c r="I108" s="169" t="n"/>
      <c r="J108" s="169">
        <f>G108-F108</f>
        <v/>
      </c>
      <c r="K108" s="169">
        <f>H108-F108</f>
        <v/>
      </c>
      <c r="L108" s="169">
        <f>H108-G108</f>
        <v/>
      </c>
      <c r="M108" s="43">
        <f>J108/F108</f>
        <v/>
      </c>
      <c r="N108" s="24" t="n">
        <v>21.35</v>
      </c>
      <c r="O108" s="24" t="n">
        <v>22.51</v>
      </c>
      <c r="P108" s="43">
        <f>(N108-O108)/O108</f>
        <v/>
      </c>
      <c r="Q108" s="169">
        <f>O108*0.9056*0.85</f>
        <v/>
      </c>
      <c r="R108" s="169">
        <f>O108*1.15</f>
        <v/>
      </c>
      <c r="S108" s="169">
        <f>IF(N108&lt;O108*0.9056*0.85,O108*0.9056*0.85,IF(N108&gt;O108*1.15,O108*1.15,N108))</f>
        <v/>
      </c>
      <c r="T108" s="169" t="n">
        <v>5176.09</v>
      </c>
      <c r="U108" s="169" t="n">
        <v>5402.99</v>
      </c>
      <c r="V108" s="169">
        <f>T108+S108*K108</f>
        <v/>
      </c>
      <c r="W108" s="169">
        <f>U108-T108</f>
        <v/>
      </c>
      <c r="X108" s="169">
        <f>V108-T108</f>
        <v/>
      </c>
      <c r="Y108" s="169">
        <f>V108-U108</f>
        <v/>
      </c>
      <c r="Z108" s="80" t="n"/>
    </row>
    <row r="109" ht="54" customHeight="1" s="166">
      <c r="A109" s="150" t="n">
        <v>97</v>
      </c>
      <c r="B109" s="104" t="inlineStr">
        <is>
          <t>010901001001</t>
        </is>
      </c>
      <c r="C109" s="104" t="inlineStr">
        <is>
          <t>瓦屋面（屋4、屋5）</t>
        </is>
      </c>
      <c r="D109" s="104" t="inlineStr">
        <is>
          <t>1.彩石金属瓦
2.冷弯型钢挂瓦条,中距按瓦材规格
3.其他详见施工设计图</t>
        </is>
      </c>
      <c r="E109" s="24" t="inlineStr">
        <is>
          <t>m2</t>
        </is>
      </c>
      <c r="F109" s="169" t="n">
        <v>242.44</v>
      </c>
      <c r="G109" s="169" t="n">
        <v>242.44</v>
      </c>
      <c r="H109" s="169">
        <f>229.37</f>
        <v/>
      </c>
      <c r="I109" s="169" t="n"/>
      <c r="J109" s="169">
        <f>G109-F109</f>
        <v/>
      </c>
      <c r="K109" s="169">
        <f>H109-F109</f>
        <v/>
      </c>
      <c r="L109" s="169">
        <f>H109-G109</f>
        <v/>
      </c>
      <c r="M109" s="43">
        <f>J109/F109</f>
        <v/>
      </c>
      <c r="N109" s="24" t="n">
        <v>240.86</v>
      </c>
      <c r="O109" s="24" t="n">
        <v>182.42</v>
      </c>
      <c r="P109" s="43">
        <f>(N109-O109)/O109</f>
        <v/>
      </c>
      <c r="Q109" s="169">
        <f>O109*0.9056*0.85</f>
        <v/>
      </c>
      <c r="R109" s="169">
        <f>O109*1.15</f>
        <v/>
      </c>
      <c r="S109" s="169">
        <f>IF(N109&lt;O109*0.9056*0.85,O109*0.9056*0.85,IF(N109&gt;O109*1.15,O109*1.15,N109))</f>
        <v/>
      </c>
      <c r="T109" s="169" t="n">
        <v>58394.1</v>
      </c>
      <c r="U109" s="169" t="n">
        <v>58394.1</v>
      </c>
      <c r="V109" s="169">
        <f>T109+S109*K109</f>
        <v/>
      </c>
      <c r="W109" s="169">
        <f>U109-T109</f>
        <v/>
      </c>
      <c r="X109" s="169">
        <f>V109-T109</f>
        <v/>
      </c>
      <c r="Y109" s="169">
        <f>V109-U109</f>
        <v/>
      </c>
      <c r="Z109" s="157" t="n"/>
    </row>
    <row r="110" ht="28.5" customFormat="1" customHeight="1" s="1">
      <c r="A110" s="150" t="n"/>
      <c r="B110" s="104" t="n"/>
      <c r="C110" s="104" t="inlineStr">
        <is>
          <t>保温、隔热、防腐工程</t>
        </is>
      </c>
      <c r="D110" s="104" t="n"/>
      <c r="E110" s="104" t="n"/>
      <c r="F110" s="169" t="n"/>
      <c r="G110" s="169" t="n"/>
      <c r="H110" s="169" t="n"/>
      <c r="I110" s="169" t="n"/>
      <c r="J110" s="169" t="n"/>
      <c r="K110" s="169" t="n"/>
      <c r="L110" s="169" t="n"/>
      <c r="M110" s="43" t="n"/>
      <c r="N110" s="24" t="n"/>
      <c r="O110" s="24" t="n"/>
      <c r="P110" s="43" t="n"/>
      <c r="Q110" s="169" t="n"/>
      <c r="R110" s="169" t="n"/>
      <c r="S110" s="169" t="n"/>
      <c r="T110" s="169" t="n">
        <v>236978.02</v>
      </c>
      <c r="U110" s="169" t="n">
        <v>189955.02</v>
      </c>
      <c r="V110" s="169">
        <f>+SUM(V111:V114)</f>
        <v/>
      </c>
      <c r="W110" s="169">
        <f>U110-T110</f>
        <v/>
      </c>
      <c r="X110" s="169">
        <f>V110-T110</f>
        <v/>
      </c>
      <c r="Y110" s="169">
        <f>V110-U110</f>
        <v/>
      </c>
      <c r="Z110" s="160" t="n"/>
      <c r="AA110" s="71" t="n"/>
    </row>
    <row r="111" ht="66.75" customHeight="1" s="166">
      <c r="A111" s="150" t="n">
        <v>98</v>
      </c>
      <c r="B111" s="104" t="inlineStr">
        <is>
          <t>011001003002</t>
        </is>
      </c>
      <c r="C111" s="104" t="inlineStr">
        <is>
          <t>保温隔热墙面</t>
        </is>
      </c>
      <c r="D111" s="104" t="inlineStr">
        <is>
          <t>1.外墙内保温
2.15mm玻化微珠保温砂浆
3.5厚抗裂砂浆内置保温专用玻纤网(130g/m2)
4.做法详见图纸</t>
        </is>
      </c>
      <c r="E111" s="24" t="inlineStr">
        <is>
          <t>m2</t>
        </is>
      </c>
      <c r="F111" s="169" t="n">
        <v>1536.73</v>
      </c>
      <c r="G111" s="169" t="n">
        <v>1143.98</v>
      </c>
      <c r="H111" s="169" t="n">
        <v>798.76</v>
      </c>
      <c r="I111" s="169" t="n"/>
      <c r="J111" s="169">
        <f>G111-F111</f>
        <v/>
      </c>
      <c r="K111" s="169">
        <f>H111-F111</f>
        <v/>
      </c>
      <c r="L111" s="169">
        <f>H111-G111</f>
        <v/>
      </c>
      <c r="M111" s="43">
        <f>J111/F111</f>
        <v/>
      </c>
      <c r="N111" s="24" t="n">
        <v>95.23</v>
      </c>
      <c r="O111" s="24" t="n">
        <v>75.67</v>
      </c>
      <c r="P111" s="43">
        <f>(N111-O111)/O111</f>
        <v/>
      </c>
      <c r="Q111" s="169">
        <f>O111*0.9056*0.85</f>
        <v/>
      </c>
      <c r="R111" s="169">
        <f>O111*1.15</f>
        <v/>
      </c>
      <c r="S111" s="169">
        <f>IF(N111&lt;O111*0.9056*0.85,O111*0.9056*0.85,IF(N111&gt;O111*1.15,O111*1.15,N111))</f>
        <v/>
      </c>
      <c r="T111" s="169" t="n">
        <v>146342.32</v>
      </c>
      <c r="U111" s="169" t="n">
        <v>112165.59</v>
      </c>
      <c r="V111" s="169">
        <f>T111+S111*K111</f>
        <v/>
      </c>
      <c r="W111" s="169">
        <f>U111-T111</f>
        <v/>
      </c>
      <c r="X111" s="169">
        <f>V111-T111</f>
        <v/>
      </c>
      <c r="Y111" s="169">
        <f>V111-U111</f>
        <v/>
      </c>
      <c r="Z111" s="160" t="n"/>
      <c r="AA111" s="71" t="inlineStr">
        <is>
          <t>外墙东西方向</t>
        </is>
      </c>
    </row>
    <row r="112" ht="41.25" customHeight="1" s="166">
      <c r="A112" s="150" t="n">
        <v>99</v>
      </c>
      <c r="B112" s="104" t="inlineStr">
        <is>
          <t>011407001001</t>
        </is>
      </c>
      <c r="C112" s="104" t="inlineStr">
        <is>
          <t>墙面喷刷涂料</t>
        </is>
      </c>
      <c r="D112" s="104" t="inlineStr">
        <is>
          <t>1.隔热反射涂料
2.外墙内保温处
3.其他详见施工设计图</t>
        </is>
      </c>
      <c r="E112" s="24" t="inlineStr">
        <is>
          <t>m2</t>
        </is>
      </c>
      <c r="F112" s="169" t="n">
        <v>2348.5</v>
      </c>
      <c r="G112" s="169" t="n">
        <v>1907.81</v>
      </c>
      <c r="H112" s="169" t="n">
        <v>1907.81</v>
      </c>
      <c r="I112" s="169" t="n"/>
      <c r="J112" s="169">
        <f>G112-F112</f>
        <v/>
      </c>
      <c r="K112" s="169">
        <f>H112-F112</f>
        <v/>
      </c>
      <c r="L112" s="169">
        <f>H112-G112</f>
        <v/>
      </c>
      <c r="M112" s="43">
        <f>J112/F112</f>
        <v/>
      </c>
      <c r="N112" s="24" t="n">
        <v>31.26</v>
      </c>
      <c r="O112" s="24" t="n">
        <v>31.36</v>
      </c>
      <c r="P112" s="43">
        <f>(N112-O112)/O112</f>
        <v/>
      </c>
      <c r="Q112" s="169">
        <f>O112*0.9056*0.85</f>
        <v/>
      </c>
      <c r="R112" s="169">
        <f>O112*1.15</f>
        <v/>
      </c>
      <c r="S112" s="169">
        <f>IF(N112&lt;O112*0.9056*0.85,O112*0.9056*0.85,IF(N112&gt;O112*1.15,O112*1.15,N112))</f>
        <v/>
      </c>
      <c r="T112" s="169" t="n">
        <v>73414.19</v>
      </c>
      <c r="U112" s="169" t="n">
        <v>59638.07</v>
      </c>
      <c r="V112" s="169">
        <f>T112+S112*K112</f>
        <v/>
      </c>
      <c r="W112" s="169">
        <f>U112-T112</f>
        <v/>
      </c>
      <c r="X112" s="169">
        <f>V112-T112</f>
        <v/>
      </c>
      <c r="Y112" s="169">
        <f>V112-U112</f>
        <v/>
      </c>
      <c r="Z112" s="160" t="n"/>
    </row>
    <row r="113" ht="41.25" customHeight="1" s="166">
      <c r="A113" s="150" t="n">
        <v>100</v>
      </c>
      <c r="B113" s="104" t="inlineStr">
        <is>
          <t>011003001002</t>
        </is>
      </c>
      <c r="C113" s="104" t="inlineStr">
        <is>
          <t>隔离层（屋1、屋2、屋3、屋4）</t>
        </is>
      </c>
      <c r="D113" s="104" t="inlineStr">
        <is>
          <t>1.0.4厚聚乙烯薄膜隔离层</t>
        </is>
      </c>
      <c r="E113" s="24" t="inlineStr">
        <is>
          <t>m2</t>
        </is>
      </c>
      <c r="F113" s="169" t="n">
        <v>2449.13</v>
      </c>
      <c r="G113" s="169" t="n">
        <v>2706.13</v>
      </c>
      <c r="H113" s="169">
        <f>2134.54+229.37+172.06+56.68+23.7+89.78</f>
        <v/>
      </c>
      <c r="I113" s="169" t="n"/>
      <c r="J113" s="169">
        <f>G113-F113</f>
        <v/>
      </c>
      <c r="K113" s="169">
        <f>H113-F113</f>
        <v/>
      </c>
      <c r="L113" s="169">
        <f>H113-G113</f>
        <v/>
      </c>
      <c r="M113" s="43">
        <f>J113/F113</f>
        <v/>
      </c>
      <c r="N113" s="24" t="n">
        <v>4.06</v>
      </c>
      <c r="O113" s="24" t="n">
        <v>7.24</v>
      </c>
      <c r="P113" s="43">
        <f>(N113-O113)/O113</f>
        <v/>
      </c>
      <c r="Q113" s="169">
        <f>O113*0.9056*0.85</f>
        <v/>
      </c>
      <c r="R113" s="169">
        <f>O113*1.15</f>
        <v/>
      </c>
      <c r="S113" s="169">
        <f>IF(N113&lt;O113*0.9056*0.85,O113*0.9056*0.85,IF(N113&gt;O113*1.15,O113*1.15,N113))</f>
        <v/>
      </c>
      <c r="T113" s="169" t="n">
        <v>9943.469999999999</v>
      </c>
      <c r="U113" s="169" t="n">
        <v>11375.75</v>
      </c>
      <c r="V113" s="169">
        <f>T113+S113*K113</f>
        <v/>
      </c>
      <c r="W113" s="169">
        <f>U113-T113</f>
        <v/>
      </c>
      <c r="X113" s="169">
        <f>V113-T113</f>
        <v/>
      </c>
      <c r="Y113" s="169">
        <f>V113-U113</f>
        <v/>
      </c>
      <c r="Z113" s="80" t="n"/>
    </row>
    <row r="114" ht="28.5" customHeight="1" s="166">
      <c r="A114" s="150" t="n">
        <v>101</v>
      </c>
      <c r="B114" s="104" t="inlineStr">
        <is>
          <t>011001001001</t>
        </is>
      </c>
      <c r="C114" s="104" t="inlineStr">
        <is>
          <t>保温隔热屋面（屋4）</t>
        </is>
      </c>
      <c r="D114" s="104" t="inlineStr">
        <is>
          <t>1.50厚RC型B2级挤塑聚苯乙烯泡沫塑料板</t>
        </is>
      </c>
      <c r="E114" s="24" t="inlineStr">
        <is>
          <t>m2</t>
        </is>
      </c>
      <c r="F114" s="169" t="n">
        <v>242.44</v>
      </c>
      <c r="G114" s="169" t="n">
        <v>229.37</v>
      </c>
      <c r="H114" s="169" t="n">
        <v>229.37</v>
      </c>
      <c r="I114" s="169" t="n"/>
      <c r="J114" s="169">
        <f>G114-F114</f>
        <v/>
      </c>
      <c r="K114" s="169">
        <f>H114-F114</f>
        <v/>
      </c>
      <c r="L114" s="169">
        <f>H114-G114</f>
        <v/>
      </c>
      <c r="M114" s="43">
        <f>J114/F114</f>
        <v/>
      </c>
      <c r="N114" s="24" t="n">
        <v>30.02</v>
      </c>
      <c r="O114" s="24" t="n">
        <v>49.93</v>
      </c>
      <c r="P114" s="43">
        <f>(N114-O114)/O114</f>
        <v/>
      </c>
      <c r="Q114" s="169">
        <f>O114*0.9056*0.85</f>
        <v/>
      </c>
      <c r="R114" s="169">
        <f>O114*1.15</f>
        <v/>
      </c>
      <c r="S114" s="169">
        <f>IF(N114&lt;O114*0.9056*0.85,O114*0.9056*0.85,IF(N114&gt;O114*1.15,O114*1.15,N114))</f>
        <v/>
      </c>
      <c r="T114" s="169" t="n">
        <v>7278.05</v>
      </c>
      <c r="U114" s="169" t="n">
        <v>6775.61</v>
      </c>
      <c r="V114" s="169" t="n">
        <v>6775.61</v>
      </c>
      <c r="W114" s="169">
        <f>U114-T114</f>
        <v/>
      </c>
      <c r="X114" s="169">
        <f>V114-T114</f>
        <v/>
      </c>
      <c r="Y114" s="169">
        <f>V114-U114</f>
        <v/>
      </c>
      <c r="Z114" s="80" t="n"/>
    </row>
    <row r="115" ht="28.5" customFormat="1" customHeight="1" s="1">
      <c r="A115" s="150" t="n"/>
      <c r="B115" s="104" t="n"/>
      <c r="C115" s="104" t="inlineStr">
        <is>
          <t>楼地面装饰工程</t>
        </is>
      </c>
      <c r="D115" s="104" t="n"/>
      <c r="E115" s="104" t="n"/>
      <c r="F115" s="169" t="n"/>
      <c r="G115" s="169" t="n"/>
      <c r="H115" s="169" t="n"/>
      <c r="I115" s="169" t="n"/>
      <c r="J115" s="169" t="n"/>
      <c r="K115" s="169" t="n"/>
      <c r="L115" s="169" t="n"/>
      <c r="M115" s="43" t="n"/>
      <c r="N115" s="24" t="n"/>
      <c r="O115" s="24" t="n"/>
      <c r="P115" s="43" t="n"/>
      <c r="Q115" s="169" t="n"/>
      <c r="R115" s="169" t="n"/>
      <c r="S115" s="169" t="n"/>
      <c r="T115" s="169" t="n">
        <v>852794.73</v>
      </c>
      <c r="U115" s="169" t="n">
        <v>850302.36</v>
      </c>
      <c r="V115" s="169">
        <f>+SUM(V116:V132)</f>
        <v/>
      </c>
      <c r="W115" s="169">
        <f>U115-T115</f>
        <v/>
      </c>
      <c r="X115" s="169">
        <f>V115-T115</f>
        <v/>
      </c>
      <c r="Y115" s="169">
        <f>V115-U115</f>
        <v/>
      </c>
      <c r="Z115" s="80" t="n"/>
      <c r="AA115" s="71" t="n"/>
    </row>
    <row r="116" ht="54" customHeight="1" s="166">
      <c r="A116" s="150" t="n">
        <v>102</v>
      </c>
      <c r="B116" s="104" t="inlineStr">
        <is>
          <t>011101001001</t>
        </is>
      </c>
      <c r="C116" s="104" t="inlineStr">
        <is>
          <t>水泥砂浆楼地面（地1）</t>
        </is>
      </c>
      <c r="D116" s="104" t="inlineStr">
        <is>
          <t>1.20厚M20水泥砂浆打底,加水泥粉随手抹光向地漏找坡
2.20~40厚C15素混凝土找坡兼找平水</t>
        </is>
      </c>
      <c r="E116" s="24" t="inlineStr">
        <is>
          <t>m2</t>
        </is>
      </c>
      <c r="F116" s="169" t="n">
        <v>15.72</v>
      </c>
      <c r="G116" s="169" t="n">
        <v>69.78</v>
      </c>
      <c r="H116" s="169" t="n">
        <v>69.78</v>
      </c>
      <c r="I116" s="169" t="n"/>
      <c r="J116" s="169">
        <f>G116-F116</f>
        <v/>
      </c>
      <c r="K116" s="169">
        <f>H116-F116</f>
        <v/>
      </c>
      <c r="L116" s="169">
        <f>H116-G116</f>
        <v/>
      </c>
      <c r="M116" s="43">
        <f>J116/F116</f>
        <v/>
      </c>
      <c r="N116" s="24" t="n">
        <v>64.92</v>
      </c>
      <c r="O116" s="24" t="n">
        <v>48.18</v>
      </c>
      <c r="P116" s="43">
        <f>(N116-O116)/O116</f>
        <v/>
      </c>
      <c r="Q116" s="169">
        <f>O116*0.9056*0.85</f>
        <v/>
      </c>
      <c r="R116" s="169">
        <f>O116*1.15</f>
        <v/>
      </c>
      <c r="S116" s="169">
        <f>IF(N116&lt;O116*0.9056*0.85,O116*0.9056*0.85,IF(N116&gt;O116*1.15,O116*1.15,N116))</f>
        <v/>
      </c>
      <c r="T116" s="169" t="n">
        <v>1020.46</v>
      </c>
      <c r="U116" s="169" t="n">
        <v>4016.02</v>
      </c>
      <c r="V116" s="169">
        <f>T116+S116*K116</f>
        <v/>
      </c>
      <c r="W116" s="169">
        <f>U116-T116</f>
        <v/>
      </c>
      <c r="X116" s="169">
        <f>V116-T116</f>
        <v/>
      </c>
      <c r="Y116" s="169">
        <f>V116-U116</f>
        <v/>
      </c>
      <c r="Z116" s="160" t="n"/>
    </row>
    <row r="117" ht="41.25" customHeight="1" s="166">
      <c r="A117" s="150" t="n">
        <v>103</v>
      </c>
      <c r="B117" s="104" t="inlineStr">
        <is>
          <t>011101001002</t>
        </is>
      </c>
      <c r="C117" s="104" t="inlineStr">
        <is>
          <t>水泥砂浆楼地面（地1）（水电井）</t>
        </is>
      </c>
      <c r="D117" s="104" t="inlineStr">
        <is>
          <t>1.20厚M20水泥砂浆打底,加水泥粉随手抹光向地漏找坡</t>
        </is>
      </c>
      <c r="E117" s="24" t="inlineStr">
        <is>
          <t>m2</t>
        </is>
      </c>
      <c r="F117" s="169" t="n">
        <v>13.26</v>
      </c>
      <c r="G117" s="169" t="n">
        <v>17.16</v>
      </c>
      <c r="H117" s="169" t="n">
        <v>17.16</v>
      </c>
      <c r="I117" s="169" t="n"/>
      <c r="J117" s="169">
        <f>G117-F117</f>
        <v/>
      </c>
      <c r="K117" s="169">
        <f>H117-F117</f>
        <v/>
      </c>
      <c r="L117" s="169">
        <f>H117-G117</f>
        <v/>
      </c>
      <c r="M117" s="43">
        <f>J117/F117</f>
        <v/>
      </c>
      <c r="N117" s="24" t="n">
        <v>29.28</v>
      </c>
      <c r="O117" s="24" t="n">
        <v>24.37</v>
      </c>
      <c r="P117" s="43">
        <f>(N117-O117)/O117</f>
        <v/>
      </c>
      <c r="Q117" s="169">
        <f>O117*0.9056*0.85</f>
        <v/>
      </c>
      <c r="R117" s="169">
        <f>O117*1.15</f>
        <v/>
      </c>
      <c r="S117" s="169">
        <f>IF(N117&lt;O117*0.9056*0.85,O117*0.9056*0.85,IF(N117&gt;O117*1.15,O117*1.15,N117))</f>
        <v/>
      </c>
      <c r="T117" s="169" t="n">
        <v>388.25</v>
      </c>
      <c r="U117" s="169" t="n">
        <v>497.55</v>
      </c>
      <c r="V117" s="169" t="n">
        <v>497.55</v>
      </c>
      <c r="W117" s="169">
        <f>U117-T117</f>
        <v/>
      </c>
      <c r="X117" s="169">
        <f>V117-T117</f>
        <v/>
      </c>
      <c r="Y117" s="169">
        <f>V117-U117</f>
        <v/>
      </c>
      <c r="Z117" s="80" t="n"/>
    </row>
    <row r="118" ht="54" customHeight="1" s="166">
      <c r="A118" s="150" t="n">
        <v>104</v>
      </c>
      <c r="B118" s="104" t="inlineStr">
        <is>
          <t>011102003002</t>
        </is>
      </c>
      <c r="C118" s="104" t="inlineStr">
        <is>
          <t>块料楼地面（地2）</t>
        </is>
      </c>
      <c r="D118" s="104" t="inlineStr">
        <is>
          <t>1.400*400mm防滑地砖铺平拍实,纯水泥浆擦缝
2.15厚DSM15水泥砂浆结合层</t>
        </is>
      </c>
      <c r="E118" s="24" t="inlineStr">
        <is>
          <t>m2</t>
        </is>
      </c>
      <c r="F118" s="169" t="n">
        <v>609.25</v>
      </c>
      <c r="G118" s="169" t="n">
        <v>727.13</v>
      </c>
      <c r="H118" s="169" t="n">
        <v>727.13</v>
      </c>
      <c r="I118" s="169" t="n"/>
      <c r="J118" s="169">
        <f>G118-F118</f>
        <v/>
      </c>
      <c r="K118" s="169">
        <f>H118-F118</f>
        <v/>
      </c>
      <c r="L118" s="169">
        <f>H118-G118</f>
        <v/>
      </c>
      <c r="M118" s="43">
        <f>J118/F118</f>
        <v/>
      </c>
      <c r="N118" s="24" t="n">
        <v>112.13</v>
      </c>
      <c r="O118" s="24" t="n">
        <v>74.23999999999999</v>
      </c>
      <c r="P118" s="43">
        <f>(N118-O118)/O118</f>
        <v/>
      </c>
      <c r="Q118" s="169">
        <f>O118*0.9056*0.85</f>
        <v/>
      </c>
      <c r="R118" s="169">
        <f>O118*1.15</f>
        <v/>
      </c>
      <c r="S118" s="169">
        <f>IF(N118&lt;O118*0.9056*0.85,O118*0.9056*0.85,IF(N118&gt;O118*1.15,O118*1.15,N118))</f>
        <v/>
      </c>
      <c r="T118" s="169" t="n">
        <v>68315.75</v>
      </c>
      <c r="U118" s="169" t="n">
        <v>78379.57000000001</v>
      </c>
      <c r="V118" s="169" t="n">
        <v>78379.57000000001</v>
      </c>
      <c r="W118" s="169">
        <f>U118-T118</f>
        <v/>
      </c>
      <c r="X118" s="169">
        <f>V118-T118</f>
        <v/>
      </c>
      <c r="Y118" s="169">
        <f>V118-U118</f>
        <v/>
      </c>
      <c r="Z118" s="80" t="n"/>
    </row>
    <row r="119" ht="66.75" customHeight="1" s="166">
      <c r="A119" s="150" t="n">
        <v>105</v>
      </c>
      <c r="B119" s="104" t="inlineStr">
        <is>
          <t>011103002001</t>
        </is>
      </c>
      <c r="C119" s="104" t="inlineStr">
        <is>
          <t>橡胶板卷材楼地面（地4）</t>
        </is>
      </c>
      <c r="D119" s="104" t="inlineStr">
        <is>
          <t>1.成品2厚UPVC卷材(同质透心)专用粘合剂粘贴
2.20~45厚M20水泥砂浆,压实赶光
3.做法详见图纸</t>
        </is>
      </c>
      <c r="E119" s="24" t="inlineStr">
        <is>
          <t>m2</t>
        </is>
      </c>
      <c r="F119" s="169" t="n">
        <v>312.05</v>
      </c>
      <c r="G119" s="169" t="n">
        <v>313.35</v>
      </c>
      <c r="H119" s="169" t="n">
        <v>313.35</v>
      </c>
      <c r="I119" s="169" t="n"/>
      <c r="J119" s="169">
        <f>G119-F119</f>
        <v/>
      </c>
      <c r="K119" s="169">
        <f>H119-F119</f>
        <v/>
      </c>
      <c r="L119" s="169">
        <f>H119-G119</f>
        <v/>
      </c>
      <c r="M119" s="43">
        <f>J119/F119</f>
        <v/>
      </c>
      <c r="N119" s="24" t="n">
        <v>142.46</v>
      </c>
      <c r="O119" s="24" t="n">
        <v>223.87</v>
      </c>
      <c r="P119" s="43">
        <f>(N119-O119)/O119</f>
        <v/>
      </c>
      <c r="Q119" s="169">
        <f>O119*0.9056*0.85</f>
        <v/>
      </c>
      <c r="R119" s="169">
        <f>O119*1.15</f>
        <v/>
      </c>
      <c r="S119" s="169">
        <f>IF(N119&lt;O119*0.9056*0.85,O119*0.9056*0.85,IF(N119&gt;O119*1.15,O119*1.15,N119))</f>
        <v/>
      </c>
      <c r="T119" s="169" t="n">
        <v>44454.93</v>
      </c>
      <c r="U119" s="169" t="n">
        <v>44679.33</v>
      </c>
      <c r="V119" s="169">
        <f>T119+S119*K119</f>
        <v/>
      </c>
      <c r="W119" s="169">
        <f>U119-T119</f>
        <v/>
      </c>
      <c r="X119" s="169">
        <f>V119-T119</f>
        <v/>
      </c>
      <c r="Y119" s="169">
        <f>V119-U119</f>
        <v/>
      </c>
      <c r="Z119" s="80" t="n"/>
    </row>
    <row r="120" ht="41.25" customHeight="1" s="166">
      <c r="A120" s="150" t="n">
        <v>106</v>
      </c>
      <c r="B120" s="104" t="inlineStr">
        <is>
          <t>010507004001</t>
        </is>
      </c>
      <c r="C120" s="104" t="inlineStr">
        <is>
          <t>台阶</t>
        </is>
      </c>
      <c r="D120" s="104" t="inlineStr">
        <is>
          <t>1.阶梯教室台阶地面
2.C15混凝土
3.具体详尽施工设计图</t>
        </is>
      </c>
      <c r="E120" s="24" t="inlineStr">
        <is>
          <t>m3</t>
        </is>
      </c>
      <c r="F120" s="169" t="n">
        <v>29.84</v>
      </c>
      <c r="G120" s="169" t="n">
        <v>31.74</v>
      </c>
      <c r="H120" s="169" t="n">
        <v>31.71</v>
      </c>
      <c r="I120" s="169" t="n"/>
      <c r="J120" s="169">
        <f>G120-F120</f>
        <v/>
      </c>
      <c r="K120" s="169">
        <f>H120-F120</f>
        <v/>
      </c>
      <c r="L120" s="169">
        <f>H120-G120</f>
        <v/>
      </c>
      <c r="M120" s="43">
        <f>J120/F120</f>
        <v/>
      </c>
      <c r="N120" s="24" t="n">
        <v>652.85</v>
      </c>
      <c r="O120" s="24" t="n">
        <v>856.45</v>
      </c>
      <c r="P120" s="43">
        <f>(N120-O120)/O120</f>
        <v/>
      </c>
      <c r="Q120" s="169">
        <f>O120*0.9056*0.85</f>
        <v/>
      </c>
      <c r="R120" s="169">
        <f>O120*1.15</f>
        <v/>
      </c>
      <c r="S120" s="169">
        <f>IF(N120&lt;O120*0.9056*0.85,O120*0.9056*0.85,IF(N120&gt;O120*1.15,O120*1.15,N120))</f>
        <v/>
      </c>
      <c r="T120" s="169" t="n">
        <v>19482.35</v>
      </c>
      <c r="U120" s="169" t="n">
        <v>20731.91</v>
      </c>
      <c r="V120" s="169">
        <f>T120+S120*K120</f>
        <v/>
      </c>
      <c r="W120" s="169">
        <f>U120-T120</f>
        <v/>
      </c>
      <c r="X120" s="169">
        <f>V120-T120</f>
        <v/>
      </c>
      <c r="Y120" s="169">
        <f>V120-U120</f>
        <v/>
      </c>
      <c r="Z120" s="80" t="n"/>
    </row>
    <row r="121" ht="79.5" customHeight="1" s="166">
      <c r="A121" s="150" t="n">
        <v>107</v>
      </c>
      <c r="B121" s="104" t="inlineStr">
        <is>
          <t>011104002001</t>
        </is>
      </c>
      <c r="C121" s="104" t="inlineStr">
        <is>
          <t>竹、木(复合)地板（地7）</t>
        </is>
      </c>
      <c r="D121" s="104" t="inlineStr">
        <is>
          <t>1.1200*150*20mm舞台专业木地板
2.24MM厚弹性龙骨，详见附图《T15R运动地板技术参数》
3.其他做法详见图纸</t>
        </is>
      </c>
      <c r="E121" s="24" t="inlineStr">
        <is>
          <t>m2</t>
        </is>
      </c>
      <c r="F121" s="169" t="n">
        <v>91.8</v>
      </c>
      <c r="G121" s="169" t="n">
        <v>114.81</v>
      </c>
      <c r="H121" s="169" t="n">
        <v>107.87</v>
      </c>
      <c r="I121" s="169" t="n"/>
      <c r="J121" s="169">
        <f>G121-F121</f>
        <v/>
      </c>
      <c r="K121" s="169">
        <f>H121-F121</f>
        <v/>
      </c>
      <c r="L121" s="169">
        <f>H121-G121</f>
        <v/>
      </c>
      <c r="M121" s="43">
        <f>J121/F121</f>
        <v/>
      </c>
      <c r="N121" s="24" t="n">
        <v>296.71</v>
      </c>
      <c r="O121" s="24" t="n">
        <v>528</v>
      </c>
      <c r="P121" s="43">
        <f>(N121-O121)/O121</f>
        <v/>
      </c>
      <c r="Q121" s="169">
        <f>O121*0.9056*0.85</f>
        <v/>
      </c>
      <c r="R121" s="169">
        <f>O121*1.15</f>
        <v/>
      </c>
      <c r="S121" s="169">
        <f>IF(N121&lt;O121*0.9056*0.85,O121*0.9056*0.85,IF(N121&gt;O121*1.15,O121*1.15,N121))</f>
        <v/>
      </c>
      <c r="T121" s="169" t="n">
        <v>27237.98</v>
      </c>
      <c r="U121" s="169" t="n">
        <v>36588.46</v>
      </c>
      <c r="V121" s="169">
        <f>T121+S121*K121</f>
        <v/>
      </c>
      <c r="W121" s="169">
        <f>U121-T121</f>
        <v/>
      </c>
      <c r="X121" s="169">
        <f>V121-T121</f>
        <v/>
      </c>
      <c r="Y121" s="169">
        <f>V121-U121</f>
        <v/>
      </c>
      <c r="Z121" s="80" t="n"/>
      <c r="AA121" s="71" t="inlineStr">
        <is>
          <t>复核室外阶梯是否做木地板</t>
        </is>
      </c>
    </row>
    <row r="122" ht="92.25" customHeight="1" s="166">
      <c r="A122" s="150" t="n">
        <v>108</v>
      </c>
      <c r="B122" s="104" t="inlineStr">
        <is>
          <t>011104002002</t>
        </is>
      </c>
      <c r="C122" s="104" t="inlineStr">
        <is>
          <t>运动木地板</t>
        </is>
      </c>
      <c r="D122" s="104" t="inlineStr">
        <is>
          <t>1.1800*62*22mm厚运动木地板
2.24MM厚弹性龙骨，详见附图《T15R运动地板技术参数》
3.含面层造型线
4.其他做法详见图纸</t>
        </is>
      </c>
      <c r="E122" s="24" t="inlineStr">
        <is>
          <t>m2</t>
        </is>
      </c>
      <c r="F122" s="169" t="n">
        <v>1026.02</v>
      </c>
      <c r="G122" s="169" t="n">
        <v>1025.87</v>
      </c>
      <c r="H122" s="169" t="n">
        <v>1025.87</v>
      </c>
      <c r="I122" s="169" t="n"/>
      <c r="J122" s="169">
        <f>G122-F122</f>
        <v/>
      </c>
      <c r="K122" s="169">
        <f>H122-F122</f>
        <v/>
      </c>
      <c r="L122" s="169">
        <f>H122-G122</f>
        <v/>
      </c>
      <c r="M122" s="43">
        <f>J122/F122</f>
        <v/>
      </c>
      <c r="N122" s="24" t="n">
        <v>296.71</v>
      </c>
      <c r="O122" s="24" t="n">
        <v>530.46</v>
      </c>
      <c r="P122" s="43">
        <f>(N122-O122)/O122</f>
        <v/>
      </c>
      <c r="Q122" s="169">
        <f>O122*0.9056*0.85</f>
        <v/>
      </c>
      <c r="R122" s="169">
        <f>O122*1.15</f>
        <v/>
      </c>
      <c r="S122" s="169">
        <f>IF(N122&lt;O122*0.9056*0.85,O122*0.9056*0.85,IF(N122&gt;O122*1.15,O122*1.15,N122))</f>
        <v/>
      </c>
      <c r="T122" s="169" t="n">
        <v>304430.39</v>
      </c>
      <c r="U122" s="169" t="n">
        <v>304368.12</v>
      </c>
      <c r="V122" s="169" t="n">
        <v>304368.12</v>
      </c>
      <c r="W122" s="169">
        <f>U122-T122</f>
        <v/>
      </c>
      <c r="X122" s="169">
        <f>V122-T122</f>
        <v/>
      </c>
      <c r="Y122" s="169">
        <f>V122-U122</f>
        <v/>
      </c>
      <c r="Z122" s="80" t="n"/>
    </row>
    <row r="123" ht="79.5" customHeight="1" s="166">
      <c r="A123" s="150" t="n">
        <v>109</v>
      </c>
      <c r="B123" s="104" t="inlineStr">
        <is>
          <t>011102003003</t>
        </is>
      </c>
      <c r="C123" s="104" t="inlineStr">
        <is>
          <t>块料楼地面（地8）</t>
        </is>
      </c>
      <c r="D123" s="104" t="inlineStr">
        <is>
          <t>1.楼地面铺贴800X800mm仿古地砖,面用白水泥擦缝
2.30厚1:3干硬性水泥砂浆结合层
3.3厚ALE隔声涂料
4.其他做法详见图纸</t>
        </is>
      </c>
      <c r="E123" s="24" t="inlineStr">
        <is>
          <t>m2</t>
        </is>
      </c>
      <c r="F123" s="169" t="n">
        <v>1293.78</v>
      </c>
      <c r="G123" s="169" t="n">
        <v>1285.93</v>
      </c>
      <c r="H123" s="169" t="n">
        <v>1283.96</v>
      </c>
      <c r="I123" s="169" t="n"/>
      <c r="J123" s="169">
        <f>G123-F123</f>
        <v/>
      </c>
      <c r="K123" s="169">
        <f>H123-F123</f>
        <v/>
      </c>
      <c r="L123" s="169">
        <f>H123-G123</f>
        <v/>
      </c>
      <c r="M123" s="43">
        <f>J123/F123</f>
        <v/>
      </c>
      <c r="N123" s="24" t="n">
        <v>167.91</v>
      </c>
      <c r="O123" s="24" t="n">
        <v>181.82</v>
      </c>
      <c r="P123" s="43">
        <f>(N123-O123)/O123</f>
        <v/>
      </c>
      <c r="Q123" s="169">
        <f>O123*0.9056*0.85</f>
        <v/>
      </c>
      <c r="R123" s="169">
        <f>O123*1.15</f>
        <v/>
      </c>
      <c r="S123" s="169">
        <f>IF(N123&lt;O123*0.9056*0.85,O123*0.9056*0.85,IF(N123&gt;O123*1.15,O123*1.15,N123))</f>
        <v/>
      </c>
      <c r="T123" s="169" t="n">
        <v>217238.1</v>
      </c>
      <c r="U123" s="169" t="n">
        <v>215920.94</v>
      </c>
      <c r="V123" s="169">
        <f>T123+S123*K123</f>
        <v/>
      </c>
      <c r="W123" s="169">
        <f>U123-T123</f>
        <v/>
      </c>
      <c r="X123" s="169">
        <f>V123-T123</f>
        <v/>
      </c>
      <c r="Y123" s="169">
        <f>V123-U123</f>
        <v/>
      </c>
      <c r="Z123" s="80" t="n"/>
    </row>
    <row r="124" ht="66.75" customHeight="1" s="166">
      <c r="A124" s="150" t="n">
        <v>110</v>
      </c>
      <c r="B124" s="104" t="inlineStr">
        <is>
          <t>011102003004</t>
        </is>
      </c>
      <c r="C124" s="104" t="inlineStr">
        <is>
          <t>块料楼地面</t>
        </is>
      </c>
      <c r="D124" s="104" t="inlineStr">
        <is>
          <t>1.仿古地砖门槛石
2.30厚1:3干硬性水泥砂浆结合层
3.3厚ALE隔声涂料
4.其他做法详见图纸</t>
        </is>
      </c>
      <c r="E124" s="24" t="inlineStr">
        <is>
          <t>m2</t>
        </is>
      </c>
      <c r="F124" s="169" t="n">
        <v>2.32</v>
      </c>
      <c r="G124" s="169" t="n">
        <v>2.32</v>
      </c>
      <c r="H124" s="169" t="n">
        <v>0.42</v>
      </c>
      <c r="I124" s="169" t="n"/>
      <c r="J124" s="169">
        <f>G124-F124</f>
        <v/>
      </c>
      <c r="K124" s="169">
        <f>H124-F124</f>
        <v/>
      </c>
      <c r="L124" s="169">
        <f>H124-G124</f>
        <v/>
      </c>
      <c r="M124" s="43">
        <f>J124/F124</f>
        <v/>
      </c>
      <c r="N124" s="24" t="n">
        <v>220.22</v>
      </c>
      <c r="O124" s="24" t="n">
        <v>249.18</v>
      </c>
      <c r="P124" s="43">
        <f>(N124-O124)/O124</f>
        <v/>
      </c>
      <c r="Q124" s="169">
        <f>O124*0.9056*0.85</f>
        <v/>
      </c>
      <c r="R124" s="169">
        <f>O124*1.15</f>
        <v/>
      </c>
      <c r="S124" s="169">
        <f>IF(N124&lt;O124*0.9056*0.85,O124*0.9056*0.85,IF(N124&gt;O124*1.15,O124*1.15,N124))</f>
        <v/>
      </c>
      <c r="T124" s="169" t="n">
        <v>510.91</v>
      </c>
      <c r="U124" s="169" t="n">
        <v>510.91</v>
      </c>
      <c r="V124" s="169">
        <f>T124+S124*K124</f>
        <v/>
      </c>
      <c r="W124" s="169">
        <f>U124-T124</f>
        <v/>
      </c>
      <c r="X124" s="169">
        <f>V124-T124</f>
        <v/>
      </c>
      <c r="Y124" s="169">
        <f>V124-U124</f>
        <v/>
      </c>
      <c r="Z124" s="80" t="n"/>
    </row>
    <row r="125" ht="79.5" customHeight="1" s="166">
      <c r="A125" s="150" t="n">
        <v>111</v>
      </c>
      <c r="B125" s="104" t="inlineStr">
        <is>
          <t>011102003005</t>
        </is>
      </c>
      <c r="C125" s="104" t="inlineStr">
        <is>
          <t>块料楼地面</t>
        </is>
      </c>
      <c r="D125" s="104" t="inlineStr">
        <is>
          <t>1.楼地面铺贴600X600mm仿古地砖,面用白水泥擦缝
2.30厚1:3干硬性水泥砂浆结合层
3.3厚ALE隔声涂料
4.做法详见图纸</t>
        </is>
      </c>
      <c r="E125" s="24" t="inlineStr">
        <is>
          <t>m2</t>
        </is>
      </c>
      <c r="F125" s="169" t="n">
        <v>23.76</v>
      </c>
      <c r="G125" s="169" t="n">
        <v>23.47</v>
      </c>
      <c r="H125" s="169" t="n">
        <v>23.47</v>
      </c>
      <c r="I125" s="169" t="n"/>
      <c r="J125" s="169">
        <f>G125-F125</f>
        <v/>
      </c>
      <c r="K125" s="169">
        <f>H125-F125</f>
        <v/>
      </c>
      <c r="L125" s="169">
        <f>H125-G125</f>
        <v/>
      </c>
      <c r="M125" s="43">
        <f>J125/F125</f>
        <v/>
      </c>
      <c r="N125" s="24" t="n">
        <v>139.46</v>
      </c>
      <c r="O125" s="24" t="n">
        <v>162.88</v>
      </c>
      <c r="P125" s="43">
        <f>(N125-O125)/O125</f>
        <v/>
      </c>
      <c r="Q125" s="169">
        <f>O125*0.9056*0.85</f>
        <v/>
      </c>
      <c r="R125" s="169">
        <f>O125*1.15</f>
        <v/>
      </c>
      <c r="S125" s="169">
        <f>IF(N125&lt;O125*0.9056*0.85,O125*0.9056*0.85,IF(N125&gt;O125*1.15,O125*1.15,N125))</f>
        <v/>
      </c>
      <c r="T125" s="169" t="n">
        <v>3313.47</v>
      </c>
      <c r="U125" s="169" t="n">
        <v>3272.54</v>
      </c>
      <c r="V125" s="169" t="n">
        <v>3272.54</v>
      </c>
      <c r="W125" s="169">
        <f>U125-T125</f>
        <v/>
      </c>
      <c r="X125" s="169">
        <f>V125-T125</f>
        <v/>
      </c>
      <c r="Y125" s="169">
        <f>V125-U125</f>
        <v/>
      </c>
      <c r="Z125" s="160" t="n"/>
    </row>
    <row r="126" ht="66.75" customHeight="1" s="166">
      <c r="A126" s="150" t="n">
        <v>112</v>
      </c>
      <c r="B126" s="104" t="inlineStr">
        <is>
          <t>011102003006</t>
        </is>
      </c>
      <c r="C126" s="104" t="inlineStr">
        <is>
          <t>块料楼地面（地10）</t>
        </is>
      </c>
      <c r="D126" s="104" t="inlineStr">
        <is>
          <t>1.8~10厚防滑地砖铺实拍平,水泥砂浆填缝
2.30厚1:3干硬性水泥砂浆结合层
3.做法详见图纸</t>
        </is>
      </c>
      <c r="E126" s="24" t="inlineStr">
        <is>
          <t>m2</t>
        </is>
      </c>
      <c r="F126" s="169" t="n">
        <v>860.3200000000001</v>
      </c>
      <c r="G126" s="169" t="n">
        <v>762.89</v>
      </c>
      <c r="H126" s="169" t="n">
        <v>762.5599999999999</v>
      </c>
      <c r="I126" s="169" t="n"/>
      <c r="J126" s="169">
        <f>G126-F126</f>
        <v/>
      </c>
      <c r="K126" s="169">
        <f>H126-F126</f>
        <v/>
      </c>
      <c r="L126" s="169">
        <f>H126-G126</f>
        <v/>
      </c>
      <c r="M126" s="43">
        <f>J126/F126</f>
        <v/>
      </c>
      <c r="N126" s="24" t="n">
        <v>129.21</v>
      </c>
      <c r="O126" s="24" t="n">
        <v>90.73</v>
      </c>
      <c r="P126" s="43">
        <f>(N126-O126)/O126</f>
        <v/>
      </c>
      <c r="Q126" s="169">
        <f>O126*0.9056*0.85</f>
        <v/>
      </c>
      <c r="R126" s="169">
        <f>O126*1.15</f>
        <v/>
      </c>
      <c r="S126" s="169">
        <f>IF(N126&lt;O126*0.9056*0.85,O126*0.9056*0.85,IF(N126&gt;O126*1.15,O126*1.15,N126))</f>
        <v/>
      </c>
      <c r="T126" s="169" t="n">
        <v>111162.35</v>
      </c>
      <c r="U126" s="169" t="n">
        <v>100996.22</v>
      </c>
      <c r="V126" s="169">
        <f>T126+S126*K126</f>
        <v/>
      </c>
      <c r="W126" s="169">
        <f>U126-T126</f>
        <v/>
      </c>
      <c r="X126" s="169">
        <f>V126-T126</f>
        <v/>
      </c>
      <c r="Y126" s="169">
        <f>V126-U126</f>
        <v/>
      </c>
      <c r="Z126" s="80" t="n"/>
    </row>
    <row r="127" ht="79.5" customHeight="1" s="166">
      <c r="A127" s="150" t="n">
        <v>113</v>
      </c>
      <c r="B127" s="104" t="inlineStr">
        <is>
          <t>011106002001</t>
        </is>
      </c>
      <c r="C127" s="104" t="inlineStr">
        <is>
          <t>块料楼梯面层（地10）</t>
        </is>
      </c>
      <c r="D127" s="104" t="inlineStr">
        <is>
          <t>1.楼梯面层
2.8~10厚防滑地砖铺实拍平,水泥砂浆填缝
3.30厚1:3干硬性水泥砂浆结合层
4.做法详见图纸</t>
        </is>
      </c>
      <c r="E127" s="24" t="inlineStr">
        <is>
          <t>m2</t>
        </is>
      </c>
      <c r="F127" s="169" t="n">
        <v>163.06</v>
      </c>
      <c r="G127" s="169" t="n">
        <v>60.62</v>
      </c>
      <c r="H127" s="169" t="n">
        <v>60.62</v>
      </c>
      <c r="I127" s="169" t="n"/>
      <c r="J127" s="169">
        <f>G127-F127</f>
        <v/>
      </c>
      <c r="K127" s="169">
        <f>H127-F127</f>
        <v/>
      </c>
      <c r="L127" s="169">
        <f>H127-G127</f>
        <v/>
      </c>
      <c r="M127" s="43">
        <f>J127/F127</f>
        <v/>
      </c>
      <c r="N127" s="24" t="n">
        <v>256.98</v>
      </c>
      <c r="O127" s="24" t="n">
        <v>212.4</v>
      </c>
      <c r="P127" s="43">
        <f>(N127-O127)/O127</f>
        <v/>
      </c>
      <c r="Q127" s="169">
        <f>O127*0.9056*0.85</f>
        <v/>
      </c>
      <c r="R127" s="169">
        <f>O127*1.15</f>
        <v/>
      </c>
      <c r="S127" s="169">
        <f>IF(N127&lt;O127*0.9056*0.85,O127*0.9056*0.85,IF(N127&gt;O127*1.15,O127*1.15,N127))</f>
        <v/>
      </c>
      <c r="T127" s="169" t="n">
        <v>41903.16</v>
      </c>
      <c r="U127" s="169" t="n">
        <v>16882.14</v>
      </c>
      <c r="V127" s="169">
        <f>T127+S127*K127</f>
        <v/>
      </c>
      <c r="W127" s="169">
        <f>U127-T127</f>
        <v/>
      </c>
      <c r="X127" s="169">
        <f>V127-T127</f>
        <v/>
      </c>
      <c r="Y127" s="169">
        <f>V127-U127</f>
        <v/>
      </c>
      <c r="Z127" s="157" t="n"/>
    </row>
    <row r="128" ht="79.5" customHeight="1" s="166">
      <c r="A128" s="150" t="n">
        <v>114</v>
      </c>
      <c r="B128" s="104" t="inlineStr">
        <is>
          <t>011105003001</t>
        </is>
      </c>
      <c r="C128" s="104" t="inlineStr">
        <is>
          <t>块料踢脚线</t>
        </is>
      </c>
      <c r="D128" s="104" t="inlineStr">
        <is>
          <t>1.5-10mm厚地砖踢脚线，稀水泥浆（或彩色水泥浆）擦缝
2.9mm厚M20水泥砂浆粘接层（内掺建筑胶）
3.高度:120mm</t>
        </is>
      </c>
      <c r="E128" s="24" t="inlineStr">
        <is>
          <t>m2</t>
        </is>
      </c>
      <c r="F128" s="169" t="n">
        <v>14.69</v>
      </c>
      <c r="G128" s="169" t="n">
        <v>27.2</v>
      </c>
      <c r="H128" s="169">
        <f>21.5+5.7</f>
        <v/>
      </c>
      <c r="I128" s="169" t="n"/>
      <c r="J128" s="169">
        <f>G128-F128</f>
        <v/>
      </c>
      <c r="K128" s="169">
        <f>H128-F128</f>
        <v/>
      </c>
      <c r="L128" s="169">
        <f>H128-G128</f>
        <v/>
      </c>
      <c r="M128" s="43">
        <f>J128/F128</f>
        <v/>
      </c>
      <c r="N128" s="24" t="n">
        <v>103.72</v>
      </c>
      <c r="O128" s="24" t="n">
        <v>127.05</v>
      </c>
      <c r="P128" s="43">
        <f>(N128-O128)/O128</f>
        <v/>
      </c>
      <c r="Q128" s="169">
        <f>O128*0.9056*0.85</f>
        <v/>
      </c>
      <c r="R128" s="169">
        <f>O128*1.15</f>
        <v/>
      </c>
      <c r="S128" s="169">
        <f>IF(N128&lt;O128*0.9056*0.85,O128*0.9056*0.85,IF(N128&gt;O128*1.15,O128*1.15,N128))</f>
        <v/>
      </c>
      <c r="T128" s="169" t="n">
        <v>1524.06</v>
      </c>
      <c r="U128" s="169" t="n">
        <v>2821.24</v>
      </c>
      <c r="V128" s="169" t="n">
        <v>2821.24</v>
      </c>
      <c r="W128" s="169">
        <f>U128-T128</f>
        <v/>
      </c>
      <c r="X128" s="169">
        <f>V128-T128</f>
        <v/>
      </c>
      <c r="Y128" s="169">
        <f>V128-U128</f>
        <v/>
      </c>
      <c r="Z128" s="80" t="n"/>
    </row>
    <row r="129" ht="66.75" customHeight="1" s="166">
      <c r="A129" s="150" t="n">
        <v>115</v>
      </c>
      <c r="B129" s="104" t="inlineStr">
        <is>
          <t>011105003002</t>
        </is>
      </c>
      <c r="C129" s="104" t="inlineStr">
        <is>
          <t>块料踢脚线</t>
        </is>
      </c>
      <c r="D129" s="104" t="inlineStr">
        <is>
          <t>1.木纹砖地脚线，稀水泥浆（或彩色水泥浆）擦缝
2.9mm厚M20水泥砂浆粘接层（内掺建筑胶）
3.高度:100mm</t>
        </is>
      </c>
      <c r="E129" s="24" t="inlineStr">
        <is>
          <t>m2</t>
        </is>
      </c>
      <c r="F129" s="169" t="n">
        <v>2.86</v>
      </c>
      <c r="G129" s="169" t="n">
        <v>8.83</v>
      </c>
      <c r="H129" s="169" t="n">
        <v>8.82</v>
      </c>
      <c r="I129" s="169" t="n"/>
      <c r="J129" s="169">
        <f>G129-F129</f>
        <v/>
      </c>
      <c r="K129" s="169">
        <f>H129-F129</f>
        <v/>
      </c>
      <c r="L129" s="169">
        <f>H129-G129</f>
        <v/>
      </c>
      <c r="M129" s="43">
        <f>J129/F129</f>
        <v/>
      </c>
      <c r="N129" s="24" t="n">
        <v>98.75</v>
      </c>
      <c r="O129" s="24" t="n">
        <v>116.9</v>
      </c>
      <c r="P129" s="43">
        <f>(N129-O129)/O129</f>
        <v/>
      </c>
      <c r="Q129" s="169">
        <f>O129*0.9056*0.85</f>
        <v/>
      </c>
      <c r="R129" s="169">
        <f>O129*1.15</f>
        <v/>
      </c>
      <c r="S129" s="169">
        <f>IF(N129&lt;O129*0.9056*0.85,O129*0.9056*0.85,IF(N129&gt;O129*1.15,O129*1.15,N129))</f>
        <v/>
      </c>
      <c r="T129" s="169" t="n">
        <v>282.83</v>
      </c>
      <c r="U129" s="169" t="n">
        <v>871.49</v>
      </c>
      <c r="V129" s="169">
        <f>T129+S129*K129</f>
        <v/>
      </c>
      <c r="W129" s="169">
        <f>U129-T129</f>
        <v/>
      </c>
      <c r="X129" s="169">
        <f>V129-T129</f>
        <v/>
      </c>
      <c r="Y129" s="169">
        <f>V129-U129</f>
        <v/>
      </c>
      <c r="Z129" s="80" t="n"/>
    </row>
    <row r="130" ht="41.25" customHeight="1" s="166">
      <c r="A130" s="150" t="n">
        <v>116</v>
      </c>
      <c r="B130" s="104" t="inlineStr">
        <is>
          <t>011105006001</t>
        </is>
      </c>
      <c r="C130" s="104" t="inlineStr">
        <is>
          <t>金属踢脚线</t>
        </is>
      </c>
      <c r="D130" s="104" t="inlineStr">
        <is>
          <t>1.100mm高1.0mm厚深灰色磨砂不锈钢踢脚线
2.其他详见施工设计图</t>
        </is>
      </c>
      <c r="E130" s="24" t="inlineStr">
        <is>
          <t>m2</t>
        </is>
      </c>
      <c r="F130" s="169" t="n">
        <v>19.35</v>
      </c>
      <c r="G130" s="169" t="n">
        <v>29.34</v>
      </c>
      <c r="H130" s="169">
        <f>29.31</f>
        <v/>
      </c>
      <c r="I130" s="169" t="n"/>
      <c r="J130" s="169">
        <f>G130-F130</f>
        <v/>
      </c>
      <c r="K130" s="169">
        <f>H130-F130</f>
        <v/>
      </c>
      <c r="L130" s="169">
        <f>H130-G130</f>
        <v/>
      </c>
      <c r="M130" s="43">
        <f>J130/F130</f>
        <v/>
      </c>
      <c r="N130" s="24" t="n">
        <v>392.29</v>
      </c>
      <c r="O130" s="24" t="n">
        <v>287.46</v>
      </c>
      <c r="P130" s="43">
        <f>(N130-O130)/O130</f>
        <v/>
      </c>
      <c r="Q130" s="169">
        <f>O130*0.9056*0.85</f>
        <v/>
      </c>
      <c r="R130" s="169">
        <f>O130*1.15</f>
        <v/>
      </c>
      <c r="S130" s="169">
        <f>IF(N130&lt;O130*0.9056*0.85,O130*0.9056*0.85,IF(N130&gt;O130*1.15,O130*1.15,N130))</f>
        <v/>
      </c>
      <c r="T130" s="169" t="n">
        <v>7591.2</v>
      </c>
      <c r="U130" s="169" t="n">
        <v>10893.26</v>
      </c>
      <c r="V130" s="169">
        <f>T130+S130*K130</f>
        <v/>
      </c>
      <c r="W130" s="169">
        <f>U130-T130</f>
        <v/>
      </c>
      <c r="X130" s="169">
        <f>V130-T130</f>
        <v/>
      </c>
      <c r="Y130" s="169">
        <f>V130-U130</f>
        <v/>
      </c>
      <c r="Z130" s="80" t="n"/>
    </row>
    <row r="131" ht="41.25" customHeight="1" s="166">
      <c r="A131" s="150" t="n">
        <v>117</v>
      </c>
      <c r="B131" s="104" t="inlineStr">
        <is>
          <t>011105006002</t>
        </is>
      </c>
      <c r="C131" s="104" t="inlineStr">
        <is>
          <t>金属踢脚线</t>
        </is>
      </c>
      <c r="D131" s="104" t="inlineStr">
        <is>
          <t>1.100mm高1.2mm厚原色拉丝不锈钢踢脚线
2.其他详见施工设计图</t>
        </is>
      </c>
      <c r="E131" s="24" t="inlineStr">
        <is>
          <t>m2</t>
        </is>
      </c>
      <c r="F131" s="169" t="n">
        <v>3.14</v>
      </c>
      <c r="G131" s="169" t="n">
        <v>16</v>
      </c>
      <c r="H131" s="169">
        <f>16</f>
        <v/>
      </c>
      <c r="I131" s="169" t="n"/>
      <c r="J131" s="169">
        <f>G131-F131</f>
        <v/>
      </c>
      <c r="K131" s="169">
        <f>H131-F131</f>
        <v/>
      </c>
      <c r="L131" s="169">
        <f>H131-G131</f>
        <v/>
      </c>
      <c r="M131" s="43">
        <f>J131/F131</f>
        <v/>
      </c>
      <c r="N131" s="24" t="n">
        <v>392.29</v>
      </c>
      <c r="O131" s="24" t="n">
        <v>333.66</v>
      </c>
      <c r="P131" s="43">
        <f>(N131-O131)/O131</f>
        <v/>
      </c>
      <c r="Q131" s="169">
        <f>O131*0.9056*0.85</f>
        <v/>
      </c>
      <c r="R131" s="169">
        <f>O131*1.15</f>
        <v/>
      </c>
      <c r="S131" s="169">
        <f>IF(N131&lt;O131*0.9056*0.85,O131*0.9056*0.85,IF(N131&gt;O131*1.15,O131*1.15,N131))</f>
        <v/>
      </c>
      <c r="T131" s="169" t="n">
        <v>1230.61</v>
      </c>
      <c r="U131" s="169" t="n">
        <v>6164.73</v>
      </c>
      <c r="V131" s="169" t="n">
        <v>6164.73</v>
      </c>
      <c r="W131" s="169">
        <f>U131-T131</f>
        <v/>
      </c>
      <c r="X131" s="169">
        <f>V131-T131</f>
        <v/>
      </c>
      <c r="Y131" s="169">
        <f>V131-U131</f>
        <v/>
      </c>
      <c r="Z131" s="80" t="n"/>
    </row>
    <row r="132" ht="45" customHeight="1" s="166">
      <c r="A132" s="150" t="n">
        <v>118</v>
      </c>
      <c r="B132" s="104" t="inlineStr">
        <is>
          <t>011105005001</t>
        </is>
      </c>
      <c r="C132" s="104" t="inlineStr">
        <is>
          <t>木质踢脚线</t>
        </is>
      </c>
      <c r="D132" s="104" t="inlineStr">
        <is>
          <t>1.100mm实木板踢脚线
2.其他详见施工设计图</t>
        </is>
      </c>
      <c r="E132" s="24" t="inlineStr">
        <is>
          <t>m2</t>
        </is>
      </c>
      <c r="F132" s="169" t="n">
        <v>9.960000000000001</v>
      </c>
      <c r="G132" s="169" t="n">
        <v>9.960000000000001</v>
      </c>
      <c r="H132" s="169" t="n">
        <v>2.51</v>
      </c>
      <c r="I132" s="169" t="n"/>
      <c r="J132" s="169">
        <f>G132-F132</f>
        <v/>
      </c>
      <c r="K132" s="169">
        <f>H132-F132</f>
        <v/>
      </c>
      <c r="L132" s="169">
        <f>H132-G132</f>
        <v/>
      </c>
      <c r="M132" s="43">
        <f>J132/F132</f>
        <v/>
      </c>
      <c r="N132" s="24" t="n">
        <v>271.88</v>
      </c>
      <c r="O132" s="24" t="n">
        <v>392.16</v>
      </c>
      <c r="P132" s="43">
        <f>(N132-O132)/O132</f>
        <v/>
      </c>
      <c r="Q132" s="169">
        <f>O132*0.9056*0.85</f>
        <v/>
      </c>
      <c r="R132" s="169">
        <f>O132*1.15</f>
        <v/>
      </c>
      <c r="S132" s="169">
        <f>IF(N132&lt;O132*0.9056*0.85,O132*0.9056*0.85,IF(N132&gt;O132*1.15,O132*1.15,N132))</f>
        <v/>
      </c>
      <c r="T132" s="169" t="n">
        <v>2707.92</v>
      </c>
      <c r="U132" s="169" t="n">
        <v>2707.92</v>
      </c>
      <c r="V132" s="169">
        <f>T132+S132*K132</f>
        <v/>
      </c>
      <c r="W132" s="169">
        <f>U132-T132</f>
        <v/>
      </c>
      <c r="X132" s="169">
        <f>V132-T132</f>
        <v/>
      </c>
      <c r="Y132" s="169">
        <f>V132-U132</f>
        <v/>
      </c>
      <c r="Z132" s="160" t="n"/>
    </row>
    <row r="133" ht="41.25" customFormat="1" customHeight="1" s="1">
      <c r="A133" s="150" t="n"/>
      <c r="B133" s="104" t="n"/>
      <c r="C133" s="104" t="inlineStr">
        <is>
          <t>墙、柱面装饰与隔断、幕墙工程</t>
        </is>
      </c>
      <c r="D133" s="104" t="n"/>
      <c r="E133" s="104" t="n"/>
      <c r="F133" s="169" t="n"/>
      <c r="G133" s="169" t="n"/>
      <c r="H133" s="169" t="n"/>
      <c r="I133" s="169" t="n"/>
      <c r="J133" s="169" t="n"/>
      <c r="K133" s="169" t="n"/>
      <c r="L133" s="169" t="n"/>
      <c r="M133" s="43" t="n"/>
      <c r="N133" s="24" t="n"/>
      <c r="O133" s="24" t="n"/>
      <c r="P133" s="43" t="n"/>
      <c r="Q133" s="169" t="n"/>
      <c r="R133" s="169" t="n"/>
      <c r="S133" s="169" t="n"/>
      <c r="T133" s="169" t="n">
        <v>2850747.95</v>
      </c>
      <c r="U133" s="169" t="n">
        <v>3314824.03</v>
      </c>
      <c r="V133" s="169">
        <f>+SUM(V134:V160)</f>
        <v/>
      </c>
      <c r="W133" s="169">
        <f>U133-T133</f>
        <v/>
      </c>
      <c r="X133" s="169">
        <f>V133-T133</f>
        <v/>
      </c>
      <c r="Y133" s="169">
        <f>V133-U133</f>
        <v/>
      </c>
      <c r="Z133" s="80" t="n"/>
      <c r="AA133" s="71" t="n"/>
    </row>
    <row r="134" ht="156" customHeight="1" s="166">
      <c r="A134" s="150" t="n">
        <v>119</v>
      </c>
      <c r="B134" s="104" t="inlineStr">
        <is>
          <t>011204003001</t>
        </is>
      </c>
      <c r="C134" s="104" t="inlineStr">
        <is>
          <t>块料墙面(外墙2)</t>
        </is>
      </c>
      <c r="D134" s="104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E134" s="24" t="inlineStr">
        <is>
          <t>m2</t>
        </is>
      </c>
      <c r="F134" s="169" t="n">
        <v>2787.83</v>
      </c>
      <c r="G134" s="169" t="n">
        <v>3039.21</v>
      </c>
      <c r="H134" s="169" t="n">
        <v>3037.23</v>
      </c>
      <c r="I134" s="169" t="n"/>
      <c r="J134" s="169">
        <f>G134-F134</f>
        <v/>
      </c>
      <c r="K134" s="169">
        <f>H134-F134</f>
        <v/>
      </c>
      <c r="L134" s="169">
        <f>H134-G134</f>
        <v/>
      </c>
      <c r="M134" s="43">
        <f>J134/F134</f>
        <v/>
      </c>
      <c r="N134" s="24" t="n">
        <v>188.2</v>
      </c>
      <c r="O134" s="24" t="n">
        <v>140.67</v>
      </c>
      <c r="P134" s="43">
        <f>(N134-O134)/O134</f>
        <v/>
      </c>
      <c r="Q134" s="169">
        <f>O134*0.9056*0.85</f>
        <v/>
      </c>
      <c r="R134" s="169">
        <f>O134*1.15</f>
        <v/>
      </c>
      <c r="S134" s="169">
        <f>IF(N134&lt;O134*0.9056*0.85,O134*0.9056*0.85,IF(N134&gt;O134*1.15,O134*1.15,N134))</f>
        <v/>
      </c>
      <c r="T134" s="169" t="n">
        <v>524669.61</v>
      </c>
      <c r="U134" s="169" t="n">
        <v>565335.38</v>
      </c>
      <c r="V134" s="169">
        <f>T134+S134*K134</f>
        <v/>
      </c>
      <c r="W134" s="169">
        <f>U134-T134</f>
        <v/>
      </c>
      <c r="X134" s="169">
        <f>V134-T134</f>
        <v/>
      </c>
      <c r="Y134" s="169">
        <f>V134-U134</f>
        <v/>
      </c>
      <c r="Z134" s="80" t="n"/>
    </row>
    <row r="135" ht="119" customHeight="1" s="166">
      <c r="A135" s="150" t="n">
        <v>120</v>
      </c>
      <c r="B135" s="104" t="inlineStr">
        <is>
          <t>011407001002</t>
        </is>
      </c>
      <c r="C135" s="104" t="inlineStr">
        <is>
          <t>墙面喷刷涂料(外墙1)</t>
        </is>
      </c>
      <c r="D135" s="104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35" s="24" t="inlineStr">
        <is>
          <t>m2</t>
        </is>
      </c>
      <c r="F135" s="169" t="n">
        <v>858.46</v>
      </c>
      <c r="G135" s="169" t="n">
        <v>1044.02</v>
      </c>
      <c r="H135" s="169" t="n">
        <v>1044.02</v>
      </c>
      <c r="I135" s="169" t="n"/>
      <c r="J135" s="169">
        <f>G135-F135</f>
        <v/>
      </c>
      <c r="K135" s="169">
        <f>H135-F135</f>
        <v/>
      </c>
      <c r="L135" s="169">
        <f>H135-G135</f>
        <v/>
      </c>
      <c r="M135" s="43">
        <f>J135/F135</f>
        <v/>
      </c>
      <c r="N135" s="24" t="n">
        <v>133.2</v>
      </c>
      <c r="O135" s="24" t="n">
        <v>98.47</v>
      </c>
      <c r="P135" s="43">
        <f>(N135-O135)/O135</f>
        <v/>
      </c>
      <c r="Q135" s="169">
        <f>O135*0.9056*0.85</f>
        <v/>
      </c>
      <c r="R135" s="169">
        <f>O135*1.15</f>
        <v/>
      </c>
      <c r="S135" s="169">
        <f>IF(N135&lt;O135*0.9056*0.85,O135*0.9056*0.85,IF(N135&gt;O135*1.15,O135*1.15,N135))</f>
        <v/>
      </c>
      <c r="T135" s="169" t="n">
        <v>114347.24</v>
      </c>
      <c r="U135" s="169" t="n">
        <v>135360.23</v>
      </c>
      <c r="V135" s="169">
        <f>T135+S135*K135</f>
        <v/>
      </c>
      <c r="W135" s="169">
        <f>U135-T135</f>
        <v/>
      </c>
      <c r="X135" s="169">
        <f>V135-T135</f>
        <v/>
      </c>
      <c r="Y135" s="169">
        <f>V135-U135</f>
        <v/>
      </c>
      <c r="Z135" s="80" t="n"/>
    </row>
    <row r="136" ht="119" customHeight="1" s="166">
      <c r="A136" s="150" t="n">
        <v>121</v>
      </c>
      <c r="B136" s="104" t="inlineStr">
        <is>
          <t>011407001003</t>
        </is>
      </c>
      <c r="C136" s="104" t="inlineStr">
        <is>
          <t>柱面喷刷涂料(外墙1)</t>
        </is>
      </c>
      <c r="D136" s="104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36" s="24" t="inlineStr">
        <is>
          <t>m2</t>
        </is>
      </c>
      <c r="F136" s="169" t="n">
        <v>380.82</v>
      </c>
      <c r="G136" s="169" t="n">
        <v>431.67</v>
      </c>
      <c r="H136" s="169" t="n">
        <v>431.67</v>
      </c>
      <c r="I136" s="169" t="n"/>
      <c r="J136" s="169">
        <f>G136-F136</f>
        <v/>
      </c>
      <c r="K136" s="169">
        <f>H136-F136</f>
        <v/>
      </c>
      <c r="L136" s="169">
        <f>H136-G136</f>
        <v/>
      </c>
      <c r="M136" s="43">
        <f>J136/F136</f>
        <v/>
      </c>
      <c r="N136" s="24" t="n">
        <v>133.2</v>
      </c>
      <c r="O136" s="24" t="n">
        <v>105.64</v>
      </c>
      <c r="P136" s="43">
        <f>(N136-O136)/O136</f>
        <v/>
      </c>
      <c r="Q136" s="169">
        <f>O136*0.9056*0.85</f>
        <v/>
      </c>
      <c r="R136" s="169">
        <f>O136*1.15</f>
        <v/>
      </c>
      <c r="S136" s="169">
        <f>IF(N136&lt;O136*0.9056*0.85,O136*0.9056*0.85,IF(N136&gt;O136*1.15,O136*1.15,N136))</f>
        <v/>
      </c>
      <c r="T136" s="169" t="n">
        <v>50725.22</v>
      </c>
      <c r="U136" s="169" t="n">
        <v>56903.22</v>
      </c>
      <c r="V136" s="169">
        <f>T136+S136*K136</f>
        <v/>
      </c>
      <c r="W136" s="169">
        <f>U136-T136</f>
        <v/>
      </c>
      <c r="X136" s="169">
        <f>V136-T136</f>
        <v/>
      </c>
      <c r="Y136" s="169">
        <f>V136-U136</f>
        <v/>
      </c>
      <c r="Z136" s="80" t="n"/>
    </row>
    <row r="137" ht="54" customHeight="1" s="166">
      <c r="A137" s="150" t="n">
        <v>122</v>
      </c>
      <c r="B137" s="104" t="inlineStr">
        <is>
          <t>011201001001</t>
        </is>
      </c>
      <c r="C137" s="104" t="inlineStr">
        <is>
          <t>墙面一般抹灰（墙1、墙5）</t>
        </is>
      </c>
      <c r="D137" s="104" t="inlineStr">
        <is>
          <t>1.20厚M10水泥砂浆抹面压光
2.甩浆拉毛刷108胶素水泥浆一道(内掺水重8%的胶料)</t>
        </is>
      </c>
      <c r="E137" s="24" t="inlineStr">
        <is>
          <t>m2</t>
        </is>
      </c>
      <c r="F137" s="169" t="n">
        <v>680.54</v>
      </c>
      <c r="G137" s="169" t="n">
        <v>797.9</v>
      </c>
      <c r="H137" s="169">
        <f>300.48+107.1+390.25</f>
        <v/>
      </c>
      <c r="I137" s="169" t="n"/>
      <c r="J137" s="169">
        <f>G137-F137</f>
        <v/>
      </c>
      <c r="K137" s="169">
        <f>H137-F137</f>
        <v/>
      </c>
      <c r="L137" s="169">
        <f>H137-G137</f>
        <v/>
      </c>
      <c r="M137" s="43">
        <f>J137/F137</f>
        <v/>
      </c>
      <c r="N137" s="24" t="n">
        <v>30.33</v>
      </c>
      <c r="O137" s="24" t="n">
        <v>31.52</v>
      </c>
      <c r="P137" s="43">
        <f>(N137-O137)/O137</f>
        <v/>
      </c>
      <c r="Q137" s="169">
        <f>O137*0.9056*0.85</f>
        <v/>
      </c>
      <c r="R137" s="169">
        <f>O137*1.15</f>
        <v/>
      </c>
      <c r="S137" s="169">
        <f>IF(N137&lt;O137*0.9056*0.85,O137*0.9056*0.85,IF(N137&gt;O137*1.15,O137*1.15,N137))</f>
        <v/>
      </c>
      <c r="T137" s="169" t="n">
        <v>20640.63</v>
      </c>
      <c r="U137" s="169" t="n">
        <v>24200.2</v>
      </c>
      <c r="V137" s="169">
        <f>T137+S137*K137</f>
        <v/>
      </c>
      <c r="W137" s="169">
        <f>U137-T137</f>
        <v/>
      </c>
      <c r="X137" s="169">
        <f>V137-T137</f>
        <v/>
      </c>
      <c r="Y137" s="169">
        <f>V137-U137</f>
        <v/>
      </c>
      <c r="Z137" s="80" t="n"/>
    </row>
    <row r="138" ht="41.25" customHeight="1" s="166">
      <c r="A138" s="150" t="n">
        <v>123</v>
      </c>
      <c r="B138" s="104" t="inlineStr">
        <is>
          <t>011201001002</t>
        </is>
      </c>
      <c r="C138" s="104" t="inlineStr">
        <is>
          <t>墙面一般抹灰（墙3、4）</t>
        </is>
      </c>
      <c r="D138" s="104" t="inlineStr">
        <is>
          <t>1.15mm厚WPM20水泥砂浆找平，分两遍成活，底层抹灰应压实搓毛</t>
        </is>
      </c>
      <c r="E138" s="24" t="inlineStr">
        <is>
          <t>m2</t>
        </is>
      </c>
      <c r="F138" s="169" t="n">
        <v>5055.46</v>
      </c>
      <c r="G138" s="169" t="n">
        <v>5055.46</v>
      </c>
      <c r="H138" s="169">
        <f>142.99+1994.65+2130.5+88.7</f>
        <v/>
      </c>
      <c r="I138" s="169" t="n"/>
      <c r="J138" s="169">
        <f>G138-F138</f>
        <v/>
      </c>
      <c r="K138" s="169">
        <f>H138-F138</f>
        <v/>
      </c>
      <c r="L138" s="169">
        <f>H138-G138</f>
        <v/>
      </c>
      <c r="M138" s="43">
        <f>J138/F138</f>
        <v/>
      </c>
      <c r="N138" s="24" t="n">
        <v>22.12</v>
      </c>
      <c r="O138" s="24" t="n">
        <v>25.5</v>
      </c>
      <c r="P138" s="43">
        <f>(N138-O138)/O138</f>
        <v/>
      </c>
      <c r="Q138" s="169">
        <f>O138*0.9056*0.85</f>
        <v/>
      </c>
      <c r="R138" s="169">
        <f>O138*1.15</f>
        <v/>
      </c>
      <c r="S138" s="169">
        <f>IF(N138&lt;O138*0.9056*0.85,O138*0.9056*0.85,IF(N138&gt;O138*1.15,O138*1.15,N138))</f>
        <v/>
      </c>
      <c r="T138" s="169" t="n">
        <v>111826.78</v>
      </c>
      <c r="U138" s="169" t="n">
        <v>111826.78</v>
      </c>
      <c r="V138" s="169">
        <f>T138+S138*K138</f>
        <v/>
      </c>
      <c r="W138" s="169">
        <f>U138-T138</f>
        <v/>
      </c>
      <c r="X138" s="169">
        <f>V138-T138</f>
        <v/>
      </c>
      <c r="Y138" s="169">
        <f>V138-U138</f>
        <v/>
      </c>
      <c r="Z138" s="160" t="n"/>
    </row>
    <row r="139" ht="28.5" customHeight="1" s="166">
      <c r="A139" s="150" t="n">
        <v>124</v>
      </c>
      <c r="B139" s="104" t="inlineStr">
        <is>
          <t>011204003002</t>
        </is>
      </c>
      <c r="C139" s="104" t="inlineStr">
        <is>
          <t>块料墙面（墙4）</t>
        </is>
      </c>
      <c r="D139" s="104" t="inlineStr">
        <is>
          <t>1.镶贴400*400陶瓷面砖墙面建筑胶粘剂粘贴</t>
        </is>
      </c>
      <c r="E139" s="24" t="inlineStr">
        <is>
          <t>m2</t>
        </is>
      </c>
      <c r="F139" s="169" t="n">
        <v>1624.08</v>
      </c>
      <c r="G139" s="169" t="n">
        <v>2173.41</v>
      </c>
      <c r="H139" s="169">
        <f>2149.24+19.39</f>
        <v/>
      </c>
      <c r="I139" s="169" t="n"/>
      <c r="J139" s="169">
        <f>G139-F139</f>
        <v/>
      </c>
      <c r="K139" s="169">
        <f>H139-F139</f>
        <v/>
      </c>
      <c r="L139" s="169">
        <f>H139-G139</f>
        <v/>
      </c>
      <c r="M139" s="43">
        <f>J139/F139</f>
        <v/>
      </c>
      <c r="N139" s="24" t="n">
        <v>148.21</v>
      </c>
      <c r="O139" s="24" t="n">
        <v>117.46</v>
      </c>
      <c r="P139" s="43">
        <f>(N139-O139)/O139</f>
        <v/>
      </c>
      <c r="Q139" s="169">
        <f>O139*0.9056*0.85</f>
        <v/>
      </c>
      <c r="R139" s="169">
        <f>O139*1.15</f>
        <v/>
      </c>
      <c r="S139" s="169">
        <f>IF(N139&lt;O139*0.9056*0.85,O139*0.9056*0.85,IF(N139&gt;O139*1.15,O139*1.15,N139))</f>
        <v/>
      </c>
      <c r="T139" s="169" t="n">
        <v>240705.46</v>
      </c>
      <c r="U139" s="169" t="n">
        <v>314907.73</v>
      </c>
      <c r="V139" s="169">
        <f>T139+S139*K139</f>
        <v/>
      </c>
      <c r="W139" s="169">
        <f>U139-T139</f>
        <v/>
      </c>
      <c r="X139" s="169">
        <f>V139-T139</f>
        <v/>
      </c>
      <c r="Y139" s="169">
        <f>V139-U139</f>
        <v/>
      </c>
      <c r="Z139" s="160" t="n"/>
    </row>
    <row r="140" ht="41.25" customHeight="1" s="166">
      <c r="A140" s="150" t="n">
        <v>125</v>
      </c>
      <c r="B140" s="104" t="inlineStr">
        <is>
          <t>011406001001</t>
        </is>
      </c>
      <c r="C140" s="104" t="inlineStr">
        <is>
          <t>墙面喷刷涂料(墙3）</t>
        </is>
      </c>
      <c r="D140" s="104" t="inlineStr">
        <is>
          <t>1.满刮腻子二道
2.刷内墙无机涂料,底漆一道,面漆两道</t>
        </is>
      </c>
      <c r="E140" s="24" t="inlineStr">
        <is>
          <t>m2</t>
        </is>
      </c>
      <c r="F140" s="169" t="n">
        <v>3431.38</v>
      </c>
      <c r="G140" s="169" t="n">
        <v>3431.38</v>
      </c>
      <c r="H140" s="169">
        <f>59.79+139.19+2636.31</f>
        <v/>
      </c>
      <c r="I140" s="169" t="n"/>
      <c r="J140" s="169">
        <f>G140-F140</f>
        <v/>
      </c>
      <c r="K140" s="169">
        <f>H140-F140</f>
        <v/>
      </c>
      <c r="L140" s="169">
        <f>H140-G140</f>
        <v/>
      </c>
      <c r="M140" s="43">
        <f>J140/F140</f>
        <v/>
      </c>
      <c r="N140" s="24" t="n">
        <v>36.95</v>
      </c>
      <c r="O140" s="24" t="n">
        <v>50.6</v>
      </c>
      <c r="P140" s="43">
        <f>(N140-O140)/O140</f>
        <v/>
      </c>
      <c r="Q140" s="169">
        <f>O140*0.9056*0.85</f>
        <v/>
      </c>
      <c r="R140" s="169">
        <f>O140*1.15</f>
        <v/>
      </c>
      <c r="S140" s="169">
        <f>IF(N140&lt;O140*0.9056*0.85,O140*0.9056*0.85,IF(N140&gt;O140*1.15,O140*1.15,N140))</f>
        <v/>
      </c>
      <c r="T140" s="169" t="n">
        <v>126789.35</v>
      </c>
      <c r="U140" s="169" t="n">
        <v>126789.35</v>
      </c>
      <c r="V140" s="169">
        <f>T140+S140*K140</f>
        <v/>
      </c>
      <c r="W140" s="169">
        <f>U140-T140</f>
        <v/>
      </c>
      <c r="X140" s="169">
        <f>V140-T140</f>
        <v/>
      </c>
      <c r="Y140" s="169">
        <f>V140-U140</f>
        <v/>
      </c>
      <c r="Z140" s="160" t="n"/>
    </row>
    <row r="141" ht="28.5" customHeight="1" s="166">
      <c r="A141" s="150" t="n">
        <v>126</v>
      </c>
      <c r="B141" s="104" t="inlineStr">
        <is>
          <t>011406001002</t>
        </is>
      </c>
      <c r="C141" s="104" t="inlineStr">
        <is>
          <t>墙面喷刷涂料(墙5）</t>
        </is>
      </c>
      <c r="D141" s="104" t="inlineStr">
        <is>
          <t>1.满刮耐水防霉白色腻子</t>
        </is>
      </c>
      <c r="E141" s="24" t="inlineStr">
        <is>
          <t>m2</t>
        </is>
      </c>
      <c r="F141" s="169" t="n">
        <v>312.9</v>
      </c>
      <c r="G141" s="169" t="n">
        <v>437.02</v>
      </c>
      <c r="H141" s="169">
        <f>G141</f>
        <v/>
      </c>
      <c r="I141" s="169" t="n"/>
      <c r="J141" s="169">
        <f>G141-F141</f>
        <v/>
      </c>
      <c r="K141" s="169">
        <f>H141-F141</f>
        <v/>
      </c>
      <c r="L141" s="169">
        <f>H141-G141</f>
        <v/>
      </c>
      <c r="M141" s="43">
        <f>J141/F141</f>
        <v/>
      </c>
      <c r="N141" s="24" t="n">
        <v>17.13</v>
      </c>
      <c r="O141" s="24" t="n">
        <v>18.67</v>
      </c>
      <c r="P141" s="43">
        <f>(N141-O141)/O141</f>
        <v/>
      </c>
      <c r="Q141" s="169">
        <f>O141*0.9056*0.85</f>
        <v/>
      </c>
      <c r="R141" s="169">
        <f>O141*1.15</f>
        <v/>
      </c>
      <c r="S141" s="169">
        <f>IF(N141&lt;O141*0.9056*0.85,O141*0.9056*0.85,IF(N141&gt;O141*1.15,O141*1.15,N141))</f>
        <v/>
      </c>
      <c r="T141" s="169" t="n">
        <v>5359.91</v>
      </c>
      <c r="U141" s="169" t="n">
        <v>7486.18</v>
      </c>
      <c r="V141" s="169">
        <f>T141+S141*K141</f>
        <v/>
      </c>
      <c r="W141" s="169">
        <f>U141-T141</f>
        <v/>
      </c>
      <c r="X141" s="169">
        <f>V141-T141</f>
        <v/>
      </c>
      <c r="Y141" s="169">
        <f>V141-U141</f>
        <v/>
      </c>
      <c r="Z141" s="160" t="n"/>
      <c r="AA141" s="71" t="inlineStr">
        <is>
          <t>复核首层车道墙5是否在地下室计算</t>
        </is>
      </c>
    </row>
    <row r="142" ht="41.25" customHeight="1" s="166">
      <c r="A142" s="150" t="n">
        <v>127</v>
      </c>
      <c r="B142" s="104" t="inlineStr">
        <is>
          <t>011204003005</t>
        </is>
      </c>
      <c r="C142" s="104" t="inlineStr">
        <is>
          <t>块料墙面（墙8）</t>
        </is>
      </c>
      <c r="D142" s="104" t="inlineStr">
        <is>
          <t>1.镶贴300*600陶瓷面砖墙面建筑胶粘剂粘贴
2.15厚WPM20水泥砂浆找平</t>
        </is>
      </c>
      <c r="E142" s="24" t="inlineStr">
        <is>
          <t>m2</t>
        </is>
      </c>
      <c r="F142" s="169" t="n">
        <v>977.1900000000001</v>
      </c>
      <c r="G142" s="169" t="n">
        <v>977.1900000000001</v>
      </c>
      <c r="H142" s="169">
        <f>25.44+549.77</f>
        <v/>
      </c>
      <c r="I142" s="169" t="n"/>
      <c r="J142" s="169">
        <f>G142-F142</f>
        <v/>
      </c>
      <c r="K142" s="169">
        <f>H142-F142</f>
        <v/>
      </c>
      <c r="L142" s="169">
        <f>H142-G142</f>
        <v/>
      </c>
      <c r="M142" s="43">
        <f>J142/F142</f>
        <v/>
      </c>
      <c r="N142" s="24" t="n">
        <v>162.51</v>
      </c>
      <c r="O142" s="24" t="n">
        <v>147.48</v>
      </c>
      <c r="P142" s="43">
        <f>(N142-O142)/O142</f>
        <v/>
      </c>
      <c r="Q142" s="169">
        <f>O142*0.9056*0.85</f>
        <v/>
      </c>
      <c r="R142" s="169">
        <f>O142*1.15</f>
        <v/>
      </c>
      <c r="S142" s="169">
        <f>IF(N142&lt;O142*0.9056*0.85,O142*0.9056*0.85,IF(N142&gt;O142*1.15,O142*1.15,N142))</f>
        <v/>
      </c>
      <c r="T142" s="169" t="n">
        <v>158803.15</v>
      </c>
      <c r="U142" s="169" t="n">
        <v>158803.15</v>
      </c>
      <c r="V142" s="169">
        <f>T142+S142*K142</f>
        <v/>
      </c>
      <c r="W142" s="169">
        <f>U142-T142</f>
        <v/>
      </c>
      <c r="X142" s="169">
        <f>V142-T142</f>
        <v/>
      </c>
      <c r="Y142" s="169">
        <f>V142-U142</f>
        <v/>
      </c>
      <c r="Z142" s="160" t="n"/>
    </row>
    <row r="143" ht="54" customHeight="1" s="166">
      <c r="A143" s="150" t="n">
        <v>128</v>
      </c>
      <c r="B143" s="104" t="inlineStr">
        <is>
          <t>011205001001</t>
        </is>
      </c>
      <c r="C143" s="104" t="inlineStr">
        <is>
          <t>石材柱面</t>
        </is>
      </c>
      <c r="D143" s="104" t="inlineStr">
        <is>
          <t>1.石材柱面
2.安装方式:挂贴米色大理石
3.其他详见施工设计图</t>
        </is>
      </c>
      <c r="E143" s="24" t="inlineStr">
        <is>
          <t>m2</t>
        </is>
      </c>
      <c r="F143" s="169" t="n">
        <v>186.44</v>
      </c>
      <c r="G143" s="169" t="n">
        <v>186.44</v>
      </c>
      <c r="H143" s="169">
        <f>98.24</f>
        <v/>
      </c>
      <c r="I143" s="169" t="n"/>
      <c r="J143" s="169">
        <f>G143-F143</f>
        <v/>
      </c>
      <c r="K143" s="169">
        <f>H143-F143</f>
        <v/>
      </c>
      <c r="L143" s="169">
        <f>H143-G143</f>
        <v/>
      </c>
      <c r="M143" s="43">
        <f>J143/F143</f>
        <v/>
      </c>
      <c r="N143" s="24" t="n">
        <v>682.21</v>
      </c>
      <c r="O143" s="24" t="n">
        <v>453.37</v>
      </c>
      <c r="P143" s="43">
        <f>(N143-O143)/O143</f>
        <v/>
      </c>
      <c r="Q143" s="169">
        <f>O143*0.9056*0.85</f>
        <v/>
      </c>
      <c r="R143" s="169">
        <f>O143*1.15</f>
        <v/>
      </c>
      <c r="S143" s="169">
        <f>IF(N143&lt;O143*0.9056*0.85,O143*0.9056*0.85,IF(N143&gt;O143*1.15,O143*1.15,N143))</f>
        <v/>
      </c>
      <c r="T143" s="169" t="n">
        <v>127191.23</v>
      </c>
      <c r="U143" s="169" t="n">
        <v>127191.23</v>
      </c>
      <c r="V143" s="169">
        <f>T143+S143*K143</f>
        <v/>
      </c>
      <c r="W143" s="169">
        <f>U143-T143</f>
        <v/>
      </c>
      <c r="X143" s="169">
        <f>V143-T143</f>
        <v/>
      </c>
      <c r="Y143" s="169">
        <f>V143-U143</f>
        <v/>
      </c>
      <c r="Z143" s="160" t="n"/>
    </row>
    <row r="144" ht="41.25" customHeight="1" s="166">
      <c r="A144" s="150" t="n">
        <v>129</v>
      </c>
      <c r="B144" s="104" t="inlineStr">
        <is>
          <t>011502001001</t>
        </is>
      </c>
      <c r="C144" s="104" t="inlineStr">
        <is>
          <t>金属装饰线</t>
        </is>
      </c>
      <c r="D144" s="104" t="inlineStr">
        <is>
          <t>1.外墙装饰线
2.200*200*2.5mm厚铝通
3.其他详见施工设计图</t>
        </is>
      </c>
      <c r="E144" s="24" t="inlineStr">
        <is>
          <t>m</t>
        </is>
      </c>
      <c r="F144" s="169" t="n">
        <v>379.9</v>
      </c>
      <c r="G144" s="169" t="n">
        <v>404.6</v>
      </c>
      <c r="H144" s="169">
        <f>404.6</f>
        <v/>
      </c>
      <c r="I144" s="169" t="n"/>
      <c r="J144" s="169">
        <f>G144-F144</f>
        <v/>
      </c>
      <c r="K144" s="169">
        <f>H144-F144</f>
        <v/>
      </c>
      <c r="L144" s="169">
        <f>H144-G144</f>
        <v/>
      </c>
      <c r="M144" s="43">
        <f>J144/F144</f>
        <v/>
      </c>
      <c r="N144" s="24" t="n">
        <v>217.73</v>
      </c>
      <c r="O144" s="24" t="n">
        <v>207.95</v>
      </c>
      <c r="P144" s="43">
        <f>(N144-O144)/O144</f>
        <v/>
      </c>
      <c r="Q144" s="169">
        <f>O144*0.9056*0.85</f>
        <v/>
      </c>
      <c r="R144" s="169">
        <f>O144*1.15</f>
        <v/>
      </c>
      <c r="S144" s="169">
        <f>IF(N144&lt;O144*0.9056*0.85,O144*0.9056*0.85,IF(N144&gt;O144*1.15,O144*1.15,N144))</f>
        <v/>
      </c>
      <c r="T144" s="169" t="n">
        <v>82715.63</v>
      </c>
      <c r="U144" s="169" t="n">
        <v>88093.56</v>
      </c>
      <c r="V144" s="169">
        <f>T144+S144*K144</f>
        <v/>
      </c>
      <c r="W144" s="169">
        <f>U144-T144</f>
        <v/>
      </c>
      <c r="X144" s="169">
        <f>V144-T144</f>
        <v/>
      </c>
      <c r="Y144" s="169">
        <f>V144-U144</f>
        <v/>
      </c>
      <c r="Z144" s="160" t="n"/>
    </row>
    <row r="145" ht="69" customHeight="1" s="166">
      <c r="A145" s="150" t="n">
        <v>130</v>
      </c>
      <c r="B145" s="104" t="inlineStr">
        <is>
          <t>011208001001</t>
        </is>
      </c>
      <c r="C145" s="104" t="inlineStr">
        <is>
          <t>柱(梁)面装饰</t>
        </is>
      </c>
      <c r="D145" s="104" t="inlineStr">
        <is>
          <t>1.外墙装饰造型
2.2.5mm铝单板
3.L50*5角钢龙骨@1200
4.其他详见施工设计图</t>
        </is>
      </c>
      <c r="E145" s="24" t="inlineStr">
        <is>
          <t>m2</t>
        </is>
      </c>
      <c r="F145" s="169" t="n">
        <v>791.39</v>
      </c>
      <c r="G145" s="169" t="n">
        <v>791.39</v>
      </c>
      <c r="H145" s="169" t="n">
        <v>791.39</v>
      </c>
      <c r="I145" s="169" t="n"/>
      <c r="J145" s="169">
        <f>G145-F145</f>
        <v/>
      </c>
      <c r="K145" s="169">
        <f>H145-F145</f>
        <v/>
      </c>
      <c r="L145" s="169">
        <f>H145-G145</f>
        <v/>
      </c>
      <c r="M145" s="43">
        <f>J145/F145</f>
        <v/>
      </c>
      <c r="N145" s="24" t="n">
        <v>588.26</v>
      </c>
      <c r="O145" s="24" t="n">
        <v>621.97</v>
      </c>
      <c r="P145" s="43">
        <f>(N145-O145)/O145</f>
        <v/>
      </c>
      <c r="Q145" s="169">
        <f>O145*0.9056*0.85</f>
        <v/>
      </c>
      <c r="R145" s="169">
        <f>O145*1.15</f>
        <v/>
      </c>
      <c r="S145" s="169">
        <f>IF(N145&lt;O145*0.9056*0.85,O145*0.9056*0.85,IF(N145&gt;O145*1.15,O145*1.15,N145))</f>
        <v/>
      </c>
      <c r="T145" s="169" t="n">
        <v>465543.08</v>
      </c>
      <c r="U145" s="169" t="n">
        <v>465543.08</v>
      </c>
      <c r="V145" s="169">
        <f>T145+S145*K145</f>
        <v/>
      </c>
      <c r="W145" s="169">
        <f>U145-T145</f>
        <v/>
      </c>
      <c r="X145" s="169">
        <f>V145-T145</f>
        <v/>
      </c>
      <c r="Y145" s="169">
        <f>V145-U145</f>
        <v/>
      </c>
      <c r="Z145" s="160" t="n"/>
    </row>
    <row r="146" ht="41.25" customHeight="1" s="166">
      <c r="A146" s="150" t="n">
        <v>131</v>
      </c>
      <c r="B146" s="104" t="inlineStr">
        <is>
          <t>011207001001</t>
        </is>
      </c>
      <c r="C146" s="104" t="inlineStr">
        <is>
          <t>墙面装饰板</t>
        </is>
      </c>
      <c r="D146" s="104" t="inlineStr">
        <is>
          <t>1.外墙窗侧异性铝通造型
2.2.5mm铝单板
3.其他详见施工设计图</t>
        </is>
      </c>
      <c r="E146" s="24" t="inlineStr">
        <is>
          <t>m2</t>
        </is>
      </c>
      <c r="F146" s="169" t="n">
        <v>683.02</v>
      </c>
      <c r="G146" s="169" t="n">
        <v>950.67</v>
      </c>
      <c r="H146" s="169">
        <f>19.25+877.43</f>
        <v/>
      </c>
      <c r="I146" s="169" t="n"/>
      <c r="J146" s="169">
        <f>G146-F146</f>
        <v/>
      </c>
      <c r="K146" s="169">
        <f>H146-F146</f>
        <v/>
      </c>
      <c r="L146" s="169">
        <f>H146-G146</f>
        <v/>
      </c>
      <c r="M146" s="43">
        <f>J146/F146</f>
        <v/>
      </c>
      <c r="N146" s="24" t="n">
        <v>604.05</v>
      </c>
      <c r="O146" s="24" t="n">
        <v>569.7</v>
      </c>
      <c r="P146" s="43">
        <f>(N146-O146)/O146</f>
        <v/>
      </c>
      <c r="Q146" s="169">
        <f>O146*0.9056*0.85</f>
        <v/>
      </c>
      <c r="R146" s="169">
        <f>O146*1.15</f>
        <v/>
      </c>
      <c r="S146" s="169">
        <f>IF(N146&lt;O146*0.9056*0.85,O146*0.9056*0.85,IF(N146&gt;O146*1.15,O146*1.15,N146))</f>
        <v/>
      </c>
      <c r="T146" s="169" t="n">
        <v>412578.23</v>
      </c>
      <c r="U146" s="169" t="n">
        <v>574252.15</v>
      </c>
      <c r="V146" s="169">
        <f>T146+S146*K146</f>
        <v/>
      </c>
      <c r="W146" s="169">
        <f>U146-T146</f>
        <v/>
      </c>
      <c r="X146" s="169">
        <f>V146-T146</f>
        <v/>
      </c>
      <c r="Y146" s="169">
        <f>V146-U146</f>
        <v/>
      </c>
      <c r="Z146" s="80" t="n"/>
    </row>
    <row r="147" ht="41.25" customHeight="1" s="166">
      <c r="A147" s="150" t="n">
        <v>132</v>
      </c>
      <c r="B147" s="104" t="inlineStr">
        <is>
          <t>011207001002</t>
        </is>
      </c>
      <c r="C147" s="104" t="inlineStr">
        <is>
          <t>墙面装饰板</t>
        </is>
      </c>
      <c r="D147" s="104" t="inlineStr">
        <is>
          <t>1.9mm阻燃夹板
2.30*30阻燃木龙骨
3.其他详见施工设计图纸</t>
        </is>
      </c>
      <c r="E147" s="24" t="inlineStr">
        <is>
          <t>m2</t>
        </is>
      </c>
      <c r="F147" s="169" t="n">
        <v>8.19</v>
      </c>
      <c r="G147" s="169" t="n">
        <v>18.98</v>
      </c>
      <c r="H147" s="169" t="n">
        <v>0</v>
      </c>
      <c r="I147" s="169" t="n"/>
      <c r="J147" s="169">
        <f>G147-F147</f>
        <v/>
      </c>
      <c r="K147" s="169">
        <f>H147-F147</f>
        <v/>
      </c>
      <c r="L147" s="169">
        <f>H147-G147</f>
        <v/>
      </c>
      <c r="M147" s="43">
        <f>J147/F147</f>
        <v/>
      </c>
      <c r="N147" s="24" t="n">
        <v>95.98</v>
      </c>
      <c r="O147" s="24" t="n">
        <v>97.03</v>
      </c>
      <c r="P147" s="43">
        <f>(N147-O147)/O147</f>
        <v/>
      </c>
      <c r="Q147" s="169">
        <f>O147*0.9056*0.85</f>
        <v/>
      </c>
      <c r="R147" s="169">
        <f>O147*1.15</f>
        <v/>
      </c>
      <c r="S147" s="169">
        <f>IF(N147&lt;O147*0.9056*0.85,O147*0.9056*0.85,IF(N147&gt;O147*1.15,O147*1.15,N147))</f>
        <v/>
      </c>
      <c r="T147" s="169" t="n">
        <v>786.08</v>
      </c>
      <c r="U147" s="169" t="n">
        <v>1822.11</v>
      </c>
      <c r="V147" s="169">
        <f>T147+S147*K147</f>
        <v/>
      </c>
      <c r="W147" s="169">
        <f>U147-T147</f>
        <v/>
      </c>
      <c r="X147" s="169">
        <f>V147-T147</f>
        <v/>
      </c>
      <c r="Y147" s="169">
        <f>V147-U147</f>
        <v/>
      </c>
      <c r="Z147" s="80" t="n"/>
    </row>
    <row r="148" ht="54" customHeight="1" s="166">
      <c r="A148" s="150" t="n">
        <v>133</v>
      </c>
      <c r="B148" s="104" t="inlineStr">
        <is>
          <t>011207001003</t>
        </is>
      </c>
      <c r="C148" s="104" t="inlineStr">
        <is>
          <t>墙面装饰板</t>
        </is>
      </c>
      <c r="D148" s="104" t="inlineStr">
        <is>
          <t>1.1mm厚304原色磨砂不锈钢
2.9mm阻燃夹板
3.30*30阻燃木龙骨
4.其他详见施工设计图纸</t>
        </is>
      </c>
      <c r="E148" s="24" t="inlineStr">
        <is>
          <t>m2</t>
        </is>
      </c>
      <c r="F148" s="169" t="n">
        <v>18.65</v>
      </c>
      <c r="G148" s="169" t="n">
        <v>18.98</v>
      </c>
      <c r="H148" s="169" t="n">
        <v>18.98</v>
      </c>
      <c r="I148" s="169" t="n"/>
      <c r="J148" s="169">
        <f>G148-F148</f>
        <v/>
      </c>
      <c r="K148" s="169">
        <f>H148-F148</f>
        <v/>
      </c>
      <c r="L148" s="169">
        <f>H148-G148</f>
        <v/>
      </c>
      <c r="M148" s="43">
        <f>J148/F148</f>
        <v/>
      </c>
      <c r="N148" s="24" t="n">
        <v>585.51</v>
      </c>
      <c r="O148" s="24" t="n">
        <v>329.74</v>
      </c>
      <c r="P148" s="43">
        <f>(N148-O148)/O148</f>
        <v/>
      </c>
      <c r="Q148" s="169">
        <f>O148*0.9056*0.85</f>
        <v/>
      </c>
      <c r="R148" s="169">
        <f>O148*1.15</f>
        <v/>
      </c>
      <c r="S148" s="169">
        <f>IF(N148&lt;O148*0.9056*0.85,O148*0.9056*0.85,IF(N148&gt;O148*1.15,O148*1.15,N148))</f>
        <v/>
      </c>
      <c r="T148" s="169" t="n">
        <v>10919.76</v>
      </c>
      <c r="U148" s="169" t="n">
        <v>11046.53</v>
      </c>
      <c r="V148" s="169">
        <f>T148+S148*K148</f>
        <v/>
      </c>
      <c r="W148" s="169">
        <f>U148-T148</f>
        <v/>
      </c>
      <c r="X148" s="169">
        <f>V148-T148</f>
        <v/>
      </c>
      <c r="Y148" s="169">
        <f>V148-U148</f>
        <v/>
      </c>
      <c r="Z148" s="80" t="n"/>
    </row>
    <row r="149" ht="79.5" customHeight="1" s="166">
      <c r="A149" s="150" t="n">
        <v>134</v>
      </c>
      <c r="B149" s="104" t="inlineStr">
        <is>
          <t>011207001004</t>
        </is>
      </c>
      <c r="C149" s="104" t="inlineStr">
        <is>
          <t>墙面装饰板</t>
        </is>
      </c>
      <c r="D149" s="104" t="inlineStr">
        <is>
          <t>1.18mm厚A级防火吸音板
2.15mm阻燃夹板
3.双层50*50阻燃木龙骨底架
4.整体厚度233mm
5.其他详见施工设计图纸</t>
        </is>
      </c>
      <c r="E149" s="24" t="inlineStr">
        <is>
          <t>m2</t>
        </is>
      </c>
      <c r="F149" s="169" t="n">
        <v>132.14</v>
      </c>
      <c r="G149" s="169" t="n">
        <v>132.14</v>
      </c>
      <c r="H149" s="169">
        <f>104.64</f>
        <v/>
      </c>
      <c r="I149" s="169" t="n"/>
      <c r="J149" s="169">
        <f>G149-F149</f>
        <v/>
      </c>
      <c r="K149" s="169">
        <f>H149-F149</f>
        <v/>
      </c>
      <c r="L149" s="169">
        <f>H149-G149</f>
        <v/>
      </c>
      <c r="M149" s="43">
        <f>J149/F149</f>
        <v/>
      </c>
      <c r="N149" s="24" t="n">
        <v>249.83</v>
      </c>
      <c r="O149" s="24" t="n">
        <v>239.51</v>
      </c>
      <c r="P149" s="43">
        <f>(N149-O149)/O149</f>
        <v/>
      </c>
      <c r="Q149" s="169">
        <f>O149*0.9056*0.85</f>
        <v/>
      </c>
      <c r="R149" s="169">
        <f>O149*1.15</f>
        <v/>
      </c>
      <c r="S149" s="169">
        <f>IF(N149&lt;O149*0.9056*0.85,O149*0.9056*0.85,IF(N149&gt;O149*1.15,O149*1.15,N149))</f>
        <v/>
      </c>
      <c r="T149" s="169" t="n">
        <v>33012.54</v>
      </c>
      <c r="U149" s="169" t="n">
        <v>33012.54</v>
      </c>
      <c r="V149" s="169">
        <f>T149+S149*K149</f>
        <v/>
      </c>
      <c r="W149" s="169">
        <f>U149-T149</f>
        <v/>
      </c>
      <c r="X149" s="169">
        <f>V149-T149</f>
        <v/>
      </c>
      <c r="Y149" s="169">
        <f>V149-U149</f>
        <v/>
      </c>
      <c r="Z149" s="80" t="n"/>
    </row>
    <row r="150" ht="105" customHeight="1" s="166">
      <c r="A150" s="150" t="n">
        <v>135</v>
      </c>
      <c r="B150" s="104" t="inlineStr">
        <is>
          <t>011207001005</t>
        </is>
      </c>
      <c r="C150" s="104" t="inlineStr">
        <is>
          <t>墙面装饰板</t>
        </is>
      </c>
      <c r="D150" s="104" t="inlineStr">
        <is>
          <t>1.18mm厚A级防火吸音板
2.15mm阻燃夹板
3.50*50阻燃木龙骨底架
4.50mm厚超细玻璃棉（容重32kg/m3）
5.外包吸声无纺布
6.30mm黑缝（黑色填缝剂）
7.其他详见施工设计图纸</t>
        </is>
      </c>
      <c r="E150" s="24" t="inlineStr">
        <is>
          <t>m2</t>
        </is>
      </c>
      <c r="F150" s="169" t="n">
        <v>252.81</v>
      </c>
      <c r="G150" s="169" t="n">
        <v>252.81</v>
      </c>
      <c r="H150" s="169">
        <f>45.48</f>
        <v/>
      </c>
      <c r="I150" s="169" t="n"/>
      <c r="J150" s="169">
        <f>G150-F150</f>
        <v/>
      </c>
      <c r="K150" s="169">
        <f>H150-F150</f>
        <v/>
      </c>
      <c r="L150" s="169">
        <f>H150-G150</f>
        <v/>
      </c>
      <c r="M150" s="43">
        <f>J150/F150</f>
        <v/>
      </c>
      <c r="N150" s="24" t="n">
        <v>295.33</v>
      </c>
      <c r="O150" s="24" t="n">
        <v>275.9</v>
      </c>
      <c r="P150" s="43">
        <f>(N150-O150)/O150</f>
        <v/>
      </c>
      <c r="Q150" s="169">
        <f>O150*0.9056*0.85</f>
        <v/>
      </c>
      <c r="R150" s="169">
        <f>O150*1.15</f>
        <v/>
      </c>
      <c r="S150" s="169">
        <f>IF(N150&lt;O150*0.9056*0.85,O150*0.9056*0.85,IF(N150&gt;O150*1.15,O150*1.15,N150))</f>
        <v/>
      </c>
      <c r="T150" s="169" t="n">
        <v>74662.38</v>
      </c>
      <c r="U150" s="169" t="n">
        <v>74662.38</v>
      </c>
      <c r="V150" s="169">
        <f>T150+S150*K150</f>
        <v/>
      </c>
      <c r="W150" s="169">
        <f>U150-T150</f>
        <v/>
      </c>
      <c r="X150" s="169">
        <f>V150-T150</f>
        <v/>
      </c>
      <c r="Y150" s="169">
        <f>V150-U150</f>
        <v/>
      </c>
      <c r="Z150" s="80" t="n"/>
    </row>
    <row r="151" ht="117.75" customHeight="1" s="166">
      <c r="A151" s="150" t="n">
        <v>136</v>
      </c>
      <c r="B151" s="104" t="inlineStr">
        <is>
          <t>011207001011</t>
        </is>
      </c>
      <c r="C151" s="104" t="inlineStr">
        <is>
          <t>墙面装饰板</t>
        </is>
      </c>
      <c r="D151" s="104" t="inlineStr">
        <is>
          <t>1.18mm厚A级防火吸音板（条形木纹）
2.15mm阻燃夹板
3.50*50阻燃木龙骨底架
4.50mm厚超细玻璃棉（容重32kg/m3）
5.外包吸声无纺布
6.30mm黑缝（黑色填缝剂）
7.其他详见施工设计图纸</t>
        </is>
      </c>
      <c r="E151" s="24" t="inlineStr">
        <is>
          <t>m2</t>
        </is>
      </c>
      <c r="F151" s="169" t="n">
        <v>52</v>
      </c>
      <c r="G151" s="169" t="n">
        <v>52.75</v>
      </c>
      <c r="H151" s="169">
        <f>52.41</f>
        <v/>
      </c>
      <c r="I151" s="169" t="n"/>
      <c r="J151" s="169">
        <f>G151-F151</f>
        <v/>
      </c>
      <c r="K151" s="169">
        <f>H151-F151</f>
        <v/>
      </c>
      <c r="L151" s="169">
        <f>H151-G151</f>
        <v/>
      </c>
      <c r="M151" s="43">
        <f>J151/F151</f>
        <v/>
      </c>
      <c r="N151" s="24" t="n">
        <v>295.33</v>
      </c>
      <c r="O151" s="24" t="n">
        <v>272.31</v>
      </c>
      <c r="P151" s="43">
        <f>(N151-O151)/O151</f>
        <v/>
      </c>
      <c r="Q151" s="169">
        <f>O151*0.9056*0.85</f>
        <v/>
      </c>
      <c r="R151" s="169">
        <f>O151*1.15</f>
        <v/>
      </c>
      <c r="S151" s="169">
        <f>IF(N151&lt;O151*0.9056*0.85,O151*0.9056*0.85,IF(N151&gt;O151*1.15,O151*1.15,N151))</f>
        <v/>
      </c>
      <c r="T151" s="169" t="n">
        <v>15357.16</v>
      </c>
      <c r="U151" s="169" t="n">
        <v>15579.72</v>
      </c>
      <c r="V151" s="169">
        <f>T151+S151*K151</f>
        <v/>
      </c>
      <c r="W151" s="169">
        <f>U151-T151</f>
        <v/>
      </c>
      <c r="X151" s="169">
        <f>V151-T151</f>
        <v/>
      </c>
      <c r="Y151" s="169">
        <f>V151-U151</f>
        <v/>
      </c>
      <c r="Z151" s="80" t="n"/>
    </row>
    <row r="152" ht="117.75" customHeight="1" s="166">
      <c r="A152" s="150" t="n">
        <v>137</v>
      </c>
      <c r="B152" s="104" t="inlineStr">
        <is>
          <t>011207001006</t>
        </is>
      </c>
      <c r="C152" s="104" t="inlineStr">
        <is>
          <t>墙面装饰板</t>
        </is>
      </c>
      <c r="D152" s="104" t="inlineStr">
        <is>
          <t>1.18mm厚A级防火吸音板
2.15mm阻燃夹板
3.50*50*4mm+60*60*3mm镀锌钢管龙骨
4.35mm厚超细玻璃棉（容重32kg/m3）
5.外包吸声无纺布
6.30mm黑缝（黑色填缝剂）
7.其他详见施工设计图纸</t>
        </is>
      </c>
      <c r="E152" s="24" t="inlineStr">
        <is>
          <t>m2</t>
        </is>
      </c>
      <c r="F152" s="169" t="n">
        <v>216.53</v>
      </c>
      <c r="G152" s="169" t="n">
        <v>462.7</v>
      </c>
      <c r="H152" s="169">
        <f>462.7</f>
        <v/>
      </c>
      <c r="I152" s="169" t="n"/>
      <c r="J152" s="169">
        <f>G152-F152</f>
        <v/>
      </c>
      <c r="K152" s="169">
        <f>H152-F152</f>
        <v/>
      </c>
      <c r="L152" s="169">
        <f>H152-G152</f>
        <v/>
      </c>
      <c r="M152" s="43">
        <f>J152/F152</f>
        <v/>
      </c>
      <c r="N152" s="24" t="n">
        <v>283.46</v>
      </c>
      <c r="O152" s="24" t="n">
        <v>510.23</v>
      </c>
      <c r="P152" s="43">
        <f>(N152-O152)/O152</f>
        <v/>
      </c>
      <c r="Q152" s="169">
        <f>O152*0.9056*0.85</f>
        <v/>
      </c>
      <c r="R152" s="169">
        <f>O152*1.15</f>
        <v/>
      </c>
      <c r="S152" s="169">
        <f>IF(N152&lt;O152*0.9056*0.85,O152*0.9056*0.85,IF(N152&gt;O152*1.15,O152*1.15,N152))</f>
        <v/>
      </c>
      <c r="T152" s="169" t="n">
        <v>61377.59</v>
      </c>
      <c r="U152" s="169" t="n">
        <v>158063.22</v>
      </c>
      <c r="V152" s="169">
        <f>T152+S152*K152</f>
        <v/>
      </c>
      <c r="W152" s="169">
        <f>U152-T152</f>
        <v/>
      </c>
      <c r="X152" s="169">
        <f>V152-T152</f>
        <v/>
      </c>
      <c r="Y152" s="169">
        <f>V152-U152</f>
        <v/>
      </c>
      <c r="Z152" s="80" t="n"/>
    </row>
    <row r="153" ht="105" customHeight="1" s="166">
      <c r="A153" s="150" t="n">
        <v>138</v>
      </c>
      <c r="B153" s="104" t="inlineStr">
        <is>
          <t>011207001007</t>
        </is>
      </c>
      <c r="C153" s="104" t="inlineStr">
        <is>
          <t>墙面装饰板</t>
        </is>
      </c>
      <c r="D153" s="104" t="inlineStr">
        <is>
          <t>1.2.5mm厚氟碳冲孔铝单板
2.40*40*3mm镀锌方钢管+L40*3角钢骨架
3.50mm厚超细玻璃棉（容重32kg/m3）
4.外包吸声无纺布
5.侧边5mm木纹免漆板
6.其他详见施工设计图纸</t>
        </is>
      </c>
      <c r="E153" s="24" t="inlineStr">
        <is>
          <t>m2</t>
        </is>
      </c>
      <c r="F153" s="169" t="n">
        <v>48.48</v>
      </c>
      <c r="G153" s="169" t="n">
        <v>52.41</v>
      </c>
      <c r="H153" s="169" t="n">
        <v>52.41</v>
      </c>
      <c r="I153" s="169" t="n"/>
      <c r="J153" s="169">
        <f>G153-F153</f>
        <v/>
      </c>
      <c r="K153" s="169">
        <f>H153-F153</f>
        <v/>
      </c>
      <c r="L153" s="169">
        <f>H153-G153</f>
        <v/>
      </c>
      <c r="M153" s="43">
        <f>J153/F153</f>
        <v/>
      </c>
      <c r="N153" s="24" t="n">
        <v>696.1900000000001</v>
      </c>
      <c r="O153" s="24" t="n">
        <v>632.95</v>
      </c>
      <c r="P153" s="43">
        <f>(N153-O153)/O153</f>
        <v/>
      </c>
      <c r="Q153" s="169">
        <f>O153*0.9056*0.85</f>
        <v/>
      </c>
      <c r="R153" s="169">
        <f>O153*1.15</f>
        <v/>
      </c>
      <c r="S153" s="169">
        <f>IF(N153&lt;O153*0.9056*0.85,O153*0.9056*0.85,IF(N153&gt;O153*1.15,O153*1.15,N153))</f>
        <v/>
      </c>
      <c r="T153" s="169" t="n">
        <v>33750.25</v>
      </c>
      <c r="U153" s="169" t="n">
        <v>36487.87</v>
      </c>
      <c r="V153" s="169">
        <f>T153+S153*K153</f>
        <v/>
      </c>
      <c r="W153" s="169">
        <f>U153-T153</f>
        <v/>
      </c>
      <c r="X153" s="169">
        <f>V153-T153</f>
        <v/>
      </c>
      <c r="Y153" s="169">
        <f>V153-U153</f>
        <v/>
      </c>
      <c r="Z153" s="80" t="n"/>
    </row>
    <row r="154" ht="143.25" customHeight="1" s="166">
      <c r="A154" s="150" t="n">
        <v>139</v>
      </c>
      <c r="B154" s="104" t="inlineStr">
        <is>
          <t>011207001008</t>
        </is>
      </c>
      <c r="C154" s="104" t="inlineStr">
        <is>
          <t>墙面装饰板</t>
        </is>
      </c>
      <c r="D154" s="104" t="inlineStr">
        <is>
          <t>1.2.5mm厚氟碳冲孔铝单板
2.40*40*3mm镀锌角钢+40*100*2镀锌矩形管
3.50mm厚超细玻璃棉（容重32kg/m3）
4.外包吸声无纺布
5.侧边5mm木纹免漆板墙身造型凸出身50mm
6.定制铝合金LED灯槽（含LED灯带）
7.其他详见施工设计图纸</t>
        </is>
      </c>
      <c r="E154" s="24" t="inlineStr">
        <is>
          <t>m2</t>
        </is>
      </c>
      <c r="F154" s="169" t="n">
        <v>83.45</v>
      </c>
      <c r="G154" s="169" t="n">
        <v>103</v>
      </c>
      <c r="H154" s="169" t="n">
        <v>102.89</v>
      </c>
      <c r="I154" s="169" t="n"/>
      <c r="J154" s="169">
        <f>G154-F154</f>
        <v/>
      </c>
      <c r="K154" s="169">
        <f>H154-F154</f>
        <v/>
      </c>
      <c r="L154" s="169">
        <f>H154-G154</f>
        <v/>
      </c>
      <c r="M154" s="43">
        <f>J154/F154</f>
        <v/>
      </c>
      <c r="N154" s="24" t="n">
        <v>823.85</v>
      </c>
      <c r="O154" s="24" t="n">
        <v>632.95</v>
      </c>
      <c r="P154" s="43">
        <f>(N154-O154)/O154</f>
        <v/>
      </c>
      <c r="Q154" s="169">
        <f>O154*0.9056*0.85</f>
        <v/>
      </c>
      <c r="R154" s="169">
        <f>O154*1.15</f>
        <v/>
      </c>
      <c r="S154" s="169">
        <f>IF(N154&lt;O154*0.9056*0.85,O154*0.9056*0.85,IF(N154&gt;O154*1.15,O154*1.15,N154))</f>
        <v/>
      </c>
      <c r="T154" s="169" t="n">
        <v>68750.28</v>
      </c>
      <c r="U154" s="169" t="n">
        <v>82981.16</v>
      </c>
      <c r="V154" s="169">
        <f>T154+S154*K154</f>
        <v/>
      </c>
      <c r="W154" s="169">
        <f>U154-T154</f>
        <v/>
      </c>
      <c r="X154" s="169">
        <f>V154-T154</f>
        <v/>
      </c>
      <c r="Y154" s="169">
        <f>V154-U154</f>
        <v/>
      </c>
      <c r="Z154" s="80" t="n"/>
    </row>
    <row r="155" ht="92.25" customHeight="1" s="166">
      <c r="A155" s="150" t="n">
        <v>140</v>
      </c>
      <c r="B155" s="104" t="inlineStr">
        <is>
          <t>011207001009</t>
        </is>
      </c>
      <c r="C155" s="104" t="inlineStr">
        <is>
          <t>墙面装饰板</t>
        </is>
      </c>
      <c r="D155" s="104" t="inlineStr">
        <is>
          <t>1.25mm厚灰色吸音软包
2.50*50阻燃木龙骨
3.50mm厚超细玻璃棉（容重32kg/m3）
4.外包吸声无纺布
5.15mm阻燃夹板
6.其他详见施工设计图纸</t>
        </is>
      </c>
      <c r="E155" s="24" t="inlineStr">
        <is>
          <t>m2</t>
        </is>
      </c>
      <c r="F155" s="169" t="n">
        <v>9.19</v>
      </c>
      <c r="G155" s="169" t="n">
        <v>9.31</v>
      </c>
      <c r="H155" s="169">
        <f>9.31</f>
        <v/>
      </c>
      <c r="I155" s="169" t="n"/>
      <c r="J155" s="169">
        <f>G155-F155</f>
        <v/>
      </c>
      <c r="K155" s="169">
        <f>H155-F155</f>
        <v/>
      </c>
      <c r="L155" s="169">
        <f>H155-G155</f>
        <v/>
      </c>
      <c r="M155" s="43">
        <f>J155/F155</f>
        <v/>
      </c>
      <c r="N155" s="24" t="n">
        <v>442.56</v>
      </c>
      <c r="O155" s="24" t="n">
        <v>211.74</v>
      </c>
      <c r="P155" s="43">
        <f>(N155-O155)/O155</f>
        <v/>
      </c>
      <c r="Q155" s="169">
        <f>O155*0.9056*0.85</f>
        <v/>
      </c>
      <c r="R155" s="169">
        <f>O155*1.15</f>
        <v/>
      </c>
      <c r="S155" s="169">
        <f>IF(N155&lt;O155*0.9056*0.85,O155*0.9056*0.85,IF(N155&gt;O155*1.15,O155*1.15,N155))</f>
        <v/>
      </c>
      <c r="T155" s="169" t="n">
        <v>4065.09</v>
      </c>
      <c r="U155" s="169" t="n">
        <v>4095.77</v>
      </c>
      <c r="V155" s="169">
        <f>T155+S155*K155</f>
        <v/>
      </c>
      <c r="W155" s="169">
        <f>U155-T155</f>
        <v/>
      </c>
      <c r="X155" s="169">
        <f>V155-T155</f>
        <v/>
      </c>
      <c r="Y155" s="169">
        <f>V155-U155</f>
        <v/>
      </c>
      <c r="Z155" s="80" t="n"/>
    </row>
    <row r="156" ht="79.5" customHeight="1" s="166">
      <c r="A156" s="150" t="n">
        <v>141</v>
      </c>
      <c r="B156" s="104" t="inlineStr">
        <is>
          <t>011207001010</t>
        </is>
      </c>
      <c r="C156" s="104" t="inlineStr">
        <is>
          <t>墙面装饰板</t>
        </is>
      </c>
      <c r="D156" s="104" t="inlineStr">
        <is>
          <t>1.采光窗装饰墙面
2.22*22*1.0不锈钢方形管龙骨
3.8mm硅钙板
4.无机装修涂料
5.其他详见施工设计图</t>
        </is>
      </c>
      <c r="E156" s="24" t="inlineStr">
        <is>
          <t>m2</t>
        </is>
      </c>
      <c r="F156" s="169" t="n">
        <v>42.33</v>
      </c>
      <c r="G156" s="169" t="n">
        <v>137.8</v>
      </c>
      <c r="H156" s="169">
        <f>137.8</f>
        <v/>
      </c>
      <c r="I156" s="169" t="n"/>
      <c r="J156" s="169">
        <f>G156-F156</f>
        <v/>
      </c>
      <c r="K156" s="169">
        <f>H156-F156</f>
        <v/>
      </c>
      <c r="L156" s="169">
        <f>H156-G156</f>
        <v/>
      </c>
      <c r="M156" s="43">
        <f>J156/F156</f>
        <v/>
      </c>
      <c r="N156" s="24" t="n">
        <v>423.33</v>
      </c>
      <c r="O156" s="24" t="n">
        <v>160.16</v>
      </c>
      <c r="P156" s="43">
        <f>(N156-O156)/O156</f>
        <v/>
      </c>
      <c r="Q156" s="169">
        <f>O156*0.9056*0.85</f>
        <v/>
      </c>
      <c r="R156" s="169">
        <f>O156*1.15</f>
        <v/>
      </c>
      <c r="S156" s="169">
        <f>IF(N156&lt;O156*0.9056*0.85,O156*0.9056*0.85,IF(N156&gt;O156*1.15,O156*1.15,N156))</f>
        <v/>
      </c>
      <c r="T156" s="169" t="n">
        <v>17920.83</v>
      </c>
      <c r="U156" s="169" t="n">
        <v>35504.91</v>
      </c>
      <c r="V156" s="169">
        <f>T156+S156*K156</f>
        <v/>
      </c>
      <c r="W156" s="169">
        <f>U156-T156</f>
        <v/>
      </c>
      <c r="X156" s="169">
        <f>V156-T156</f>
        <v/>
      </c>
      <c r="Y156" s="169">
        <f>V156-U156</f>
        <v/>
      </c>
      <c r="Z156" s="80" t="n"/>
    </row>
    <row r="157" ht="41.25" customHeight="1" s="166">
      <c r="A157" s="150" t="n">
        <v>142</v>
      </c>
      <c r="B157" s="104" t="inlineStr">
        <is>
          <t>010809004001</t>
        </is>
      </c>
      <c r="C157" s="104" t="inlineStr">
        <is>
          <t>石材窗台板</t>
        </is>
      </c>
      <c r="D157" s="104" t="inlineStr">
        <is>
          <t>1.15mm深褐色人造石
2.位置：售卖窗窗台
3.其他详见施工设计图</t>
        </is>
      </c>
      <c r="E157" s="24" t="inlineStr">
        <is>
          <t>m2</t>
        </is>
      </c>
      <c r="F157" s="169" t="n">
        <v>25.43</v>
      </c>
      <c r="G157" s="169" t="n">
        <v>29.82</v>
      </c>
      <c r="H157" s="169">
        <f>29.82</f>
        <v/>
      </c>
      <c r="I157" s="169" t="n"/>
      <c r="J157" s="169">
        <f>G157-F157</f>
        <v/>
      </c>
      <c r="K157" s="169">
        <f>H157-F157</f>
        <v/>
      </c>
      <c r="L157" s="169">
        <f>H157-G157</f>
        <v/>
      </c>
      <c r="M157" s="43">
        <f>J157/F157</f>
        <v/>
      </c>
      <c r="N157" s="24" t="n">
        <v>430.56</v>
      </c>
      <c r="O157" s="24" t="n">
        <v>300.56</v>
      </c>
      <c r="P157" s="43">
        <f>(N157-O157)/O157</f>
        <v/>
      </c>
      <c r="Q157" s="169">
        <f>O157*0.9056*0.85</f>
        <v/>
      </c>
      <c r="R157" s="169">
        <f>O157*1.15</f>
        <v/>
      </c>
      <c r="S157" s="169">
        <f>IF(N157&lt;O157*0.9056*0.85,O157*0.9056*0.85,IF(N157&gt;O157*1.15,O157*1.15,N157))</f>
        <v/>
      </c>
      <c r="T157" s="169" t="n">
        <v>10949.14</v>
      </c>
      <c r="U157" s="169" t="n">
        <v>12466.24</v>
      </c>
      <c r="V157" s="169" t="n">
        <v>12466.24</v>
      </c>
      <c r="W157" s="169">
        <f>U157-T157</f>
        <v/>
      </c>
      <c r="X157" s="169">
        <f>V157-T157</f>
        <v/>
      </c>
      <c r="Y157" s="169">
        <f>V157-U157</f>
        <v/>
      </c>
      <c r="Z157" s="80" t="n"/>
    </row>
    <row r="158" ht="66.75" customHeight="1" s="166">
      <c r="A158" s="150" t="n">
        <v>143</v>
      </c>
      <c r="B158" s="104" t="inlineStr">
        <is>
          <t>011502002001</t>
        </is>
      </c>
      <c r="C158" s="104" t="inlineStr">
        <is>
          <t>墙面装饰线</t>
        </is>
      </c>
      <c r="D158" s="104" t="inlineStr">
        <is>
          <t>1.阶梯教室墙面装饰线
2.20*20阻燃木龙骨底架
3.8mm硅钙板
4.无机装修涂料
5.其他详见施工设计图</t>
        </is>
      </c>
      <c r="E158" s="24" t="inlineStr">
        <is>
          <t>m</t>
        </is>
      </c>
      <c r="F158" s="169" t="n">
        <v>56.07</v>
      </c>
      <c r="G158" s="169" t="n">
        <v>336.58</v>
      </c>
      <c r="H158" s="169">
        <f>55.73+280.84</f>
        <v/>
      </c>
      <c r="I158" s="169" t="n"/>
      <c r="J158" s="169">
        <f>G158-F158</f>
        <v/>
      </c>
      <c r="K158" s="169">
        <f>H158-F158</f>
        <v/>
      </c>
      <c r="L158" s="169">
        <f>H158-G158</f>
        <v/>
      </c>
      <c r="M158" s="43">
        <f>J158/F158</f>
        <v/>
      </c>
      <c r="N158" s="24" t="n">
        <v>103.69</v>
      </c>
      <c r="O158" s="24" t="n">
        <v>30.94</v>
      </c>
      <c r="P158" s="43">
        <f>(N158-O158)/O158</f>
        <v/>
      </c>
      <c r="Q158" s="169">
        <f>O158*0.9056*0.85</f>
        <v/>
      </c>
      <c r="R158" s="169">
        <f>O158*1.15</f>
        <v/>
      </c>
      <c r="S158" s="169">
        <f>IF(N158&lt;O158*0.9056*0.85,O158*0.9056*0.85,IF(N158&gt;O158*1.15,O158*1.15,N158))</f>
        <v/>
      </c>
      <c r="T158" s="169" t="n">
        <v>5813.9</v>
      </c>
      <c r="U158" s="169" t="n">
        <v>15794.6</v>
      </c>
      <c r="V158" s="169">
        <f>T158+S158*K158</f>
        <v/>
      </c>
      <c r="W158" s="169">
        <f>U158-T158</f>
        <v/>
      </c>
      <c r="X158" s="169">
        <f>V158-T158</f>
        <v/>
      </c>
      <c r="Y158" s="169">
        <f>V158-U158</f>
        <v/>
      </c>
      <c r="Z158" s="80" t="n"/>
    </row>
    <row r="159" ht="143.25" customHeight="1" s="166">
      <c r="A159" s="150" t="n">
        <v>144</v>
      </c>
      <c r="B159" s="104" t="inlineStr">
        <is>
          <t>011210001001</t>
        </is>
      </c>
      <c r="C159" s="104" t="inlineStr">
        <is>
          <t>轻钢龙骨隔墙</t>
        </is>
      </c>
      <c r="D159" s="104" t="inlineStr">
        <is>
          <t>1.教师餐厅售卖隔墙（不含售卖窗）
2.轻钢龙骨+30*30阻燃木龙骨
3.8mm硅钙板
4.双层5mm阻燃夹板造型
5.1.0mm304原色磨砂不锈钢
6.40*40*4.0mm镀锌角铁钢桁架过梁
7.刮塑油白色无机装修涂料
8.其他详见施工设计图</t>
        </is>
      </c>
      <c r="E159" s="24" t="inlineStr">
        <is>
          <t>m2</t>
        </is>
      </c>
      <c r="F159" s="169" t="n">
        <v>80.95</v>
      </c>
      <c r="G159" s="169" t="n">
        <v>89.22</v>
      </c>
      <c r="H159" s="169">
        <f>89.22</f>
        <v/>
      </c>
      <c r="I159" s="169" t="n"/>
      <c r="J159" s="169">
        <f>G159-F159</f>
        <v/>
      </c>
      <c r="K159" s="169">
        <f>H159-F159</f>
        <v/>
      </c>
      <c r="L159" s="169">
        <f>H159-G159</f>
        <v/>
      </c>
      <c r="M159" s="43">
        <f>J159/F159</f>
        <v/>
      </c>
      <c r="N159" s="24" t="n">
        <v>730.8099999999999</v>
      </c>
      <c r="O159" s="24" t="n">
        <v>456.55</v>
      </c>
      <c r="P159" s="43">
        <f>(N159-O159)/O159</f>
        <v/>
      </c>
      <c r="Q159" s="169">
        <f>O159*0.9056*0.85</f>
        <v/>
      </c>
      <c r="R159" s="169">
        <f>O159*1.15</f>
        <v/>
      </c>
      <c r="S159" s="169">
        <f>IF(N159&lt;O159*0.9056*0.85,O159*0.9056*0.85,IF(N159&gt;O159*1.15,O159*1.15,N159))</f>
        <v/>
      </c>
      <c r="T159" s="169" t="n">
        <v>59155.42</v>
      </c>
      <c r="U159" s="169" t="n">
        <v>63497.8</v>
      </c>
      <c r="V159" s="169">
        <f>T159+S159*K159</f>
        <v/>
      </c>
      <c r="W159" s="169">
        <f>U159-T159</f>
        <v/>
      </c>
      <c r="X159" s="169">
        <f>V159-T159</f>
        <v/>
      </c>
      <c r="Y159" s="169">
        <f>V159-U159</f>
        <v/>
      </c>
      <c r="Z159" s="80" t="n"/>
    </row>
    <row r="160" ht="41.25" customHeight="1" s="166">
      <c r="A160" s="150" t="n">
        <v>145</v>
      </c>
      <c r="B160" s="104" t="inlineStr">
        <is>
          <t>011507003001</t>
        </is>
      </c>
      <c r="C160" s="104" t="inlineStr">
        <is>
          <t>灯箱</t>
        </is>
      </c>
      <c r="D160" s="104" t="inlineStr">
        <is>
          <t>1.广告牌灯箱
2.位置：售卖窗
3.其他详见施工设计图</t>
        </is>
      </c>
      <c r="E160" s="24" t="inlineStr">
        <is>
          <t>m2</t>
        </is>
      </c>
      <c r="F160" s="169" t="n">
        <v>17.63</v>
      </c>
      <c r="G160" s="169" t="n">
        <v>20.27</v>
      </c>
      <c r="H160" s="169">
        <f>20.27</f>
        <v/>
      </c>
      <c r="I160" s="169" t="n"/>
      <c r="J160" s="169">
        <f>G160-F160</f>
        <v/>
      </c>
      <c r="K160" s="169">
        <f>H160-F160</f>
        <v/>
      </c>
      <c r="L160" s="169">
        <f>H160-G160</f>
        <v/>
      </c>
      <c r="M160" s="43">
        <f>J160/F160</f>
        <v/>
      </c>
      <c r="N160" s="24" t="n">
        <v>699.5700000000001</v>
      </c>
      <c r="O160" s="24" t="n">
        <v>258.08</v>
      </c>
      <c r="P160" s="43">
        <f>(N160-O160)/O160</f>
        <v/>
      </c>
      <c r="Q160" s="169">
        <f>O160*0.9056*0.85</f>
        <v/>
      </c>
      <c r="R160" s="169">
        <f>O160*1.15</f>
        <v/>
      </c>
      <c r="S160" s="169">
        <f>IF(N160&lt;O160*0.9056*0.85,O160*0.9056*0.85,IF(N160&gt;O160*1.15,O160*1.15,N160))</f>
        <v/>
      </c>
      <c r="T160" s="169" t="n">
        <v>12332.02</v>
      </c>
      <c r="U160" s="169" t="n">
        <v>13116.92</v>
      </c>
      <c r="V160" s="169">
        <f>T160+S160*K160</f>
        <v/>
      </c>
      <c r="W160" s="169">
        <f>U160-T160</f>
        <v/>
      </c>
      <c r="X160" s="169">
        <f>V160-T160</f>
        <v/>
      </c>
      <c r="Y160" s="169">
        <f>V160-U160</f>
        <v/>
      </c>
      <c r="Z160" s="80" t="n"/>
    </row>
    <row r="161" ht="28.5" customFormat="1" customHeight="1" s="1">
      <c r="A161" s="150" t="n"/>
      <c r="B161" s="104" t="n"/>
      <c r="C161" s="104" t="inlineStr">
        <is>
          <t>天棚工程</t>
        </is>
      </c>
      <c r="D161" s="104" t="n"/>
      <c r="E161" s="104" t="n"/>
      <c r="F161" s="169" t="n"/>
      <c r="G161" s="169" t="n"/>
      <c r="H161" s="169" t="n"/>
      <c r="I161" s="169" t="n"/>
      <c r="J161" s="169" t="n"/>
      <c r="K161" s="169" t="n"/>
      <c r="L161" s="169" t="n"/>
      <c r="M161" s="43" t="n"/>
      <c r="N161" s="24" t="n"/>
      <c r="O161" s="24" t="n"/>
      <c r="P161" s="43" t="n"/>
      <c r="Q161" s="169" t="n"/>
      <c r="R161" s="169" t="n"/>
      <c r="S161" s="169" t="n"/>
      <c r="T161" s="169" t="n">
        <v>1110460.07</v>
      </c>
      <c r="U161" s="169" t="n">
        <v>1163442.67</v>
      </c>
      <c r="V161" s="169">
        <f>+SUM(V162:V170)</f>
        <v/>
      </c>
      <c r="W161" s="169">
        <f>U161-T161</f>
        <v/>
      </c>
      <c r="X161" s="169">
        <f>V161-T161</f>
        <v/>
      </c>
      <c r="Y161" s="169">
        <f>V161-U161</f>
        <v/>
      </c>
      <c r="Z161" s="80" t="n"/>
      <c r="AA161" s="71" t="n"/>
    </row>
    <row r="162" ht="28.5" customHeight="1" s="166">
      <c r="A162" s="150" t="n">
        <v>146</v>
      </c>
      <c r="B162" s="104" t="inlineStr">
        <is>
          <t>011407002001</t>
        </is>
      </c>
      <c r="C162" s="104" t="inlineStr">
        <is>
          <t>天棚喷刷涂料（顶1）</t>
        </is>
      </c>
      <c r="D162" s="104" t="inlineStr">
        <is>
          <t>1.加强型腻子找平层5厚
2.无机涂料,三遍成活</t>
        </is>
      </c>
      <c r="E162" s="24" t="inlineStr">
        <is>
          <t>m2</t>
        </is>
      </c>
      <c r="F162" s="169" t="n">
        <v>3212.05</v>
      </c>
      <c r="G162" s="169" t="n">
        <v>3212.05</v>
      </c>
      <c r="H162" s="169">
        <f>82.91+611.77+2145.37+171.38</f>
        <v/>
      </c>
      <c r="I162" s="169" t="n"/>
      <c r="J162" s="169">
        <f>G162-F162</f>
        <v/>
      </c>
      <c r="K162" s="169">
        <f>H162-F162</f>
        <v/>
      </c>
      <c r="L162" s="169">
        <f>H162-G162</f>
        <v/>
      </c>
      <c r="M162" s="43">
        <f>J162/F162</f>
        <v/>
      </c>
      <c r="N162" s="24" t="n">
        <v>39.44</v>
      </c>
      <c r="O162" s="24" t="n">
        <v>48.24</v>
      </c>
      <c r="P162" s="43">
        <f>(N162-O162)/O162</f>
        <v/>
      </c>
      <c r="Q162" s="169">
        <f>O162*0.9056*0.85</f>
        <v/>
      </c>
      <c r="R162" s="169">
        <f>O162*1.15</f>
        <v/>
      </c>
      <c r="S162" s="169">
        <f>IF(N162&lt;O162*0.9056*0.85,O162*0.9056*0.85,IF(N162&gt;O162*1.15,O162*1.15,N162))</f>
        <v/>
      </c>
      <c r="T162" s="169" t="n">
        <v>126683.18</v>
      </c>
      <c r="U162" s="169" t="n">
        <v>126683.18</v>
      </c>
      <c r="V162" s="169">
        <f>T162+S162*K162</f>
        <v/>
      </c>
      <c r="W162" s="169">
        <f>U162-T162</f>
        <v/>
      </c>
      <c r="X162" s="169">
        <f>V162-T162</f>
        <v/>
      </c>
      <c r="Y162" s="169">
        <f>V162-U162</f>
        <v/>
      </c>
      <c r="Z162" s="80" t="inlineStr">
        <is>
          <t>复核车道顶棚是否在地下室计算</t>
        </is>
      </c>
    </row>
    <row r="163" ht="28.5" customHeight="1" s="166">
      <c r="A163" s="150" t="n">
        <v>147</v>
      </c>
      <c r="B163" s="104" t="inlineStr">
        <is>
          <t>011406001006</t>
        </is>
      </c>
      <c r="C163" s="104" t="inlineStr">
        <is>
          <t>抹灰面油漆（顶2）</t>
        </is>
      </c>
      <c r="D163" s="104" t="inlineStr">
        <is>
          <t>1.扫白色灰水二道</t>
        </is>
      </c>
      <c r="E163" s="24" t="inlineStr">
        <is>
          <t>m2</t>
        </is>
      </c>
      <c r="F163" s="169" t="n">
        <v>16.56</v>
      </c>
      <c r="G163" s="169" t="n">
        <v>17.45</v>
      </c>
      <c r="H163" s="169" t="n">
        <v>16.56</v>
      </c>
      <c r="I163" s="169" t="n">
        <v>17.25</v>
      </c>
      <c r="J163" s="169">
        <f>G163-F163</f>
        <v/>
      </c>
      <c r="K163" s="169">
        <f>H163-F163</f>
        <v/>
      </c>
      <c r="L163" s="169">
        <f>H163-G163</f>
        <v/>
      </c>
      <c r="M163" s="43">
        <f>J163/F163</f>
        <v/>
      </c>
      <c r="N163" s="24" t="n">
        <v>19.62</v>
      </c>
      <c r="O163" s="24" t="n">
        <v>17.11</v>
      </c>
      <c r="P163" s="43">
        <f>(N163-O163)/O163</f>
        <v/>
      </c>
      <c r="Q163" s="169">
        <f>O163*0.9056*0.85</f>
        <v/>
      </c>
      <c r="R163" s="169">
        <f>O163*1.15</f>
        <v/>
      </c>
      <c r="S163" s="169">
        <f>IF(N163&lt;O163*0.9056*0.85,O163*0.9056*0.85,IF(N163&gt;O163*1.15,O163*1.15,N163))</f>
        <v/>
      </c>
      <c r="T163" s="169" t="n">
        <v>324.87</v>
      </c>
      <c r="U163" s="169" t="n">
        <v>342.27</v>
      </c>
      <c r="V163" s="169">
        <f>T163+S163*K163</f>
        <v/>
      </c>
      <c r="W163" s="169">
        <f>U163-T163</f>
        <v/>
      </c>
      <c r="X163" s="169">
        <f>V163-T163</f>
        <v/>
      </c>
      <c r="Y163" s="169">
        <f>V163-U163</f>
        <v/>
      </c>
      <c r="Z163" s="80" t="inlineStr">
        <is>
          <t>变更16修改做法，在变更扣减</t>
        </is>
      </c>
    </row>
    <row r="164" ht="41.25" customHeight="1" s="166">
      <c r="A164" s="150" t="n">
        <v>148</v>
      </c>
      <c r="B164" s="104" t="inlineStr">
        <is>
          <t>011302001001</t>
        </is>
      </c>
      <c r="C164" s="104" t="inlineStr">
        <is>
          <t>吊顶天棚（室外）</t>
        </is>
      </c>
      <c r="D164" s="104" t="inlineStr">
        <is>
          <t>1.2.5mm铝单板吊顶
2.L50*5角钢@1200
3.做法详见图纸</t>
        </is>
      </c>
      <c r="E164" s="24" t="inlineStr">
        <is>
          <t>m2</t>
        </is>
      </c>
      <c r="F164" s="169" t="n">
        <v>631.61</v>
      </c>
      <c r="G164" s="169" t="n">
        <v>631.61</v>
      </c>
      <c r="H164" s="169">
        <f>545.95</f>
        <v/>
      </c>
      <c r="I164" s="169">
        <f>363.825+153*2</f>
        <v/>
      </c>
      <c r="J164" s="169">
        <f>G164-F164</f>
        <v/>
      </c>
      <c r="K164" s="169">
        <f>H164-F164</f>
        <v/>
      </c>
      <c r="L164" s="169">
        <f>H164-G164</f>
        <v/>
      </c>
      <c r="M164" s="43">
        <f>J164/F164</f>
        <v/>
      </c>
      <c r="N164" s="24" t="n">
        <v>665.34</v>
      </c>
      <c r="O164" s="24" t="n">
        <v>645.25</v>
      </c>
      <c r="P164" s="43">
        <f>(N164-O164)/O164</f>
        <v/>
      </c>
      <c r="Q164" s="169">
        <f>O164*0.9056*0.85</f>
        <v/>
      </c>
      <c r="R164" s="169">
        <f>O164*1.15</f>
        <v/>
      </c>
      <c r="S164" s="169">
        <f>IF(N164&lt;O164*0.9056*0.85,O164*0.9056*0.85,IF(N164&gt;O164*1.15,O164*1.15,N164))</f>
        <v/>
      </c>
      <c r="T164" s="169" t="n">
        <v>420235.4</v>
      </c>
      <c r="U164" s="169" t="n">
        <v>420235.4</v>
      </c>
      <c r="V164" s="169">
        <f>T164+S164*K164</f>
        <v/>
      </c>
      <c r="W164" s="169">
        <f>U164-T164</f>
        <v/>
      </c>
      <c r="X164" s="169">
        <f>V164-T164</f>
        <v/>
      </c>
      <c r="Y164" s="169">
        <f>V164-U164</f>
        <v/>
      </c>
      <c r="Z164" s="80" t="inlineStr">
        <is>
          <t>此处还需再核对</t>
        </is>
      </c>
      <c r="AA164" s="161" t="inlineStr">
        <is>
          <t>此处详怡海小学
铝合金门窗深化图</t>
        </is>
      </c>
      <c r="AE164" s="1" t="inlineStr">
        <is>
          <t>补变更手续</t>
        </is>
      </c>
    </row>
    <row r="165" ht="28.5" customHeight="1" s="166">
      <c r="A165" s="150" t="n">
        <v>149</v>
      </c>
      <c r="B165" s="104" t="inlineStr">
        <is>
          <t>011406001007</t>
        </is>
      </c>
      <c r="C165" s="104" t="inlineStr">
        <is>
          <t>抹灰面油漆（顶5）</t>
        </is>
      </c>
      <c r="D165" s="104" t="inlineStr">
        <is>
          <t>1.耐水防霉白色腻子两遍</t>
        </is>
      </c>
      <c r="E165" s="24" t="inlineStr">
        <is>
          <t>m2</t>
        </is>
      </c>
      <c r="F165" s="169" t="n">
        <v>1449.08</v>
      </c>
      <c r="G165" s="169" t="n">
        <v>1624.99</v>
      </c>
      <c r="H165" s="169">
        <f>1623.18</f>
        <v/>
      </c>
      <c r="I165" s="169" t="n"/>
      <c r="J165" s="169">
        <f>G165-F165</f>
        <v/>
      </c>
      <c r="K165" s="169">
        <f>H165-F165</f>
        <v/>
      </c>
      <c r="L165" s="169">
        <f>H165-G165</f>
        <v/>
      </c>
      <c r="M165" s="43">
        <f>J165/F165</f>
        <v/>
      </c>
      <c r="N165" s="24" t="n">
        <v>19.62</v>
      </c>
      <c r="O165" s="24" t="n">
        <v>21.48</v>
      </c>
      <c r="P165" s="43">
        <f>(N165-O165)/O165</f>
        <v/>
      </c>
      <c r="Q165" s="169">
        <f>O165*0.9056*0.85</f>
        <v/>
      </c>
      <c r="R165" s="169">
        <f>O165*1.15</f>
        <v/>
      </c>
      <c r="S165" s="169">
        <f>IF(N165&lt;O165*0.9056*0.85,O165*0.9056*0.85,IF(N165&gt;O165*1.15,O165*1.15,N165))</f>
        <v/>
      </c>
      <c r="T165" s="169" t="n">
        <v>28430.92</v>
      </c>
      <c r="U165" s="169" t="n">
        <v>31882.38</v>
      </c>
      <c r="V165" s="169">
        <f>T165+S165*K165</f>
        <v/>
      </c>
      <c r="W165" s="169">
        <f>U165-T165</f>
        <v/>
      </c>
      <c r="X165" s="169">
        <f>V165-T165</f>
        <v/>
      </c>
      <c r="Y165" s="169">
        <f>V165-U165</f>
        <v/>
      </c>
      <c r="Z165" s="80" t="n"/>
    </row>
    <row r="166" ht="105" customHeight="1" s="166">
      <c r="A166" s="150" t="n">
        <v>150</v>
      </c>
      <c r="B166" s="104" t="inlineStr">
        <is>
          <t>011302001002</t>
        </is>
      </c>
      <c r="C166" s="104" t="inlineStr">
        <is>
          <t>吊顶天棚</t>
        </is>
      </c>
      <c r="D166" s="104" t="inlineStr">
        <is>
          <t>1.3mm厚穿孔铝板吊顶
2.龙骨：40*40*2mm厚不锈钢方管底架，金属吊杆
3.50厚超细玻璃棉（容重24kg/m3）
4.不燃黑色无妨布包裹800*800
5.其他详见施工设计图</t>
        </is>
      </c>
      <c r="E166" s="24" t="inlineStr">
        <is>
          <t>m2</t>
        </is>
      </c>
      <c r="F166" s="169" t="n">
        <v>485.21</v>
      </c>
      <c r="G166" s="169" t="n">
        <v>485.43</v>
      </c>
      <c r="H166" s="169">
        <f>485.24</f>
        <v/>
      </c>
      <c r="I166" s="169" t="n"/>
      <c r="J166" s="169">
        <f>G166-F166</f>
        <v/>
      </c>
      <c r="K166" s="169">
        <f>H166-F166</f>
        <v/>
      </c>
      <c r="L166" s="169">
        <f>H166-G166</f>
        <v/>
      </c>
      <c r="M166" s="43">
        <f>J166/F166</f>
        <v/>
      </c>
      <c r="N166" s="24" t="n">
        <v>685.63</v>
      </c>
      <c r="O166" s="24" t="n">
        <v>780.55</v>
      </c>
      <c r="P166" s="43">
        <f>(N166-O166)/O166</f>
        <v/>
      </c>
      <c r="Q166" s="169">
        <f>O166*0.9056*0.85</f>
        <v/>
      </c>
      <c r="R166" s="169">
        <f>O166*1.15</f>
        <v/>
      </c>
      <c r="S166" s="169">
        <f>IF(N166&lt;O166*0.9056*0.85,O166*0.9056*0.85,IF(N166&gt;O166*1.15,O166*1.15,N166))</f>
        <v/>
      </c>
      <c r="T166" s="169" t="n">
        <v>332674.53</v>
      </c>
      <c r="U166" s="169" t="n">
        <v>332824.75</v>
      </c>
      <c r="V166" s="169">
        <f>T166+S166*K166</f>
        <v/>
      </c>
      <c r="W166" s="169">
        <f>U166-T166</f>
        <v/>
      </c>
      <c r="X166" s="169">
        <f>V166-T166</f>
        <v/>
      </c>
      <c r="Y166" s="169">
        <f>V166-U166</f>
        <v/>
      </c>
      <c r="Z166" s="80" t="n"/>
    </row>
    <row r="167" ht="92.25" customHeight="1" s="166">
      <c r="A167" s="150" t="n">
        <v>151</v>
      </c>
      <c r="B167" s="104" t="inlineStr">
        <is>
          <t>011302001003</t>
        </is>
      </c>
      <c r="C167" s="104" t="inlineStr">
        <is>
          <t>吊顶天棚</t>
        </is>
      </c>
      <c r="D167" s="104" t="inlineStr">
        <is>
          <t>1.装配式U型轻钢天棚龙骨(不上人型)面层规格(mm)600×600跌级
2.9mm胶合板基层
3.8MM厚硅钙板天花面层
4.加强型腻子找平层5厚
5.无机涂料,三遍成活</t>
        </is>
      </c>
      <c r="E167" s="24" t="inlineStr">
        <is>
          <t>m2</t>
        </is>
      </c>
      <c r="F167" s="169" t="n">
        <v>116.4</v>
      </c>
      <c r="G167" s="169" t="n">
        <v>231.88</v>
      </c>
      <c r="H167" s="169">
        <f>217.67</f>
        <v/>
      </c>
      <c r="I167" s="169" t="n"/>
      <c r="J167" s="169">
        <f>G167-F167</f>
        <v/>
      </c>
      <c r="K167" s="169">
        <f>H167-F167</f>
        <v/>
      </c>
      <c r="L167" s="169">
        <f>H167-G167</f>
        <v/>
      </c>
      <c r="M167" s="43">
        <f>J167/F167</f>
        <v/>
      </c>
      <c r="N167" s="24" t="n">
        <v>170.61</v>
      </c>
      <c r="O167" s="24" t="n">
        <v>176.34</v>
      </c>
      <c r="P167" s="43">
        <f>(N167-O167)/O167</f>
        <v/>
      </c>
      <c r="Q167" s="169">
        <f>O167*0.9056*0.85</f>
        <v/>
      </c>
      <c r="R167" s="169">
        <f>O167*1.15</f>
        <v/>
      </c>
      <c r="S167" s="169">
        <f>IF(N167&lt;O167*0.9056*0.85,O167*0.9056*0.85,IF(N167&gt;O167*1.15,O167*1.15,N167))</f>
        <v/>
      </c>
      <c r="T167" s="169" t="n">
        <v>19859.46</v>
      </c>
      <c r="U167" s="169" t="n">
        <v>39561.59</v>
      </c>
      <c r="V167" s="169">
        <f>T167+S167*K167</f>
        <v/>
      </c>
      <c r="W167" s="169">
        <f>U167-T167</f>
        <v/>
      </c>
      <c r="X167" s="169">
        <f>V167-T167</f>
        <v/>
      </c>
      <c r="Y167" s="169">
        <f>V167-U167</f>
        <v/>
      </c>
      <c r="Z167" s="80" t="n"/>
    </row>
    <row r="168" ht="66.75" customHeight="1" s="166">
      <c r="A168" s="150" t="n">
        <v>152</v>
      </c>
      <c r="B168" s="104" t="inlineStr">
        <is>
          <t>011302001004</t>
        </is>
      </c>
      <c r="C168" s="104" t="inlineStr">
        <is>
          <t>吊顶天棚</t>
        </is>
      </c>
      <c r="D168" s="104" t="inlineStr">
        <is>
          <t>1.龙骨材料种类、规格、中距:轻钢龙骨
2.面层材料品种、规格:600*600*0.8mm铝扣板平面方板</t>
        </is>
      </c>
      <c r="E168" s="24" t="inlineStr">
        <is>
          <t>m2</t>
        </is>
      </c>
      <c r="F168" s="169" t="n">
        <v>194.8</v>
      </c>
      <c r="G168" s="169" t="n">
        <v>197.41</v>
      </c>
      <c r="H168" s="169">
        <f>97.33+100.08</f>
        <v/>
      </c>
      <c r="I168" s="169" t="n"/>
      <c r="J168" s="169">
        <f>G168-F168</f>
        <v/>
      </c>
      <c r="K168" s="169">
        <f>H168-F168</f>
        <v/>
      </c>
      <c r="L168" s="169">
        <f>H168-G168</f>
        <v/>
      </c>
      <c r="M168" s="43">
        <f>J168/F168</f>
        <v/>
      </c>
      <c r="N168" s="24" t="n">
        <v>167.7</v>
      </c>
      <c r="O168" s="24" t="n">
        <v>195.42</v>
      </c>
      <c r="P168" s="43">
        <f>(N168-O168)/O168</f>
        <v/>
      </c>
      <c r="Q168" s="169">
        <f>O168*0.9056*0.85</f>
        <v/>
      </c>
      <c r="R168" s="169">
        <f>O168*1.15</f>
        <v/>
      </c>
      <c r="S168" s="169">
        <f>IF(N168&lt;O168*0.9056*0.85,O168*0.9056*0.85,IF(N168&gt;O168*1.15,O168*1.15,N168))</f>
        <v/>
      </c>
      <c r="T168" s="169" t="n">
        <v>32668.71</v>
      </c>
      <c r="U168" s="169" t="n">
        <v>33105.66</v>
      </c>
      <c r="V168" s="169" t="n">
        <v>33105.66</v>
      </c>
      <c r="W168" s="169">
        <f>U168-T168</f>
        <v/>
      </c>
      <c r="X168" s="169">
        <f>V168-T168</f>
        <v/>
      </c>
      <c r="Y168" s="169">
        <f>V168-U168</f>
        <v/>
      </c>
      <c r="Z168" s="80" t="n"/>
    </row>
    <row r="169" ht="41.25" customHeight="1" s="166">
      <c r="A169" s="150" t="n">
        <v>153</v>
      </c>
      <c r="B169" s="104" t="inlineStr">
        <is>
          <t>011302002001</t>
        </is>
      </c>
      <c r="C169" s="104" t="inlineStr">
        <is>
          <t>格栅吊顶</t>
        </is>
      </c>
      <c r="D169" s="104" t="inlineStr">
        <is>
          <t>1.50*100*1.0铝方管格栅天花(木纹转印)
2.做法详见图纸</t>
        </is>
      </c>
      <c r="E169" s="24" t="inlineStr">
        <is>
          <t>m2</t>
        </is>
      </c>
      <c r="F169" s="169" t="n">
        <v>81.70999999999999</v>
      </c>
      <c r="G169" s="169" t="n">
        <v>130.25</v>
      </c>
      <c r="H169" s="169" t="n">
        <v>130.25</v>
      </c>
      <c r="I169" s="169" t="n"/>
      <c r="J169" s="169">
        <f>G169-F169</f>
        <v/>
      </c>
      <c r="K169" s="169">
        <f>H169-F169</f>
        <v/>
      </c>
      <c r="L169" s="169">
        <f>H169-G169</f>
        <v/>
      </c>
      <c r="M169" s="43">
        <f>J169/F169</f>
        <v/>
      </c>
      <c r="N169" s="24" t="n">
        <v>203.6</v>
      </c>
      <c r="O169" s="24" t="n">
        <v>199.66</v>
      </c>
      <c r="P169" s="43">
        <f>(N169-O169)/O169</f>
        <v/>
      </c>
      <c r="Q169" s="169">
        <f>O169*0.9056*0.85</f>
        <v/>
      </c>
      <c r="R169" s="169">
        <f>O169*1.15</f>
        <v/>
      </c>
      <c r="S169" s="169">
        <f>IF(N169&lt;O169*0.9056*0.85,O169*0.9056*0.85,IF(N169&gt;O169*1.15,O169*1.15,N169))</f>
        <v/>
      </c>
      <c r="T169" s="169" t="n">
        <v>16635.85</v>
      </c>
      <c r="U169" s="169" t="n">
        <v>26519.65</v>
      </c>
      <c r="V169" s="169">
        <f>T169+S169*K169</f>
        <v/>
      </c>
      <c r="W169" s="169">
        <f>U169-T169</f>
        <v/>
      </c>
      <c r="X169" s="169">
        <f>V169-T169</f>
        <v/>
      </c>
      <c r="Y169" s="169">
        <f>V169-U169</f>
        <v/>
      </c>
      <c r="Z169" s="80" t="n"/>
    </row>
    <row r="170" ht="92.25" customHeight="1" s="166">
      <c r="A170" s="150" t="n">
        <v>154</v>
      </c>
      <c r="B170" s="104" t="inlineStr">
        <is>
          <t>011302001005</t>
        </is>
      </c>
      <c r="C170" s="104" t="inlineStr">
        <is>
          <t>吊顶天棚</t>
        </is>
      </c>
      <c r="D170" s="104" t="inlineStr">
        <is>
          <t>1.2.5mm厚氟碳冲孔铝单板
2.40*40*3镀锌角钢网架+底架
3.50mm厚超细玻璃棉（容重24KG/M3）
4.不燃黑色无纺布
5.其他详细施工设计图</t>
        </is>
      </c>
      <c r="E170" s="24" t="inlineStr">
        <is>
          <t>m2</t>
        </is>
      </c>
      <c r="F170" s="169" t="n">
        <v>219.24</v>
      </c>
      <c r="G170" s="169" t="n">
        <v>251.13</v>
      </c>
      <c r="H170" s="169" t="n">
        <v>251.13</v>
      </c>
      <c r="I170" s="169" t="n"/>
      <c r="J170" s="169">
        <f>G170-F170</f>
        <v/>
      </c>
      <c r="K170" s="169">
        <f>H170-F170</f>
        <v/>
      </c>
      <c r="L170" s="169">
        <f>H170-G170</f>
        <v/>
      </c>
      <c r="M170" s="43">
        <f>J170/F170</f>
        <v/>
      </c>
      <c r="N170" s="24" t="n">
        <v>606.4</v>
      </c>
      <c r="O170" s="24" t="n">
        <v>699.74</v>
      </c>
      <c r="P170" s="43">
        <f>(N170-O170)/O170</f>
        <v/>
      </c>
      <c r="Q170" s="169">
        <f>O170*0.9056*0.85</f>
        <v/>
      </c>
      <c r="R170" s="169">
        <f>O170*1.15</f>
        <v/>
      </c>
      <c r="S170" s="169">
        <f>IF(N170&lt;O170*0.9056*0.85,O170*0.9056*0.85,IF(N170&gt;O170*1.15,O170*1.15,N170))</f>
        <v/>
      </c>
      <c r="T170" s="169" t="n">
        <v>132947.14</v>
      </c>
      <c r="U170" s="169" t="n">
        <v>152287.78</v>
      </c>
      <c r="V170" s="169">
        <f>T170+S170*K170</f>
        <v/>
      </c>
      <c r="W170" s="169">
        <f>U170-T170</f>
        <v/>
      </c>
      <c r="X170" s="169">
        <f>V170-T170</f>
        <v/>
      </c>
      <c r="Y170" s="169">
        <f>V170-U170</f>
        <v/>
      </c>
      <c r="Z170" s="80" t="n"/>
    </row>
    <row r="171" ht="28.5" customFormat="1" customHeight="1" s="1">
      <c r="A171" s="150" t="n"/>
      <c r="B171" s="104" t="n"/>
      <c r="C171" s="104" t="inlineStr">
        <is>
          <t>其他装饰工程</t>
        </is>
      </c>
      <c r="D171" s="104" t="n"/>
      <c r="E171" s="104" t="n"/>
      <c r="F171" s="169" t="n"/>
      <c r="G171" s="169" t="n"/>
      <c r="H171" s="169" t="n"/>
      <c r="I171" s="169" t="n"/>
      <c r="J171" s="169" t="n"/>
      <c r="K171" s="169" t="n"/>
      <c r="L171" s="169" t="n"/>
      <c r="M171" s="43" t="n"/>
      <c r="N171" s="24" t="n"/>
      <c r="O171" s="24" t="n"/>
      <c r="P171" s="43" t="n"/>
      <c r="Q171" s="169" t="n"/>
      <c r="R171" s="169" t="n"/>
      <c r="S171" s="169" t="n"/>
      <c r="T171" s="169" t="n">
        <v>181690.65</v>
      </c>
      <c r="U171" s="169" t="n">
        <v>214493.81</v>
      </c>
      <c r="V171" s="169">
        <f>+SUM(V172:V189)</f>
        <v/>
      </c>
      <c r="W171" s="169">
        <f>U171-T171</f>
        <v/>
      </c>
      <c r="X171" s="169">
        <f>V171-T171</f>
        <v/>
      </c>
      <c r="Y171" s="169">
        <f>V171-U171</f>
        <v/>
      </c>
      <c r="Z171" s="80" t="n"/>
      <c r="AA171" s="71" t="n"/>
    </row>
    <row r="172" ht="92.25" customHeight="1" s="166">
      <c r="A172" s="150" t="n">
        <v>155</v>
      </c>
      <c r="B172" s="164" t="inlineStr">
        <is>
          <t>010507001001</t>
        </is>
      </c>
      <c r="C172" s="104" t="inlineStr">
        <is>
          <t>室外坡道</t>
        </is>
      </c>
      <c r="D172" s="104" t="inlineStr">
        <is>
          <t>1.室外坡道（13ZJ301-5/19）
2.300mm厚3：7灰土垫层
3.100mm厚C15混凝土
4.25厚1：3干硬性水泥砂浆结合层
5.30mm厚花岗石板</t>
        </is>
      </c>
      <c r="E172" s="24" t="inlineStr">
        <is>
          <t>m2</t>
        </is>
      </c>
      <c r="F172" s="169" t="n">
        <v>62.43</v>
      </c>
      <c r="G172" s="169" t="n">
        <v>52.5</v>
      </c>
      <c r="H172" s="169" t="n">
        <v>52.5</v>
      </c>
      <c r="I172" s="169" t="n"/>
      <c r="J172" s="169">
        <f>G172-F172</f>
        <v/>
      </c>
      <c r="K172" s="169">
        <f>H172-F172</f>
        <v/>
      </c>
      <c r="L172" s="169">
        <f>H172-G172</f>
        <v/>
      </c>
      <c r="M172" s="43">
        <f>J172/F172</f>
        <v/>
      </c>
      <c r="N172" s="24" t="n">
        <v>373.22</v>
      </c>
      <c r="O172" s="24" t="n">
        <v>441.35</v>
      </c>
      <c r="P172" s="43">
        <f>(N172-O172)/O172</f>
        <v/>
      </c>
      <c r="Q172" s="169">
        <f>O172*0.9056*0.85</f>
        <v/>
      </c>
      <c r="R172" s="169">
        <f>O172*1.15</f>
        <v/>
      </c>
      <c r="S172" s="169">
        <f>IF(N172&lt;O172*0.9056*0.85,O172*0.9056*0.85,IF(N172&gt;O172*1.15,O172*1.15,N172))</f>
        <v/>
      </c>
      <c r="T172" s="169" t="n">
        <v>23300.12</v>
      </c>
      <c r="U172" s="169" t="n">
        <v>19592.59</v>
      </c>
      <c r="V172" s="169" t="n">
        <v>19592.59</v>
      </c>
      <c r="W172" s="169">
        <f>U172-T172</f>
        <v/>
      </c>
      <c r="X172" s="169">
        <f>V172-T172</f>
        <v/>
      </c>
      <c r="Y172" s="169">
        <f>V172-U172</f>
        <v/>
      </c>
      <c r="Z172" s="80" t="n"/>
    </row>
    <row r="173" ht="54" customHeight="1" s="166">
      <c r="A173" s="150" t="n">
        <v>156</v>
      </c>
      <c r="B173" s="104" t="inlineStr">
        <is>
          <t>010507003002</t>
        </is>
      </c>
      <c r="C173" s="104" t="inlineStr">
        <is>
          <t>排水沟</t>
        </is>
      </c>
      <c r="D173" s="104" t="inlineStr">
        <is>
          <t>1.排水沟
2.沟深40mm
3.DWM20水泥砂浆
4.其他详见施工图</t>
        </is>
      </c>
      <c r="E173" s="24" t="inlineStr">
        <is>
          <t>m</t>
        </is>
      </c>
      <c r="F173" s="169" t="n">
        <v>179.57</v>
      </c>
      <c r="G173" s="169" t="n">
        <v>276.55</v>
      </c>
      <c r="H173" s="169">
        <f>272.35+4.2</f>
        <v/>
      </c>
      <c r="I173" s="169" t="n"/>
      <c r="J173" s="169">
        <f>G173-F173</f>
        <v/>
      </c>
      <c r="K173" s="169">
        <f>H173-F173</f>
        <v/>
      </c>
      <c r="L173" s="169">
        <f>H173-G173</f>
        <v/>
      </c>
      <c r="M173" s="43">
        <f>J173/F173</f>
        <v/>
      </c>
      <c r="N173" s="24" t="n">
        <v>27.17</v>
      </c>
      <c r="O173" s="24" t="n">
        <v>10.82</v>
      </c>
      <c r="P173" s="43">
        <f>(N173-O173)/O173</f>
        <v/>
      </c>
      <c r="Q173" s="169">
        <f>O173*0.9056*0.85</f>
        <v/>
      </c>
      <c r="R173" s="169">
        <f>O173*1.15</f>
        <v/>
      </c>
      <c r="S173" s="169">
        <f>IF(N173&lt;O173*0.9056*0.85,O173*0.9056*0.85,IF(N173&gt;O173*1.15,O173*1.15,N173))</f>
        <v/>
      </c>
      <c r="T173" s="169" t="n">
        <v>4878.92</v>
      </c>
      <c r="U173" s="169" t="n">
        <v>6085.65</v>
      </c>
      <c r="V173" s="169">
        <f>T173+S173*K173</f>
        <v/>
      </c>
      <c r="W173" s="169">
        <f>U173-T173</f>
        <v/>
      </c>
      <c r="X173" s="169">
        <f>V173-T173</f>
        <v/>
      </c>
      <c r="Y173" s="169">
        <f>V173-U173</f>
        <v/>
      </c>
      <c r="Z173" s="80" t="n"/>
    </row>
    <row r="174" ht="105" customHeight="1" s="166">
      <c r="A174" s="150" t="n">
        <v>157</v>
      </c>
      <c r="B174" s="104" t="inlineStr">
        <is>
          <t>010507003004</t>
        </is>
      </c>
      <c r="C174" s="104" t="inlineStr">
        <is>
          <t>截水沟</t>
        </is>
      </c>
      <c r="D174" s="104" t="inlineStr">
        <is>
          <t>1.截水沟
2.成品雨水格栅
3.底部：细石混凝土找坡层+20厚1：2.5水泥砂浆面层
4.侧边：20厚1：2.5水泥砂浆面层
5.其他详见中南标11ZJ9011/42</t>
        </is>
      </c>
      <c r="E174" s="24" t="inlineStr">
        <is>
          <t>m</t>
        </is>
      </c>
      <c r="F174" s="169" t="n">
        <v>63.9</v>
      </c>
      <c r="G174" s="169" t="n">
        <v>62.83</v>
      </c>
      <c r="H174" s="169">
        <f>55.43+3.9+3.5</f>
        <v/>
      </c>
      <c r="I174" s="169" t="n"/>
      <c r="J174" s="169">
        <f>G174-F174</f>
        <v/>
      </c>
      <c r="K174" s="169">
        <f>H174-F174</f>
        <v/>
      </c>
      <c r="L174" s="169">
        <f>H174-G174</f>
        <v/>
      </c>
      <c r="M174" s="43">
        <f>J174/F174</f>
        <v/>
      </c>
      <c r="N174" s="24" t="n">
        <v>252.01</v>
      </c>
      <c r="O174" s="24" t="n">
        <v>247.5</v>
      </c>
      <c r="P174" s="43">
        <f>(N174-O174)/O174</f>
        <v/>
      </c>
      <c r="Q174" s="169">
        <f>O174*0.9056*0.85</f>
        <v/>
      </c>
      <c r="R174" s="169">
        <f>O174*1.15</f>
        <v/>
      </c>
      <c r="S174" s="169">
        <f>IF(N174&lt;O174*0.9056*0.85,O174*0.9056*0.85,IF(N174&gt;O174*1.15,O174*1.15,N174))</f>
        <v/>
      </c>
      <c r="T174" s="169" t="n">
        <v>16103.44</v>
      </c>
      <c r="U174" s="169" t="n">
        <v>15834.75</v>
      </c>
      <c r="V174" s="169">
        <f>T174+S174*K174</f>
        <v/>
      </c>
      <c r="W174" s="169">
        <f>U174-T174</f>
        <v/>
      </c>
      <c r="X174" s="169">
        <f>V174-T174</f>
        <v/>
      </c>
      <c r="Y174" s="169">
        <f>V174-U174</f>
        <v/>
      </c>
      <c r="Z174" s="80" t="n"/>
    </row>
    <row r="175" ht="92.25" customHeight="1" s="166">
      <c r="A175" s="150" t="n">
        <v>158</v>
      </c>
      <c r="B175" s="104" t="inlineStr">
        <is>
          <t>011503001008</t>
        </is>
      </c>
      <c r="C175" s="104" t="inlineStr">
        <is>
          <t>金属扶手、栏杆、栏板</t>
        </is>
      </c>
      <c r="D175" s="104" t="inlineStr">
        <is>
          <t>1.名称:浅灰色拉丝不锈钢栏杆(H=1200MM)
2.上扶手:Φ60x3.0不锈钢管
3.栏杆:Φ28x1.2不锈钢管
4.含热镀锌预埋件及螺栓
5.做法参照国标15J403-1</t>
        </is>
      </c>
      <c r="E175" s="24" t="inlineStr">
        <is>
          <t>m</t>
        </is>
      </c>
      <c r="F175" s="169" t="n">
        <v>31.73</v>
      </c>
      <c r="G175" s="169" t="n">
        <v>31.8</v>
      </c>
      <c r="H175" s="169" t="n">
        <v>31.8</v>
      </c>
      <c r="I175" s="169" t="n"/>
      <c r="J175" s="169">
        <f>G175-F175</f>
        <v/>
      </c>
      <c r="K175" s="169">
        <f>H175-F175</f>
        <v/>
      </c>
      <c r="L175" s="169">
        <f>H175-G175</f>
        <v/>
      </c>
      <c r="M175" s="43">
        <f>J175/F175</f>
        <v/>
      </c>
      <c r="N175" s="24" t="n">
        <v>508.12</v>
      </c>
      <c r="O175" s="24" t="n">
        <v>816.95</v>
      </c>
      <c r="P175" s="43">
        <f>(N175-O175)/O175</f>
        <v/>
      </c>
      <c r="Q175" s="169">
        <f>O175*0.9056*0.85</f>
        <v/>
      </c>
      <c r="R175" s="169">
        <f>O175*1.15</f>
        <v/>
      </c>
      <c r="S175" s="169">
        <f>IF(N175&lt;O175*0.9056*0.85,O175*0.9056*0.85,IF(N175&gt;O175*1.15,O175*1.15,N175))</f>
        <v/>
      </c>
      <c r="T175" s="169" t="n">
        <v>16122.65</v>
      </c>
      <c r="U175" s="169" t="n">
        <v>16166.42</v>
      </c>
      <c r="V175" s="169" t="n">
        <v>16166.42</v>
      </c>
      <c r="W175" s="169">
        <f>U175-T175</f>
        <v/>
      </c>
      <c r="X175" s="169">
        <f>V175-T175</f>
        <v/>
      </c>
      <c r="Y175" s="169">
        <f>V175-U175</f>
        <v/>
      </c>
      <c r="Z175" s="80" t="n"/>
    </row>
    <row r="176" ht="92.25" customHeight="1" s="166">
      <c r="A176" s="150" t="n">
        <v>159</v>
      </c>
      <c r="B176" s="104" t="inlineStr">
        <is>
          <t>011503001009</t>
        </is>
      </c>
      <c r="C176" s="104" t="inlineStr">
        <is>
          <t>金属扶手、栏杆、栏板</t>
        </is>
      </c>
      <c r="D176" s="104" t="inlineStr">
        <is>
          <t>1.名称:浅灰色拉丝不锈钢栏杆(H=850MM)
2.上扶手:Φ60x3.0不锈钢管
3.栏杆:Φ28x1.2不锈钢管
4.含热镀锌预埋件及螺栓
5.做法参照国标15J403-1</t>
        </is>
      </c>
      <c r="E176" s="24" t="inlineStr">
        <is>
          <t>m</t>
        </is>
      </c>
      <c r="F176" s="169" t="n">
        <v>3.8</v>
      </c>
      <c r="G176" s="169" t="n">
        <v>3.8</v>
      </c>
      <c r="H176" s="169" t="n">
        <v>0</v>
      </c>
      <c r="I176" s="169" t="n"/>
      <c r="J176" s="169">
        <f>G176-F176</f>
        <v/>
      </c>
      <c r="K176" s="169">
        <f>H176-F176</f>
        <v/>
      </c>
      <c r="L176" s="169">
        <f>H176-G176</f>
        <v/>
      </c>
      <c r="M176" s="43">
        <f>J176/F176</f>
        <v/>
      </c>
      <c r="N176" s="24" t="n">
        <v>486.8</v>
      </c>
      <c r="O176" s="24" t="n">
        <v>721.6799999999999</v>
      </c>
      <c r="P176" s="43">
        <f>(N176-O176)/O176</f>
        <v/>
      </c>
      <c r="Q176" s="169">
        <f>O176*0.9056*0.85</f>
        <v/>
      </c>
      <c r="R176" s="169">
        <f>O176*1.15</f>
        <v/>
      </c>
      <c r="S176" s="169">
        <f>IF(N176&lt;O176*0.9056*0.85,O176*0.9056*0.85,IF(N176&gt;O176*1.15,O176*1.15,N176))</f>
        <v/>
      </c>
      <c r="T176" s="169" t="n">
        <v>1849.84</v>
      </c>
      <c r="U176" s="169" t="n">
        <v>1849.84</v>
      </c>
      <c r="V176" s="169">
        <f>T176+S176*K176</f>
        <v/>
      </c>
      <c r="W176" s="169">
        <f>U176-T176</f>
        <v/>
      </c>
      <c r="X176" s="169">
        <f>V176-T176</f>
        <v/>
      </c>
      <c r="Y176" s="169">
        <f>V176-U176</f>
        <v/>
      </c>
      <c r="Z176" s="160" t="n"/>
    </row>
    <row r="177" ht="92.25" customHeight="1" s="166">
      <c r="A177" s="150" t="n">
        <v>160</v>
      </c>
      <c r="B177" s="104" t="inlineStr">
        <is>
          <t>011503001010</t>
        </is>
      </c>
      <c r="C177" s="104" t="inlineStr">
        <is>
          <t>金属扶手、栏杆、栏板</t>
        </is>
      </c>
      <c r="D177" s="104" t="inlineStr">
        <is>
          <t>1.名称:浅灰色拉丝不锈钢栏杆(H=850-550MM)
2.上扶手:Φ60x3.0不锈钢管
3.栏杆:Φ28x1.2不锈钢管
4.含热镀锌预埋件及螺栓
5.做法参照国标15J403-1</t>
        </is>
      </c>
      <c r="E177" s="24" t="inlineStr">
        <is>
          <t>m</t>
        </is>
      </c>
      <c r="F177" s="169" t="n">
        <v>4.2</v>
      </c>
      <c r="G177" s="169" t="n">
        <v>4.2</v>
      </c>
      <c r="H177" s="169" t="n">
        <v>0</v>
      </c>
      <c r="I177" s="169" t="n"/>
      <c r="J177" s="169">
        <f>G177-F177</f>
        <v/>
      </c>
      <c r="K177" s="169">
        <f>H177-F177</f>
        <v/>
      </c>
      <c r="L177" s="169">
        <f>H177-G177</f>
        <v/>
      </c>
      <c r="M177" s="43">
        <f>J177/F177</f>
        <v/>
      </c>
      <c r="N177" s="24" t="n">
        <v>478.8</v>
      </c>
      <c r="O177" s="24" t="n">
        <v>680.89</v>
      </c>
      <c r="P177" s="43">
        <f>(N177-O177)/O177</f>
        <v/>
      </c>
      <c r="Q177" s="169">
        <f>O177*0.9056*0.85</f>
        <v/>
      </c>
      <c r="R177" s="169">
        <f>O177*1.15</f>
        <v/>
      </c>
      <c r="S177" s="169">
        <f>IF(N177&lt;O177*0.9056*0.85,O177*0.9056*0.85,IF(N177&gt;O177*1.15,O177*1.15,N177))</f>
        <v/>
      </c>
      <c r="T177" s="169" t="n">
        <v>2010.96</v>
      </c>
      <c r="U177" s="169" t="n">
        <v>2010.96</v>
      </c>
      <c r="V177" s="169">
        <f>T177+S177*K177</f>
        <v/>
      </c>
      <c r="W177" s="169">
        <f>U177-T177</f>
        <v/>
      </c>
      <c r="X177" s="169">
        <f>V177-T177</f>
        <v/>
      </c>
      <c r="Y177" s="169">
        <f>V177-U177</f>
        <v/>
      </c>
      <c r="Z177" s="160" t="n"/>
    </row>
    <row r="178" ht="92.25" customHeight="1" s="166">
      <c r="A178" s="150" t="n">
        <v>161</v>
      </c>
      <c r="B178" s="104" t="inlineStr">
        <is>
          <t>011503001011</t>
        </is>
      </c>
      <c r="C178" s="104" t="inlineStr">
        <is>
          <t>金属扶手、栏杆、栏板</t>
        </is>
      </c>
      <c r="D178" s="104" t="inlineStr">
        <is>
          <t>1.名称:浅灰色拉丝不锈钢栏杆(H=550MM)
2.上扶手:Φ60x3.0不锈钢管
3.栏杆:Φ28x1.2不锈钢管
4.含热镀锌预埋件及螺栓
5.做法参照国标15J403-1</t>
        </is>
      </c>
      <c r="E178" s="24" t="inlineStr">
        <is>
          <t>m</t>
        </is>
      </c>
      <c r="F178" s="169" t="n">
        <v>16.8</v>
      </c>
      <c r="G178" s="169" t="n">
        <v>28.1</v>
      </c>
      <c r="H178" s="169" t="n">
        <v>28.1</v>
      </c>
      <c r="I178" s="169" t="n"/>
      <c r="J178" s="169">
        <f>G178-F178</f>
        <v/>
      </c>
      <c r="K178" s="169">
        <f>H178-F178</f>
        <v/>
      </c>
      <c r="L178" s="169">
        <f>H178-G178</f>
        <v/>
      </c>
      <c r="M178" s="43">
        <f>J178/F178</f>
        <v/>
      </c>
      <c r="N178" s="24" t="n">
        <v>462.8</v>
      </c>
      <c r="O178" s="24" t="n">
        <v>640.1</v>
      </c>
      <c r="P178" s="43">
        <f>(N178-O178)/O178</f>
        <v/>
      </c>
      <c r="Q178" s="169">
        <f>O178*0.9056*0.85</f>
        <v/>
      </c>
      <c r="R178" s="169">
        <f>O178*1.15</f>
        <v/>
      </c>
      <c r="S178" s="169">
        <f>IF(N178&lt;O178*0.9056*0.85,O178*0.9056*0.85,IF(N178&gt;O178*1.15,O178*1.15,N178))</f>
        <v/>
      </c>
      <c r="T178" s="169" t="n">
        <v>7775.04</v>
      </c>
      <c r="U178" s="169" t="n">
        <v>13342.91</v>
      </c>
      <c r="V178" s="169">
        <f>T178+S178*K178</f>
        <v/>
      </c>
      <c r="W178" s="169">
        <f>U178-T178</f>
        <v/>
      </c>
      <c r="X178" s="169">
        <f>V178-T178</f>
        <v/>
      </c>
      <c r="Y178" s="169">
        <f>V178-U178</f>
        <v/>
      </c>
      <c r="Z178" s="80" t="n"/>
    </row>
    <row r="179" ht="92.25" customHeight="1" s="166">
      <c r="A179" s="150" t="n">
        <v>162</v>
      </c>
      <c r="B179" s="104" t="inlineStr">
        <is>
          <t>011503001006</t>
        </is>
      </c>
      <c r="C179" s="104" t="inlineStr">
        <is>
          <t>金属扶手、栏杆、栏板</t>
        </is>
      </c>
      <c r="D179" s="104" t="inlineStr">
        <is>
          <t>1.名称:不锈钢楼梯栏杆H=1200mm
2.上扶手:Φ60x3.0不锈钢管
3.栏杆:Φ28x1.2不锈钢管
4.含热镀锌预埋件及螺栓
5.做法参照国标15J403-1</t>
        </is>
      </c>
      <c r="E179" s="24" t="inlineStr">
        <is>
          <t>m</t>
        </is>
      </c>
      <c r="F179" s="169" t="n">
        <v>43.05</v>
      </c>
      <c r="G179" s="169" t="n">
        <v>43.05</v>
      </c>
      <c r="H179" s="169">
        <f>(21.44+9.19)/2</f>
        <v/>
      </c>
      <c r="I179" s="169">
        <f>23.56+1.86</f>
        <v/>
      </c>
      <c r="J179" s="169">
        <f>G179-F179</f>
        <v/>
      </c>
      <c r="K179" s="169">
        <f>H179-F179</f>
        <v/>
      </c>
      <c r="L179" s="169">
        <f>H179-G179</f>
        <v/>
      </c>
      <c r="M179" s="43">
        <f>J179/F179</f>
        <v/>
      </c>
      <c r="N179" s="24" t="n">
        <v>508.12</v>
      </c>
      <c r="O179" s="24" t="n">
        <v>816.95</v>
      </c>
      <c r="P179" s="43">
        <f>(N179-O179)/O179</f>
        <v/>
      </c>
      <c r="Q179" s="169">
        <f>O179*0.9056*0.85</f>
        <v/>
      </c>
      <c r="R179" s="169">
        <f>O179*1.15</f>
        <v/>
      </c>
      <c r="S179" s="169">
        <f>IF(N179&lt;O179*0.9056*0.85,O179*0.9056*0.85,IF(N179&gt;O179*1.15,O179*1.15,N179))</f>
        <v/>
      </c>
      <c r="T179" s="169" t="n">
        <v>21874.57</v>
      </c>
      <c r="U179" s="169" t="n">
        <v>21874.57</v>
      </c>
      <c r="V179" s="169">
        <f>T179+S179*K179</f>
        <v/>
      </c>
      <c r="W179" s="169">
        <f>U179-T179</f>
        <v/>
      </c>
      <c r="X179" s="169">
        <f>V179-T179</f>
        <v/>
      </c>
      <c r="Y179" s="169">
        <f>V179-U179</f>
        <v/>
      </c>
      <c r="Z179" s="80" t="n"/>
      <c r="AA179" s="161" t="inlineStr">
        <is>
          <t>1、LT1、LT2楼梯
栏杆模型未布置，漏计
2、阶梯教室侧边步级通道栏杆漏计</t>
        </is>
      </c>
      <c r="AI179" s="162" t="inlineStr">
        <is>
          <t>发函确认</t>
        </is>
      </c>
    </row>
    <row r="180" ht="79.5" customHeight="1" s="166">
      <c r="A180" s="150" t="n">
        <v>163</v>
      </c>
      <c r="B180" s="104" t="inlineStr">
        <is>
          <t>011503001007</t>
        </is>
      </c>
      <c r="C180" s="104" t="inlineStr">
        <is>
          <t>金属扶手、栏杆、栏板</t>
        </is>
      </c>
      <c r="D180" s="104" t="inlineStr">
        <is>
          <t>1.名称:不锈钢护窗栏杆H=1000mm
2.上扶手:Φ60x2.5不锈钢管
3.栏杆:Φ30x2.0不锈钢管
4.含热镀锌预埋件及螺栓</t>
        </is>
      </c>
      <c r="E180" s="24" t="inlineStr">
        <is>
          <t>m</t>
        </is>
      </c>
      <c r="F180" s="169" t="n">
        <v>47.9</v>
      </c>
      <c r="G180" s="169" t="n">
        <v>66.59</v>
      </c>
      <c r="H180" s="169" t="n">
        <v>26.59</v>
      </c>
      <c r="I180" s="169" t="n"/>
      <c r="J180" s="169">
        <f>G180-F180</f>
        <v/>
      </c>
      <c r="K180" s="169">
        <f>H180-F180</f>
        <v/>
      </c>
      <c r="L180" s="169">
        <f>H180-G180</f>
        <v/>
      </c>
      <c r="M180" s="43">
        <f>J180/F180</f>
        <v/>
      </c>
      <c r="N180" s="24" t="n">
        <v>497.52</v>
      </c>
      <c r="O180" s="24" t="n">
        <v>752.1900000000001</v>
      </c>
      <c r="P180" s="43">
        <f>(N180-O180)/O180</f>
        <v/>
      </c>
      <c r="Q180" s="169">
        <f>O180*0.9056*0.85</f>
        <v/>
      </c>
      <c r="R180" s="169">
        <f>O180*1.15</f>
        <v/>
      </c>
      <c r="S180" s="169">
        <f>IF(N180&lt;O180*0.9056*0.85,O180*0.9056*0.85,IF(N180&gt;O180*1.15,O180*1.15,N180))</f>
        <v/>
      </c>
      <c r="T180" s="169" t="n">
        <v>23831.21</v>
      </c>
      <c r="U180" s="169" t="n">
        <v>34650.51</v>
      </c>
      <c r="V180" s="169">
        <f>T180+S180*K180</f>
        <v/>
      </c>
      <c r="W180" s="169">
        <f>U180-T180</f>
        <v/>
      </c>
      <c r="X180" s="169">
        <f>V180-T180</f>
        <v/>
      </c>
      <c r="Y180" s="169">
        <f>V180-U180</f>
        <v/>
      </c>
      <c r="Z180" s="80" t="inlineStr">
        <is>
          <t>送审将此清单与165护窗栏杆工程量互掉了</t>
        </is>
      </c>
    </row>
    <row r="181" ht="41.25" customHeight="1" s="166">
      <c r="A181" s="150" t="n">
        <v>164</v>
      </c>
      <c r="B181" s="104" t="inlineStr">
        <is>
          <t>011503005001</t>
        </is>
      </c>
      <c r="C181" s="104" t="inlineStr">
        <is>
          <t>金属靠墙扶手</t>
        </is>
      </c>
      <c r="D181" s="104" t="inlineStr">
        <is>
          <t>1.卫生间无障碍扶手
2.Φ40x1.5不锈钢管靠墙扶手</t>
        </is>
      </c>
      <c r="E181" s="24" t="inlineStr">
        <is>
          <t>m</t>
        </is>
      </c>
      <c r="F181" s="169" t="n">
        <v>6.7</v>
      </c>
      <c r="G181" s="169" t="n">
        <v>6.7</v>
      </c>
      <c r="H181" s="169" t="n">
        <v>0</v>
      </c>
      <c r="I181" s="169" t="n"/>
      <c r="J181" s="169">
        <f>G181-F181</f>
        <v/>
      </c>
      <c r="K181" s="169">
        <f>H181-F181</f>
        <v/>
      </c>
      <c r="L181" s="169">
        <f>H181-G181</f>
        <v/>
      </c>
      <c r="M181" s="43">
        <f>J181/F181</f>
        <v/>
      </c>
      <c r="N181" s="24" t="n">
        <v>468.51</v>
      </c>
      <c r="O181" s="24" t="n">
        <v>272</v>
      </c>
      <c r="P181" s="43">
        <f>(N181-O181)/O181</f>
        <v/>
      </c>
      <c r="Q181" s="169">
        <f>O181*0.9056*0.85</f>
        <v/>
      </c>
      <c r="R181" s="169">
        <f>O181*1.15</f>
        <v/>
      </c>
      <c r="S181" s="169">
        <f>IF(N181&lt;O181*0.9056*0.85,O181*0.9056*0.85,IF(N181&gt;O181*1.15,O181*1.15,N181))</f>
        <v/>
      </c>
      <c r="T181" s="169" t="n">
        <v>3139.02</v>
      </c>
      <c r="U181" s="169" t="n">
        <v>3139.02</v>
      </c>
      <c r="V181" s="169">
        <f>T181+S181*K181</f>
        <v/>
      </c>
      <c r="W181" s="169">
        <f>U181-T181</f>
        <v/>
      </c>
      <c r="X181" s="169">
        <f>V181-T181</f>
        <v/>
      </c>
      <c r="Y181" s="169">
        <f>V181-U181</f>
        <v/>
      </c>
      <c r="Z181" s="80" t="n"/>
    </row>
    <row r="182" ht="41.25" customHeight="1" s="166">
      <c r="A182" s="150" t="n">
        <v>165</v>
      </c>
      <c r="B182" s="104" t="inlineStr">
        <is>
          <t>011503005002</t>
        </is>
      </c>
      <c r="C182" s="104" t="inlineStr">
        <is>
          <t>金属靠墙扶手</t>
        </is>
      </c>
      <c r="D182" s="104" t="inlineStr">
        <is>
          <t>1.楼梯靠墙扶手
2.Φ60x2不锈钢管靠墙扶手
3.做法参照国标15J403-1</t>
        </is>
      </c>
      <c r="E182" s="24" t="inlineStr">
        <is>
          <t>m</t>
        </is>
      </c>
      <c r="F182" s="169" t="n">
        <v>29.84</v>
      </c>
      <c r="G182" s="169" t="n">
        <v>29.84</v>
      </c>
      <c r="H182" s="169">
        <f>29.84+15.32</f>
        <v/>
      </c>
      <c r="I182" s="169" t="n">
        <v>59.61</v>
      </c>
      <c r="J182" s="169">
        <f>G182-F182</f>
        <v/>
      </c>
      <c r="K182" s="169">
        <f>H182-F182</f>
        <v/>
      </c>
      <c r="L182" s="169">
        <f>H182-G182</f>
        <v/>
      </c>
      <c r="M182" s="43">
        <f>J182/F182</f>
        <v/>
      </c>
      <c r="N182" s="24" t="n">
        <v>473.06</v>
      </c>
      <c r="O182" s="24" t="n">
        <v>331.37</v>
      </c>
      <c r="P182" s="43">
        <f>(N182-O182)/O182</f>
        <v/>
      </c>
      <c r="Q182" s="169">
        <f>O182*0.9056*0.85</f>
        <v/>
      </c>
      <c r="R182" s="169">
        <f>O182*1.15</f>
        <v/>
      </c>
      <c r="S182" s="169">
        <f>IF(N182&lt;O182*0.9056*0.85,O182*0.9056*0.85,IF(N182&gt;O182*1.15,O182*1.15,N182))</f>
        <v/>
      </c>
      <c r="T182" s="169" t="n">
        <v>14116.11</v>
      </c>
      <c r="U182" s="169" t="n">
        <v>14116.11</v>
      </c>
      <c r="V182" s="169">
        <f>T182+S182*K182</f>
        <v/>
      </c>
      <c r="W182" s="169">
        <f>U182-T182</f>
        <v/>
      </c>
      <c r="X182" s="169">
        <f>V182-T182</f>
        <v/>
      </c>
      <c r="Y182" s="169">
        <f>V182-U182</f>
        <v/>
      </c>
      <c r="Z182" s="80" t="inlineStr">
        <is>
          <t>清单162楼梯栏杆部分工程量归到此计算</t>
        </is>
      </c>
      <c r="AI182" s="71" t="inlineStr">
        <is>
          <t>出设计变更</t>
        </is>
      </c>
    </row>
    <row r="183" ht="41.25" customHeight="1" s="166">
      <c r="A183" s="150" t="n">
        <v>166</v>
      </c>
      <c r="B183" s="104" t="inlineStr">
        <is>
          <t>011210005001</t>
        </is>
      </c>
      <c r="C183" s="104" t="inlineStr">
        <is>
          <t>成品隔断</t>
        </is>
      </c>
      <c r="D183" s="104" t="inlineStr">
        <is>
          <t>1.卫生间成品抗培特饰面隔断
2.其他详见图纸</t>
        </is>
      </c>
      <c r="E183" s="24" t="inlineStr">
        <is>
          <t>m2</t>
        </is>
      </c>
      <c r="F183" s="169" t="n">
        <v>95.29000000000001</v>
      </c>
      <c r="G183" s="169" t="n">
        <v>95.29000000000001</v>
      </c>
      <c r="H183" s="169" t="n">
        <v>95.29000000000001</v>
      </c>
      <c r="I183" s="169" t="n"/>
      <c r="J183" s="169">
        <f>G183-F183</f>
        <v/>
      </c>
      <c r="K183" s="169">
        <f>H183-F183</f>
        <v/>
      </c>
      <c r="L183" s="169">
        <f>H183-G183</f>
        <v/>
      </c>
      <c r="M183" s="43">
        <f>J183/F183</f>
        <v/>
      </c>
      <c r="N183" s="24" t="n">
        <v>205.48</v>
      </c>
      <c r="O183" s="24" t="n">
        <v>308.59</v>
      </c>
      <c r="P183" s="43">
        <f>(N183-O183)/O183</f>
        <v/>
      </c>
      <c r="Q183" s="169">
        <f>O183*0.9056*0.85</f>
        <v/>
      </c>
      <c r="R183" s="169">
        <f>O183*1.15</f>
        <v/>
      </c>
      <c r="S183" s="169">
        <f>IF(N183&lt;O183*0.9056*0.85,O183*0.9056*0.85,IF(N183&gt;O183*1.15,O183*1.15,N183))</f>
        <v/>
      </c>
      <c r="T183" s="169" t="n">
        <v>19580.02</v>
      </c>
      <c r="U183" s="169" t="n">
        <v>19580.02</v>
      </c>
      <c r="V183" s="169">
        <f>T183+S183*K183</f>
        <v/>
      </c>
      <c r="W183" s="169">
        <f>U183-T183</f>
        <v/>
      </c>
      <c r="X183" s="169">
        <f>V183-T183</f>
        <v/>
      </c>
      <c r="Y183" s="169">
        <f>V183-U183</f>
        <v/>
      </c>
      <c r="Z183" s="80" t="n"/>
    </row>
    <row r="184" ht="79.5" customHeight="1" s="166">
      <c r="A184" s="150" t="n">
        <v>167</v>
      </c>
      <c r="B184" s="104" t="inlineStr">
        <is>
          <t>011505001001</t>
        </is>
      </c>
      <c r="C184" s="104" t="inlineStr">
        <is>
          <t>洗漱台</t>
        </is>
      </c>
      <c r="D184" s="104" t="inlineStr">
        <is>
          <t>1.20mm厚国产金沙黑洗漱台（洗手台）L40*4镀锌角钢底架
2.台面开水龙头孔
3.台面开洗手盆孔
4.石材水磨斜边</t>
        </is>
      </c>
      <c r="E184" s="24" t="inlineStr">
        <is>
          <t>m2</t>
        </is>
      </c>
      <c r="F184" s="169" t="n">
        <v>7.3</v>
      </c>
      <c r="G184" s="169" t="n">
        <v>7.3</v>
      </c>
      <c r="H184" s="169" t="n">
        <v>7.3</v>
      </c>
      <c r="I184" s="169" t="n"/>
      <c r="J184" s="169">
        <f>G184-F184</f>
        <v/>
      </c>
      <c r="K184" s="169">
        <f>H184-F184</f>
        <v/>
      </c>
      <c r="L184" s="169">
        <f>H184-G184</f>
        <v/>
      </c>
      <c r="M184" s="43">
        <f>J184/F184</f>
        <v/>
      </c>
      <c r="N184" s="24" t="n">
        <v>801.02</v>
      </c>
      <c r="O184" s="24" t="n">
        <v>638.84</v>
      </c>
      <c r="P184" s="43">
        <f>(N184-O184)/O184</f>
        <v/>
      </c>
      <c r="Q184" s="169">
        <f>O184*0.9056*0.85</f>
        <v/>
      </c>
      <c r="R184" s="169">
        <f>O184*1.15</f>
        <v/>
      </c>
      <c r="S184" s="169">
        <f>IF(N184&lt;O184*0.9056*0.85,O184*0.9056*0.85,IF(N184&gt;O184*1.15,O184*1.15,N184))</f>
        <v/>
      </c>
      <c r="T184" s="169" t="n">
        <v>5847.45</v>
      </c>
      <c r="U184" s="169" t="n">
        <v>5847.45</v>
      </c>
      <c r="V184" s="169">
        <f>T184+S184*K184</f>
        <v/>
      </c>
      <c r="W184" s="169">
        <f>U184-T184</f>
        <v/>
      </c>
      <c r="X184" s="169">
        <f>V184-T184</f>
        <v/>
      </c>
      <c r="Y184" s="169">
        <f>V184-U184</f>
        <v/>
      </c>
      <c r="Z184" s="80" t="n"/>
    </row>
    <row r="185" ht="41.25" customHeight="1" s="166">
      <c r="A185" s="150" t="n">
        <v>168</v>
      </c>
      <c r="B185" s="104" t="inlineStr">
        <is>
          <t>011505010002</t>
        </is>
      </c>
      <c r="C185" s="104" t="inlineStr">
        <is>
          <t>镜面玻璃</t>
        </is>
      </c>
      <c r="D185" s="104" t="inlineStr">
        <is>
          <t>1.卫生间镜
2.6mm车边银镜
3.具体做法详见图纸</t>
        </is>
      </c>
      <c r="E185" s="24" t="inlineStr">
        <is>
          <t>m2</t>
        </is>
      </c>
      <c r="F185" s="169" t="n">
        <v>7.3</v>
      </c>
      <c r="G185" s="169" t="n">
        <v>7.3</v>
      </c>
      <c r="H185" s="169" t="n">
        <v>7.3</v>
      </c>
      <c r="I185" s="169" t="n"/>
      <c r="J185" s="169">
        <f>G185-F185</f>
        <v/>
      </c>
      <c r="K185" s="169">
        <f>H185-F185</f>
        <v/>
      </c>
      <c r="L185" s="169">
        <f>H185-G185</f>
        <v/>
      </c>
      <c r="M185" s="43">
        <f>J185/F185</f>
        <v/>
      </c>
      <c r="N185" s="24" t="n">
        <v>328.86</v>
      </c>
      <c r="O185" s="24" t="n">
        <v>295.82</v>
      </c>
      <c r="P185" s="43">
        <f>(N185-O185)/O185</f>
        <v/>
      </c>
      <c r="Q185" s="169">
        <f>O185*0.9056*0.85</f>
        <v/>
      </c>
      <c r="R185" s="169">
        <f>O185*1.15</f>
        <v/>
      </c>
      <c r="S185" s="169">
        <f>IF(N185&lt;O185*0.9056*0.85,O185*0.9056*0.85,IF(N185&gt;O185*1.15,O185*1.15,N185))</f>
        <v/>
      </c>
      <c r="T185" s="169" t="n">
        <v>2400.68</v>
      </c>
      <c r="U185" s="169" t="n">
        <v>2400.68</v>
      </c>
      <c r="V185" s="169">
        <f>T185+S185*K185</f>
        <v/>
      </c>
      <c r="W185" s="169">
        <f>U185-T185</f>
        <v/>
      </c>
      <c r="X185" s="169">
        <f>V185-T185</f>
        <v/>
      </c>
      <c r="Y185" s="169">
        <f>V185-U185</f>
        <v/>
      </c>
      <c r="Z185" s="80" t="n"/>
    </row>
    <row r="186" ht="28.5" customHeight="1" s="166">
      <c r="A186" s="150" t="n">
        <v>169</v>
      </c>
      <c r="B186" s="104" t="inlineStr">
        <is>
          <t>011502001002</t>
        </is>
      </c>
      <c r="C186" s="104" t="inlineStr">
        <is>
          <t>金属装饰线</t>
        </is>
      </c>
      <c r="D186" s="104" t="inlineStr">
        <is>
          <t>1.1mm厚304原色哑光不锈钢收边线</t>
        </is>
      </c>
      <c r="E186" s="24" t="inlineStr">
        <is>
          <t>m</t>
        </is>
      </c>
      <c r="F186" s="169" t="n">
        <v>49.01</v>
      </c>
      <c r="G186" s="169" t="n">
        <v>641.79</v>
      </c>
      <c r="H186" s="169">
        <f>243.55+397.62</f>
        <v/>
      </c>
      <c r="I186" s="169" t="n"/>
      <c r="J186" s="169">
        <f>G186-F186</f>
        <v/>
      </c>
      <c r="K186" s="169">
        <f>H186-F186</f>
        <v/>
      </c>
      <c r="L186" s="169">
        <f>H186-G186</f>
        <v/>
      </c>
      <c r="M186" s="43">
        <f>J186/F186</f>
        <v/>
      </c>
      <c r="N186" s="24" t="n">
        <v>69.83</v>
      </c>
      <c r="O186" s="24" t="n">
        <v>26.86</v>
      </c>
      <c r="P186" s="43">
        <f>(N186-O186)/O186</f>
        <v/>
      </c>
      <c r="Q186" s="169">
        <f>O186*0.9056*0.85</f>
        <v/>
      </c>
      <c r="R186" s="169">
        <f>O186*1.15</f>
        <v/>
      </c>
      <c r="S186" s="169">
        <f>IF(N186&lt;O186*0.9056*0.85,O186*0.9056*0.85,IF(N186&gt;O186*1.15,O186*1.15,N186))</f>
        <v/>
      </c>
      <c r="T186" s="169" t="n">
        <v>3422.37</v>
      </c>
      <c r="U186" s="169" t="n">
        <v>21732.74</v>
      </c>
      <c r="V186" s="169">
        <f>T186+S186*K186</f>
        <v/>
      </c>
      <c r="W186" s="169">
        <f>U186-T186</f>
        <v/>
      </c>
      <c r="X186" s="169">
        <f>V186-T186</f>
        <v/>
      </c>
      <c r="Y186" s="169">
        <f>V186-U186</f>
        <v/>
      </c>
      <c r="Z186" s="80" t="n"/>
    </row>
    <row r="187" ht="28.5" customHeight="1" s="166">
      <c r="A187" s="150" t="n">
        <v>170</v>
      </c>
      <c r="B187" s="104" t="inlineStr">
        <is>
          <t>011508004001</t>
        </is>
      </c>
      <c r="C187" s="104" t="inlineStr">
        <is>
          <t>金属字</t>
        </is>
      </c>
      <c r="D187" s="104" t="inlineStr">
        <is>
          <t>1.白色拉丝不锈钢喷漆字体
2.字体外框约0.9*0.6m</t>
        </is>
      </c>
      <c r="E187" s="24" t="inlineStr">
        <is>
          <t>个</t>
        </is>
      </c>
      <c r="F187" s="169" t="n">
        <v>3</v>
      </c>
      <c r="G187" s="169" t="n">
        <v>3</v>
      </c>
      <c r="H187" s="170" t="n">
        <v>3</v>
      </c>
      <c r="I187" s="170" t="n"/>
      <c r="J187" s="169">
        <f>G187-F187</f>
        <v/>
      </c>
      <c r="K187" s="169">
        <f>H187-F187</f>
        <v/>
      </c>
      <c r="L187" s="169">
        <f>H187-G187</f>
        <v/>
      </c>
      <c r="M187" s="43">
        <f>J187/F187</f>
        <v/>
      </c>
      <c r="N187" s="24" t="n">
        <v>1112.92</v>
      </c>
      <c r="O187" s="24" t="n">
        <v>900</v>
      </c>
      <c r="P187" s="43">
        <f>(N187-O187)/O187</f>
        <v/>
      </c>
      <c r="Q187" s="169">
        <f>O187*0.9056*0.85</f>
        <v/>
      </c>
      <c r="R187" s="169">
        <f>O187*1.15</f>
        <v/>
      </c>
      <c r="S187" s="169">
        <f>IF(N187&lt;O187*0.9056*0.85,O187*0.9056*0.85,IF(N187&gt;O187*1.15,O187*1.15,N187))</f>
        <v/>
      </c>
      <c r="T187" s="169" t="n">
        <v>3338.76</v>
      </c>
      <c r="U187" s="169" t="n">
        <v>3338.76</v>
      </c>
      <c r="V187" s="169">
        <f>T187+S187*K187</f>
        <v/>
      </c>
      <c r="W187" s="169">
        <f>U187-T187</f>
        <v/>
      </c>
      <c r="X187" s="169">
        <f>V187-T187</f>
        <v/>
      </c>
      <c r="Y187" s="169">
        <f>V187-U187</f>
        <v/>
      </c>
      <c r="Z187" s="80" t="n"/>
    </row>
    <row r="188" ht="41.25" customHeight="1" s="166">
      <c r="A188" s="150" t="n">
        <v>171</v>
      </c>
      <c r="B188" s="104" t="inlineStr">
        <is>
          <t>011508004002</t>
        </is>
      </c>
      <c r="C188" s="104" t="inlineStr">
        <is>
          <t>金属字</t>
        </is>
      </c>
      <c r="D188" s="104" t="inlineStr">
        <is>
          <t>1.白色拉丝不锈钢喷漆奥运五环
2.外框尺寸约2.3*1.1m</t>
        </is>
      </c>
      <c r="E188" s="24" t="inlineStr">
        <is>
          <t>个</t>
        </is>
      </c>
      <c r="F188" s="169" t="n">
        <v>1</v>
      </c>
      <c r="G188" s="169" t="n">
        <v>1</v>
      </c>
      <c r="H188" s="170" t="n">
        <v>1</v>
      </c>
      <c r="I188" s="170" t="n"/>
      <c r="J188" s="169">
        <f>G188-F188</f>
        <v/>
      </c>
      <c r="K188" s="169">
        <f>H188-F188</f>
        <v/>
      </c>
      <c r="L188" s="169">
        <f>H188-G188</f>
        <v/>
      </c>
      <c r="M188" s="43">
        <f>J188/F188</f>
        <v/>
      </c>
      <c r="N188" s="24" t="n">
        <v>2574.58</v>
      </c>
      <c r="O188" s="24" t="n">
        <v>2035.4</v>
      </c>
      <c r="P188" s="43">
        <f>(N188-O188)/O188</f>
        <v/>
      </c>
      <c r="Q188" s="169">
        <f>O188*0.9056*0.85</f>
        <v/>
      </c>
      <c r="R188" s="169">
        <f>O188*1.15</f>
        <v/>
      </c>
      <c r="S188" s="169">
        <f>IF(N188&lt;O188*0.9056*0.85,O188*0.9056*0.85,IF(N188&gt;O188*1.15,O188*1.15,N188))</f>
        <v/>
      </c>
      <c r="T188" s="169" t="n">
        <v>2574.58</v>
      </c>
      <c r="U188" s="169" t="n">
        <v>2574.58</v>
      </c>
      <c r="V188" s="169">
        <f>T188+S188*K188</f>
        <v/>
      </c>
      <c r="W188" s="169">
        <f>U188-T188</f>
        <v/>
      </c>
      <c r="X188" s="169">
        <f>V188-T188</f>
        <v/>
      </c>
      <c r="Y188" s="169">
        <f>V188-U188</f>
        <v/>
      </c>
      <c r="Z188" s="80" t="n"/>
    </row>
    <row r="189" ht="18" customHeight="1" s="166">
      <c r="A189" s="150" t="n">
        <v>172</v>
      </c>
      <c r="B189" s="104" t="inlineStr">
        <is>
          <t>01B001</t>
        </is>
      </c>
      <c r="C189" s="104" t="inlineStr">
        <is>
          <t>白蚁防治</t>
        </is>
      </c>
      <c r="D189" s="104" t="inlineStr">
        <is>
          <t>1.白蚁防治</t>
        </is>
      </c>
      <c r="E189" s="24" t="inlineStr">
        <is>
          <t>m2</t>
        </is>
      </c>
      <c r="F189" s="169" t="n">
        <v>4762.46</v>
      </c>
      <c r="G189" s="169" t="n">
        <v>5122.46</v>
      </c>
      <c r="H189" s="169">
        <f>4994.97</f>
        <v/>
      </c>
      <c r="I189" s="169" t="n">
        <v>5122.46</v>
      </c>
      <c r="J189" s="169">
        <f>G189-F189</f>
        <v/>
      </c>
      <c r="K189" s="169">
        <f>H189-F189</f>
        <v/>
      </c>
      <c r="L189" s="169">
        <f>H189-G189</f>
        <v/>
      </c>
      <c r="M189" s="43">
        <f>J189/F189</f>
        <v/>
      </c>
      <c r="N189" s="24" t="n">
        <v>2</v>
      </c>
      <c r="O189" s="24" t="n">
        <v>3</v>
      </c>
      <c r="P189" s="43">
        <f>(N189-O189)/O189</f>
        <v/>
      </c>
      <c r="Q189" s="169">
        <f>O189*0.9056*0.85</f>
        <v/>
      </c>
      <c r="R189" s="169">
        <f>O189*1.15</f>
        <v/>
      </c>
      <c r="S189" s="169">
        <f>IF(N189&lt;O189*0.9056*0.85,O189*0.9056*0.85,IF(N189&gt;O189*1.15,O189*1.15,N189))</f>
        <v/>
      </c>
      <c r="T189" s="169" t="n">
        <v>9524.92</v>
      </c>
      <c r="U189" s="169" t="n">
        <v>10356.26</v>
      </c>
      <c r="V189" s="169">
        <f>T189+S189*K189</f>
        <v/>
      </c>
      <c r="W189" s="169">
        <f>U189-T189</f>
        <v/>
      </c>
      <c r="X189" s="169">
        <f>V189-T189</f>
        <v/>
      </c>
      <c r="Y189" s="169">
        <f>V189-U189</f>
        <v/>
      </c>
      <c r="Z189" s="80" t="n"/>
    </row>
    <row r="190" ht="25" customFormat="1" customHeight="1" s="5">
      <c r="A190" s="93" t="n"/>
      <c r="B190" s="94" t="n"/>
      <c r="C190" s="94" t="inlineStr">
        <is>
          <t>分部分项合计</t>
        </is>
      </c>
      <c r="D190" s="94" t="n"/>
      <c r="E190" s="96" t="n"/>
      <c r="F190" s="96" t="n"/>
      <c r="G190" s="172" t="n"/>
      <c r="H190" s="169" t="n"/>
      <c r="I190" s="169" t="n"/>
      <c r="J190" s="173" t="n"/>
      <c r="K190" s="169" t="n"/>
      <c r="L190" s="169" t="n"/>
      <c r="M190" s="106" t="n"/>
      <c r="N190" s="174" t="n"/>
      <c r="O190" s="96" t="n"/>
      <c r="P190" s="106" t="n"/>
      <c r="Q190" s="173" t="n"/>
      <c r="R190" s="173" t="n"/>
      <c r="S190" s="173" t="n"/>
      <c r="T190" s="175" t="n">
        <v>14732579.96</v>
      </c>
      <c r="U190" s="175" t="n">
        <v>15615036.81</v>
      </c>
      <c r="V190" s="175">
        <f>+V171+V161+V133+V115+V110+V96+V74+V57+V30+V20+V13+V6</f>
        <v/>
      </c>
      <c r="W190" s="175">
        <f>+U190-T190</f>
        <v/>
      </c>
      <c r="X190" s="169">
        <f>V190-T190</f>
        <v/>
      </c>
      <c r="Y190" s="169">
        <f>V190-U190</f>
        <v/>
      </c>
      <c r="Z190" s="118" t="n"/>
      <c r="AB190" s="1" t="n"/>
    </row>
    <row r="191" ht="20" customFormat="1" customHeight="1" s="5">
      <c r="A191" s="93" t="n"/>
      <c r="B191" s="94" t="n"/>
      <c r="C191" s="94" t="inlineStr">
        <is>
          <t>措施合计</t>
        </is>
      </c>
      <c r="D191" s="94" t="n"/>
      <c r="E191" s="96" t="n"/>
      <c r="F191" s="96" t="n"/>
      <c r="G191" s="172" t="n"/>
      <c r="H191" s="169" t="n"/>
      <c r="I191" s="169" t="n"/>
      <c r="J191" s="173" t="n"/>
      <c r="K191" s="169" t="n"/>
      <c r="L191" s="169" t="n"/>
      <c r="M191" s="106" t="n"/>
      <c r="N191" s="174" t="n"/>
      <c r="O191" s="96" t="n"/>
      <c r="P191" s="106" t="n"/>
      <c r="Q191" s="173" t="n"/>
      <c r="R191" s="173" t="n"/>
      <c r="S191" s="173" t="n"/>
      <c r="T191" s="175" t="n">
        <v>2214992.31</v>
      </c>
      <c r="U191" s="175" t="n">
        <v>2754116.16</v>
      </c>
      <c r="V191" s="175">
        <f>SUM(V193:V260)</f>
        <v/>
      </c>
      <c r="W191" s="175">
        <f>+U191-T191</f>
        <v/>
      </c>
      <c r="X191" s="169">
        <f>V191-T191</f>
        <v/>
      </c>
      <c r="Y191" s="169">
        <f>V191-U191</f>
        <v/>
      </c>
      <c r="Z191" s="118" t="n"/>
      <c r="AB191" s="1" t="n"/>
    </row>
    <row r="192" ht="26" customFormat="1" customHeight="1" s="6">
      <c r="A192" s="98" t="n">
        <v>1</v>
      </c>
      <c r="B192" s="99" t="n"/>
      <c r="C192" s="102" t="inlineStr">
        <is>
          <t>安全文明施工措施费</t>
        </is>
      </c>
      <c r="D192" s="101" t="n"/>
      <c r="E192" s="102" t="n"/>
      <c r="F192" s="102" t="n"/>
      <c r="G192" s="176" t="n"/>
      <c r="H192" s="169" t="n"/>
      <c r="I192" s="169" t="n"/>
      <c r="J192" s="177" t="n"/>
      <c r="K192" s="169" t="n"/>
      <c r="L192" s="169" t="n"/>
      <c r="M192" s="109" t="n"/>
      <c r="N192" s="178" t="n"/>
      <c r="O192" s="102" t="n"/>
      <c r="P192" s="109" t="n"/>
      <c r="Q192" s="177" t="n"/>
      <c r="R192" s="177" t="n"/>
      <c r="S192" s="177" t="n"/>
      <c r="T192" s="177" t="n"/>
      <c r="U192" s="177" t="n"/>
      <c r="V192" s="169">
        <f>T192+S192*K192</f>
        <v/>
      </c>
      <c r="W192" s="177" t="n"/>
      <c r="X192" s="169">
        <f>V192-T192</f>
        <v/>
      </c>
      <c r="Y192" s="169">
        <f>V192-U192</f>
        <v/>
      </c>
      <c r="Z192" s="119" t="n"/>
      <c r="AB192" s="1" t="n"/>
    </row>
    <row r="193" ht="23" customFormat="1" customHeight="1" s="6">
      <c r="A193" s="98" t="inlineStr">
        <is>
          <t>1.1</t>
        </is>
      </c>
      <c r="B193" s="104" t="inlineStr">
        <is>
          <t>01B001</t>
        </is>
      </c>
      <c r="C193" s="24" t="inlineStr">
        <is>
          <t>绿色施工安全防护措施费</t>
        </is>
      </c>
      <c r="D193" s="101" t="n"/>
      <c r="E193" s="102" t="n"/>
      <c r="F193" s="102" t="n"/>
      <c r="G193" s="176" t="n"/>
      <c r="H193" s="169" t="n"/>
      <c r="I193" s="169" t="n"/>
      <c r="J193" s="177" t="n"/>
      <c r="K193" s="169" t="n"/>
      <c r="L193" s="169" t="n"/>
      <c r="M193" s="109" t="n"/>
      <c r="N193" s="178" t="n"/>
      <c r="O193" s="102" t="n"/>
      <c r="P193" s="109" t="n"/>
      <c r="Q193" s="177" t="n"/>
      <c r="R193" s="177" t="n"/>
      <c r="S193" s="177" t="n"/>
      <c r="T193" s="169" t="n">
        <v>529002.35</v>
      </c>
      <c r="U193" s="169" t="n">
        <v>529002.35</v>
      </c>
      <c r="V193" s="169">
        <f>V190/U190*U193</f>
        <v/>
      </c>
      <c r="W193" s="177" t="n"/>
      <c r="X193" s="169">
        <f>V193-T193</f>
        <v/>
      </c>
      <c r="Y193" s="169">
        <f>V193-U193</f>
        <v/>
      </c>
      <c r="Z193" s="119" t="n"/>
      <c r="AB193" s="1" t="n"/>
    </row>
    <row r="194" ht="41.25" customHeight="1" s="166">
      <c r="A194" s="150" t="n">
        <v>173</v>
      </c>
      <c r="B194" s="104" t="inlineStr">
        <is>
          <t>粤011701008002</t>
        </is>
      </c>
      <c r="C194" s="104" t="inlineStr">
        <is>
          <t>综合钢脚手架</t>
        </is>
      </c>
      <c r="D194" s="104" t="inlineStr">
        <is>
          <t>1.搭设高度:综合钢脚手架搭拆高度(m以内)30.5
2.建筑用综合脚手架使用费</t>
        </is>
      </c>
      <c r="E194" s="24" t="inlineStr">
        <is>
          <t>m2</t>
        </is>
      </c>
      <c r="F194" s="169" t="n">
        <v>3288.12</v>
      </c>
      <c r="G194" s="169" t="n">
        <v>9179.959999999999</v>
      </c>
      <c r="H194" s="169">
        <f>3345.74</f>
        <v/>
      </c>
      <c r="I194" s="169" t="n"/>
      <c r="J194" s="169">
        <f>G194-F194</f>
        <v/>
      </c>
      <c r="K194" s="169">
        <f>H194-F194</f>
        <v/>
      </c>
      <c r="L194" s="169">
        <f>H194-G194</f>
        <v/>
      </c>
      <c r="M194" s="43">
        <f>J194/F194</f>
        <v/>
      </c>
      <c r="N194" s="24" t="n">
        <v>65.34999999999999</v>
      </c>
      <c r="O194" s="24" t="n">
        <v>69.55</v>
      </c>
      <c r="P194" s="43">
        <f>(N194-O194)/O194</f>
        <v/>
      </c>
      <c r="Q194" s="169">
        <f>O194*0.9056*0.85</f>
        <v/>
      </c>
      <c r="R194" s="169">
        <f>O194*1.15</f>
        <v/>
      </c>
      <c r="S194" s="169">
        <f>IF(N194&lt;O194*0.9056*0.85,O194*0.9056*0.85,IF(N194&gt;O194*1.15,O194*1.15,N194))</f>
        <v/>
      </c>
      <c r="T194" s="169" t="n">
        <v>214878.64</v>
      </c>
      <c r="U194" s="169" t="n">
        <v>599910.39</v>
      </c>
      <c r="V194" s="169">
        <f>T194+S194*K194</f>
        <v/>
      </c>
      <c r="W194" s="169">
        <f>U194-T194</f>
        <v/>
      </c>
      <c r="X194" s="169">
        <f>V194-T194</f>
        <v/>
      </c>
      <c r="Y194" s="169">
        <f>V194-U194</f>
        <v/>
      </c>
      <c r="Z194" s="80" t="n"/>
    </row>
    <row r="195" ht="28.5" customHeight="1" s="166">
      <c r="A195" s="150" t="n">
        <v>174</v>
      </c>
      <c r="B195" s="104" t="inlineStr">
        <is>
          <t>MBZC001</t>
        </is>
      </c>
      <c r="C195" s="104" t="inlineStr">
        <is>
          <t>模板的支架</t>
        </is>
      </c>
      <c r="D195" s="104" t="inlineStr">
        <is>
          <t>1.模板钢支撑</t>
        </is>
      </c>
      <c r="E195" s="24" t="inlineStr">
        <is>
          <t>t</t>
        </is>
      </c>
      <c r="F195" s="169" t="n">
        <v>14.42</v>
      </c>
      <c r="G195" s="169" t="n">
        <v>14.42</v>
      </c>
      <c r="H195" s="169" t="n">
        <v>14.42</v>
      </c>
      <c r="I195" s="169" t="n"/>
      <c r="J195" s="169">
        <f>G195-F195</f>
        <v/>
      </c>
      <c r="K195" s="169">
        <f>H195-F195</f>
        <v/>
      </c>
      <c r="L195" s="169">
        <f>H195-G195</f>
        <v/>
      </c>
      <c r="M195" s="43">
        <f>J195/F195</f>
        <v/>
      </c>
      <c r="N195" s="24" t="n">
        <v>6313.66</v>
      </c>
      <c r="O195" s="24" t="n">
        <v>6000</v>
      </c>
      <c r="P195" s="43">
        <f>(N195-O195)/O195</f>
        <v/>
      </c>
      <c r="Q195" s="169">
        <f>O195*0.9056*0.85</f>
        <v/>
      </c>
      <c r="R195" s="169">
        <f>O195*1.15</f>
        <v/>
      </c>
      <c r="S195" s="169">
        <f>IF(N195&lt;O195*0.9056*0.85,O195*0.9056*0.85,IF(N195&gt;O195*1.15,O195*1.15,N195))</f>
        <v/>
      </c>
      <c r="T195" s="169" t="n">
        <v>91023.39999999999</v>
      </c>
      <c r="U195" s="169" t="n">
        <v>91023.39999999999</v>
      </c>
      <c r="V195" s="169">
        <f>T195+S195*K195</f>
        <v/>
      </c>
      <c r="W195" s="169">
        <f>U195-T195</f>
        <v/>
      </c>
      <c r="X195" s="169">
        <f>V195-T195</f>
        <v/>
      </c>
      <c r="Y195" s="169">
        <f>V195-U195</f>
        <v/>
      </c>
      <c r="Z195" s="80" t="n"/>
    </row>
    <row r="196" ht="28.5" customFormat="1" customHeight="1" s="1">
      <c r="A196" s="150" t="n"/>
      <c r="B196" s="104" t="n"/>
      <c r="C196" s="104" t="inlineStr">
        <is>
          <t>措施其他项目</t>
        </is>
      </c>
      <c r="D196" s="104" t="n"/>
      <c r="E196" s="24" t="n"/>
      <c r="F196" s="169" t="n"/>
      <c r="G196" s="169" t="n"/>
      <c r="H196" s="169" t="n"/>
      <c r="I196" s="169" t="n"/>
      <c r="J196" s="169" t="n"/>
      <c r="K196" s="169" t="n"/>
      <c r="L196" s="169" t="n"/>
      <c r="M196" s="43" t="n"/>
      <c r="N196" s="24" t="n"/>
      <c r="O196" s="24" t="n"/>
      <c r="P196" s="43" t="n"/>
      <c r="Q196" s="169" t="n"/>
      <c r="R196" s="169" t="n"/>
      <c r="S196" s="169" t="n"/>
      <c r="T196" s="169" t="n"/>
      <c r="U196" s="169" t="n"/>
      <c r="V196" s="169" t="n"/>
      <c r="W196" s="169" t="n"/>
      <c r="X196" s="169" t="n"/>
      <c r="Y196" s="169" t="n"/>
      <c r="Z196" s="80" t="n"/>
      <c r="AA196" s="71" t="n"/>
    </row>
    <row r="197" ht="44" customHeight="1" s="166">
      <c r="A197" s="150" t="n">
        <v>175</v>
      </c>
      <c r="B197" s="104" t="inlineStr">
        <is>
          <t>粤011701011003</t>
        </is>
      </c>
      <c r="C197" s="104" t="inlineStr">
        <is>
          <t>里脚手架</t>
        </is>
      </c>
      <c r="D197" s="104" t="inlineStr">
        <is>
          <t>1.里脚手架(钢管)民用建筑实际高度4.8m以内</t>
        </is>
      </c>
      <c r="E197" s="24" t="inlineStr">
        <is>
          <t>m2</t>
        </is>
      </c>
      <c r="F197" s="169" t="n">
        <v>1596.93</v>
      </c>
      <c r="G197" s="169" t="n">
        <v>1593.65</v>
      </c>
      <c r="H197" s="169" t="n">
        <v>1593.65</v>
      </c>
      <c r="I197" s="169" t="n"/>
      <c r="J197" s="169">
        <f>G197-F197</f>
        <v/>
      </c>
      <c r="K197" s="169">
        <f>H197-F197</f>
        <v/>
      </c>
      <c r="L197" s="169">
        <f>H197-G197</f>
        <v/>
      </c>
      <c r="M197" s="43">
        <f>J197/F197</f>
        <v/>
      </c>
      <c r="N197" s="24" t="n">
        <v>19.66</v>
      </c>
      <c r="O197" s="24" t="n">
        <v>21.74</v>
      </c>
      <c r="P197" s="43">
        <f>(N197-O197)/O197</f>
        <v/>
      </c>
      <c r="Q197" s="169">
        <f>O197*0.9056*0.85</f>
        <v/>
      </c>
      <c r="R197" s="169">
        <f>O197*1.15</f>
        <v/>
      </c>
      <c r="S197" s="169">
        <f>IF(N197&lt;O197*0.9056*0.85,O197*0.9056*0.85,IF(N197&gt;O197*1.15,O197*1.15,N197))</f>
        <v/>
      </c>
      <c r="T197" s="169" t="n">
        <v>31395.64</v>
      </c>
      <c r="U197" s="169" t="n">
        <v>31331.23</v>
      </c>
      <c r="V197" s="169">
        <f>T197+S197*K197</f>
        <v/>
      </c>
      <c r="W197" s="169">
        <f>U197-T197</f>
        <v/>
      </c>
      <c r="X197" s="169">
        <f>V197-T197</f>
        <v/>
      </c>
      <c r="Y197" s="169">
        <f>V197-U197</f>
        <v/>
      </c>
      <c r="Z197" s="80" t="n"/>
    </row>
    <row r="198" ht="44" customHeight="1" s="166">
      <c r="A198" s="150" t="n">
        <v>176</v>
      </c>
      <c r="B198" s="104" t="inlineStr">
        <is>
          <t>粤011701011004</t>
        </is>
      </c>
      <c r="C198" s="104" t="inlineStr">
        <is>
          <t>里脚手架</t>
        </is>
      </c>
      <c r="D198" s="104" t="inlineStr">
        <is>
          <t>1.里脚手架(钢管)民用建筑实际高度5.5m以内</t>
        </is>
      </c>
      <c r="E198" s="24" t="inlineStr">
        <is>
          <t>m2</t>
        </is>
      </c>
      <c r="F198" s="169" t="n">
        <v>54.83</v>
      </c>
      <c r="G198" s="169" t="n">
        <v>54.35</v>
      </c>
      <c r="H198" s="169" t="n">
        <v>54.35</v>
      </c>
      <c r="I198" s="169" t="n"/>
      <c r="J198" s="169">
        <f>G198-F198</f>
        <v/>
      </c>
      <c r="K198" s="169">
        <f>H198-F198</f>
        <v/>
      </c>
      <c r="L198" s="169">
        <f>H198-G198</f>
        <v/>
      </c>
      <c r="M198" s="43">
        <f>J198/F198</f>
        <v/>
      </c>
      <c r="N198" s="24" t="n">
        <v>24.63</v>
      </c>
      <c r="O198" s="24" t="n">
        <v>27.23</v>
      </c>
      <c r="P198" s="43">
        <f>(N198-O198)/O198</f>
        <v/>
      </c>
      <c r="Q198" s="169">
        <f>O198*0.9056*0.85</f>
        <v/>
      </c>
      <c r="R198" s="169">
        <f>O198*1.15</f>
        <v/>
      </c>
      <c r="S198" s="169">
        <f>IF(N198&lt;O198*0.9056*0.85,O198*0.9056*0.85,IF(N198&gt;O198*1.15,O198*1.15,N198))</f>
        <v/>
      </c>
      <c r="T198" s="169" t="n">
        <v>1350.34</v>
      </c>
      <c r="U198" s="169" t="n">
        <v>1338.64</v>
      </c>
      <c r="V198" s="169">
        <f>T198+S198*K198</f>
        <v/>
      </c>
      <c r="W198" s="169">
        <f>U198-T198</f>
        <v/>
      </c>
      <c r="X198" s="169">
        <f>V198-T198</f>
        <v/>
      </c>
      <c r="Y198" s="169">
        <f>V198-U198</f>
        <v/>
      </c>
      <c r="Z198" s="80" t="n"/>
    </row>
    <row r="199" ht="44" customHeight="1" s="166">
      <c r="A199" s="150" t="n">
        <v>177</v>
      </c>
      <c r="B199" s="104" t="inlineStr">
        <is>
          <t>粤011701011005</t>
        </is>
      </c>
      <c r="C199" s="104" t="inlineStr">
        <is>
          <t>里脚手架</t>
        </is>
      </c>
      <c r="D199" s="104" t="inlineStr">
        <is>
          <t>1.里脚手架(钢管)民用建筑实际高度12.15m以内</t>
        </is>
      </c>
      <c r="E199" s="24" t="inlineStr">
        <is>
          <t>m2</t>
        </is>
      </c>
      <c r="F199" s="169" t="n">
        <v>593.08</v>
      </c>
      <c r="G199" s="169" t="n">
        <v>519.33</v>
      </c>
      <c r="H199" s="169" t="n">
        <v>519.33</v>
      </c>
      <c r="I199" s="169" t="n"/>
      <c r="J199" s="169">
        <f>G199-F199</f>
        <v/>
      </c>
      <c r="K199" s="169">
        <f>H199-F199</f>
        <v/>
      </c>
      <c r="L199" s="169">
        <f>H199-G199</f>
        <v/>
      </c>
      <c r="M199" s="43">
        <f>J199/F199</f>
        <v/>
      </c>
      <c r="N199" s="24" t="n">
        <v>49.49</v>
      </c>
      <c r="O199" s="24" t="n">
        <v>54.67</v>
      </c>
      <c r="P199" s="43">
        <f>(N199-O199)/O199</f>
        <v/>
      </c>
      <c r="Q199" s="169">
        <f>O199*0.9056*0.85</f>
        <v/>
      </c>
      <c r="R199" s="169">
        <f>O199*1.15</f>
        <v/>
      </c>
      <c r="S199" s="169">
        <f>IF(N199&lt;O199*0.9056*0.85,O199*0.9056*0.85,IF(N199&gt;O199*1.15,O199*1.15,N199))</f>
        <v/>
      </c>
      <c r="T199" s="169" t="n">
        <v>29351.53</v>
      </c>
      <c r="U199" s="169" t="n">
        <v>25701.39</v>
      </c>
      <c r="V199" s="169" t="n">
        <v>25701.39</v>
      </c>
      <c r="W199" s="169">
        <f>U199-T199</f>
        <v/>
      </c>
      <c r="X199" s="169">
        <f>V199-T199</f>
        <v/>
      </c>
      <c r="Y199" s="169">
        <f>V199-U199</f>
        <v/>
      </c>
      <c r="Z199" s="80" t="n"/>
    </row>
    <row r="200" ht="44" customHeight="1" s="166">
      <c r="A200" s="150" t="n">
        <v>178</v>
      </c>
      <c r="B200" s="104" t="inlineStr">
        <is>
          <t>粤011701010002</t>
        </is>
      </c>
      <c r="C200" s="104" t="inlineStr">
        <is>
          <t>满堂脚手架</t>
        </is>
      </c>
      <c r="D200" s="104" t="inlineStr">
        <is>
          <t>1.满堂脚手架(钢管)5.2m以内</t>
        </is>
      </c>
      <c r="E200" s="24" t="inlineStr">
        <is>
          <t>m2</t>
        </is>
      </c>
      <c r="F200" s="169" t="n">
        <v>3466.65</v>
      </c>
      <c r="G200" s="169" t="n">
        <v>3154.87</v>
      </c>
      <c r="H200" s="169" t="n">
        <v>3018.44</v>
      </c>
      <c r="I200" s="169" t="n"/>
      <c r="J200" s="169">
        <f>G200-F200</f>
        <v/>
      </c>
      <c r="K200" s="169">
        <f>H200-F200</f>
        <v/>
      </c>
      <c r="L200" s="169">
        <f>H200-G200</f>
        <v/>
      </c>
      <c r="M200" s="43">
        <f>J200/F200</f>
        <v/>
      </c>
      <c r="N200" s="24" t="n">
        <v>12.36</v>
      </c>
      <c r="O200" s="24" t="n">
        <v>13.43</v>
      </c>
      <c r="P200" s="43">
        <f>(N200-O200)/O200</f>
        <v/>
      </c>
      <c r="Q200" s="169">
        <f>O200*0.9056*0.85</f>
        <v/>
      </c>
      <c r="R200" s="169">
        <f>O200*1.15</f>
        <v/>
      </c>
      <c r="S200" s="169">
        <f>IF(N200&lt;O200*0.9056*0.85,O200*0.9056*0.85,IF(N200&gt;O200*1.15,O200*1.15,N200))</f>
        <v/>
      </c>
      <c r="T200" s="169" t="n">
        <v>42847.84</v>
      </c>
      <c r="U200" s="169" t="n">
        <v>38994.15</v>
      </c>
      <c r="V200" s="169">
        <f>T200+S200*K200</f>
        <v/>
      </c>
      <c r="W200" s="169">
        <f>U200-T200</f>
        <v/>
      </c>
      <c r="X200" s="169">
        <f>V200-T200</f>
        <v/>
      </c>
      <c r="Y200" s="169">
        <f>V200-U200</f>
        <v/>
      </c>
      <c r="Z200" s="160" t="n"/>
      <c r="AA200" s="71" t="inlineStr">
        <is>
          <t>是否车道是否在地下室计算</t>
        </is>
      </c>
    </row>
    <row r="201" ht="44" customHeight="1" s="166">
      <c r="A201" s="150" t="n">
        <v>179</v>
      </c>
      <c r="B201" s="104" t="inlineStr">
        <is>
          <t>粤011701010003</t>
        </is>
      </c>
      <c r="C201" s="104" t="inlineStr">
        <is>
          <t>满堂脚手架</t>
        </is>
      </c>
      <c r="D201" s="104" t="inlineStr">
        <is>
          <t>1.满堂脚手架(钢管)5.5m以内</t>
        </is>
      </c>
      <c r="E201" s="24" t="inlineStr">
        <is>
          <t>m2</t>
        </is>
      </c>
      <c r="F201" s="169" t="n">
        <v>109.65</v>
      </c>
      <c r="G201" s="169" t="n">
        <v>110.5</v>
      </c>
      <c r="H201" s="169" t="n">
        <v>107.63</v>
      </c>
      <c r="I201" s="169" t="n"/>
      <c r="J201" s="169">
        <f>G201-F201</f>
        <v/>
      </c>
      <c r="K201" s="169">
        <f>H201-F201</f>
        <v/>
      </c>
      <c r="L201" s="169">
        <f>H201-G201</f>
        <v/>
      </c>
      <c r="M201" s="43">
        <f>J201/F201</f>
        <v/>
      </c>
      <c r="N201" s="24" t="n">
        <v>12.36</v>
      </c>
      <c r="O201" s="24" t="n">
        <v>13.43</v>
      </c>
      <c r="P201" s="43">
        <f>(N201-O201)/O201</f>
        <v/>
      </c>
      <c r="Q201" s="169">
        <f>O201*0.9056*0.85</f>
        <v/>
      </c>
      <c r="R201" s="169">
        <f>O201*1.15</f>
        <v/>
      </c>
      <c r="S201" s="169">
        <f>IF(N201&lt;O201*0.9056*0.85,O201*0.9056*0.85,IF(N201&gt;O201*1.15,O201*1.15,N201))</f>
        <v/>
      </c>
      <c r="T201" s="169" t="n">
        <v>1355.27</v>
      </c>
      <c r="U201" s="169" t="n">
        <v>1365.72</v>
      </c>
      <c r="V201" s="169">
        <f>T201+S201*K201</f>
        <v/>
      </c>
      <c r="W201" s="169">
        <f>U201-T201</f>
        <v/>
      </c>
      <c r="X201" s="169">
        <f>V201-T201</f>
        <v/>
      </c>
      <c r="Y201" s="169">
        <f>V201-U201</f>
        <v/>
      </c>
      <c r="Z201" s="80" t="n"/>
    </row>
    <row r="202" ht="44" customHeight="1" s="166">
      <c r="A202" s="150" t="n">
        <v>180</v>
      </c>
      <c r="B202" s="104" t="inlineStr">
        <is>
          <t>粤011701010004</t>
        </is>
      </c>
      <c r="C202" s="104" t="inlineStr">
        <is>
          <t>满堂脚手架</t>
        </is>
      </c>
      <c r="D202" s="104" t="inlineStr">
        <is>
          <t>1.满堂脚手架(钢管)12.15m以内</t>
        </is>
      </c>
      <c r="E202" s="24" t="inlineStr">
        <is>
          <t>m2</t>
        </is>
      </c>
      <c r="F202" s="169" t="n">
        <v>1186.16</v>
      </c>
      <c r="G202" s="169" t="n">
        <v>1142.45</v>
      </c>
      <c r="H202" s="169" t="n">
        <v>1142.45</v>
      </c>
      <c r="I202" s="169" t="n"/>
      <c r="J202" s="169">
        <f>G202-F202</f>
        <v/>
      </c>
      <c r="K202" s="169">
        <f>H202-F202</f>
        <v/>
      </c>
      <c r="L202" s="169">
        <f>H202-G202</f>
        <v/>
      </c>
      <c r="M202" s="43">
        <f>J202/F202</f>
        <v/>
      </c>
      <c r="N202" s="24" t="n">
        <v>36.49</v>
      </c>
      <c r="O202" s="24" t="n">
        <v>39.96</v>
      </c>
      <c r="P202" s="43">
        <f>(N202-O202)/O202</f>
        <v/>
      </c>
      <c r="Q202" s="169">
        <f>O202*0.9056*0.85</f>
        <v/>
      </c>
      <c r="R202" s="169">
        <f>O202*1.15</f>
        <v/>
      </c>
      <c r="S202" s="169">
        <f>IF(N202&lt;O202*0.9056*0.85,O202*0.9056*0.85,IF(N202&gt;O202*1.15,O202*1.15,N202))</f>
        <v/>
      </c>
      <c r="T202" s="169" t="n">
        <v>43282.98</v>
      </c>
      <c r="U202" s="169" t="n">
        <v>41688</v>
      </c>
      <c r="V202" s="169">
        <f>T202+S202*K202</f>
        <v/>
      </c>
      <c r="W202" s="169">
        <f>U202-T202</f>
        <v/>
      </c>
      <c r="X202" s="169">
        <f>V202-T202</f>
        <v/>
      </c>
      <c r="Y202" s="169">
        <f>V202-U202</f>
        <v/>
      </c>
      <c r="Z202" s="80" t="n"/>
    </row>
    <row r="203" ht="44" customHeight="1" s="166">
      <c r="A203" s="150" t="n">
        <v>181</v>
      </c>
      <c r="B203" s="104" t="inlineStr">
        <is>
          <t>粤011701010005</t>
        </is>
      </c>
      <c r="C203" s="104" t="inlineStr">
        <is>
          <t>满堂脚手架</t>
        </is>
      </c>
      <c r="D203" s="104" t="inlineStr">
        <is>
          <t>1.满堂脚手架(钢管)15.45m以内</t>
        </is>
      </c>
      <c r="E203" s="24" t="inlineStr">
        <is>
          <t>m2</t>
        </is>
      </c>
      <c r="F203" s="169" t="n">
        <v>315.5</v>
      </c>
      <c r="G203" s="169" t="n">
        <v>313.22</v>
      </c>
      <c r="H203" s="169" t="n">
        <v>313.22</v>
      </c>
      <c r="I203" s="169" t="n"/>
      <c r="J203" s="169">
        <f>G203-F203</f>
        <v/>
      </c>
      <c r="K203" s="169">
        <f>H203-F203</f>
        <v/>
      </c>
      <c r="L203" s="169">
        <f>H203-G203</f>
        <v/>
      </c>
      <c r="M203" s="43">
        <f>J203/F203</f>
        <v/>
      </c>
      <c r="N203" s="24" t="n">
        <v>48.55</v>
      </c>
      <c r="O203" s="24" t="n">
        <v>39.96</v>
      </c>
      <c r="P203" s="43">
        <f>(N203-O203)/O203</f>
        <v/>
      </c>
      <c r="Q203" s="169">
        <f>O203*0.9056*0.85</f>
        <v/>
      </c>
      <c r="R203" s="169">
        <f>O203*1.15</f>
        <v/>
      </c>
      <c r="S203" s="169">
        <f>IF(N203&lt;O203*0.9056*0.85,O203*0.9056*0.85,IF(N203&gt;O203*1.15,O203*1.15,N203))</f>
        <v/>
      </c>
      <c r="T203" s="169" t="n">
        <v>15317.73</v>
      </c>
      <c r="U203" s="169" t="n">
        <v>15212.72</v>
      </c>
      <c r="V203" s="169" t="n">
        <v>15212.72</v>
      </c>
      <c r="W203" s="169">
        <f>U203-T203</f>
        <v/>
      </c>
      <c r="X203" s="169">
        <f>V203-T203</f>
        <v/>
      </c>
      <c r="Y203" s="169">
        <f>V203-U203</f>
        <v/>
      </c>
      <c r="Z203" s="80" t="n"/>
    </row>
    <row r="204" ht="44" customHeight="1" s="166">
      <c r="A204" s="150" t="n">
        <v>182</v>
      </c>
      <c r="B204" s="104" t="inlineStr">
        <is>
          <t>粤011701010006</t>
        </is>
      </c>
      <c r="C204" s="104" t="inlineStr">
        <is>
          <t>满堂脚手架</t>
        </is>
      </c>
      <c r="D204" s="104" t="inlineStr">
        <is>
          <t>1.满堂脚手架(钢管)16.95m以内</t>
        </is>
      </c>
      <c r="E204" s="24" t="inlineStr">
        <is>
          <t>m2</t>
        </is>
      </c>
      <c r="F204" s="169" t="n">
        <v>222</v>
      </c>
      <c r="G204" s="169" t="n">
        <v>226.2</v>
      </c>
      <c r="H204" s="169" t="n">
        <v>226.2</v>
      </c>
      <c r="I204" s="169" t="n"/>
      <c r="J204" s="169">
        <f>G204-F204</f>
        <v/>
      </c>
      <c r="K204" s="169">
        <f>H204-F204</f>
        <v/>
      </c>
      <c r="L204" s="169">
        <f>H204-G204</f>
        <v/>
      </c>
      <c r="M204" s="43">
        <f>J204/F204</f>
        <v/>
      </c>
      <c r="N204" s="24" t="n">
        <v>52.57</v>
      </c>
      <c r="O204" s="24" t="n">
        <v>39.96</v>
      </c>
      <c r="P204" s="43">
        <f>(N204-O204)/O204</f>
        <v/>
      </c>
      <c r="Q204" s="169">
        <f>O204*0.9056*0.85</f>
        <v/>
      </c>
      <c r="R204" s="169">
        <f>O204*1.15</f>
        <v/>
      </c>
      <c r="S204" s="169">
        <f>IF(N204&lt;O204*0.9056*0.85,O204*0.9056*0.85,IF(N204&gt;O204*1.15,O204*1.15,N204))</f>
        <v/>
      </c>
      <c r="T204" s="169" t="n">
        <v>11670.54</v>
      </c>
      <c r="U204" s="169" t="n">
        <v>11863.55</v>
      </c>
      <c r="V204" s="169">
        <f>T204+S204*K204</f>
        <v/>
      </c>
      <c r="W204" s="169">
        <f>U204-T204</f>
        <v/>
      </c>
      <c r="X204" s="169">
        <f>V204-T204</f>
        <v/>
      </c>
      <c r="Y204" s="169">
        <f>V204-U204</f>
        <v/>
      </c>
      <c r="Z204" s="80" t="n"/>
    </row>
    <row r="205" ht="44" customHeight="1" s="166">
      <c r="A205" s="150" t="n">
        <v>183</v>
      </c>
      <c r="B205" s="104" t="inlineStr">
        <is>
          <t>011702001001</t>
        </is>
      </c>
      <c r="C205" s="104" t="inlineStr">
        <is>
          <t>基础</t>
        </is>
      </c>
      <c r="D205" s="104" t="inlineStr">
        <is>
          <t>1.基础垫层模板</t>
        </is>
      </c>
      <c r="E205" s="24" t="inlineStr">
        <is>
          <t>m2</t>
        </is>
      </c>
      <c r="F205" s="169" t="n">
        <v>199.69</v>
      </c>
      <c r="G205" s="169" t="n">
        <v>297.75</v>
      </c>
      <c r="H205" s="169">
        <f>269.68+1.22+15.39</f>
        <v/>
      </c>
      <c r="I205" s="169" t="n"/>
      <c r="J205" s="169">
        <f>G205-F205</f>
        <v/>
      </c>
      <c r="K205" s="169">
        <f>H205-F205</f>
        <v/>
      </c>
      <c r="L205" s="169">
        <f>H205-G205</f>
        <v/>
      </c>
      <c r="M205" s="43">
        <f>J205/F205</f>
        <v/>
      </c>
      <c r="N205" s="24" t="n">
        <v>31.42</v>
      </c>
      <c r="O205" s="24" t="n">
        <v>34.37</v>
      </c>
      <c r="P205" s="43">
        <f>(N205-O205)/O205</f>
        <v/>
      </c>
      <c r="Q205" s="169">
        <f>O205*0.9056*0.85</f>
        <v/>
      </c>
      <c r="R205" s="169">
        <f>O205*1.15</f>
        <v/>
      </c>
      <c r="S205" s="169">
        <f>IF(N205&lt;O205*0.9056*0.85,O205*0.9056*0.85,IF(N205&gt;O205*1.15,O205*1.15,N205))</f>
        <v/>
      </c>
      <c r="T205" s="169" t="n">
        <v>6274.33</v>
      </c>
      <c r="U205" s="169" t="n">
        <v>9355.290000000001</v>
      </c>
      <c r="V205" s="169">
        <f>T205+S205*K205</f>
        <v/>
      </c>
      <c r="W205" s="169">
        <f>U205-T205</f>
        <v/>
      </c>
      <c r="X205" s="169">
        <f>V205-T205</f>
        <v/>
      </c>
      <c r="Y205" s="169">
        <f>V205-U205</f>
        <v/>
      </c>
      <c r="Z205" s="80" t="n"/>
    </row>
    <row r="206" ht="44" customHeight="1" s="166">
      <c r="A206" s="150" t="n">
        <v>184</v>
      </c>
      <c r="B206" s="104" t="inlineStr">
        <is>
          <t>011702002011</t>
        </is>
      </c>
      <c r="C206" s="104" t="inlineStr">
        <is>
          <t>矩形柱</t>
        </is>
      </c>
      <c r="D206" s="104" t="inlineStr">
        <is>
          <t>1.矩形柱模板(周长m)支模高度3.6m内1.2内</t>
        </is>
      </c>
      <c r="E206" s="24" t="inlineStr">
        <is>
          <t>m2</t>
        </is>
      </c>
      <c r="F206" s="169" t="n">
        <v>101.01</v>
      </c>
      <c r="G206" s="169" t="n">
        <v>4.28</v>
      </c>
      <c r="H206" s="169" t="n">
        <v>4.08</v>
      </c>
      <c r="I206" s="169" t="n"/>
      <c r="J206" s="169">
        <f>G206-F206</f>
        <v/>
      </c>
      <c r="K206" s="169">
        <f>H206-F206</f>
        <v/>
      </c>
      <c r="L206" s="169">
        <f>H206-G206</f>
        <v/>
      </c>
      <c r="M206" s="43">
        <f>J206/F206</f>
        <v/>
      </c>
      <c r="N206" s="24" t="n">
        <v>66.62</v>
      </c>
      <c r="O206" s="24" t="n">
        <v>71.22</v>
      </c>
      <c r="P206" s="43">
        <f>(N206-O206)/O206</f>
        <v/>
      </c>
      <c r="Q206" s="169">
        <f>O206*0.9056*0.85</f>
        <v/>
      </c>
      <c r="R206" s="169">
        <f>O206*1.15</f>
        <v/>
      </c>
      <c r="S206" s="169">
        <f>IF(N206&lt;O206*0.9056*0.85,O206*0.9056*0.85,IF(N206&gt;O206*1.15,O206*1.15,N206))</f>
        <v/>
      </c>
      <c r="T206" s="169" t="n">
        <v>6729.43</v>
      </c>
      <c r="U206" s="169" t="n">
        <v>285.4</v>
      </c>
      <c r="V206" s="169">
        <f>T206+S206*K206</f>
        <v/>
      </c>
      <c r="W206" s="169">
        <f>U206-T206</f>
        <v/>
      </c>
      <c r="X206" s="169">
        <f>V206-T206</f>
        <v/>
      </c>
      <c r="Y206" s="169">
        <f>V206-U206</f>
        <v/>
      </c>
      <c r="Z206" s="80" t="n"/>
    </row>
    <row r="207" ht="44" customHeight="1" s="166">
      <c r="A207" s="150" t="n">
        <v>185</v>
      </c>
      <c r="B207" s="104" t="inlineStr">
        <is>
          <t>011702002012</t>
        </is>
      </c>
      <c r="C207" s="104" t="inlineStr">
        <is>
          <t>矩形柱</t>
        </is>
      </c>
      <c r="D207" s="104" t="inlineStr">
        <is>
          <t>1.矩形柱模板(周长m)支模高度4.6m内1.2内</t>
        </is>
      </c>
      <c r="E207" s="24" t="inlineStr">
        <is>
          <t>m2</t>
        </is>
      </c>
      <c r="F207" s="169" t="n">
        <v>289.41</v>
      </c>
      <c r="G207" s="169" t="n">
        <v>395.28</v>
      </c>
      <c r="H207" s="169">
        <f>376.15</f>
        <v/>
      </c>
      <c r="I207" s="169" t="n"/>
      <c r="J207" s="169">
        <f>G207-F207</f>
        <v/>
      </c>
      <c r="K207" s="169">
        <f>H207-F207</f>
        <v/>
      </c>
      <c r="L207" s="169">
        <f>H207-G207</f>
        <v/>
      </c>
      <c r="M207" s="43">
        <f>J207/F207</f>
        <v/>
      </c>
      <c r="N207" s="24" t="n">
        <v>70.72</v>
      </c>
      <c r="O207" s="24" t="n">
        <v>75.53</v>
      </c>
      <c r="P207" s="43">
        <f>(N207-O207)/O207</f>
        <v/>
      </c>
      <c r="Q207" s="169">
        <f>O207*0.9056*0.85</f>
        <v/>
      </c>
      <c r="R207" s="169">
        <f>O207*1.15</f>
        <v/>
      </c>
      <c r="S207" s="169">
        <f>IF(N207&lt;O207*0.9056*0.85,O207*0.9056*0.85,IF(N207&gt;O207*1.15,O207*1.15,N207))</f>
        <v/>
      </c>
      <c r="T207" s="169" t="n">
        <v>20466.86</v>
      </c>
      <c r="U207" s="169" t="n">
        <v>27954.14</v>
      </c>
      <c r="V207" s="169">
        <f>T207+S207*K207</f>
        <v/>
      </c>
      <c r="W207" s="169">
        <f>U207-T207</f>
        <v/>
      </c>
      <c r="X207" s="169">
        <f>V207-T207</f>
        <v/>
      </c>
      <c r="Y207" s="169">
        <f>V207-U207</f>
        <v/>
      </c>
      <c r="Z207" s="80" t="n"/>
    </row>
    <row r="208" ht="44" customHeight="1" s="166">
      <c r="A208" s="150" t="n">
        <v>186</v>
      </c>
      <c r="B208" s="104" t="inlineStr">
        <is>
          <t>011702002013</t>
        </is>
      </c>
      <c r="C208" s="104" t="inlineStr">
        <is>
          <t>矩形柱</t>
        </is>
      </c>
      <c r="D208" s="104" t="inlineStr">
        <is>
          <t>1.矩形柱模板(周长m)支模高度5.6m内1.2内</t>
        </is>
      </c>
      <c r="E208" s="24" t="inlineStr">
        <is>
          <t>m2</t>
        </is>
      </c>
      <c r="F208" s="169" t="n">
        <v>52.16</v>
      </c>
      <c r="G208" s="169" t="n">
        <v>31.12</v>
      </c>
      <c r="H208" s="169" t="n">
        <v>31.12</v>
      </c>
      <c r="I208" s="169" t="n"/>
      <c r="J208" s="169">
        <f>G208-F208</f>
        <v/>
      </c>
      <c r="K208" s="169">
        <f>H208-F208</f>
        <v/>
      </c>
      <c r="L208" s="169">
        <f>H208-G208</f>
        <v/>
      </c>
      <c r="M208" s="43">
        <f>J208/F208</f>
        <v/>
      </c>
      <c r="N208" s="24" t="n">
        <v>74.81999999999999</v>
      </c>
      <c r="O208" s="24" t="n">
        <v>79.84999999999999</v>
      </c>
      <c r="P208" s="43">
        <f>(N208-O208)/O208</f>
        <v/>
      </c>
      <c r="Q208" s="169">
        <f>O208*0.9056*0.85</f>
        <v/>
      </c>
      <c r="R208" s="169">
        <f>O208*1.15</f>
        <v/>
      </c>
      <c r="S208" s="169">
        <f>IF(N208&lt;O208*0.9056*0.85,O208*0.9056*0.85,IF(N208&gt;O208*1.15,O208*1.15,N208))</f>
        <v/>
      </c>
      <c r="T208" s="169" t="n">
        <v>3902.61</v>
      </c>
      <c r="U208" s="169" t="n">
        <v>2328.56</v>
      </c>
      <c r="V208" s="169">
        <f>T208+S208*K208</f>
        <v/>
      </c>
      <c r="W208" s="169">
        <f>U208-T208</f>
        <v/>
      </c>
      <c r="X208" s="169">
        <f>V208-T208</f>
        <v/>
      </c>
      <c r="Y208" s="169">
        <f>V208-U208</f>
        <v/>
      </c>
      <c r="Z208" s="80" t="n"/>
    </row>
    <row r="209" ht="44" customHeight="1" s="166">
      <c r="A209" s="150" t="n">
        <v>187</v>
      </c>
      <c r="B209" s="104" t="inlineStr">
        <is>
          <t>011702002014</t>
        </is>
      </c>
      <c r="C209" s="104" t="inlineStr">
        <is>
          <t>矩形柱</t>
        </is>
      </c>
      <c r="D209" s="104" t="inlineStr">
        <is>
          <t>1.矩形柱模板(周长m)支模高度9.4m内1.2内</t>
        </is>
      </c>
      <c r="E209" s="24" t="inlineStr">
        <is>
          <t>m2</t>
        </is>
      </c>
      <c r="F209" s="169" t="n">
        <v>64.8</v>
      </c>
      <c r="G209" s="169" t="n">
        <v>80.36</v>
      </c>
      <c r="H209" s="169">
        <f>64.44+12.09</f>
        <v/>
      </c>
      <c r="I209" s="169" t="n"/>
      <c r="J209" s="169">
        <f>G209-F209</f>
        <v/>
      </c>
      <c r="K209" s="169">
        <f>H209-F209</f>
        <v/>
      </c>
      <c r="L209" s="169">
        <f>H209-G209</f>
        <v/>
      </c>
      <c r="M209" s="43">
        <f>J209/F209</f>
        <v/>
      </c>
      <c r="N209" s="24" t="n">
        <v>100.9</v>
      </c>
      <c r="O209" s="24" t="n">
        <v>108.33</v>
      </c>
      <c r="P209" s="43">
        <f>(N209-O209)/O209</f>
        <v/>
      </c>
      <c r="Q209" s="169">
        <f>O209*0.9056*0.85</f>
        <v/>
      </c>
      <c r="R209" s="169">
        <f>O209*1.15</f>
        <v/>
      </c>
      <c r="S209" s="169">
        <f>IF(N209&lt;O209*0.9056*0.85,O209*0.9056*0.85,IF(N209&gt;O209*1.15,O209*1.15,N209))</f>
        <v/>
      </c>
      <c r="T209" s="169" t="n">
        <v>6538.32</v>
      </c>
      <c r="U209" s="169" t="n">
        <v>8108.18</v>
      </c>
      <c r="V209" s="169">
        <f>T209+S209*K209</f>
        <v/>
      </c>
      <c r="W209" s="169">
        <f>U209-T209</f>
        <v/>
      </c>
      <c r="X209" s="169">
        <f>V209-T209</f>
        <v/>
      </c>
      <c r="Y209" s="169">
        <f>V209-U209</f>
        <v/>
      </c>
      <c r="Z209" s="80" t="n"/>
    </row>
    <row r="210" ht="44" customHeight="1" s="166">
      <c r="A210" s="150" t="n">
        <v>188</v>
      </c>
      <c r="B210" s="104" t="inlineStr">
        <is>
          <t>011702002015</t>
        </is>
      </c>
      <c r="C210" s="104" t="inlineStr">
        <is>
          <t>矩形柱</t>
        </is>
      </c>
      <c r="D210" s="104" t="inlineStr">
        <is>
          <t>1.矩形柱模板(周长m)支模高度3.6m内1.8内</t>
        </is>
      </c>
      <c r="E210" s="24" t="inlineStr">
        <is>
          <t>m2</t>
        </is>
      </c>
      <c r="F210" s="169" t="n">
        <v>18.42</v>
      </c>
      <c r="G210" s="169" t="n">
        <v>0</v>
      </c>
      <c r="H210" s="169" t="n">
        <v>0</v>
      </c>
      <c r="I210" s="169" t="n"/>
      <c r="J210" s="169">
        <f>G210-F210</f>
        <v/>
      </c>
      <c r="K210" s="169">
        <f>H210-F210</f>
        <v/>
      </c>
      <c r="L210" s="169">
        <f>H210-G210</f>
        <v/>
      </c>
      <c r="M210" s="43">
        <f>J210/F210</f>
        <v/>
      </c>
      <c r="N210" s="24" t="n">
        <v>53.08</v>
      </c>
      <c r="O210" s="24" t="n">
        <v>57.93</v>
      </c>
      <c r="P210" s="43">
        <f>(N210-O210)/O210</f>
        <v/>
      </c>
      <c r="Q210" s="169">
        <f>O210*0.9056*0.85</f>
        <v/>
      </c>
      <c r="R210" s="169">
        <f>O210*1.15</f>
        <v/>
      </c>
      <c r="S210" s="169">
        <f>IF(N210&lt;O210*0.9056*0.85,O210*0.9056*0.85,IF(N210&gt;O210*1.15,O210*1.15,N210))</f>
        <v/>
      </c>
      <c r="T210" s="169" t="n">
        <v>977.8</v>
      </c>
      <c r="U210" s="169" t="n">
        <v>0</v>
      </c>
      <c r="V210" s="169" t="n">
        <v>0</v>
      </c>
      <c r="W210" s="169">
        <f>U210-T210</f>
        <v/>
      </c>
      <c r="X210" s="169">
        <f>V210-T210</f>
        <v/>
      </c>
      <c r="Y210" s="169">
        <f>V210-U210</f>
        <v/>
      </c>
      <c r="Z210" s="80" t="n"/>
    </row>
    <row r="211" ht="44" customHeight="1" s="166">
      <c r="A211" s="150" t="n">
        <v>189</v>
      </c>
      <c r="B211" s="104" t="inlineStr">
        <is>
          <t>011702002016</t>
        </is>
      </c>
      <c r="C211" s="104" t="inlineStr">
        <is>
          <t>矩形柱</t>
        </is>
      </c>
      <c r="D211" s="104" t="inlineStr">
        <is>
          <t>1.矩形柱模板(周长m)支模高度4.6m内1.8内</t>
        </is>
      </c>
      <c r="E211" s="24" t="inlineStr">
        <is>
          <t>m2</t>
        </is>
      </c>
      <c r="F211" s="169" t="n">
        <v>43.68</v>
      </c>
      <c r="G211" s="169" t="n">
        <v>0</v>
      </c>
      <c r="H211" s="169" t="n">
        <v>0</v>
      </c>
      <c r="I211" s="169" t="n"/>
      <c r="J211" s="169">
        <f>G211-F211</f>
        <v/>
      </c>
      <c r="K211" s="169">
        <f>H211-F211</f>
        <v/>
      </c>
      <c r="L211" s="169">
        <f>H211-G211</f>
        <v/>
      </c>
      <c r="M211" s="43">
        <f>J211/F211</f>
        <v/>
      </c>
      <c r="N211" s="24" t="n">
        <v>57.18</v>
      </c>
      <c r="O211" s="24" t="n">
        <v>62.24</v>
      </c>
      <c r="P211" s="43">
        <f>(N211-O211)/O211</f>
        <v/>
      </c>
      <c r="Q211" s="169">
        <f>O211*0.9056*0.85</f>
        <v/>
      </c>
      <c r="R211" s="169">
        <f>O211*1.15</f>
        <v/>
      </c>
      <c r="S211" s="169">
        <f>IF(N211&lt;O211*0.9056*0.85,O211*0.9056*0.85,IF(N211&gt;O211*1.15,O211*1.15,N211))</f>
        <v/>
      </c>
      <c r="T211" s="169" t="n">
        <v>2497.62</v>
      </c>
      <c r="U211" s="169" t="n">
        <v>0</v>
      </c>
      <c r="V211" s="169">
        <f>T211+S211*K211</f>
        <v/>
      </c>
      <c r="W211" s="169">
        <f>U211-T211</f>
        <v/>
      </c>
      <c r="X211" s="169">
        <f>V211-T211</f>
        <v/>
      </c>
      <c r="Y211" s="169">
        <f>V211-U211</f>
        <v/>
      </c>
      <c r="Z211" s="80" t="n"/>
    </row>
    <row r="212" ht="44" customHeight="1" s="166">
      <c r="A212" s="150" t="n">
        <v>190</v>
      </c>
      <c r="B212" s="104" t="inlineStr">
        <is>
          <t>011702002017</t>
        </is>
      </c>
      <c r="C212" s="104" t="inlineStr">
        <is>
          <t>矩形柱</t>
        </is>
      </c>
      <c r="D212" s="104" t="inlineStr">
        <is>
          <t>1.矩形柱模板(周长m)支模高度5.6m内1.8内</t>
        </is>
      </c>
      <c r="E212" s="24" t="inlineStr">
        <is>
          <t>m2</t>
        </is>
      </c>
      <c r="F212" s="169" t="n">
        <v>72.8</v>
      </c>
      <c r="G212" s="169" t="n">
        <v>0</v>
      </c>
      <c r="H212" s="169">
        <f>404.76+18.83</f>
        <v/>
      </c>
      <c r="I212" s="169" t="n"/>
      <c r="J212" s="169">
        <f>G212-F212</f>
        <v/>
      </c>
      <c r="K212" s="169">
        <f>H212-F212</f>
        <v/>
      </c>
      <c r="L212" s="169">
        <f>H212-G212</f>
        <v/>
      </c>
      <c r="M212" s="43">
        <f>J212/F212</f>
        <v/>
      </c>
      <c r="N212" s="24" t="n">
        <v>61.28</v>
      </c>
      <c r="O212" s="24" t="n">
        <v>66.56</v>
      </c>
      <c r="P212" s="43">
        <f>(N212-O212)/O212</f>
        <v/>
      </c>
      <c r="Q212" s="169">
        <f>O212*0.9056*0.85</f>
        <v/>
      </c>
      <c r="R212" s="169">
        <f>O212*1.15</f>
        <v/>
      </c>
      <c r="S212" s="169">
        <f>IF(N212&lt;O212*0.9056*0.85,O212*0.9056*0.85,IF(N212&gt;O212*1.15,O212*1.15,N212))</f>
        <v/>
      </c>
      <c r="T212" s="169" t="n">
        <v>4461.18</v>
      </c>
      <c r="U212" s="169" t="n">
        <v>0</v>
      </c>
      <c r="V212" s="169">
        <f>T212+S212*K212</f>
        <v/>
      </c>
      <c r="W212" s="169">
        <f>U212-T212</f>
        <v/>
      </c>
      <c r="X212" s="169">
        <f>V212-T212</f>
        <v/>
      </c>
      <c r="Y212" s="169">
        <f>V212-U212</f>
        <v/>
      </c>
      <c r="Z212" s="80" t="inlineStr">
        <is>
          <t>将清单序号193工程量归到此计算</t>
        </is>
      </c>
      <c r="AA212" s="161" t="inlineStr">
        <is>
          <t>5.6、6.6m高1.8外工程量</t>
        </is>
      </c>
    </row>
    <row r="213" ht="44" customHeight="1" s="166">
      <c r="A213" s="150" t="n">
        <v>191</v>
      </c>
      <c r="B213" s="104" t="inlineStr">
        <is>
          <t>011702002018</t>
        </is>
      </c>
      <c r="C213" s="104" t="inlineStr">
        <is>
          <t>矩形柱</t>
        </is>
      </c>
      <c r="D213" s="104" t="inlineStr">
        <is>
          <t>1.矩形柱模板(周长m)支模高度3.6m内1.8外</t>
        </is>
      </c>
      <c r="E213" s="24" t="inlineStr">
        <is>
          <t>m2</t>
        </is>
      </c>
      <c r="F213" s="169" t="n">
        <v>23.36</v>
      </c>
      <c r="G213" s="169" t="n">
        <v>21.63</v>
      </c>
      <c r="H213" s="169" t="n">
        <v>21.63</v>
      </c>
      <c r="I213" s="169" t="n"/>
      <c r="J213" s="169">
        <f>G213-F213</f>
        <v/>
      </c>
      <c r="K213" s="169">
        <f>H213-F213</f>
        <v/>
      </c>
      <c r="L213" s="169">
        <f>H213-G213</f>
        <v/>
      </c>
      <c r="M213" s="43">
        <f>J213/F213</f>
        <v/>
      </c>
      <c r="N213" s="24" t="n">
        <v>58.27</v>
      </c>
      <c r="O213" s="24" t="n">
        <v>63.57</v>
      </c>
      <c r="P213" s="43">
        <f>(N213-O213)/O213</f>
        <v/>
      </c>
      <c r="Q213" s="169">
        <f>O213*0.9056*0.85</f>
        <v/>
      </c>
      <c r="R213" s="169">
        <f>O213*1.15</f>
        <v/>
      </c>
      <c r="S213" s="169">
        <f>IF(N213&lt;O213*0.9056*0.85,O213*0.9056*0.85,IF(N213&gt;O213*1.15,O213*1.15,N213))</f>
        <v/>
      </c>
      <c r="T213" s="169" t="n">
        <v>1360.94</v>
      </c>
      <c r="U213" s="169" t="n">
        <v>1260.31</v>
      </c>
      <c r="V213" s="169">
        <f>T213+S213*K213</f>
        <v/>
      </c>
      <c r="W213" s="169">
        <f>U213-T213</f>
        <v/>
      </c>
      <c r="X213" s="169">
        <f>V213-T213</f>
        <v/>
      </c>
      <c r="Y213" s="169">
        <f>V213-U213</f>
        <v/>
      </c>
      <c r="Z213" s="80" t="n"/>
    </row>
    <row r="214" ht="44" customHeight="1" s="166">
      <c r="A214" s="150" t="n">
        <v>192</v>
      </c>
      <c r="B214" s="104" t="inlineStr">
        <is>
          <t>011702002019</t>
        </is>
      </c>
      <c r="C214" s="104" t="inlineStr">
        <is>
          <t>矩形柱</t>
        </is>
      </c>
      <c r="D214" s="104" t="inlineStr">
        <is>
          <t>1.矩形柱模板(周长m)支模高度4.6m内1.8外</t>
        </is>
      </c>
      <c r="E214" s="24" t="inlineStr">
        <is>
          <t>m2</t>
        </is>
      </c>
      <c r="F214" s="169" t="n">
        <v>722.53</v>
      </c>
      <c r="G214" s="169" t="n">
        <v>224.97</v>
      </c>
      <c r="H214" s="169" t="n">
        <v>219.24</v>
      </c>
      <c r="I214" s="169" t="n"/>
      <c r="J214" s="169">
        <f>G214-F214</f>
        <v/>
      </c>
      <c r="K214" s="169">
        <f>H214-F214</f>
        <v/>
      </c>
      <c r="L214" s="169">
        <f>H214-G214</f>
        <v/>
      </c>
      <c r="M214" s="43">
        <f>J214/F214</f>
        <v/>
      </c>
      <c r="N214" s="24" t="n">
        <v>62.37</v>
      </c>
      <c r="O214" s="24" t="n">
        <v>67.88</v>
      </c>
      <c r="P214" s="43">
        <f>(N214-O214)/O214</f>
        <v/>
      </c>
      <c r="Q214" s="169">
        <f>O214*0.9056*0.85</f>
        <v/>
      </c>
      <c r="R214" s="169">
        <f>O214*1.15</f>
        <v/>
      </c>
      <c r="S214" s="169">
        <f>IF(N214&lt;O214*0.9056*0.85,O214*0.9056*0.85,IF(N214&gt;O214*1.15,O214*1.15,N214))</f>
        <v/>
      </c>
      <c r="T214" s="169" t="n">
        <v>45064.47</v>
      </c>
      <c r="U214" s="169" t="n">
        <v>14031.23</v>
      </c>
      <c r="V214" s="169">
        <f>T214+S214*K214</f>
        <v/>
      </c>
      <c r="W214" s="169">
        <f>U214-T214</f>
        <v/>
      </c>
      <c r="X214" s="169">
        <f>V214-T214</f>
        <v/>
      </c>
      <c r="Y214" s="169">
        <f>V214-U214</f>
        <v/>
      </c>
      <c r="Z214" s="80" t="n"/>
    </row>
    <row r="215" ht="44" customHeight="1" s="166">
      <c r="A215" s="150" t="n">
        <v>193</v>
      </c>
      <c r="B215" s="104" t="inlineStr">
        <is>
          <t>011702002020</t>
        </is>
      </c>
      <c r="C215" s="104" t="inlineStr">
        <is>
          <t>矩形柱</t>
        </is>
      </c>
      <c r="D215" s="104" t="inlineStr">
        <is>
          <t>1.矩形柱模板(周长m)支模高度9.4m内1.8外</t>
        </is>
      </c>
      <c r="E215" s="24" t="inlineStr">
        <is>
          <t>m2</t>
        </is>
      </c>
      <c r="F215" s="169" t="n">
        <v>230.4</v>
      </c>
      <c r="G215" s="169" t="n">
        <v>868.28</v>
      </c>
      <c r="H215" s="169">
        <f>403.09</f>
        <v/>
      </c>
      <c r="I215" s="169" t="n"/>
      <c r="J215" s="169">
        <f>G215-F215</f>
        <v/>
      </c>
      <c r="K215" s="169">
        <f>H215-F215</f>
        <v/>
      </c>
      <c r="L215" s="169">
        <f>H215-G215</f>
        <v/>
      </c>
      <c r="M215" s="43">
        <f>J215/F215</f>
        <v/>
      </c>
      <c r="N215" s="24" t="n">
        <v>102.3</v>
      </c>
      <c r="O215" s="24" t="n">
        <v>100.46</v>
      </c>
      <c r="P215" s="43">
        <f>(N215-O215)/O215</f>
        <v/>
      </c>
      <c r="Q215" s="169">
        <f>O215*0.9056*0.85</f>
        <v/>
      </c>
      <c r="R215" s="169">
        <f>O215*1.15</f>
        <v/>
      </c>
      <c r="S215" s="169">
        <f>IF(N215&lt;O215*0.9056*0.85,O215*0.9056*0.85,IF(N215&gt;O215*1.15,O215*1.15,N215))</f>
        <v/>
      </c>
      <c r="T215" s="169" t="n">
        <v>23569.92</v>
      </c>
      <c r="U215" s="169" t="n">
        <v>88825.3</v>
      </c>
      <c r="V215" s="169">
        <f>T215+S215*K215</f>
        <v/>
      </c>
      <c r="W215" s="169">
        <f>U215-T215</f>
        <v/>
      </c>
      <c r="X215" s="169">
        <f>V215-T215</f>
        <v/>
      </c>
      <c r="Y215" s="169">
        <f>V215-U215</f>
        <v/>
      </c>
      <c r="Z215" s="80" t="n"/>
    </row>
    <row r="216" ht="44" customHeight="1" s="166">
      <c r="A216" s="150" t="n">
        <v>194</v>
      </c>
      <c r="B216" s="104" t="inlineStr">
        <is>
          <t>011702002021</t>
        </is>
      </c>
      <c r="C216" s="104" t="inlineStr">
        <is>
          <t>矩形柱</t>
        </is>
      </c>
      <c r="D216" s="104" t="inlineStr">
        <is>
          <t>1.矩形柱模板(周长m)支模高度11.4m内1.8外</t>
        </is>
      </c>
      <c r="E216" s="24" t="inlineStr">
        <is>
          <t>m2</t>
        </is>
      </c>
      <c r="F216" s="169" t="n">
        <v>105.49</v>
      </c>
      <c r="G216" s="169" t="n">
        <v>0</v>
      </c>
      <c r="H216" s="169" t="n">
        <v>0</v>
      </c>
      <c r="I216" s="169" t="n"/>
      <c r="J216" s="169">
        <f>G216-F216</f>
        <v/>
      </c>
      <c r="K216" s="169">
        <f>H216-F216</f>
        <v/>
      </c>
      <c r="L216" s="169">
        <f>H216-G216</f>
        <v/>
      </c>
      <c r="M216" s="43">
        <f>J216/F216</f>
        <v/>
      </c>
      <c r="N216" s="24" t="n">
        <v>106.73</v>
      </c>
      <c r="O216" s="24" t="n">
        <v>109.38</v>
      </c>
      <c r="P216" s="43">
        <f>(N216-O216)/O216</f>
        <v/>
      </c>
      <c r="Q216" s="169">
        <f>O216*0.9056*0.85</f>
        <v/>
      </c>
      <c r="R216" s="169">
        <f>O216*1.15</f>
        <v/>
      </c>
      <c r="S216" s="169">
        <f>IF(N216&lt;O216*0.9056*0.85,O216*0.9056*0.85,IF(N216&gt;O216*1.15,O216*1.15,N216))</f>
        <v/>
      </c>
      <c r="T216" s="169" t="n">
        <v>11258.74</v>
      </c>
      <c r="U216" s="169" t="n">
        <v>0</v>
      </c>
      <c r="V216" s="169">
        <f>T216+S216*K216</f>
        <v/>
      </c>
      <c r="W216" s="169">
        <f>U216-T216</f>
        <v/>
      </c>
      <c r="X216" s="169">
        <f>V216-T216</f>
        <v/>
      </c>
      <c r="Y216" s="169">
        <f>V216-U216</f>
        <v/>
      </c>
      <c r="Z216" s="80" t="n"/>
    </row>
    <row r="217" ht="44" customHeight="1" s="166">
      <c r="A217" s="150" t="n">
        <v>195</v>
      </c>
      <c r="B217" s="104" t="inlineStr">
        <is>
          <t>011702002022</t>
        </is>
      </c>
      <c r="C217" s="104" t="inlineStr">
        <is>
          <t>矩形柱</t>
        </is>
      </c>
      <c r="D217" s="104" t="inlineStr">
        <is>
          <t>1.矩形柱模板(周长m)支模高度12.4m内1.8外</t>
        </is>
      </c>
      <c r="E217" s="24" t="inlineStr">
        <is>
          <t>m2</t>
        </is>
      </c>
      <c r="F217" s="169" t="n">
        <v>119.71</v>
      </c>
      <c r="G217" s="169" t="n">
        <v>0</v>
      </c>
      <c r="H217" s="169" t="n">
        <v>0</v>
      </c>
      <c r="I217" s="169" t="n"/>
      <c r="J217" s="169">
        <f>G217-F217</f>
        <v/>
      </c>
      <c r="K217" s="169">
        <f>H217-F217</f>
        <v/>
      </c>
      <c r="L217" s="169">
        <f>H217-G217</f>
        <v/>
      </c>
      <c r="M217" s="43">
        <f>J217/F217</f>
        <v/>
      </c>
      <c r="N217" s="24" t="n">
        <v>111.16</v>
      </c>
      <c r="O217" s="24" t="n">
        <v>113.85</v>
      </c>
      <c r="P217" s="43">
        <f>(N217-O217)/O217</f>
        <v/>
      </c>
      <c r="Q217" s="169">
        <f>O217*0.9056*0.85</f>
        <v/>
      </c>
      <c r="R217" s="169">
        <f>O217*1.15</f>
        <v/>
      </c>
      <c r="S217" s="169">
        <f>IF(N217&lt;O217*0.9056*0.85,O217*0.9056*0.85,IF(N217&gt;O217*1.15,O217*1.15,N217))</f>
        <v/>
      </c>
      <c r="T217" s="169" t="n">
        <v>13307.02</v>
      </c>
      <c r="U217" s="169" t="n">
        <v>0</v>
      </c>
      <c r="V217" s="169" t="n">
        <v>0</v>
      </c>
      <c r="W217" s="169">
        <f>U217-T217</f>
        <v/>
      </c>
      <c r="X217" s="169">
        <f>V217-T217</f>
        <v/>
      </c>
      <c r="Y217" s="169">
        <f>V217-U217</f>
        <v/>
      </c>
      <c r="Z217" s="80" t="n"/>
    </row>
    <row r="218" ht="44" customFormat="1" customHeight="1" s="1">
      <c r="A218" s="150" t="n">
        <v>196</v>
      </c>
      <c r="B218" s="104" t="inlineStr">
        <is>
          <t>011702003001</t>
        </is>
      </c>
      <c r="C218" s="104" t="inlineStr">
        <is>
          <t>构造柱</t>
        </is>
      </c>
      <c r="D218" s="104" t="inlineStr">
        <is>
          <t>1.构造柱模板(周长m)支模高度3.6m内1.2内</t>
        </is>
      </c>
      <c r="E218" s="24" t="inlineStr">
        <is>
          <t>m2</t>
        </is>
      </c>
      <c r="F218" s="169" t="n">
        <v>106.68</v>
      </c>
      <c r="G218" s="169" t="n">
        <v>323.15</v>
      </c>
      <c r="H218" s="169" t="n">
        <v>323.15</v>
      </c>
      <c r="I218" s="169" t="n"/>
      <c r="J218" s="169">
        <f>G218-F218</f>
        <v/>
      </c>
      <c r="K218" s="169">
        <f>H218-F218</f>
        <v/>
      </c>
      <c r="L218" s="169">
        <f>H218-G218</f>
        <v/>
      </c>
      <c r="M218" s="43">
        <f>J218/F218</f>
        <v/>
      </c>
      <c r="N218" s="24" t="n">
        <v>66.62</v>
      </c>
      <c r="O218" s="24" t="n">
        <v>78.81</v>
      </c>
      <c r="P218" s="43">
        <f>(N218-O218)/O218</f>
        <v/>
      </c>
      <c r="Q218" s="169">
        <f>O218*0.9056*0.85</f>
        <v/>
      </c>
      <c r="R218" s="169">
        <f>O218*1.15</f>
        <v/>
      </c>
      <c r="S218" s="169">
        <f>IF(N218&lt;O218*0.9056*0.85,O218*0.9056*0.85,IF(N218&gt;O218*1.15,O218*1.15,N218))</f>
        <v/>
      </c>
      <c r="T218" s="169" t="n">
        <v>7107.3</v>
      </c>
      <c r="U218" s="169" t="n">
        <v>21528.25</v>
      </c>
      <c r="V218" s="169" t="n">
        <v>21528.25</v>
      </c>
      <c r="W218" s="169">
        <f>U218-T218</f>
        <v/>
      </c>
      <c r="X218" s="169">
        <f>V218-T218</f>
        <v/>
      </c>
      <c r="Y218" s="169">
        <f>V218-U218</f>
        <v/>
      </c>
      <c r="Z218" s="80" t="n"/>
      <c r="AA218" s="71" t="n"/>
    </row>
    <row r="219" ht="44" customFormat="1" customHeight="1" s="1">
      <c r="A219" s="150" t="n">
        <v>197</v>
      </c>
      <c r="B219" s="104" t="inlineStr">
        <is>
          <t>011702003003</t>
        </is>
      </c>
      <c r="C219" s="104" t="inlineStr">
        <is>
          <t>构造柱</t>
        </is>
      </c>
      <c r="D219" s="104" t="inlineStr">
        <is>
          <t>1.构造柱模板(周长m)支模高度4.6m内1.2内</t>
        </is>
      </c>
      <c r="E219" s="24" t="inlineStr">
        <is>
          <t>m2</t>
        </is>
      </c>
      <c r="F219" s="169" t="n">
        <v>708.62</v>
      </c>
      <c r="G219" s="169" t="n">
        <v>560.48</v>
      </c>
      <c r="H219" s="169" t="n">
        <v>560.48</v>
      </c>
      <c r="I219" s="169" t="n"/>
      <c r="J219" s="169">
        <f>G219-F219</f>
        <v/>
      </c>
      <c r="K219" s="169">
        <f>H219-F219</f>
        <v/>
      </c>
      <c r="L219" s="169">
        <f>H219-G219</f>
        <v/>
      </c>
      <c r="M219" s="43">
        <f>J219/F219</f>
        <v/>
      </c>
      <c r="N219" s="24" t="n">
        <v>70.72</v>
      </c>
      <c r="O219" s="24" t="n">
        <v>83.12</v>
      </c>
      <c r="P219" s="43">
        <f>(N219-O219)/O219</f>
        <v/>
      </c>
      <c r="Q219" s="169">
        <f>O219*0.9056*0.85</f>
        <v/>
      </c>
      <c r="R219" s="169">
        <f>O219*1.15</f>
        <v/>
      </c>
      <c r="S219" s="169">
        <f>IF(N219&lt;O219*0.9056*0.85,O219*0.9056*0.85,IF(N219&gt;O219*1.15,O219*1.15,N219))</f>
        <v/>
      </c>
      <c r="T219" s="169" t="n">
        <v>50113.95</v>
      </c>
      <c r="U219" s="169" t="n">
        <v>39637.36</v>
      </c>
      <c r="V219" s="169" t="n">
        <v>39637.36</v>
      </c>
      <c r="W219" s="169">
        <f>U219-T219</f>
        <v/>
      </c>
      <c r="X219" s="169">
        <f>V219-T219</f>
        <v/>
      </c>
      <c r="Y219" s="169">
        <f>V219-U219</f>
        <v/>
      </c>
      <c r="Z219" s="80" t="n"/>
      <c r="AA219" s="71" t="n"/>
    </row>
    <row r="220" ht="44" customHeight="1" s="166">
      <c r="A220" s="150" t="n">
        <v>198</v>
      </c>
      <c r="B220" s="104" t="inlineStr">
        <is>
          <t>011702004005</t>
        </is>
      </c>
      <c r="C220" s="104" t="inlineStr">
        <is>
          <t>异形柱</t>
        </is>
      </c>
      <c r="D220" s="104" t="inlineStr">
        <is>
          <t>1.圆形柱模板(周长m)支模高度4.6m内</t>
        </is>
      </c>
      <c r="E220" s="24" t="inlineStr">
        <is>
          <t>m2</t>
        </is>
      </c>
      <c r="F220" s="169" t="n">
        <v>120.09</v>
      </c>
      <c r="G220" s="169" t="n">
        <v>11.16</v>
      </c>
      <c r="H220" s="169" t="n">
        <v>11.16</v>
      </c>
      <c r="I220" s="169" t="n"/>
      <c r="J220" s="169">
        <f>G220-F220</f>
        <v/>
      </c>
      <c r="K220" s="169">
        <f>H220-F220</f>
        <v/>
      </c>
      <c r="L220" s="169">
        <f>H220-G220</f>
        <v/>
      </c>
      <c r="M220" s="43">
        <f>J220/F220</f>
        <v/>
      </c>
      <c r="N220" s="24" t="n">
        <v>78.64</v>
      </c>
      <c r="O220" s="24" t="n">
        <v>128.71</v>
      </c>
      <c r="P220" s="43">
        <f>(N220-O220)/O220</f>
        <v/>
      </c>
      <c r="Q220" s="169">
        <f>O220*0.9056*0.85</f>
        <v/>
      </c>
      <c r="R220" s="169">
        <f>O220*1.15</f>
        <v/>
      </c>
      <c r="S220" s="169">
        <f>IF(N220&lt;O220*0.9056*0.85,O220*0.9056*0.85,IF(N220&gt;O220*1.15,O220*1.15,N220))</f>
        <v/>
      </c>
      <c r="T220" s="169" t="n">
        <v>9443.85</v>
      </c>
      <c r="U220" s="169" t="n">
        <v>-1348.18</v>
      </c>
      <c r="V220" s="169">
        <f>T220+S220*K220</f>
        <v/>
      </c>
      <c r="W220" s="169">
        <f>U220-T220</f>
        <v/>
      </c>
      <c r="X220" s="169">
        <f>V220-T220</f>
        <v/>
      </c>
      <c r="Y220" s="169">
        <f>V220-U220</f>
        <v/>
      </c>
      <c r="Z220" s="80" t="n"/>
    </row>
    <row r="221" ht="44" customHeight="1" s="166">
      <c r="A221" s="150" t="n">
        <v>199</v>
      </c>
      <c r="B221" s="104" t="inlineStr">
        <is>
          <t>011702004006</t>
        </is>
      </c>
      <c r="C221" s="104" t="inlineStr">
        <is>
          <t>异形柱</t>
        </is>
      </c>
      <c r="D221" s="104" t="inlineStr">
        <is>
          <t>1.圆形柱模板(周长m)支模高度5.6m内</t>
        </is>
      </c>
      <c r="E221" s="24" t="inlineStr">
        <is>
          <t>m2</t>
        </is>
      </c>
      <c r="F221" s="169" t="n">
        <v>13.17</v>
      </c>
      <c r="G221" s="169" t="n">
        <v>89.83</v>
      </c>
      <c r="H221" s="169">
        <f>86.48</f>
        <v/>
      </c>
      <c r="I221" s="169" t="n"/>
      <c r="J221" s="169">
        <f>G221-F221</f>
        <v/>
      </c>
      <c r="K221" s="169">
        <f>H221-F221</f>
        <v/>
      </c>
      <c r="L221" s="169">
        <f>H221-G221</f>
        <v/>
      </c>
      <c r="M221" s="43">
        <f>J221/F221</f>
        <v/>
      </c>
      <c r="N221" s="24" t="n">
        <v>82.73999999999999</v>
      </c>
      <c r="O221" s="24" t="n">
        <v>133.03</v>
      </c>
      <c r="P221" s="43">
        <f>(N221-O221)/O221</f>
        <v/>
      </c>
      <c r="Q221" s="169">
        <f>O221*0.9056*0.85</f>
        <v/>
      </c>
      <c r="R221" s="169">
        <f>O221*1.15</f>
        <v/>
      </c>
      <c r="S221" s="169">
        <f>IF(N221&lt;O221*0.9056*0.85,O221*0.9056*0.85,IF(N221&gt;O221*1.15,O221*1.15,N221))</f>
        <v/>
      </c>
      <c r="T221" s="169" t="n">
        <v>1089.55</v>
      </c>
      <c r="U221" s="169" t="n">
        <v>8939.73</v>
      </c>
      <c r="V221" s="169">
        <f>T221+S221*K221</f>
        <v/>
      </c>
      <c r="W221" s="169">
        <f>U221-T221</f>
        <v/>
      </c>
      <c r="X221" s="169">
        <f>V221-T221</f>
        <v/>
      </c>
      <c r="Y221" s="169">
        <f>V221-U221</f>
        <v/>
      </c>
      <c r="Z221" s="80" t="n"/>
    </row>
    <row r="222" ht="44" customHeight="1" s="166">
      <c r="A222" s="150" t="n">
        <v>200</v>
      </c>
      <c r="B222" s="104" t="inlineStr">
        <is>
          <t>011702004007</t>
        </is>
      </c>
      <c r="C222" s="104" t="inlineStr">
        <is>
          <t>异形柱</t>
        </is>
      </c>
      <c r="D222" s="104" t="inlineStr">
        <is>
          <t>1.圆形柱模板(周长m)支模高度13.4m内</t>
        </is>
      </c>
      <c r="E222" s="24" t="inlineStr">
        <is>
          <t>m2</t>
        </is>
      </c>
      <c r="F222" s="169" t="n">
        <v>24.96</v>
      </c>
      <c r="G222" s="169" t="n">
        <v>0</v>
      </c>
      <c r="H222" s="169" t="n">
        <v>0</v>
      </c>
      <c r="I222" s="169" t="n"/>
      <c r="J222" s="169">
        <f>G222-F222</f>
        <v/>
      </c>
      <c r="K222" s="169">
        <f>H222-F222</f>
        <v/>
      </c>
      <c r="L222" s="169">
        <f>H222-G222</f>
        <v/>
      </c>
      <c r="M222" s="43">
        <f>J222/F222</f>
        <v/>
      </c>
      <c r="N222" s="24" t="n">
        <v>131.77</v>
      </c>
      <c r="O222" s="24" t="n">
        <v>172.21</v>
      </c>
      <c r="P222" s="43">
        <f>(N222-O222)/O222</f>
        <v/>
      </c>
      <c r="Q222" s="169">
        <f>O222*0.9056*0.85</f>
        <v/>
      </c>
      <c r="R222" s="169">
        <f>O222*1.15</f>
        <v/>
      </c>
      <c r="S222" s="169">
        <f>IF(N222&lt;O222*0.9056*0.85,O222*0.9056*0.85,IF(N222&gt;O222*1.15,O222*1.15,N222))</f>
        <v/>
      </c>
      <c r="T222" s="169" t="n">
        <v>3288.56</v>
      </c>
      <c r="U222" s="169" t="n">
        <v>-19.73</v>
      </c>
      <c r="V222" s="169">
        <f>T222+S222*K222</f>
        <v/>
      </c>
      <c r="W222" s="169">
        <f>U222-T222</f>
        <v/>
      </c>
      <c r="X222" s="169">
        <f>V222-T222</f>
        <v/>
      </c>
      <c r="Y222" s="169">
        <f>V222-U222</f>
        <v/>
      </c>
      <c r="Z222" s="80" t="n"/>
    </row>
    <row r="223" ht="44" customHeight="1" s="166">
      <c r="A223" s="150" t="n">
        <v>201</v>
      </c>
      <c r="B223" s="104" t="inlineStr">
        <is>
          <t>011702004008</t>
        </is>
      </c>
      <c r="C223" s="104" t="inlineStr">
        <is>
          <t>异形柱</t>
        </is>
      </c>
      <c r="D223" s="104" t="inlineStr">
        <is>
          <t>1.圆形柱模板(周长m)支模高度14.4m内</t>
        </is>
      </c>
      <c r="E223" s="24" t="inlineStr">
        <is>
          <t>m2</t>
        </is>
      </c>
      <c r="F223" s="169" t="n">
        <v>49.91</v>
      </c>
      <c r="G223" s="169" t="n">
        <v>0</v>
      </c>
      <c r="H223" s="169" t="n">
        <v>0</v>
      </c>
      <c r="I223" s="169" t="n"/>
      <c r="J223" s="169">
        <f>G223-F223</f>
        <v/>
      </c>
      <c r="K223" s="169">
        <f>H223-F223</f>
        <v/>
      </c>
      <c r="L223" s="169">
        <f>H223-G223</f>
        <v/>
      </c>
      <c r="M223" s="43">
        <f>J223/F223</f>
        <v/>
      </c>
      <c r="N223" s="24" t="n">
        <v>136.2</v>
      </c>
      <c r="O223" s="24" t="n">
        <v>176.67</v>
      </c>
      <c r="P223" s="43">
        <f>(N223-O223)/O223</f>
        <v/>
      </c>
      <c r="Q223" s="169">
        <f>O223*0.9056*0.85</f>
        <v/>
      </c>
      <c r="R223" s="169">
        <f>O223*1.15</f>
        <v/>
      </c>
      <c r="S223" s="169">
        <f>IF(N223&lt;O223*0.9056*0.85,O223*0.9056*0.85,IF(N223&gt;O223*1.15,O223*1.15,N223))</f>
        <v/>
      </c>
      <c r="T223" s="169" t="n">
        <v>6798.23</v>
      </c>
      <c r="U223" s="169" t="n">
        <v>0</v>
      </c>
      <c r="V223" s="169" t="n">
        <v>0</v>
      </c>
      <c r="W223" s="169">
        <f>U223-T223</f>
        <v/>
      </c>
      <c r="X223" s="169">
        <f>V223-T223</f>
        <v/>
      </c>
      <c r="Y223" s="169">
        <f>V223-U223</f>
        <v/>
      </c>
      <c r="Z223" s="80" t="n"/>
    </row>
    <row r="224" ht="44" customHeight="1" s="166">
      <c r="A224" s="150" t="n">
        <v>202</v>
      </c>
      <c r="B224" s="104" t="inlineStr">
        <is>
          <t>011702004009</t>
        </is>
      </c>
      <c r="C224" s="104" t="inlineStr">
        <is>
          <t>异形柱</t>
        </is>
      </c>
      <c r="D224" s="104" t="inlineStr">
        <is>
          <t>1.圆形柱模板(周长m)支模高度15.4m内</t>
        </is>
      </c>
      <c r="E224" s="24" t="inlineStr">
        <is>
          <t>m2</t>
        </is>
      </c>
      <c r="F224" s="169" t="n">
        <v>49.91</v>
      </c>
      <c r="G224" s="169" t="n">
        <v>11.53</v>
      </c>
      <c r="H224" s="169">
        <f>10.98+39.67</f>
        <v/>
      </c>
      <c r="I224" s="169" t="n"/>
      <c r="J224" s="169">
        <f>G224-F224</f>
        <v/>
      </c>
      <c r="K224" s="169">
        <f>H224-F224</f>
        <v/>
      </c>
      <c r="L224" s="169">
        <f>H224-G224</f>
        <v/>
      </c>
      <c r="M224" s="43">
        <f>J224/F224</f>
        <v/>
      </c>
      <c r="N224" s="24" t="n">
        <v>140.63</v>
      </c>
      <c r="O224" s="24" t="n">
        <v>90.56999999999999</v>
      </c>
      <c r="P224" s="43">
        <f>(N224-O224)/O224</f>
        <v/>
      </c>
      <c r="Q224" s="169">
        <f>O224*0.9056*0.85</f>
        <v/>
      </c>
      <c r="R224" s="169">
        <f>O224*1.15</f>
        <v/>
      </c>
      <c r="S224" s="169">
        <f>IF(N224&lt;O224*0.9056*0.85,O224*0.9056*0.85,IF(N224&gt;O224*1.15,O224*1.15,N224))</f>
        <v/>
      </c>
      <c r="T224" s="169" t="n">
        <v>7019.35</v>
      </c>
      <c r="U224" s="169" t="n">
        <v>3021.68</v>
      </c>
      <c r="V224" s="169">
        <f>T224+S224*K224</f>
        <v/>
      </c>
      <c r="W224" s="169">
        <f>U224-T224</f>
        <v/>
      </c>
      <c r="X224" s="169">
        <f>V224-T224</f>
        <v/>
      </c>
      <c r="Y224" s="169">
        <f>V224-U224</f>
        <v/>
      </c>
      <c r="Z224" s="80" t="inlineStr">
        <is>
          <t>将清单序号203工程量归到此计算</t>
        </is>
      </c>
      <c r="AA224" s="161" t="inlineStr">
        <is>
          <t>16.4m高工程量</t>
        </is>
      </c>
    </row>
    <row r="225" ht="44" customHeight="1" s="166">
      <c r="A225" s="150" t="n">
        <v>203</v>
      </c>
      <c r="B225" s="104" t="inlineStr">
        <is>
          <t>011702004010</t>
        </is>
      </c>
      <c r="C225" s="104" t="inlineStr">
        <is>
          <t>异形柱</t>
        </is>
      </c>
      <c r="D225" s="104" t="inlineStr">
        <is>
          <t>1.圆形柱模板(周长m)支模高度17.4m内</t>
        </is>
      </c>
      <c r="E225" s="24" t="inlineStr">
        <is>
          <t>m2</t>
        </is>
      </c>
      <c r="F225" s="169" t="n">
        <v>325.5</v>
      </c>
      <c r="G225" s="169" t="n">
        <v>490.53</v>
      </c>
      <c r="H225" s="169" t="n">
        <v>429.35</v>
      </c>
      <c r="I225" s="169" t="n"/>
      <c r="J225" s="169">
        <f>G225-F225</f>
        <v/>
      </c>
      <c r="K225" s="169">
        <f>H225-F225</f>
        <v/>
      </c>
      <c r="L225" s="169">
        <f>H225-G225</f>
        <v/>
      </c>
      <c r="M225" s="43">
        <f>J225/F225</f>
        <v/>
      </c>
      <c r="N225" s="24" t="n">
        <v>149.49</v>
      </c>
      <c r="O225" s="24" t="n">
        <v>190.06</v>
      </c>
      <c r="P225" s="43">
        <f>(N225-O225)/O225</f>
        <v/>
      </c>
      <c r="Q225" s="169">
        <f>O225*0.9056*0.85</f>
        <v/>
      </c>
      <c r="R225" s="169">
        <f>O225*1.15</f>
        <v/>
      </c>
      <c r="S225" s="169">
        <f>IF(N225&lt;O225*0.9056*0.85,O225*0.9056*0.85,IF(N225&gt;O225*1.15,O225*1.15,N225))</f>
        <v/>
      </c>
      <c r="T225" s="169" t="n">
        <v>48659.67</v>
      </c>
      <c r="U225" s="169" t="n">
        <v>73329.81</v>
      </c>
      <c r="V225" s="169">
        <f>T225+S225*K225</f>
        <v/>
      </c>
      <c r="W225" s="169">
        <f>U225-T225</f>
        <v/>
      </c>
      <c r="X225" s="169">
        <f>V225-T225</f>
        <v/>
      </c>
      <c r="Y225" s="169">
        <f>V225-U225</f>
        <v/>
      </c>
      <c r="Z225" s="80" t="n"/>
    </row>
    <row r="226" ht="44" customHeight="1" s="166">
      <c r="A226" s="150" t="n">
        <v>204</v>
      </c>
      <c r="B226" s="104" t="inlineStr">
        <is>
          <t>011702011014</t>
        </is>
      </c>
      <c r="C226" s="104" t="inlineStr">
        <is>
          <t>直形墙</t>
        </is>
      </c>
      <c r="D226" s="104" t="inlineStr">
        <is>
          <t>1.直形墙模板墙厚(cm以内)40支模高度3.6m内</t>
        </is>
      </c>
      <c r="E226" s="24" t="inlineStr">
        <is>
          <t>m2</t>
        </is>
      </c>
      <c r="F226" s="169" t="n">
        <v>271.46</v>
      </c>
      <c r="G226" s="169" t="n">
        <v>302.14</v>
      </c>
      <c r="H226" s="169">
        <f>288.35</f>
        <v/>
      </c>
      <c r="I226" s="169" t="n"/>
      <c r="J226" s="169">
        <f>G226-F226</f>
        <v/>
      </c>
      <c r="K226" s="169">
        <f>H226-F226</f>
        <v/>
      </c>
      <c r="L226" s="169">
        <f>H226-G226</f>
        <v/>
      </c>
      <c r="M226" s="43">
        <f>J226/F226</f>
        <v/>
      </c>
      <c r="N226" s="24" t="n">
        <v>43.27</v>
      </c>
      <c r="O226" s="24" t="n">
        <v>45.5</v>
      </c>
      <c r="P226" s="43">
        <f>(N226-O226)/O226</f>
        <v/>
      </c>
      <c r="Q226" s="169">
        <f>O226*0.9056*0.85</f>
        <v/>
      </c>
      <c r="R226" s="169">
        <f>O226*1.15</f>
        <v/>
      </c>
      <c r="S226" s="169">
        <f>IF(N226&lt;O226*0.9056*0.85,O226*0.9056*0.85,IF(N226&gt;O226*1.15,O226*1.15,N226))</f>
        <v/>
      </c>
      <c r="T226" s="169" t="n">
        <v>11746.07</v>
      </c>
      <c r="U226" s="169" t="n">
        <v>13073.56</v>
      </c>
      <c r="V226" s="169">
        <f>T226+S226*K226</f>
        <v/>
      </c>
      <c r="W226" s="169">
        <f>U226-T226</f>
        <v/>
      </c>
      <c r="X226" s="169">
        <f>V226-T226</f>
        <v/>
      </c>
      <c r="Y226" s="169">
        <f>V226-U226</f>
        <v/>
      </c>
      <c r="Z226" s="80" t="n"/>
    </row>
    <row r="227" ht="44" customHeight="1" s="166">
      <c r="A227" s="150" t="n">
        <v>205</v>
      </c>
      <c r="B227" s="104" t="inlineStr">
        <is>
          <t>011702011011</t>
        </is>
      </c>
      <c r="C227" s="104" t="inlineStr">
        <is>
          <t>直形墙</t>
        </is>
      </c>
      <c r="D227" s="104" t="inlineStr">
        <is>
          <t>1.直形墙模板墙厚(cm以内)40支模高度4.6m内</t>
        </is>
      </c>
      <c r="E227" s="24" t="inlineStr">
        <is>
          <t>m2</t>
        </is>
      </c>
      <c r="F227" s="169" t="n">
        <v>36.56</v>
      </c>
      <c r="G227" s="169" t="n">
        <v>192.98</v>
      </c>
      <c r="H227" s="169" t="n">
        <v>183.12</v>
      </c>
      <c r="I227" s="169" t="n"/>
      <c r="J227" s="169">
        <f>G227-F227</f>
        <v/>
      </c>
      <c r="K227" s="169">
        <f>H227-F227</f>
        <v/>
      </c>
      <c r="L227" s="169">
        <f>H227-G227</f>
        <v/>
      </c>
      <c r="M227" s="43">
        <f>J227/F227</f>
        <v/>
      </c>
      <c r="N227" s="24" t="n">
        <v>45.51</v>
      </c>
      <c r="O227" s="24" t="n">
        <v>45.5</v>
      </c>
      <c r="P227" s="43">
        <f>(N227-O227)/O227</f>
        <v/>
      </c>
      <c r="Q227" s="169">
        <f>O227*0.9056*0.85</f>
        <v/>
      </c>
      <c r="R227" s="169">
        <f>O227*1.15</f>
        <v/>
      </c>
      <c r="S227" s="169">
        <f>IF(N227&lt;O227*0.9056*0.85,O227*0.9056*0.85,IF(N227&gt;O227*1.15,O227*1.15,N227))</f>
        <v/>
      </c>
      <c r="T227" s="169" t="n">
        <v>1663.78</v>
      </c>
      <c r="U227" s="169" t="n">
        <v>8782.639999999999</v>
      </c>
      <c r="V227" s="169">
        <f>T227+S227*K227</f>
        <v/>
      </c>
      <c r="W227" s="169">
        <f>U227-T227</f>
        <v/>
      </c>
      <c r="X227" s="169">
        <f>V227-T227</f>
        <v/>
      </c>
      <c r="Y227" s="169">
        <f>V227-U227</f>
        <v/>
      </c>
      <c r="Z227" s="80" t="n"/>
    </row>
    <row r="228" ht="44" customHeight="1" s="166">
      <c r="A228" s="150" t="n">
        <v>206</v>
      </c>
      <c r="B228" s="104" t="inlineStr">
        <is>
          <t>011702011012</t>
        </is>
      </c>
      <c r="C228" s="104" t="inlineStr">
        <is>
          <t>直形墙</t>
        </is>
      </c>
      <c r="D228" s="104" t="inlineStr">
        <is>
          <t>1.直形墙模板墙厚(cm以内)40支模高度7.6m内</t>
        </is>
      </c>
      <c r="E228" s="24" t="inlineStr">
        <is>
          <t>m2</t>
        </is>
      </c>
      <c r="F228" s="169" t="n">
        <v>6.26</v>
      </c>
      <c r="G228" s="169" t="n">
        <v>0</v>
      </c>
      <c r="H228" s="169" t="n">
        <v>0</v>
      </c>
      <c r="I228" s="169" t="n"/>
      <c r="J228" s="169">
        <f>G228-F228</f>
        <v/>
      </c>
      <c r="K228" s="169">
        <f>H228-F228</f>
        <v/>
      </c>
      <c r="L228" s="169">
        <f>H228-G228</f>
        <v/>
      </c>
      <c r="M228" s="43">
        <f>J228/F228</f>
        <v/>
      </c>
      <c r="N228" s="24" t="n">
        <v>52.24</v>
      </c>
      <c r="O228" s="24" t="n">
        <v>45.5</v>
      </c>
      <c r="P228" s="43">
        <f>(N228-O228)/O228</f>
        <v/>
      </c>
      <c r="Q228" s="169">
        <f>O228*0.9056*0.85</f>
        <v/>
      </c>
      <c r="R228" s="169">
        <f>O228*1.15</f>
        <v/>
      </c>
      <c r="S228" s="169">
        <f>IF(N228&lt;O228*0.9056*0.85,O228*0.9056*0.85,IF(N228&gt;O228*1.15,O228*1.15,N228))</f>
        <v/>
      </c>
      <c r="T228" s="169" t="n">
        <v>327.13</v>
      </c>
      <c r="U228" s="169" t="n">
        <v>0</v>
      </c>
      <c r="V228" s="169" t="n">
        <v>0</v>
      </c>
      <c r="W228" s="169">
        <f>U228-T228</f>
        <v/>
      </c>
      <c r="X228" s="169">
        <f>V228-T228</f>
        <v/>
      </c>
      <c r="Y228" s="169">
        <f>V228-U228</f>
        <v/>
      </c>
      <c r="Z228" s="80" t="n"/>
    </row>
    <row r="229" ht="44" customHeight="1" s="166">
      <c r="A229" s="150" t="n">
        <v>207</v>
      </c>
      <c r="B229" s="104" t="inlineStr">
        <is>
          <t>011702011013</t>
        </is>
      </c>
      <c r="C229" s="104" t="inlineStr">
        <is>
          <t>直形墙</t>
        </is>
      </c>
      <c r="D229" s="104" t="inlineStr">
        <is>
          <t>1.直形墙模板墙厚(cm以内)40支模高度17.4m内</t>
        </is>
      </c>
      <c r="E229" s="24" t="inlineStr">
        <is>
          <t>m2</t>
        </is>
      </c>
      <c r="F229" s="169" t="n">
        <v>184.81</v>
      </c>
      <c r="G229" s="169" t="n">
        <v>0</v>
      </c>
      <c r="H229" s="169" t="n">
        <v>0</v>
      </c>
      <c r="I229" s="169" t="n"/>
      <c r="J229" s="169">
        <f>G229-F229</f>
        <v/>
      </c>
      <c r="K229" s="169">
        <f>H229-F229</f>
        <v/>
      </c>
      <c r="L229" s="169">
        <f>H229-G229</f>
        <v/>
      </c>
      <c r="M229" s="43">
        <f>J229/F229</f>
        <v/>
      </c>
      <c r="N229" s="24" t="n">
        <v>84.7</v>
      </c>
      <c r="O229" s="24" t="n">
        <v>84.13</v>
      </c>
      <c r="P229" s="43">
        <f>(N229-O229)/O229</f>
        <v/>
      </c>
      <c r="Q229" s="169">
        <f>O229*0.9056*0.85</f>
        <v/>
      </c>
      <c r="R229" s="169">
        <f>O229*1.15</f>
        <v/>
      </c>
      <c r="S229" s="169">
        <f>IF(N229&lt;O229*0.9056*0.85,O229*0.9056*0.85,IF(N229&gt;O229*1.15,O229*1.15,N229))</f>
        <v/>
      </c>
      <c r="T229" s="169" t="n">
        <v>15653.07</v>
      </c>
      <c r="U229" s="169" t="n">
        <v>0</v>
      </c>
      <c r="V229" s="169">
        <f>T229+S229*K229</f>
        <v/>
      </c>
      <c r="W229" s="169">
        <f>U229-T229</f>
        <v/>
      </c>
      <c r="X229" s="169">
        <f>V229-T229</f>
        <v/>
      </c>
      <c r="Y229" s="169">
        <f>V229-U229</f>
        <v/>
      </c>
      <c r="Z229" s="80" t="n"/>
    </row>
    <row r="230" ht="44" customHeight="1" s="166">
      <c r="A230" s="150" t="n">
        <v>208</v>
      </c>
      <c r="B230" s="104" t="inlineStr">
        <is>
          <t>011702014001</t>
        </is>
      </c>
      <c r="C230" s="104" t="inlineStr">
        <is>
          <t>有梁板</t>
        </is>
      </c>
      <c r="D230" s="104" t="inlineStr">
        <is>
          <t>1.有梁板模板支模高度3.6m内</t>
        </is>
      </c>
      <c r="E230" s="24" t="inlineStr">
        <is>
          <t>m2</t>
        </is>
      </c>
      <c r="F230" s="169" t="n">
        <v>137.31</v>
      </c>
      <c r="G230" s="169" t="n">
        <v>27.34</v>
      </c>
      <c r="H230" s="169">
        <f>27.34+52.06</f>
        <v/>
      </c>
      <c r="I230" s="169" t="n"/>
      <c r="J230" s="169">
        <f>G230-F230</f>
        <v/>
      </c>
      <c r="K230" s="169">
        <f>H230-F230</f>
        <v/>
      </c>
      <c r="L230" s="169">
        <f>H230-G230</f>
        <v/>
      </c>
      <c r="M230" s="43">
        <f>J230/F230</f>
        <v/>
      </c>
      <c r="N230" s="24" t="n">
        <v>59.25</v>
      </c>
      <c r="O230" s="24" t="n">
        <v>63.21</v>
      </c>
      <c r="P230" s="43">
        <f>(N230-O230)/O230</f>
        <v/>
      </c>
      <c r="Q230" s="169">
        <f>O230*0.9056*0.85</f>
        <v/>
      </c>
      <c r="R230" s="169">
        <f>O230*1.15</f>
        <v/>
      </c>
      <c r="S230" s="169">
        <f>IF(N230&lt;O230*0.9056*0.85,O230*0.9056*0.85,IF(N230&gt;O230*1.15,O230*1.15,N230))</f>
        <v/>
      </c>
      <c r="T230" s="169" t="n">
        <v>8135.84</v>
      </c>
      <c r="U230" s="169" t="n">
        <v>1619.79</v>
      </c>
      <c r="V230" s="169">
        <f>T230+S230*K230</f>
        <v/>
      </c>
      <c r="W230" s="169">
        <f>U230-T230</f>
        <v/>
      </c>
      <c r="X230" s="169">
        <f>V230-T230</f>
        <v/>
      </c>
      <c r="Y230" s="169">
        <f>V230-U230</f>
        <v/>
      </c>
      <c r="Z230" s="80" t="inlineStr">
        <is>
          <t>将清单序号213工程量归到此计算</t>
        </is>
      </c>
    </row>
    <row r="231" ht="44" customHeight="1" s="166">
      <c r="A231" s="150" t="n">
        <v>209</v>
      </c>
      <c r="B231" s="104" t="inlineStr">
        <is>
          <t>011702014002</t>
        </is>
      </c>
      <c r="C231" s="104" t="inlineStr">
        <is>
          <t>有梁板</t>
        </is>
      </c>
      <c r="D231" s="104" t="inlineStr">
        <is>
          <t>1.有梁板模板支模高度4.6m内</t>
        </is>
      </c>
      <c r="E231" s="24" t="inlineStr">
        <is>
          <t>m2</t>
        </is>
      </c>
      <c r="F231" s="169" t="n">
        <v>2425.67</v>
      </c>
      <c r="G231" s="169" t="n">
        <v>2800.8</v>
      </c>
      <c r="H231" s="169">
        <f>2768.33+47.89</f>
        <v/>
      </c>
      <c r="I231" s="169" t="n"/>
      <c r="J231" s="169">
        <f>G231-F231</f>
        <v/>
      </c>
      <c r="K231" s="169">
        <f>H231-F231</f>
        <v/>
      </c>
      <c r="L231" s="169">
        <f>H231-G231</f>
        <v/>
      </c>
      <c r="M231" s="43">
        <f>J231/F231</f>
        <v/>
      </c>
      <c r="N231" s="24" t="n">
        <v>67.34</v>
      </c>
      <c r="O231" s="24" t="n">
        <v>71.47</v>
      </c>
      <c r="P231" s="43">
        <f>(N231-O231)/O231</f>
        <v/>
      </c>
      <c r="Q231" s="169">
        <f>O231*0.9056*0.85</f>
        <v/>
      </c>
      <c r="R231" s="169">
        <f>O231*1.15</f>
        <v/>
      </c>
      <c r="S231" s="169">
        <f>IF(N231&lt;O231*0.9056*0.85,O231*0.9056*0.85,IF(N231&gt;O231*1.15,O231*1.15,N231))</f>
        <v/>
      </c>
      <c r="T231" s="169" t="n">
        <v>163344.85</v>
      </c>
      <c r="U231" s="169" t="n">
        <v>188605.61</v>
      </c>
      <c r="V231" s="169">
        <f>T231+S231*K231</f>
        <v/>
      </c>
      <c r="W231" s="169">
        <f>U231-T231</f>
        <v/>
      </c>
      <c r="X231" s="169">
        <f>V231-T231</f>
        <v/>
      </c>
      <c r="Y231" s="169">
        <f>V231-U231</f>
        <v/>
      </c>
      <c r="Z231" s="80" t="inlineStr">
        <is>
          <t>将清单序号213工程量归到此计算</t>
        </is>
      </c>
    </row>
    <row r="232" ht="44" customHeight="1" s="166">
      <c r="A232" s="150" t="n">
        <v>210</v>
      </c>
      <c r="B232" s="104" t="inlineStr">
        <is>
          <t>011702014003</t>
        </is>
      </c>
      <c r="C232" s="104" t="inlineStr">
        <is>
          <t>有梁板</t>
        </is>
      </c>
      <c r="D232" s="104" t="inlineStr">
        <is>
          <t>1.有梁板模板支模高度5.6m内</t>
        </is>
      </c>
      <c r="E232" s="24" t="inlineStr">
        <is>
          <t>m2</t>
        </is>
      </c>
      <c r="F232" s="169" t="n">
        <v>107.85</v>
      </c>
      <c r="G232" s="169" t="n">
        <v>101.46</v>
      </c>
      <c r="H232" s="169" t="n">
        <v>96.63</v>
      </c>
      <c r="I232" s="169" t="n"/>
      <c r="J232" s="169">
        <f>G232-F232</f>
        <v/>
      </c>
      <c r="K232" s="169">
        <f>H232-F232</f>
        <v/>
      </c>
      <c r="L232" s="169">
        <f>H232-G232</f>
        <v/>
      </c>
      <c r="M232" s="43">
        <f>J232/F232</f>
        <v/>
      </c>
      <c r="N232" s="24" t="n">
        <v>75.42</v>
      </c>
      <c r="O232" s="24" t="n">
        <v>79.73</v>
      </c>
      <c r="P232" s="43">
        <f>(N232-O232)/O232</f>
        <v/>
      </c>
      <c r="Q232" s="169">
        <f>O232*0.9056*0.85</f>
        <v/>
      </c>
      <c r="R232" s="169">
        <f>O232*1.15</f>
        <v/>
      </c>
      <c r="S232" s="169">
        <f>IF(N232&lt;O232*0.9056*0.85,O232*0.9056*0.85,IF(N232&gt;O232*1.15,O232*1.15,N232))</f>
        <v/>
      </c>
      <c r="T232" s="169" t="n">
        <v>8134.05</v>
      </c>
      <c r="U232" s="169" t="n">
        <v>7652.23</v>
      </c>
      <c r="V232" s="169">
        <f>T232+S232*K232</f>
        <v/>
      </c>
      <c r="W232" s="169">
        <f>U232-T232</f>
        <v/>
      </c>
      <c r="X232" s="169">
        <f>V232-T232</f>
        <v/>
      </c>
      <c r="Y232" s="169">
        <f>V232-U232</f>
        <v/>
      </c>
      <c r="Z232" s="80" t="n"/>
    </row>
    <row r="233" ht="44" customHeight="1" s="166">
      <c r="A233" s="150" t="n">
        <v>211</v>
      </c>
      <c r="B233" s="104" t="inlineStr">
        <is>
          <t>011702014004</t>
        </is>
      </c>
      <c r="C233" s="104" t="inlineStr">
        <is>
          <t>有梁板</t>
        </is>
      </c>
      <c r="D233" s="104" t="inlineStr">
        <is>
          <t>1.有梁板模板支模高度9.6m内</t>
        </is>
      </c>
      <c r="E233" s="24" t="inlineStr">
        <is>
          <t>m2</t>
        </is>
      </c>
      <c r="F233" s="169" t="n">
        <v>29.53</v>
      </c>
      <c r="G233" s="169" t="n">
        <v>0</v>
      </c>
      <c r="H233" s="169" t="n">
        <v>0</v>
      </c>
      <c r="I233" s="169" t="n"/>
      <c r="J233" s="169">
        <f>G233-F233</f>
        <v/>
      </c>
      <c r="K233" s="169">
        <f>H233-F233</f>
        <v/>
      </c>
      <c r="L233" s="169">
        <f>H233-G233</f>
        <v/>
      </c>
      <c r="M233" s="43">
        <f>J233/F233</f>
        <v/>
      </c>
      <c r="N233" s="24" t="n">
        <v>142.61</v>
      </c>
      <c r="O233" s="24" t="n">
        <v>136.94</v>
      </c>
      <c r="P233" s="43">
        <f>(N233-O233)/O233</f>
        <v/>
      </c>
      <c r="Q233" s="169">
        <f>O233*0.9056*0.85</f>
        <v/>
      </c>
      <c r="R233" s="169">
        <f>O233*1.15</f>
        <v/>
      </c>
      <c r="S233" s="169">
        <f>IF(N233&lt;O233*0.9056*0.85,O233*0.9056*0.85,IF(N233&gt;O233*1.15,O233*1.15,N233))</f>
        <v/>
      </c>
      <c r="T233" s="169" t="n">
        <v>4211.27</v>
      </c>
      <c r="U233" s="169" t="n">
        <v>0</v>
      </c>
      <c r="V233" s="169">
        <f>T233+S233*K233</f>
        <v/>
      </c>
      <c r="W233" s="169">
        <f>U233-T233</f>
        <v/>
      </c>
      <c r="X233" s="169">
        <f>V233-T233</f>
        <v/>
      </c>
      <c r="Y233" s="169">
        <f>V233-U233</f>
        <v/>
      </c>
      <c r="Z233" s="80" t="n"/>
    </row>
    <row r="234" ht="44" customHeight="1" s="166">
      <c r="A234" s="150" t="n">
        <v>212</v>
      </c>
      <c r="B234" s="104" t="inlineStr">
        <is>
          <t>011702014005</t>
        </is>
      </c>
      <c r="C234" s="104" t="inlineStr">
        <is>
          <t>有梁板</t>
        </is>
      </c>
      <c r="D234" s="104" t="inlineStr">
        <is>
          <t>1.有梁板模板支模高度14.6m内</t>
        </is>
      </c>
      <c r="E234" s="24" t="inlineStr">
        <is>
          <t>m2</t>
        </is>
      </c>
      <c r="F234" s="169" t="n">
        <v>95.67</v>
      </c>
      <c r="G234" s="169" t="n">
        <v>0</v>
      </c>
      <c r="H234" s="169" t="n">
        <v>0</v>
      </c>
      <c r="I234" s="169" t="n"/>
      <c r="J234" s="169">
        <f>G234-F234</f>
        <v/>
      </c>
      <c r="K234" s="169">
        <f>H234-F234</f>
        <v/>
      </c>
      <c r="L234" s="169">
        <f>H234-G234</f>
        <v/>
      </c>
      <c r="M234" s="43">
        <f>J234/F234</f>
        <v/>
      </c>
      <c r="N234" s="24" t="n">
        <v>192.07</v>
      </c>
      <c r="O234" s="24" t="n">
        <v>179.5</v>
      </c>
      <c r="P234" s="43">
        <f>(N234-O234)/O234</f>
        <v/>
      </c>
      <c r="Q234" s="169">
        <f>O234*0.9056*0.85</f>
        <v/>
      </c>
      <c r="R234" s="169">
        <f>O234*1.15</f>
        <v/>
      </c>
      <c r="S234" s="169">
        <f>IF(N234&lt;O234*0.9056*0.85,O234*0.9056*0.85,IF(N234&gt;O234*1.15,O234*1.15,N234))</f>
        <v/>
      </c>
      <c r="T234" s="169" t="n">
        <v>18375.34</v>
      </c>
      <c r="U234" s="169" t="n">
        <v>0</v>
      </c>
      <c r="V234" s="169">
        <f>T234+S234*K234</f>
        <v/>
      </c>
      <c r="W234" s="169">
        <f>U234-T234</f>
        <v/>
      </c>
      <c r="X234" s="169">
        <f>V234-T234</f>
        <v/>
      </c>
      <c r="Y234" s="169">
        <f>V234-U234</f>
        <v/>
      </c>
      <c r="Z234" s="80" t="n"/>
    </row>
    <row r="235" ht="44" customHeight="1" s="166">
      <c r="A235" s="150" t="n">
        <v>213</v>
      </c>
      <c r="B235" s="104" t="inlineStr">
        <is>
          <t>011702014010</t>
        </is>
      </c>
      <c r="C235" s="104" t="inlineStr">
        <is>
          <t>有梁板（斜板）</t>
        </is>
      </c>
      <c r="D235" s="104" t="inlineStr">
        <is>
          <t>1.有梁板模板支模高度7.6m内</t>
        </is>
      </c>
      <c r="E235" s="24" t="inlineStr">
        <is>
          <t>m2</t>
        </is>
      </c>
      <c r="F235" s="169" t="n">
        <v>137.73</v>
      </c>
      <c r="G235" s="169" t="n">
        <v>207.7</v>
      </c>
      <c r="H235" s="169" t="n">
        <v>0</v>
      </c>
      <c r="I235" s="169" t="n"/>
      <c r="J235" s="169">
        <f>G235-F235</f>
        <v/>
      </c>
      <c r="K235" s="169">
        <f>H235-F235</f>
        <v/>
      </c>
      <c r="L235" s="169">
        <f>H235-G235</f>
        <v/>
      </c>
      <c r="M235" s="43">
        <f>J235/F235</f>
        <v/>
      </c>
      <c r="N235" s="24" t="n">
        <v>101.92</v>
      </c>
      <c r="O235" s="24" t="n">
        <v>111.72</v>
      </c>
      <c r="P235" s="43">
        <f>(N235-O235)/O235</f>
        <v/>
      </c>
      <c r="Q235" s="169">
        <f>O235*0.9056*0.85</f>
        <v/>
      </c>
      <c r="R235" s="169">
        <f>O235*1.15</f>
        <v/>
      </c>
      <c r="S235" s="169">
        <f>IF(N235&lt;O235*0.9056*0.85,O235*0.9056*0.85,IF(N235&gt;O235*1.15,O235*1.15,N235))</f>
        <v/>
      </c>
      <c r="T235" s="169" t="n">
        <v>14037.38</v>
      </c>
      <c r="U235" s="169" t="n">
        <v>21168.65</v>
      </c>
      <c r="V235" s="169">
        <f>T235+S235*K235</f>
        <v/>
      </c>
      <c r="W235" s="169">
        <f>U235-T235</f>
        <v/>
      </c>
      <c r="X235" s="169">
        <f>V235-T235</f>
        <v/>
      </c>
      <c r="Y235" s="169">
        <f>V235-U235</f>
        <v/>
      </c>
      <c r="Z235" s="80" t="n"/>
    </row>
    <row r="236" ht="44" customHeight="1" s="166">
      <c r="A236" s="150" t="n">
        <v>214</v>
      </c>
      <c r="B236" s="104" t="inlineStr">
        <is>
          <t>011702006009</t>
        </is>
      </c>
      <c r="C236" s="104" t="inlineStr">
        <is>
          <t>矩形梁（斜梁）</t>
        </is>
      </c>
      <c r="D236" s="104" t="inlineStr">
        <is>
          <t>1.单梁、连续梁模板(梁宽cm)25以内支模高度4.6m内</t>
        </is>
      </c>
      <c r="E236" s="24" t="inlineStr">
        <is>
          <t>m2</t>
        </is>
      </c>
      <c r="F236" s="169" t="n">
        <v>136.19</v>
      </c>
      <c r="G236" s="169" t="n">
        <v>82.72</v>
      </c>
      <c r="H236" s="169">
        <f>56.79</f>
        <v/>
      </c>
      <c r="I236" s="169" t="n"/>
      <c r="J236" s="169">
        <f>G236-F236</f>
        <v/>
      </c>
      <c r="K236" s="169">
        <f>H236-F236</f>
        <v/>
      </c>
      <c r="L236" s="169">
        <f>H236-G236</f>
        <v/>
      </c>
      <c r="M236" s="43">
        <f>J236/F236</f>
        <v/>
      </c>
      <c r="N236" s="24" t="n">
        <v>77.06999999999999</v>
      </c>
      <c r="O236" s="24" t="n">
        <v>84.98999999999999</v>
      </c>
      <c r="P236" s="43">
        <f>(N236-O236)/O236</f>
        <v/>
      </c>
      <c r="Q236" s="169">
        <f>O236*0.9056*0.85</f>
        <v/>
      </c>
      <c r="R236" s="169">
        <f>O236*1.15</f>
        <v/>
      </c>
      <c r="S236" s="169">
        <f>IF(N236&lt;O236*0.9056*0.85,O236*0.9056*0.85,IF(N236&gt;O236*1.15,O236*1.15,N236))</f>
        <v/>
      </c>
      <c r="T236" s="169" t="n">
        <v>10495.97</v>
      </c>
      <c r="U236" s="169" t="n">
        <v>6374.91</v>
      </c>
      <c r="V236" s="169">
        <f>T236+S236*K236</f>
        <v/>
      </c>
      <c r="W236" s="169">
        <f>U236-T236</f>
        <v/>
      </c>
      <c r="X236" s="169">
        <f>V236-T236</f>
        <v/>
      </c>
      <c r="Y236" s="169">
        <f>V236-U236</f>
        <v/>
      </c>
      <c r="Z236" s="80" t="n"/>
    </row>
    <row r="237" ht="44" customHeight="1" s="166">
      <c r="A237" s="150" t="n">
        <v>215</v>
      </c>
      <c r="B237" s="104" t="inlineStr">
        <is>
          <t>011702006010</t>
        </is>
      </c>
      <c r="C237" s="104" t="inlineStr">
        <is>
          <t>矩形梁（斜梁）</t>
        </is>
      </c>
      <c r="D237" s="104" t="inlineStr">
        <is>
          <t>1.单梁、连续梁模板(梁宽cm)25以内支模高度5.6m内</t>
        </is>
      </c>
      <c r="E237" s="24" t="inlineStr">
        <is>
          <t>m2</t>
        </is>
      </c>
      <c r="F237" s="169" t="n">
        <v>1.59</v>
      </c>
      <c r="G237" s="169" t="n">
        <v>0</v>
      </c>
      <c r="H237" s="169" t="n">
        <v>0</v>
      </c>
      <c r="I237" s="169" t="n"/>
      <c r="J237" s="169">
        <f>G237-F237</f>
        <v/>
      </c>
      <c r="K237" s="169">
        <f>H237-F237</f>
        <v/>
      </c>
      <c r="L237" s="169">
        <f>H237-G237</f>
        <v/>
      </c>
      <c r="M237" s="43">
        <f>J237/F237</f>
        <v/>
      </c>
      <c r="N237" s="24" t="n">
        <v>85.41</v>
      </c>
      <c r="O237" s="24" t="n">
        <v>93.73999999999999</v>
      </c>
      <c r="P237" s="43">
        <f>(N237-O237)/O237</f>
        <v/>
      </c>
      <c r="Q237" s="169">
        <f>O237*0.9056*0.85</f>
        <v/>
      </c>
      <c r="R237" s="169">
        <f>O237*1.15</f>
        <v/>
      </c>
      <c r="S237" s="169">
        <f>IF(N237&lt;O237*0.9056*0.85,O237*0.9056*0.85,IF(N237&gt;O237*1.15,O237*1.15,N237))</f>
        <v/>
      </c>
      <c r="T237" s="169" t="n">
        <v>135.72</v>
      </c>
      <c r="U237" s="169" t="n">
        <v>0</v>
      </c>
      <c r="V237" s="169">
        <f>T237+S237*K237</f>
        <v/>
      </c>
      <c r="W237" s="169">
        <f>U237-T237</f>
        <v/>
      </c>
      <c r="X237" s="169">
        <f>V237-T237</f>
        <v/>
      </c>
      <c r="Y237" s="169">
        <f>V237-U237</f>
        <v/>
      </c>
      <c r="Z237" s="80" t="n"/>
    </row>
    <row r="238" ht="44" customHeight="1" s="166">
      <c r="A238" s="150" t="n">
        <v>216</v>
      </c>
      <c r="B238" s="104" t="inlineStr">
        <is>
          <t>011702006011</t>
        </is>
      </c>
      <c r="C238" s="104" t="inlineStr">
        <is>
          <t>矩形梁（斜梁）</t>
        </is>
      </c>
      <c r="D238" s="104" t="inlineStr">
        <is>
          <t>1.单梁、连续梁模板(梁宽cm)25以内支模高度6.6m内</t>
        </is>
      </c>
      <c r="E238" s="24" t="inlineStr">
        <is>
          <t>m2</t>
        </is>
      </c>
      <c r="F238" s="169" t="n">
        <v>38.08</v>
      </c>
      <c r="G238" s="169" t="n">
        <v>25.4</v>
      </c>
      <c r="H238" s="169" t="n">
        <v>24.19</v>
      </c>
      <c r="I238" s="169" t="n"/>
      <c r="J238" s="169">
        <f>G238-F238</f>
        <v/>
      </c>
      <c r="K238" s="169">
        <f>H238-F238</f>
        <v/>
      </c>
      <c r="L238" s="169">
        <f>H238-G238</f>
        <v/>
      </c>
      <c r="M238" s="43">
        <f>J238/F238</f>
        <v/>
      </c>
      <c r="N238" s="24" t="n">
        <v>93.75</v>
      </c>
      <c r="O238" s="24" t="n">
        <v>93.73999999999999</v>
      </c>
      <c r="P238" s="43">
        <f>(N238-O238)/O238</f>
        <v/>
      </c>
      <c r="Q238" s="169">
        <f>O238*0.9056*0.85</f>
        <v/>
      </c>
      <c r="R238" s="169">
        <f>O238*1.15</f>
        <v/>
      </c>
      <c r="S238" s="169">
        <f>IF(N238&lt;O238*0.9056*0.85,O238*0.9056*0.85,IF(N238&gt;O238*1.15,O238*1.15,N238))</f>
        <v/>
      </c>
      <c r="T238" s="169" t="n">
        <v>3569.61</v>
      </c>
      <c r="U238" s="169" t="n">
        <v>2381.64</v>
      </c>
      <c r="V238" s="169">
        <f>T238+S238*K238</f>
        <v/>
      </c>
      <c r="W238" s="169">
        <f>U238-T238</f>
        <v/>
      </c>
      <c r="X238" s="169">
        <f>V238-T238</f>
        <v/>
      </c>
      <c r="Y238" s="169">
        <f>V238-U238</f>
        <v/>
      </c>
      <c r="Z238" s="80" t="n"/>
    </row>
    <row r="239" ht="44" customHeight="1" s="166">
      <c r="A239" s="150" t="n">
        <v>217</v>
      </c>
      <c r="B239" s="104" t="inlineStr">
        <is>
          <t>011702006012</t>
        </is>
      </c>
      <c r="C239" s="104" t="inlineStr">
        <is>
          <t>矩形梁（斜梁）</t>
        </is>
      </c>
      <c r="D239" s="104" t="inlineStr">
        <is>
          <t>1.单梁、连续梁模板(梁宽cm)25以内支模高度7.6m内</t>
        </is>
      </c>
      <c r="E239" s="24" t="inlineStr">
        <is>
          <t>m2</t>
        </is>
      </c>
      <c r="F239" s="169" t="n">
        <v>4.76</v>
      </c>
      <c r="G239" s="169" t="n">
        <v>0</v>
      </c>
      <c r="H239" s="169" t="n">
        <v>0</v>
      </c>
      <c r="I239" s="169" t="n"/>
      <c r="J239" s="169">
        <f>G239-F239</f>
        <v/>
      </c>
      <c r="K239" s="169">
        <f>H239-F239</f>
        <v/>
      </c>
      <c r="L239" s="169">
        <f>H239-G239</f>
        <v/>
      </c>
      <c r="M239" s="43">
        <f>J239/F239</f>
        <v/>
      </c>
      <c r="N239" s="24" t="n">
        <v>102.09</v>
      </c>
      <c r="O239" s="24" t="n">
        <v>111.25</v>
      </c>
      <c r="P239" s="43">
        <f>(N239-O239)/O239</f>
        <v/>
      </c>
      <c r="Q239" s="169">
        <f>O239*0.9056*0.85</f>
        <v/>
      </c>
      <c r="R239" s="169">
        <f>O239*1.15</f>
        <v/>
      </c>
      <c r="S239" s="169">
        <f>IF(N239&lt;O239*0.9056*0.85,O239*0.9056*0.85,IF(N239&gt;O239*1.15,O239*1.15,N239))</f>
        <v/>
      </c>
      <c r="T239" s="169" t="n">
        <v>485.66</v>
      </c>
      <c r="U239" s="169" t="n">
        <v>0</v>
      </c>
      <c r="V239" s="169">
        <f>T239+S239*K239</f>
        <v/>
      </c>
      <c r="W239" s="169">
        <f>U239-T239</f>
        <v/>
      </c>
      <c r="X239" s="169">
        <f>V239-T239</f>
        <v/>
      </c>
      <c r="Y239" s="169">
        <f>V239-U239</f>
        <v/>
      </c>
      <c r="Z239" s="80" t="n"/>
    </row>
    <row r="240" ht="44" customHeight="1" s="166">
      <c r="A240" s="150" t="n">
        <v>218</v>
      </c>
      <c r="B240" s="104" t="inlineStr">
        <is>
          <t>011702006013</t>
        </is>
      </c>
      <c r="C240" s="104" t="inlineStr">
        <is>
          <t>矩形梁</t>
        </is>
      </c>
      <c r="D240" s="104" t="inlineStr">
        <is>
          <t>1.单梁、连续梁模板(梁宽cm)25以内支模高度3.6m内</t>
        </is>
      </c>
      <c r="E240" s="24" t="inlineStr">
        <is>
          <t>m2</t>
        </is>
      </c>
      <c r="F240" s="169" t="n">
        <v>3.64</v>
      </c>
      <c r="G240" s="169" t="n">
        <v>274.75</v>
      </c>
      <c r="H240" s="169">
        <f>159.64+17+89.87+21.99</f>
        <v/>
      </c>
      <c r="I240" s="169" t="n"/>
      <c r="J240" s="169">
        <f>G240-F240</f>
        <v/>
      </c>
      <c r="K240" s="169">
        <f>H240-F240</f>
        <v/>
      </c>
      <c r="L240" s="169">
        <f>H240-G240</f>
        <v/>
      </c>
      <c r="M240" s="43">
        <f>J240/F240</f>
        <v/>
      </c>
      <c r="N240" s="24" t="n">
        <v>61.79</v>
      </c>
      <c r="O240" s="24" t="n">
        <v>65.84</v>
      </c>
      <c r="P240" s="43">
        <f>(N240-O240)/O240</f>
        <v/>
      </c>
      <c r="Q240" s="169">
        <f>O240*0.9056*0.85</f>
        <v/>
      </c>
      <c r="R240" s="169">
        <f>O240*1.15</f>
        <v/>
      </c>
      <c r="S240" s="169">
        <f>IF(N240&lt;O240*0.9056*0.85,O240*0.9056*0.85,IF(N240&gt;O240*1.15,O240*1.15,N240))</f>
        <v/>
      </c>
      <c r="T240" s="169" t="n">
        <v>224.92</v>
      </c>
      <c r="U240" s="169" t="n">
        <v>16976.97</v>
      </c>
      <c r="V240" s="169">
        <f>T240+S240*K240</f>
        <v/>
      </c>
      <c r="W240" s="169">
        <f>U240-T240</f>
        <v/>
      </c>
      <c r="X240" s="169">
        <f>V240-T240</f>
        <v/>
      </c>
      <c r="Y240" s="169">
        <f>V240-U240</f>
        <v/>
      </c>
      <c r="Z240" s="80" t="inlineStr">
        <is>
          <t>将清单序号214工程量归到此计算</t>
        </is>
      </c>
    </row>
    <row r="241" ht="44" customHeight="1" s="166">
      <c r="A241" s="150" t="n">
        <v>219</v>
      </c>
      <c r="B241" s="104" t="inlineStr">
        <is>
          <t>011702006014</t>
        </is>
      </c>
      <c r="C241" s="104" t="inlineStr">
        <is>
          <t>矩形梁</t>
        </is>
      </c>
      <c r="D241" s="104" t="inlineStr">
        <is>
          <t>1.单梁、连续梁模板(梁宽cm)25以内支模高度4.6m内</t>
        </is>
      </c>
      <c r="E241" s="24" t="inlineStr">
        <is>
          <t>m2</t>
        </is>
      </c>
      <c r="F241" s="169" t="n">
        <v>1379.94</v>
      </c>
      <c r="G241" s="169" t="n">
        <v>1057.1</v>
      </c>
      <c r="H241" s="169">
        <f>1006.77</f>
        <v/>
      </c>
      <c r="I241" s="169" t="n"/>
      <c r="J241" s="169">
        <f>G241-F241</f>
        <v/>
      </c>
      <c r="K241" s="169">
        <f>H241-F241</f>
        <v/>
      </c>
      <c r="L241" s="169">
        <f>H241-G241</f>
        <v/>
      </c>
      <c r="M241" s="43">
        <f>J241/F241</f>
        <v/>
      </c>
      <c r="N241" s="24" t="n">
        <v>77.06999999999999</v>
      </c>
      <c r="O241" s="24" t="n">
        <v>73.20999999999999</v>
      </c>
      <c r="P241" s="43">
        <f>(N241-O241)/O241</f>
        <v/>
      </c>
      <c r="Q241" s="169">
        <f>O241*0.9056*0.85</f>
        <v/>
      </c>
      <c r="R241" s="169">
        <f>O241*1.15</f>
        <v/>
      </c>
      <c r="S241" s="169">
        <f>IF(N241&lt;O241*0.9056*0.85,O241*0.9056*0.85,IF(N241&gt;O241*1.15,O241*1.15,N241))</f>
        <v/>
      </c>
      <c r="T241" s="169" t="n">
        <v>106351.71</v>
      </c>
      <c r="U241" s="169" t="n">
        <v>81471.08</v>
      </c>
      <c r="V241" s="169">
        <f>T241+S241*K241</f>
        <v/>
      </c>
      <c r="W241" s="169">
        <f>U241-T241</f>
        <v/>
      </c>
      <c r="X241" s="169">
        <f>V241-T241</f>
        <v/>
      </c>
      <c r="Y241" s="169">
        <f>V241-U241</f>
        <v/>
      </c>
      <c r="Z241" s="80" t="n"/>
    </row>
    <row r="242" ht="44" customHeight="1" s="166">
      <c r="A242" s="150" t="n">
        <v>220</v>
      </c>
      <c r="B242" s="104" t="inlineStr">
        <is>
          <t>011702006015</t>
        </is>
      </c>
      <c r="C242" s="104" t="inlineStr">
        <is>
          <t>矩形梁</t>
        </is>
      </c>
      <c r="D242" s="104" t="inlineStr">
        <is>
          <t>1.单梁、连续梁模板(梁宽cm)25以内支模高度5.6m内</t>
        </is>
      </c>
      <c r="E242" s="24" t="inlineStr">
        <is>
          <t>m2</t>
        </is>
      </c>
      <c r="F242" s="169" t="n">
        <v>69.63</v>
      </c>
      <c r="G242" s="169" t="n">
        <v>1113.39</v>
      </c>
      <c r="H242" s="169">
        <f>734.08+326.3</f>
        <v/>
      </c>
      <c r="I242" s="169" t="n"/>
      <c r="J242" s="169">
        <f>G242-F242</f>
        <v/>
      </c>
      <c r="K242" s="169">
        <f>H242-F242</f>
        <v/>
      </c>
      <c r="L242" s="169">
        <f>H242-G242</f>
        <v/>
      </c>
      <c r="M242" s="43">
        <f>J242/F242</f>
        <v/>
      </c>
      <c r="N242" s="24" t="n">
        <v>85.41</v>
      </c>
      <c r="O242" s="24" t="n">
        <v>80.59</v>
      </c>
      <c r="P242" s="43">
        <f>(N242-O242)/O242</f>
        <v/>
      </c>
      <c r="Q242" s="169">
        <f>O242*0.9056*0.85</f>
        <v/>
      </c>
      <c r="R242" s="169">
        <f>O242*1.15</f>
        <v/>
      </c>
      <c r="S242" s="169">
        <f>IF(N242&lt;O242*0.9056*0.85,O242*0.9056*0.85,IF(N242&gt;O242*1.15,O242*1.15,N242))</f>
        <v/>
      </c>
      <c r="T242" s="169" t="n">
        <v>5947.1</v>
      </c>
      <c r="U242" s="169" t="n">
        <v>95094.97</v>
      </c>
      <c r="V242" s="169">
        <f>T242+S242*K242</f>
        <v/>
      </c>
      <c r="W242" s="169">
        <f>U242-T242</f>
        <v/>
      </c>
      <c r="X242" s="169">
        <f>V242-T242</f>
        <v/>
      </c>
      <c r="Y242" s="169">
        <f>V242-U242</f>
        <v/>
      </c>
      <c r="Z242" s="160" t="n"/>
    </row>
    <row r="243" ht="44" customHeight="1" s="166">
      <c r="A243" s="150" t="n">
        <v>221</v>
      </c>
      <c r="B243" s="104" t="inlineStr">
        <is>
          <t>011702006016</t>
        </is>
      </c>
      <c r="C243" s="104" t="inlineStr">
        <is>
          <t>矩形梁</t>
        </is>
      </c>
      <c r="D243" s="104" t="inlineStr">
        <is>
          <t>1.单梁、连续梁模板(梁宽cm)25以内支模高度9.4m内</t>
        </is>
      </c>
      <c r="E243" s="24" t="inlineStr">
        <is>
          <t>m2</t>
        </is>
      </c>
      <c r="F243" s="169" t="n">
        <v>7.49</v>
      </c>
      <c r="G243" s="169" t="n">
        <v>293.37</v>
      </c>
      <c r="H243" s="169" t="n">
        <v>279.4</v>
      </c>
      <c r="I243" s="169" t="n"/>
      <c r="J243" s="169">
        <f>G243-F243</f>
        <v/>
      </c>
      <c r="K243" s="169">
        <f>H243-F243</f>
        <v/>
      </c>
      <c r="L243" s="169">
        <f>H243-G243</f>
        <v/>
      </c>
      <c r="M243" s="43">
        <f>J243/F243</f>
        <v/>
      </c>
      <c r="N243" s="24" t="n">
        <v>142.8</v>
      </c>
      <c r="O243" s="24" t="n">
        <v>126.98</v>
      </c>
      <c r="P243" s="43">
        <f>(N243-O243)/O243</f>
        <v/>
      </c>
      <c r="Q243" s="169">
        <f>O243*0.9056*0.85</f>
        <v/>
      </c>
      <c r="R243" s="169">
        <f>O243*1.15</f>
        <v/>
      </c>
      <c r="S243" s="169">
        <f>IF(N243&lt;O243*0.9056*0.85,O243*0.9056*0.85,IF(N243&gt;O243*1.15,O243*1.15,N243))</f>
        <v/>
      </c>
      <c r="T243" s="169" t="n">
        <v>1069.57</v>
      </c>
      <c r="U243" s="169" t="n">
        <v>41893.24</v>
      </c>
      <c r="V243" s="169">
        <f>T243+S243*K243</f>
        <v/>
      </c>
      <c r="W243" s="169">
        <f>U243-T243</f>
        <v/>
      </c>
      <c r="X243" s="169">
        <f>V243-T243</f>
        <v/>
      </c>
      <c r="Y243" s="169">
        <f>V243-U243</f>
        <v/>
      </c>
      <c r="Z243" s="80" t="n"/>
    </row>
    <row r="244" ht="44" customHeight="1" s="166">
      <c r="A244" s="150" t="n">
        <v>222</v>
      </c>
      <c r="B244" s="104" t="inlineStr">
        <is>
          <t>011702006017</t>
        </is>
      </c>
      <c r="C244" s="104" t="inlineStr">
        <is>
          <t>矩形梁</t>
        </is>
      </c>
      <c r="D244" s="104" t="inlineStr">
        <is>
          <t>1.单梁、连续梁模板(梁宽cm)25以内支模高度12.4m内</t>
        </is>
      </c>
      <c r="E244" s="24" t="inlineStr">
        <is>
          <t>m2</t>
        </is>
      </c>
      <c r="F244" s="169" t="n">
        <v>83.04000000000001</v>
      </c>
      <c r="G244" s="169" t="n">
        <v>100.34</v>
      </c>
      <c r="H244" s="169" t="n">
        <v>95.56</v>
      </c>
      <c r="I244" s="169" t="n"/>
      <c r="J244" s="169">
        <f>G244-F244</f>
        <v/>
      </c>
      <c r="K244" s="169">
        <f>H244-F244</f>
        <v/>
      </c>
      <c r="L244" s="169">
        <f>H244-G244</f>
        <v/>
      </c>
      <c r="M244" s="43">
        <f>J244/F244</f>
        <v/>
      </c>
      <c r="N244" s="24" t="n">
        <v>171.41</v>
      </c>
      <c r="O244" s="24" t="n">
        <v>150.05</v>
      </c>
      <c r="P244" s="43">
        <f>(N244-O244)/O244</f>
        <v/>
      </c>
      <c r="Q244" s="169">
        <f>O244*0.9056*0.85</f>
        <v/>
      </c>
      <c r="R244" s="169">
        <f>O244*1.15</f>
        <v/>
      </c>
      <c r="S244" s="169">
        <f>IF(N244&lt;O244*0.9056*0.85,O244*0.9056*0.85,IF(N244&gt;O244*1.15,O244*1.15,N244))</f>
        <v/>
      </c>
      <c r="T244" s="169" t="n">
        <v>14233.89</v>
      </c>
      <c r="U244" s="169" t="n">
        <v>17198.94</v>
      </c>
      <c r="V244" s="169">
        <f>T244+S244*K244</f>
        <v/>
      </c>
      <c r="W244" s="169">
        <f>U244-T244</f>
        <v/>
      </c>
      <c r="X244" s="169">
        <f>V244-T244</f>
        <v/>
      </c>
      <c r="Y244" s="169">
        <f>V244-U244</f>
        <v/>
      </c>
      <c r="Z244" s="80" t="n"/>
    </row>
    <row r="245" ht="44" customHeight="1" s="166">
      <c r="A245" s="150" t="n">
        <v>223</v>
      </c>
      <c r="B245" s="104" t="inlineStr">
        <is>
          <t>011702006018</t>
        </is>
      </c>
      <c r="C245" s="104" t="inlineStr">
        <is>
          <t>矩形梁</t>
        </is>
      </c>
      <c r="D245" s="104" t="inlineStr">
        <is>
          <t>1.单梁、连续梁模板(梁宽cm)25以外支模高度3.6m内</t>
        </is>
      </c>
      <c r="E245" s="24" t="inlineStr">
        <is>
          <t>m2</t>
        </is>
      </c>
      <c r="F245" s="169" t="n">
        <v>38.11</v>
      </c>
      <c r="G245" s="169" t="n">
        <v>0</v>
      </c>
      <c r="H245" s="169" t="n">
        <v>0</v>
      </c>
      <c r="I245" s="169" t="n"/>
      <c r="J245" s="169">
        <f>G245-F245</f>
        <v/>
      </c>
      <c r="K245" s="169">
        <f>H245-F245</f>
        <v/>
      </c>
      <c r="L245" s="169">
        <f>H245-G245</f>
        <v/>
      </c>
      <c r="M245" s="43">
        <f>J245/F245</f>
        <v/>
      </c>
      <c r="N245" s="24" t="n">
        <v>67.90000000000001</v>
      </c>
      <c r="O245" s="24" t="n">
        <v>72.20999999999999</v>
      </c>
      <c r="P245" s="43">
        <f>(N245-O245)/O245</f>
        <v/>
      </c>
      <c r="Q245" s="169">
        <f>O245*0.9056*0.85</f>
        <v/>
      </c>
      <c r="R245" s="169">
        <f>O245*1.15</f>
        <v/>
      </c>
      <c r="S245" s="169">
        <f>IF(N245&lt;O245*0.9056*0.85,O245*0.9056*0.85,IF(N245&gt;O245*1.15,O245*1.15,N245))</f>
        <v/>
      </c>
      <c r="T245" s="169" t="n">
        <v>2587.72</v>
      </c>
      <c r="U245" s="169" t="n">
        <v>0</v>
      </c>
      <c r="V245" s="169" t="n">
        <v>0</v>
      </c>
      <c r="W245" s="169">
        <f>U245-T245</f>
        <v/>
      </c>
      <c r="X245" s="169">
        <f>V245-T245</f>
        <v/>
      </c>
      <c r="Y245" s="169">
        <f>V245-U245</f>
        <v/>
      </c>
      <c r="Z245" s="80" t="n"/>
    </row>
    <row r="246" ht="44" customHeight="1" s="166">
      <c r="A246" s="150" t="n">
        <v>224</v>
      </c>
      <c r="B246" s="104" t="inlineStr">
        <is>
          <t>011702006019</t>
        </is>
      </c>
      <c r="C246" s="104" t="inlineStr">
        <is>
          <t>矩形梁</t>
        </is>
      </c>
      <c r="D246" s="104" t="inlineStr">
        <is>
          <t>1.单梁、连续梁模板(梁宽cm)25以外支模高度4.6m内</t>
        </is>
      </c>
      <c r="E246" s="24" t="inlineStr">
        <is>
          <t>m2</t>
        </is>
      </c>
      <c r="F246" s="169" t="n">
        <v>1354.79</v>
      </c>
      <c r="G246" s="169" t="n">
        <v>622.0700000000001</v>
      </c>
      <c r="H246" s="169">
        <f>592.45</f>
        <v/>
      </c>
      <c r="I246" s="169" t="n"/>
      <c r="J246" s="169">
        <f>G246-F246</f>
        <v/>
      </c>
      <c r="K246" s="169">
        <f>H246-F246</f>
        <v/>
      </c>
      <c r="L246" s="169">
        <f>H246-G246</f>
        <v/>
      </c>
      <c r="M246" s="43">
        <f>J246/F246</f>
        <v/>
      </c>
      <c r="N246" s="24" t="n">
        <v>75.31999999999999</v>
      </c>
      <c r="O246" s="24" t="n">
        <v>79.58</v>
      </c>
      <c r="P246" s="43">
        <f>(N246-O246)/O246</f>
        <v/>
      </c>
      <c r="Q246" s="169">
        <f>O246*0.9056*0.85</f>
        <v/>
      </c>
      <c r="R246" s="169">
        <f>O246*1.15</f>
        <v/>
      </c>
      <c r="S246" s="169">
        <f>IF(N246&lt;O246*0.9056*0.85,O246*0.9056*0.85,IF(N246&gt;O246*1.15,O246*1.15,N246))</f>
        <v/>
      </c>
      <c r="T246" s="169" t="n">
        <v>102042.97</v>
      </c>
      <c r="U246" s="169" t="n">
        <v>46854.37</v>
      </c>
      <c r="V246" s="169">
        <f>T246+S246*K246</f>
        <v/>
      </c>
      <c r="W246" s="169">
        <f>U246-T246</f>
        <v/>
      </c>
      <c r="X246" s="169">
        <f>V246-T246</f>
        <v/>
      </c>
      <c r="Y246" s="169">
        <f>V246-U246</f>
        <v/>
      </c>
      <c r="Z246" s="80" t="n"/>
    </row>
    <row r="247" ht="44" customHeight="1" s="166">
      <c r="A247" s="150" t="n">
        <v>225</v>
      </c>
      <c r="B247" s="104" t="inlineStr">
        <is>
          <t>011702006020</t>
        </is>
      </c>
      <c r="C247" s="104" t="inlineStr">
        <is>
          <t>矩形梁</t>
        </is>
      </c>
      <c r="D247" s="104" t="inlineStr">
        <is>
          <t>1.单梁、连续梁模板(梁宽cm)25以外支模高度5.6m内</t>
        </is>
      </c>
      <c r="E247" s="24" t="inlineStr">
        <is>
          <t>m2</t>
        </is>
      </c>
      <c r="F247" s="169" t="n">
        <v>218.76</v>
      </c>
      <c r="G247" s="169" t="n">
        <v>788.4</v>
      </c>
      <c r="H247" s="169">
        <f>750.85</f>
        <v/>
      </c>
      <c r="I247" s="169" t="n"/>
      <c r="J247" s="169">
        <f>G247-F247</f>
        <v/>
      </c>
      <c r="K247" s="169">
        <f>H247-F247</f>
        <v/>
      </c>
      <c r="L247" s="169">
        <f>H247-G247</f>
        <v/>
      </c>
      <c r="M247" s="43">
        <f>J247/F247</f>
        <v/>
      </c>
      <c r="N247" s="24" t="n">
        <v>82.73999999999999</v>
      </c>
      <c r="O247" s="24" t="n">
        <v>86.95999999999999</v>
      </c>
      <c r="P247" s="43">
        <f>(N247-O247)/O247</f>
        <v/>
      </c>
      <c r="Q247" s="169">
        <f>O247*0.9056*0.85</f>
        <v/>
      </c>
      <c r="R247" s="169">
        <f>O247*1.15</f>
        <v/>
      </c>
      <c r="S247" s="169">
        <f>IF(N247&lt;O247*0.9056*0.85,O247*0.9056*0.85,IF(N247&gt;O247*1.15,O247*1.15,N247))</f>
        <v/>
      </c>
      <c r="T247" s="169" t="n">
        <v>18099.87</v>
      </c>
      <c r="U247" s="169" t="n">
        <v>65231.93</v>
      </c>
      <c r="V247" s="169">
        <f>T247+S247*K247</f>
        <v/>
      </c>
      <c r="W247" s="169">
        <f>U247-T247</f>
        <v/>
      </c>
      <c r="X247" s="169">
        <f>V247-T247</f>
        <v/>
      </c>
      <c r="Y247" s="169">
        <f>V247-U247</f>
        <v/>
      </c>
      <c r="Z247" s="80" t="n"/>
    </row>
    <row r="248" ht="44" customHeight="1" s="166">
      <c r="A248" s="150" t="n">
        <v>226</v>
      </c>
      <c r="B248" s="104" t="inlineStr">
        <is>
          <t>011702006021</t>
        </is>
      </c>
      <c r="C248" s="104" t="inlineStr">
        <is>
          <t>矩形梁</t>
        </is>
      </c>
      <c r="D248" s="104" t="inlineStr">
        <is>
          <t>1.单梁、连续梁模板(梁宽cm)25以外支模高度9.4m内</t>
        </is>
      </c>
      <c r="E248" s="24" t="inlineStr">
        <is>
          <t>m2</t>
        </is>
      </c>
      <c r="F248" s="169" t="n">
        <v>122.08</v>
      </c>
      <c r="G248" s="169" t="n">
        <v>0</v>
      </c>
      <c r="H248" s="169" t="n">
        <v>0</v>
      </c>
      <c r="I248" s="169" t="n"/>
      <c r="J248" s="169">
        <f>G248-F248</f>
        <v/>
      </c>
      <c r="K248" s="169">
        <f>H248-F248</f>
        <v/>
      </c>
      <c r="L248" s="169">
        <f>H248-G248</f>
        <v/>
      </c>
      <c r="M248" s="43">
        <f>J248/F248</f>
        <v/>
      </c>
      <c r="N248" s="24" t="n">
        <v>155.36</v>
      </c>
      <c r="O248" s="24" t="n">
        <v>141.13</v>
      </c>
      <c r="P248" s="43">
        <f>(N248-O248)/O248</f>
        <v/>
      </c>
      <c r="Q248" s="169">
        <f>O248*0.9056*0.85</f>
        <v/>
      </c>
      <c r="R248" s="169">
        <f>O248*1.15</f>
        <v/>
      </c>
      <c r="S248" s="169">
        <f>IF(N248&lt;O248*0.9056*0.85,O248*0.9056*0.85,IF(N248&gt;O248*1.15,O248*1.15,N248))</f>
        <v/>
      </c>
      <c r="T248" s="169" t="n">
        <v>18966.35</v>
      </c>
      <c r="U248" s="169" t="n">
        <v>0</v>
      </c>
      <c r="V248" s="169">
        <f>T248+S248*K248</f>
        <v/>
      </c>
      <c r="W248" s="169">
        <f>U248-T248</f>
        <v/>
      </c>
      <c r="X248" s="169">
        <f>V248-T248</f>
        <v/>
      </c>
      <c r="Y248" s="169">
        <f>V248-U248</f>
        <v/>
      </c>
      <c r="Z248" s="80" t="n"/>
    </row>
    <row r="249" ht="44" customHeight="1" s="166">
      <c r="A249" s="150" t="n">
        <v>227</v>
      </c>
      <c r="B249" s="104" t="inlineStr">
        <is>
          <t>011702006022</t>
        </is>
      </c>
      <c r="C249" s="104" t="inlineStr">
        <is>
          <t>矩形梁</t>
        </is>
      </c>
      <c r="D249" s="104" t="inlineStr">
        <is>
          <t>1.单梁、连续梁模板(梁宽cm)25以外支模高度10.4m内</t>
        </is>
      </c>
      <c r="E249" s="24" t="inlineStr">
        <is>
          <t>m2</t>
        </is>
      </c>
      <c r="F249" s="169" t="n">
        <v>94.98</v>
      </c>
      <c r="G249" s="169" t="n">
        <v>0</v>
      </c>
      <c r="H249" s="169" t="n">
        <v>0</v>
      </c>
      <c r="I249" s="169" t="n"/>
      <c r="J249" s="169">
        <f>G249-F249</f>
        <v/>
      </c>
      <c r="K249" s="169">
        <f>H249-F249</f>
        <v/>
      </c>
      <c r="L249" s="169">
        <f>H249-G249</f>
        <v/>
      </c>
      <c r="M249" s="43">
        <f>J249/F249</f>
        <v/>
      </c>
      <c r="N249" s="24" t="n">
        <v>164.9</v>
      </c>
      <c r="O249" s="24" t="n">
        <v>148.82</v>
      </c>
      <c r="P249" s="43">
        <f>(N249-O249)/O249</f>
        <v/>
      </c>
      <c r="Q249" s="169">
        <f>O249*0.9056*0.85</f>
        <v/>
      </c>
      <c r="R249" s="169">
        <f>O249*1.15</f>
        <v/>
      </c>
      <c r="S249" s="169">
        <f>IF(N249&lt;O249*0.9056*0.85,O249*0.9056*0.85,IF(N249&gt;O249*1.15,O249*1.15,N249))</f>
        <v/>
      </c>
      <c r="T249" s="169" t="n">
        <v>15662.2</v>
      </c>
      <c r="U249" s="169" t="n">
        <v>0</v>
      </c>
      <c r="V249" s="169">
        <f>T249+S249*K249</f>
        <v/>
      </c>
      <c r="W249" s="169">
        <f>U249-T249</f>
        <v/>
      </c>
      <c r="X249" s="169">
        <f>V249-T249</f>
        <v/>
      </c>
      <c r="Y249" s="169">
        <f>V249-U249</f>
        <v/>
      </c>
      <c r="Z249" s="80" t="n"/>
    </row>
    <row r="250" ht="44" customHeight="1" s="166">
      <c r="A250" s="150" t="n">
        <v>228</v>
      </c>
      <c r="B250" s="104" t="inlineStr">
        <is>
          <t>011702006023</t>
        </is>
      </c>
      <c r="C250" s="104" t="inlineStr">
        <is>
          <t>矩形梁</t>
        </is>
      </c>
      <c r="D250" s="104" t="inlineStr">
        <is>
          <t>1.单梁、连续梁模板(梁宽cm)25以外支模高度11.4m内</t>
        </is>
      </c>
      <c r="E250" s="24" t="inlineStr">
        <is>
          <t>m2</t>
        </is>
      </c>
      <c r="F250" s="169" t="n">
        <v>99.22</v>
      </c>
      <c r="G250" s="169" t="n">
        <v>0</v>
      </c>
      <c r="H250" s="169" t="n">
        <v>0</v>
      </c>
      <c r="I250" s="169" t="n"/>
      <c r="J250" s="169">
        <f>G250-F250</f>
        <v/>
      </c>
      <c r="K250" s="169">
        <f>H250-F250</f>
        <v/>
      </c>
      <c r="L250" s="169">
        <f>H250-G250</f>
        <v/>
      </c>
      <c r="M250" s="43">
        <f>J250/F250</f>
        <v/>
      </c>
      <c r="N250" s="24" t="n">
        <v>174.44</v>
      </c>
      <c r="O250" s="24" t="n">
        <v>156.51</v>
      </c>
      <c r="P250" s="43">
        <f>(N250-O250)/O250</f>
        <v/>
      </c>
      <c r="Q250" s="169">
        <f>O250*0.9056*0.85</f>
        <v/>
      </c>
      <c r="R250" s="169">
        <f>O250*1.15</f>
        <v/>
      </c>
      <c r="S250" s="169">
        <f>IF(N250&lt;O250*0.9056*0.85,O250*0.9056*0.85,IF(N250&gt;O250*1.15,O250*1.15,N250))</f>
        <v/>
      </c>
      <c r="T250" s="169" t="n">
        <v>17307.94</v>
      </c>
      <c r="U250" s="169" t="n">
        <v>0</v>
      </c>
      <c r="V250" s="169">
        <f>T250+S250*K250</f>
        <v/>
      </c>
      <c r="W250" s="169">
        <f>U250-T250</f>
        <v/>
      </c>
      <c r="X250" s="169">
        <f>V250-T250</f>
        <v/>
      </c>
      <c r="Y250" s="169">
        <f>V250-U250</f>
        <v/>
      </c>
      <c r="Z250" s="80" t="n"/>
    </row>
    <row r="251" ht="66.75" customHeight="1" s="166">
      <c r="A251" s="150" t="n">
        <v>229</v>
      </c>
      <c r="B251" s="104" t="inlineStr">
        <is>
          <t>011702030001</t>
        </is>
      </c>
      <c r="C251" s="104" t="inlineStr">
        <is>
          <t>后浇带（梁）</t>
        </is>
      </c>
      <c r="D251" s="104" t="inlineStr">
        <is>
          <t>1.单梁、连续梁模板支模高度3.6m以内
2.在洞内、地下室内、库内或暗室内进行施工（模板拆除）</t>
        </is>
      </c>
      <c r="E251" s="24" t="inlineStr">
        <is>
          <t>m2</t>
        </is>
      </c>
      <c r="F251" s="169" t="n">
        <v>0.64</v>
      </c>
      <c r="G251" s="169" t="n">
        <v>37.77</v>
      </c>
      <c r="H251" s="169">
        <f>0.29+34.04</f>
        <v/>
      </c>
      <c r="I251" s="169" t="n"/>
      <c r="J251" s="169">
        <f>G251-F251</f>
        <v/>
      </c>
      <c r="K251" s="169">
        <f>H251-F251</f>
        <v/>
      </c>
      <c r="L251" s="169">
        <f>H251-G251</f>
        <v/>
      </c>
      <c r="M251" s="43">
        <f>J251/F251</f>
        <v/>
      </c>
      <c r="N251" s="24" t="n">
        <v>61.79</v>
      </c>
      <c r="O251" s="24" t="n">
        <v>72.20999999999999</v>
      </c>
      <c r="P251" s="43">
        <f>(N251-O251)/O251</f>
        <v/>
      </c>
      <c r="Q251" s="169">
        <f>O251*0.9056*0.85</f>
        <v/>
      </c>
      <c r="R251" s="169">
        <f>O251*1.15</f>
        <v/>
      </c>
      <c r="S251" s="169">
        <f>IF(N251&lt;O251*0.9056*0.85,O251*0.9056*0.85,IF(N251&gt;O251*1.15,O251*1.15,N251))</f>
        <v/>
      </c>
      <c r="T251" s="169" t="n">
        <v>39.55</v>
      </c>
      <c r="U251" s="169" t="n">
        <v>2333.74</v>
      </c>
      <c r="V251" s="169">
        <f>T251+S251*K251</f>
        <v/>
      </c>
      <c r="W251" s="169">
        <f>U251-T251</f>
        <v/>
      </c>
      <c r="X251" s="169">
        <f>V251-T251</f>
        <v/>
      </c>
      <c r="Y251" s="169">
        <f>V251-U251</f>
        <v/>
      </c>
      <c r="Z251" s="80" t="n"/>
    </row>
    <row r="252" ht="66.75" customHeight="1" s="166">
      <c r="A252" s="150" t="n">
        <v>230</v>
      </c>
      <c r="B252" s="104" t="inlineStr">
        <is>
          <t>011702030002</t>
        </is>
      </c>
      <c r="C252" s="104" t="inlineStr">
        <is>
          <t>后浇带（板）</t>
        </is>
      </c>
      <c r="D252" s="104" t="inlineStr">
        <is>
          <t>1.有梁板模板支模高度3.6m以内
2.在洞内、地下室内、库内或暗室内进行施工（模板拆除）</t>
        </is>
      </c>
      <c r="E252" s="24" t="inlineStr">
        <is>
          <t>m2</t>
        </is>
      </c>
      <c r="F252" s="169" t="n">
        <v>49.6</v>
      </c>
      <c r="G252" s="169" t="n">
        <v>100.4</v>
      </c>
      <c r="H252" s="169">
        <f>46.02</f>
        <v/>
      </c>
      <c r="I252" s="169" t="n"/>
      <c r="J252" s="169">
        <f>G252-F252</f>
        <v/>
      </c>
      <c r="K252" s="169">
        <f>H252-F252</f>
        <v/>
      </c>
      <c r="L252" s="169">
        <f>H252-G252</f>
        <v/>
      </c>
      <c r="M252" s="43">
        <f>J252/F252</f>
        <v/>
      </c>
      <c r="N252" s="24" t="n">
        <v>59.25</v>
      </c>
      <c r="O252" s="24" t="n">
        <v>63.21</v>
      </c>
      <c r="P252" s="43">
        <f>(N252-O252)/O252</f>
        <v/>
      </c>
      <c r="Q252" s="169">
        <f>O252*0.9056*0.85</f>
        <v/>
      </c>
      <c r="R252" s="169">
        <f>O252*1.15</f>
        <v/>
      </c>
      <c r="S252" s="169">
        <f>IF(N252&lt;O252*0.9056*0.85,O252*0.9056*0.85,IF(N252&gt;O252*1.15,O252*1.15,N252))</f>
        <v/>
      </c>
      <c r="T252" s="169" t="n">
        <v>2938.8</v>
      </c>
      <c r="U252" s="169" t="n">
        <v>5948.57</v>
      </c>
      <c r="V252" s="169">
        <f>T252+S252*K252</f>
        <v/>
      </c>
      <c r="W252" s="169">
        <f>U252-T252</f>
        <v/>
      </c>
      <c r="X252" s="169">
        <f>V252-T252</f>
        <v/>
      </c>
      <c r="Y252" s="169">
        <f>V252-U252</f>
        <v/>
      </c>
      <c r="Z252" s="80" t="n"/>
    </row>
    <row r="253" ht="66.75" customHeight="1" s="166">
      <c r="A253" s="150" t="n">
        <v>231</v>
      </c>
      <c r="B253" s="104" t="inlineStr">
        <is>
          <t>011702030003</t>
        </is>
      </c>
      <c r="C253" s="104" t="inlineStr">
        <is>
          <t>后浇带(墙)</t>
        </is>
      </c>
      <c r="D253" s="104" t="inlineStr">
        <is>
          <t>1.直形墙模板墙厚(cm以内)40支模高度3.6m以内
2.在洞内、地下室内、库内或暗室内进行施工（模板拆除）</t>
        </is>
      </c>
      <c r="E253" s="24" t="inlineStr">
        <is>
          <t>m2</t>
        </is>
      </c>
      <c r="F253" s="169" t="n">
        <v>29.62</v>
      </c>
      <c r="G253" s="169" t="n">
        <v>29.4</v>
      </c>
      <c r="H253" s="169" t="n">
        <v>0</v>
      </c>
      <c r="I253" s="169" t="n"/>
      <c r="J253" s="169">
        <f>G253-F253</f>
        <v/>
      </c>
      <c r="K253" s="169">
        <f>H253-F253</f>
        <v/>
      </c>
      <c r="L253" s="169">
        <f>H253-G253</f>
        <v/>
      </c>
      <c r="M253" s="43">
        <f>J253/F253</f>
        <v/>
      </c>
      <c r="N253" s="24" t="n">
        <v>43.27</v>
      </c>
      <c r="O253" s="24" t="n">
        <v>45.5</v>
      </c>
      <c r="P253" s="43">
        <f>(N253-O253)/O253</f>
        <v/>
      </c>
      <c r="Q253" s="169">
        <f>O253*0.9056*0.85</f>
        <v/>
      </c>
      <c r="R253" s="169">
        <f>O253*1.15</f>
        <v/>
      </c>
      <c r="S253" s="169">
        <f>IF(N253&lt;O253*0.9056*0.85,O253*0.9056*0.85,IF(N253&gt;O253*1.15,O253*1.15,N253))</f>
        <v/>
      </c>
      <c r="T253" s="169" t="n">
        <v>1281.48</v>
      </c>
      <c r="U253" s="169" t="n">
        <v>1272.14</v>
      </c>
      <c r="V253" s="169">
        <f>T253+S253*K253</f>
        <v/>
      </c>
      <c r="W253" s="169">
        <f>U253-T253</f>
        <v/>
      </c>
      <c r="X253" s="169">
        <f>V253-T253</f>
        <v/>
      </c>
      <c r="Y253" s="169">
        <f>V253-U253</f>
        <v/>
      </c>
      <c r="Z253" s="80" t="n"/>
    </row>
    <row r="254" ht="36" customHeight="1" s="166">
      <c r="A254" s="150" t="n">
        <v>232</v>
      </c>
      <c r="B254" s="104" t="inlineStr">
        <is>
          <t>011702023001</t>
        </is>
      </c>
      <c r="C254" s="104" t="inlineStr">
        <is>
          <t>雨篷、悬挑板、阳台板</t>
        </is>
      </c>
      <c r="D254" s="104" t="inlineStr">
        <is>
          <t>1.雨篷、悬挑板、阳台板</t>
        </is>
      </c>
      <c r="E254" s="24" t="inlineStr">
        <is>
          <t>m2</t>
        </is>
      </c>
      <c r="F254" s="169" t="n">
        <v>33.74</v>
      </c>
      <c r="G254" s="169" t="n">
        <v>125.57</v>
      </c>
      <c r="H254" s="169">
        <f>49.57+69.98</f>
        <v/>
      </c>
      <c r="I254" s="169" t="n"/>
      <c r="J254" s="169">
        <f>G254-F254</f>
        <v/>
      </c>
      <c r="K254" s="169">
        <f>H254-F254</f>
        <v/>
      </c>
      <c r="L254" s="169">
        <f>H254-G254</f>
        <v/>
      </c>
      <c r="M254" s="43">
        <f>J254/F254</f>
        <v/>
      </c>
      <c r="N254" s="24" t="n">
        <v>69.34999999999999</v>
      </c>
      <c r="O254" s="24" t="n">
        <v>74.27</v>
      </c>
      <c r="P254" s="43">
        <f>(N254-O254)/O254</f>
        <v/>
      </c>
      <c r="Q254" s="169">
        <f>O254*0.9056*0.85</f>
        <v/>
      </c>
      <c r="R254" s="169">
        <f>O254*1.15</f>
        <v/>
      </c>
      <c r="S254" s="169">
        <f>IF(N254&lt;O254*0.9056*0.85,O254*0.9056*0.85,IF(N254&gt;O254*1.15,O254*1.15,N254))</f>
        <v/>
      </c>
      <c r="T254" s="169" t="n">
        <v>2339.87</v>
      </c>
      <c r="U254" s="169" t="n">
        <v>8708.139999999999</v>
      </c>
      <c r="V254" s="169">
        <f>T254+S254*K254</f>
        <v/>
      </c>
      <c r="W254" s="169">
        <f>U254-T254</f>
        <v/>
      </c>
      <c r="X254" s="169">
        <f>V254-T254</f>
        <v/>
      </c>
      <c r="Y254" s="169">
        <f>V254-U254</f>
        <v/>
      </c>
      <c r="Z254" s="80" t="n"/>
    </row>
    <row r="255" ht="18" customHeight="1" s="166">
      <c r="A255" s="150" t="n">
        <v>233</v>
      </c>
      <c r="B255" s="104" t="inlineStr">
        <is>
          <t>011702021001</t>
        </is>
      </c>
      <c r="C255" s="104" t="inlineStr">
        <is>
          <t>栏板、反檐</t>
        </is>
      </c>
      <c r="D255" s="104" t="inlineStr">
        <is>
          <t>1.栏板、反檐模板</t>
        </is>
      </c>
      <c r="E255" s="24" t="inlineStr">
        <is>
          <t>m2</t>
        </is>
      </c>
      <c r="F255" s="169" t="n">
        <v>15.96</v>
      </c>
      <c r="G255" s="169" t="n">
        <v>933.23</v>
      </c>
      <c r="H255" s="169">
        <f>889.27+7.52</f>
        <v/>
      </c>
      <c r="I255" s="169" t="n"/>
      <c r="J255" s="169">
        <f>G255-F255</f>
        <v/>
      </c>
      <c r="K255" s="169">
        <f>H255-F255</f>
        <v/>
      </c>
      <c r="L255" s="169">
        <f>H255-G255</f>
        <v/>
      </c>
      <c r="M255" s="43">
        <f>J255/F255</f>
        <v/>
      </c>
      <c r="N255" s="24" t="n">
        <v>64.39</v>
      </c>
      <c r="O255" s="24" t="n">
        <v>69.66</v>
      </c>
      <c r="P255" s="43">
        <f>(N255-O255)/O255</f>
        <v/>
      </c>
      <c r="Q255" s="169">
        <f>O255*0.9056*0.85</f>
        <v/>
      </c>
      <c r="R255" s="169">
        <f>O255*1.15</f>
        <v/>
      </c>
      <c r="S255" s="169">
        <f>IF(N255&lt;O255*0.9056*0.85,O255*0.9056*0.85,IF(N255&gt;O255*1.15,O255*1.15,N255))</f>
        <v/>
      </c>
      <c r="T255" s="169" t="n">
        <v>1027.66</v>
      </c>
      <c r="U255" s="169" t="n">
        <v>60090.92</v>
      </c>
      <c r="V255" s="169">
        <f>T255+S255*K255</f>
        <v/>
      </c>
      <c r="W255" s="169">
        <f>U255-T255</f>
        <v/>
      </c>
      <c r="X255" s="169">
        <f>V255-T255</f>
        <v/>
      </c>
      <c r="Y255" s="169">
        <f>V255-U255</f>
        <v/>
      </c>
      <c r="Z255" s="80" t="n"/>
    </row>
    <row r="256" ht="28.5" customHeight="1" s="166">
      <c r="A256" s="150" t="n">
        <v>234</v>
      </c>
      <c r="B256" s="104" t="inlineStr">
        <is>
          <t>011702022001</t>
        </is>
      </c>
      <c r="C256" s="104" t="inlineStr">
        <is>
          <t>天沟、檐沟</t>
        </is>
      </c>
      <c r="D256" s="104" t="inlineStr">
        <is>
          <t>1.外墙造型、挑檐</t>
        </is>
      </c>
      <c r="E256" s="24" t="inlineStr">
        <is>
          <t>m2</t>
        </is>
      </c>
      <c r="F256" s="169" t="n">
        <v>1274.33</v>
      </c>
      <c r="G256" s="169" t="n">
        <v>736.6</v>
      </c>
      <c r="H256" s="169">
        <f>701.95</f>
        <v/>
      </c>
      <c r="I256" s="169" t="n"/>
      <c r="J256" s="169">
        <f>G256-F256</f>
        <v/>
      </c>
      <c r="K256" s="169">
        <f>H256-F256</f>
        <v/>
      </c>
      <c r="L256" s="169">
        <f>H256-G256</f>
        <v/>
      </c>
      <c r="M256" s="43">
        <f>J256/F256</f>
        <v/>
      </c>
      <c r="N256" s="24" t="n">
        <v>62.33</v>
      </c>
      <c r="O256" s="24" t="n">
        <v>66.94</v>
      </c>
      <c r="P256" s="43">
        <f>(N256-O256)/O256</f>
        <v/>
      </c>
      <c r="Q256" s="169">
        <f>O256*0.9056*0.85</f>
        <v/>
      </c>
      <c r="R256" s="169">
        <f>O256*1.15</f>
        <v/>
      </c>
      <c r="S256" s="169">
        <f>IF(N256&lt;O256*0.9056*0.85,O256*0.9056*0.85,IF(N256&gt;O256*1.15,O256*1.15,N256))</f>
        <v/>
      </c>
      <c r="T256" s="169" t="n">
        <v>79429.11</v>
      </c>
      <c r="U256" s="169" t="n">
        <v>45912.24</v>
      </c>
      <c r="V256" s="169">
        <f>T256+S256*K256</f>
        <v/>
      </c>
      <c r="W256" s="169">
        <f>U256-T256</f>
        <v/>
      </c>
      <c r="X256" s="169">
        <f>V256-T256</f>
        <v/>
      </c>
      <c r="Y256" s="169">
        <f>V256-U256</f>
        <v/>
      </c>
      <c r="Z256" s="80" t="n"/>
    </row>
    <row r="257" ht="28.5" customFormat="1" customHeight="1" s="1">
      <c r="A257" s="150" t="n">
        <v>235</v>
      </c>
      <c r="B257" s="104" t="inlineStr">
        <is>
          <t>011702008001</t>
        </is>
      </c>
      <c r="C257" s="104" t="inlineStr">
        <is>
          <t>圈梁、压顶、过梁</t>
        </is>
      </c>
      <c r="D257" s="104" t="inlineStr">
        <is>
          <t>1.圈梁、压顶、过梁模板支模高度3.6m内</t>
        </is>
      </c>
      <c r="E257" s="24" t="inlineStr">
        <is>
          <t>m2</t>
        </is>
      </c>
      <c r="F257" s="169" t="n">
        <v>208.37</v>
      </c>
      <c r="G257" s="169" t="n">
        <v>448.94</v>
      </c>
      <c r="H257" s="169">
        <f>173.62+36.08+162.51+26.92+13.23+25.53</f>
        <v/>
      </c>
      <c r="I257" s="169" t="n"/>
      <c r="J257" s="169">
        <f>G257-F257</f>
        <v/>
      </c>
      <c r="K257" s="169">
        <f>H257-F257</f>
        <v/>
      </c>
      <c r="L257" s="169">
        <f>H257-G257</f>
        <v/>
      </c>
      <c r="M257" s="43">
        <f>J257/F257</f>
        <v/>
      </c>
      <c r="N257" s="24" t="n">
        <v>48.71</v>
      </c>
      <c r="O257" s="24" t="n">
        <v>69.5</v>
      </c>
      <c r="P257" s="43">
        <f>(N257-O257)/O257</f>
        <v/>
      </c>
      <c r="Q257" s="169">
        <f>O257*0.9056*0.85</f>
        <v/>
      </c>
      <c r="R257" s="169">
        <f>O257*1.15</f>
        <v/>
      </c>
      <c r="S257" s="169">
        <f>IF(N257&lt;O257*0.9056*0.85,O257*0.9056*0.85,IF(N257&gt;O257*1.15,O257*1.15,N257))</f>
        <v/>
      </c>
      <c r="T257" s="169" t="n">
        <v>10149.8</v>
      </c>
      <c r="U257" s="169" t="n">
        <v>23019.9</v>
      </c>
      <c r="V257" s="169">
        <f>T257+S257*K257</f>
        <v/>
      </c>
      <c r="W257" s="169">
        <f>U257-T257</f>
        <v/>
      </c>
      <c r="X257" s="169">
        <f>V257-T257</f>
        <v/>
      </c>
      <c r="Y257" s="169">
        <f>V257-U257</f>
        <v/>
      </c>
      <c r="Z257" s="80" t="n"/>
      <c r="AA257" s="71" t="n"/>
    </row>
    <row r="258" ht="28.5" customHeight="1" s="166">
      <c r="A258" s="150" t="n">
        <v>236</v>
      </c>
      <c r="B258" s="104" t="inlineStr">
        <is>
          <t>011702024002</t>
        </is>
      </c>
      <c r="C258" s="104" t="inlineStr">
        <is>
          <t>楼梯</t>
        </is>
      </c>
      <c r="D258" s="104" t="inlineStr">
        <is>
          <t>1.楼梯模板直形</t>
        </is>
      </c>
      <c r="E258" s="24" t="inlineStr">
        <is>
          <t>m2</t>
        </is>
      </c>
      <c r="F258" s="169" t="n">
        <v>376.43</v>
      </c>
      <c r="G258" s="169" t="n">
        <v>502.95</v>
      </c>
      <c r="H258" s="169">
        <f>487.65</f>
        <v/>
      </c>
      <c r="I258" s="169" t="n"/>
      <c r="J258" s="169">
        <f>G258-F258</f>
        <v/>
      </c>
      <c r="K258" s="169">
        <f>H258-F258</f>
        <v/>
      </c>
      <c r="L258" s="169">
        <f>H258-G258</f>
        <v/>
      </c>
      <c r="M258" s="43">
        <f>J258/F258</f>
        <v/>
      </c>
      <c r="N258" s="24" t="n">
        <v>174.23</v>
      </c>
      <c r="O258" s="24" t="n">
        <v>190.32</v>
      </c>
      <c r="P258" s="43">
        <f>(N258-O258)/O258</f>
        <v/>
      </c>
      <c r="Q258" s="169">
        <f>O258*0.9056*0.85</f>
        <v/>
      </c>
      <c r="R258" s="169">
        <f>O258*1.15</f>
        <v/>
      </c>
      <c r="S258" s="169">
        <f>IF(N258&lt;O258*0.9056*0.85,O258*0.9056*0.85,IF(N258&gt;O258*1.15,O258*1.15,N258))</f>
        <v/>
      </c>
      <c r="T258" s="169" t="n">
        <v>65585.39999999999</v>
      </c>
      <c r="U258" s="169" t="n">
        <v>87629.66</v>
      </c>
      <c r="V258" s="169">
        <f>T258+S258*K258</f>
        <v/>
      </c>
      <c r="W258" s="169">
        <f>U258-T258</f>
        <v/>
      </c>
      <c r="X258" s="169">
        <f>V258-T258</f>
        <v/>
      </c>
      <c r="Y258" s="169">
        <f>V258-U258</f>
        <v/>
      </c>
      <c r="Z258" s="80" t="n"/>
    </row>
    <row r="259" ht="48" customHeight="1" s="166">
      <c r="A259" s="150" t="n">
        <v>237</v>
      </c>
      <c r="B259" s="104" t="inlineStr">
        <is>
          <t>011703001001</t>
        </is>
      </c>
      <c r="C259" s="104" t="inlineStr">
        <is>
          <t>垂直运输</t>
        </is>
      </c>
      <c r="D259" s="104" t="inlineStr">
        <is>
          <t>1.建筑物30m以内的垂直运输现浇框架结构</t>
        </is>
      </c>
      <c r="E259" s="24" t="inlineStr">
        <is>
          <t>m2</t>
        </is>
      </c>
      <c r="F259" s="169" t="n">
        <v>4489.67</v>
      </c>
      <c r="G259" s="169" t="n">
        <v>5122.46</v>
      </c>
      <c r="H259" s="169">
        <f>4994.97</f>
        <v/>
      </c>
      <c r="I259" s="169" t="n"/>
      <c r="J259" s="169">
        <f>G259-F259</f>
        <v/>
      </c>
      <c r="K259" s="169">
        <f>H259-F259</f>
        <v/>
      </c>
      <c r="L259" s="169">
        <f>H259-G259</f>
        <v/>
      </c>
      <c r="M259" s="43">
        <f>J259/F259</f>
        <v/>
      </c>
      <c r="N259" s="24" t="n">
        <v>35.03</v>
      </c>
      <c r="O259" s="24" t="n">
        <v>37.72</v>
      </c>
      <c r="P259" s="43">
        <f>(N259-O259)/O259</f>
        <v/>
      </c>
      <c r="Q259" s="169">
        <f>O259*0.9056*0.85</f>
        <v/>
      </c>
      <c r="R259" s="169">
        <f>O259*1.15</f>
        <v/>
      </c>
      <c r="S259" s="169">
        <f>IF(N259&lt;O259*0.9056*0.85,O259*0.9056*0.85,IF(N259&gt;O259*1.15,O259*1.15,N259))</f>
        <v/>
      </c>
      <c r="T259" s="169" t="n">
        <v>157273</v>
      </c>
      <c r="U259" s="169" t="n">
        <v>179439.77</v>
      </c>
      <c r="V259" s="169">
        <f>T259+S259*K259</f>
        <v/>
      </c>
      <c r="W259" s="169">
        <f>U259-T259</f>
        <v/>
      </c>
      <c r="X259" s="169">
        <f>V259-T259</f>
        <v/>
      </c>
      <c r="Y259" s="169">
        <f>V259-U259</f>
        <v/>
      </c>
      <c r="Z259" s="80" t="n"/>
      <c r="AA259" s="71" t="inlineStr">
        <is>
          <t>按工规证</t>
        </is>
      </c>
    </row>
    <row r="260" ht="48" customHeight="1" s="166">
      <c r="A260" s="150" t="n">
        <v>238</v>
      </c>
      <c r="B260" s="104" t="inlineStr">
        <is>
          <t>011704001001</t>
        </is>
      </c>
      <c r="C260" s="104" t="inlineStr">
        <is>
          <t>超高施工增加</t>
        </is>
      </c>
      <c r="D260" s="104" t="inlineStr">
        <is>
          <t>1.建筑物超高增加人工、机械降效率高度30m以内</t>
        </is>
      </c>
      <c r="E260" s="24" t="inlineStr">
        <is>
          <t>项</t>
        </is>
      </c>
      <c r="F260" s="169" t="n">
        <v>1</v>
      </c>
      <c r="G260" s="169" t="n">
        <v>1</v>
      </c>
      <c r="H260" s="170" t="n">
        <v>1</v>
      </c>
      <c r="I260" s="170" t="n"/>
      <c r="J260" s="169">
        <f>G260-F260</f>
        <v/>
      </c>
      <c r="K260" s="169">
        <f>H260-F260</f>
        <v/>
      </c>
      <c r="L260" s="169">
        <f>H260-G260</f>
        <v/>
      </c>
      <c r="M260" s="43">
        <f>J260/F260</f>
        <v/>
      </c>
      <c r="N260" s="24" t="n">
        <v>40711.69</v>
      </c>
      <c r="O260" s="24" t="n">
        <v>57645.41</v>
      </c>
      <c r="P260" s="43">
        <f>(N260-O260)/O260</f>
        <v/>
      </c>
      <c r="Q260" s="169">
        <f>O260*0.9056*0.85</f>
        <v/>
      </c>
      <c r="R260" s="169">
        <f>O260*1.15</f>
        <v/>
      </c>
      <c r="S260" s="169">
        <f>IF(N260&lt;O260*0.9056*0.85,O260*0.9056*0.85,IF(N260&gt;O260*1.15,O260*1.15,N260))</f>
        <v/>
      </c>
      <c r="T260" s="169" t="n">
        <v>40711.69</v>
      </c>
      <c r="U260" s="169" t="n">
        <v>40711.69</v>
      </c>
      <c r="V260" s="169">
        <f>T260+S260*K260</f>
        <v/>
      </c>
      <c r="W260" s="169">
        <f>U260-T260</f>
        <v/>
      </c>
      <c r="X260" s="169">
        <f>V260-T260</f>
        <v/>
      </c>
      <c r="Y260" s="169">
        <f>V260-U260</f>
        <v/>
      </c>
      <c r="Z260" s="80" t="n"/>
    </row>
    <row r="261" ht="23" customFormat="1" customHeight="1" s="7">
      <c r="A261" s="120" t="inlineStr">
        <is>
          <t>三</t>
        </is>
      </c>
      <c r="B261" s="121" t="n"/>
      <c r="C261" s="122" t="inlineStr">
        <is>
          <t>不含税造价</t>
        </is>
      </c>
      <c r="D261" s="101" t="n"/>
      <c r="E261" s="122" t="n"/>
      <c r="F261" s="122" t="n"/>
      <c r="G261" s="122" t="n"/>
      <c r="H261" s="175" t="n"/>
      <c r="I261" s="175" t="n"/>
      <c r="J261" s="122" t="n"/>
      <c r="K261" s="175" t="n"/>
      <c r="L261" s="169" t="n"/>
      <c r="M261" s="132" t="n"/>
      <c r="N261" s="122" t="n"/>
      <c r="O261" s="122" t="n"/>
      <c r="P261" s="132" t="n"/>
      <c r="Q261" s="175" t="n"/>
      <c r="R261" s="175" t="n"/>
      <c r="S261" s="175" t="n"/>
      <c r="T261" s="175" t="n">
        <v>16947572.28</v>
      </c>
      <c r="U261" s="175" t="n">
        <v>18369152.96</v>
      </c>
      <c r="V261" s="175">
        <f>V190+V191</f>
        <v/>
      </c>
      <c r="W261" s="175">
        <f>+U261-T261</f>
        <v/>
      </c>
      <c r="X261" s="175">
        <f>V261-T261</f>
        <v/>
      </c>
      <c r="Y261" s="175">
        <f>V261-U261</f>
        <v/>
      </c>
      <c r="Z261" s="179" t="n"/>
      <c r="AA261" s="139" t="n"/>
      <c r="AB261" s="1" t="n"/>
    </row>
    <row r="262" ht="23" customFormat="1" customHeight="1" s="7">
      <c r="A262" s="120" t="inlineStr">
        <is>
          <t>四</t>
        </is>
      </c>
      <c r="B262" s="121" t="n"/>
      <c r="C262" s="122" t="inlineStr">
        <is>
          <t>税金（9%）</t>
        </is>
      </c>
      <c r="D262" s="101" t="n"/>
      <c r="E262" s="122" t="n"/>
      <c r="F262" s="122" t="n"/>
      <c r="G262" s="122" t="n"/>
      <c r="H262" s="175" t="n"/>
      <c r="I262" s="175" t="n"/>
      <c r="J262" s="122" t="n"/>
      <c r="K262" s="175" t="n"/>
      <c r="L262" s="169" t="n"/>
      <c r="M262" s="132" t="n"/>
      <c r="N262" s="122" t="n"/>
      <c r="O262" s="122" t="n"/>
      <c r="P262" s="132" t="n"/>
      <c r="Q262" s="175" t="n"/>
      <c r="R262" s="175" t="n"/>
      <c r="S262" s="175" t="n"/>
      <c r="T262" s="175" t="n">
        <v>1525281.51</v>
      </c>
      <c r="U262" s="175" t="n">
        <v>1653223.77</v>
      </c>
      <c r="V262" s="175">
        <f>V261*0.09</f>
        <v/>
      </c>
      <c r="W262" s="175">
        <f>+U262-T262</f>
        <v/>
      </c>
      <c r="X262" s="175">
        <f>V262-T262</f>
        <v/>
      </c>
      <c r="Y262" s="175">
        <f>V262-U262</f>
        <v/>
      </c>
      <c r="Z262" s="179" t="n"/>
      <c r="AA262" s="139" t="n"/>
      <c r="AB262" s="1" t="n"/>
    </row>
    <row r="263" ht="21" customFormat="1" customHeight="1" s="8">
      <c r="A263" s="123" t="inlineStr">
        <is>
          <t>五</t>
        </is>
      </c>
      <c r="B263" s="124" t="n"/>
      <c r="C263" s="124" t="inlineStr">
        <is>
          <t>含税造价</t>
        </is>
      </c>
      <c r="D263" s="125" t="n"/>
      <c r="E263" s="124" t="n"/>
      <c r="F263" s="180" t="n"/>
      <c r="G263" s="180" t="n"/>
      <c r="H263" s="181" t="n"/>
      <c r="I263" s="181" t="n"/>
      <c r="J263" s="180" t="n"/>
      <c r="K263" s="181" t="n"/>
      <c r="L263" s="169" t="n"/>
      <c r="M263" s="133" t="n"/>
      <c r="N263" s="180" t="n"/>
      <c r="O263" s="180" t="n"/>
      <c r="P263" s="133" t="n"/>
      <c r="Q263" s="181" t="n"/>
      <c r="R263" s="181" t="n"/>
      <c r="S263" s="181" t="n"/>
      <c r="T263" s="181" t="n">
        <v>18472853.78</v>
      </c>
      <c r="U263" s="181" t="n">
        <v>20022376.73</v>
      </c>
      <c r="V263" s="175">
        <f>V261+V262</f>
        <v/>
      </c>
      <c r="W263" s="182">
        <f>+U263-T263</f>
        <v/>
      </c>
      <c r="X263" s="175">
        <f>V263-T263</f>
        <v/>
      </c>
      <c r="Y263" s="175">
        <f>V263-U263</f>
        <v/>
      </c>
      <c r="Z263" s="183" t="n"/>
      <c r="AA263" s="141" t="n"/>
      <c r="AB263" s="1" t="n"/>
    </row>
    <row r="264"/>
    <row r="265">
      <c r="H265" s="165">
        <f>8676-3554.49</f>
        <v/>
      </c>
    </row>
    <row r="266"/>
    <row r="267"/>
    <row r="268">
      <c r="Y268" s="163">
        <f>Y263/U263</f>
        <v/>
      </c>
    </row>
  </sheetData>
  <autoFilter ref="A5:AD263"/>
  <mergeCells count="26">
    <mergeCell ref="Z126:Z127"/>
    <mergeCell ref="X3:X4"/>
    <mergeCell ref="Z3:Z4"/>
    <mergeCell ref="A1:Z1"/>
    <mergeCell ref="F3:M3"/>
    <mergeCell ref="C261:D261"/>
    <mergeCell ref="C3:C5"/>
    <mergeCell ref="E3:E5"/>
    <mergeCell ref="Z7:Z12"/>
    <mergeCell ref="C193:D193"/>
    <mergeCell ref="B3:B5"/>
    <mergeCell ref="W3:W4"/>
    <mergeCell ref="C192:D192"/>
    <mergeCell ref="E2:F2"/>
    <mergeCell ref="AA3:AA4"/>
    <mergeCell ref="T3:V3"/>
    <mergeCell ref="AB3:AB4"/>
    <mergeCell ref="N2:Z2"/>
    <mergeCell ref="C262:D262"/>
    <mergeCell ref="A3:A5"/>
    <mergeCell ref="Y3:Y4"/>
    <mergeCell ref="D3:D5"/>
    <mergeCell ref="A2:D2"/>
    <mergeCell ref="Z108:Z109"/>
    <mergeCell ref="N3:S3"/>
    <mergeCell ref="C263:D263"/>
  </mergeCells>
  <printOptions horizontalCentered="1"/>
  <pageMargins left="0.118055555555556" right="0.118055555555556" top="0.594444444444444" bottom="0" header="0.594444444444444" footer="0"/>
  <pageSetup orientation="portrait" paperSize="9" scale="32" fitToHeight="0" horizontalDpi="600"/>
  <headerFooter>
    <oddHeader/>
    <oddFooter>&amp;C第 &amp;P 页，共 &amp;N 页</oddFooter>
    <evenHeader/>
    <evenFooter/>
    <firstHeader/>
    <firstFooter/>
  </headerFooter>
  <rowBreaks count="2" manualBreakCount="2">
    <brk id="234" min="0" max="25" man="1"/>
    <brk id="26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47"/>
  <sheetViews>
    <sheetView tabSelected="1" topLeftCell="A10" zoomScale="70" zoomScaleNormal="70" workbookViewId="0">
      <selection activeCell="A1" sqref="$A1:$XFD1048576"/>
    </sheetView>
  </sheetViews>
  <sheetFormatPr baseColWidth="8" defaultColWidth="10.5" defaultRowHeight="11.25"/>
  <cols>
    <col width="5" customWidth="1" style="1" min="1" max="1"/>
    <col width="15.8222222222222" customWidth="1" style="1" min="2" max="2"/>
    <col width="17.3" customWidth="1" style="1" min="3" max="3"/>
    <col width="29.5555555555556" customWidth="1" style="1" min="4" max="4"/>
    <col width="6.22222222222222" customWidth="1" style="1" min="5" max="5"/>
    <col width="11.8333333333333" customWidth="1" style="9" min="6" max="6"/>
    <col width="12" customWidth="1" style="9" min="7" max="7"/>
    <col width="13.8333333333333" customWidth="1" style="10" min="8" max="8"/>
    <col outlineLevel="1" width="12.6444444444444" customWidth="1" style="9" min="9" max="9"/>
    <col width="12.6444444444444" customWidth="1" style="9" min="10" max="10"/>
    <col outlineLevel="1" width="12.6444444444444" customWidth="1" style="9" min="11" max="11"/>
    <col width="11.9777777777778" customWidth="1" style="9" min="12" max="12"/>
    <col width="11.2777777777778" customWidth="1" style="9" min="13" max="15"/>
    <col width="14.3888888888889" customWidth="1" style="9" min="16" max="16"/>
    <col width="15.1666666666667" customWidth="1" style="9" min="17" max="17"/>
    <col width="11.2777777777778" customWidth="1" style="9" min="18" max="18"/>
    <col width="21" customWidth="1" style="9" min="19" max="19"/>
    <col width="22.8333333333333" customWidth="1" style="9" min="20" max="20"/>
    <col width="18.8333333333333" customWidth="1" style="184" min="21" max="21"/>
    <col width="16.7111111111111" customWidth="1" style="165" min="22" max="22"/>
    <col width="17.1666666666667" customWidth="1" style="184" min="23" max="23"/>
    <col outlineLevel="1" width="18.1666666666667" customWidth="1" style="185" min="24" max="24"/>
    <col width="14.1666666666667" customWidth="1" style="9" min="25" max="25"/>
    <col width="15" customWidth="1" style="1" min="26" max="26"/>
    <col width="10.5" customWidth="1" style="1" min="27" max="16384"/>
  </cols>
  <sheetData>
    <row r="1" ht="32" customFormat="1" customHeight="1" s="1">
      <c r="A1" s="14" t="inlineStr">
        <is>
          <t>工程量偏差或漏项对比表</t>
        </is>
      </c>
    </row>
    <row r="2" ht="16" customFormat="1" customHeight="1" s="1">
      <c r="A2" s="15" t="inlineStr">
        <is>
          <t>工程名称：教学楼</t>
        </is>
      </c>
      <c r="E2" s="15" t="n"/>
      <c r="G2" s="16" t="n"/>
      <c r="H2" s="17" t="n"/>
      <c r="I2" s="16" t="n"/>
      <c r="J2" s="16" t="n"/>
      <c r="K2" s="16" t="n"/>
      <c r="L2" s="16" t="n"/>
      <c r="M2" s="16" t="n"/>
    </row>
    <row r="3" ht="21" customFormat="1" customHeight="1" s="1">
      <c r="A3" s="18" t="inlineStr">
        <is>
          <t>序号</t>
        </is>
      </c>
      <c r="B3" s="19" t="inlineStr">
        <is>
          <t>项目编码</t>
        </is>
      </c>
      <c r="C3" s="19" t="inlineStr">
        <is>
          <t>项目名称</t>
        </is>
      </c>
      <c r="D3" s="19" t="inlineStr">
        <is>
          <t>项目特征描述</t>
        </is>
      </c>
      <c r="E3" s="19" t="inlineStr">
        <is>
          <t>计量单位</t>
        </is>
      </c>
      <c r="F3" s="20" t="inlineStr">
        <is>
          <t>工程量</t>
        </is>
      </c>
      <c r="G3" s="21" t="n"/>
      <c r="H3" s="21" t="n"/>
      <c r="I3" s="21" t="n"/>
      <c r="J3" s="21" t="n"/>
      <c r="K3" s="21" t="n"/>
      <c r="L3" s="41" t="n"/>
      <c r="M3" s="42" t="inlineStr">
        <is>
          <t>单价（元）</t>
        </is>
      </c>
      <c r="N3" s="21" t="n"/>
      <c r="O3" s="21" t="n"/>
      <c r="P3" s="21" t="n"/>
      <c r="Q3" s="21" t="n"/>
      <c r="R3" s="41" t="n"/>
      <c r="S3" s="52" t="inlineStr">
        <is>
          <t>合价（元）</t>
        </is>
      </c>
      <c r="T3" s="21" t="n"/>
      <c r="U3" s="21" t="n"/>
      <c r="V3" s="186" t="inlineStr">
        <is>
          <t>送审增减部分金额（元）</t>
        </is>
      </c>
      <c r="W3" s="187" t="inlineStr">
        <is>
          <t>审核增减部分金额（元）</t>
        </is>
      </c>
      <c r="X3" s="188" t="inlineStr">
        <is>
          <t>核增减金额（元）</t>
        </is>
      </c>
      <c r="Y3" s="70" t="inlineStr">
        <is>
          <t>备注</t>
        </is>
      </c>
      <c r="Z3" s="71" t="n"/>
      <c r="AA3" s="71" t="n"/>
    </row>
    <row r="4" ht="42" customFormat="1" customHeight="1" s="1">
      <c r="A4" s="22" t="n"/>
      <c r="B4" s="23" t="n"/>
      <c r="C4" s="23" t="n"/>
      <c r="D4" s="23" t="n"/>
      <c r="E4" s="23" t="n"/>
      <c r="F4" s="24" t="inlineStr">
        <is>
          <t>合同工程量</t>
        </is>
      </c>
      <c r="G4" s="24" t="inlineStr">
        <is>
          <t>送审工程量</t>
        </is>
      </c>
      <c r="H4" s="25" t="inlineStr">
        <is>
          <t>审核工程量</t>
        </is>
      </c>
      <c r="I4" s="24" t="inlineStr">
        <is>
          <t>送审增减工程量（±）</t>
        </is>
      </c>
      <c r="J4" s="24" t="inlineStr">
        <is>
          <t>增减工程量（±）</t>
        </is>
      </c>
      <c r="K4" s="24" t="inlineStr">
        <is>
          <t>核增减工程量（±）</t>
        </is>
      </c>
      <c r="L4" s="24" t="inlineStr">
        <is>
          <t>增减工程量比例（%）</t>
        </is>
      </c>
      <c r="M4" s="24" t="inlineStr">
        <is>
          <t>投标单价 （元）</t>
        </is>
      </c>
      <c r="N4" s="24" t="inlineStr">
        <is>
          <t>预算备案单价（元）</t>
        </is>
      </c>
      <c r="O4" s="43" t="inlineStr">
        <is>
          <t>单价偏差率（%）</t>
        </is>
      </c>
      <c r="P4" s="169" t="inlineStr">
        <is>
          <t>P1*L*(1-15%)</t>
        </is>
      </c>
      <c r="Q4" s="169" t="inlineStr">
        <is>
          <t>P1*(1+15%)</t>
        </is>
      </c>
      <c r="R4" s="169" t="inlineStr">
        <is>
          <t>增减部分单价（元）</t>
        </is>
      </c>
      <c r="S4" s="24" t="inlineStr">
        <is>
          <t>合同合价（元）</t>
        </is>
      </c>
      <c r="T4" s="169" t="inlineStr">
        <is>
          <t>结算合价（元）</t>
        </is>
      </c>
      <c r="U4" s="189" t="inlineStr">
        <is>
          <t>审核合价（元）</t>
        </is>
      </c>
      <c r="V4" s="57" t="n"/>
      <c r="W4" s="58" t="n"/>
      <c r="X4" s="58" t="n"/>
      <c r="Y4" s="72" t="n"/>
    </row>
    <row r="5" ht="25" customFormat="1" customHeight="1" s="1">
      <c r="A5" s="26" t="n"/>
      <c r="B5" s="27" t="n"/>
      <c r="C5" s="27" t="n"/>
      <c r="D5" s="27" t="n"/>
      <c r="E5" s="27" t="n"/>
      <c r="F5" s="24" t="inlineStr">
        <is>
          <t>A</t>
        </is>
      </c>
      <c r="G5" s="24" t="inlineStr">
        <is>
          <t>B</t>
        </is>
      </c>
      <c r="H5" s="25" t="inlineStr">
        <is>
          <t>C</t>
        </is>
      </c>
      <c r="I5" s="24" t="inlineStr">
        <is>
          <t>D=B-A</t>
        </is>
      </c>
      <c r="J5" s="24" t="inlineStr">
        <is>
          <t>D=C-A</t>
        </is>
      </c>
      <c r="K5" s="24" t="inlineStr">
        <is>
          <t>E=C-B</t>
        </is>
      </c>
      <c r="L5" s="24" t="inlineStr">
        <is>
          <t>E=D/A</t>
        </is>
      </c>
      <c r="M5" s="45" t="inlineStr">
        <is>
          <t>P0</t>
        </is>
      </c>
      <c r="N5" s="45" t="inlineStr">
        <is>
          <t>P1</t>
        </is>
      </c>
      <c r="O5" s="46" t="inlineStr">
        <is>
          <t>H=(P1-P0)/P1</t>
        </is>
      </c>
      <c r="P5" s="190" t="inlineStr">
        <is>
          <t>打印时隐藏</t>
        </is>
      </c>
      <c r="Q5" s="190" t="inlineStr">
        <is>
          <t>打印时隐藏</t>
        </is>
      </c>
      <c r="R5" s="190" t="inlineStr">
        <is>
          <t>I</t>
        </is>
      </c>
      <c r="S5" s="59" t="inlineStr">
        <is>
          <t>J</t>
        </is>
      </c>
      <c r="T5" s="191" t="inlineStr">
        <is>
          <t>K</t>
        </is>
      </c>
      <c r="U5" s="192" t="inlineStr">
        <is>
          <t>L</t>
        </is>
      </c>
      <c r="V5" s="193" t="inlineStr">
        <is>
          <t>M=K-J</t>
        </is>
      </c>
      <c r="W5" s="194" t="inlineStr">
        <is>
          <t>N</t>
        </is>
      </c>
      <c r="X5" s="195" t="inlineStr">
        <is>
          <t>O</t>
        </is>
      </c>
      <c r="Y5" s="73" t="n"/>
    </row>
    <row r="6" ht="28.5" customFormat="1" customHeight="1" s="1">
      <c r="A6" s="28" t="n"/>
      <c r="B6" s="29" t="n"/>
      <c r="C6" s="29" t="inlineStr">
        <is>
          <t>土石方工程</t>
        </is>
      </c>
      <c r="D6" s="29" t="n"/>
      <c r="E6" s="29" t="n"/>
      <c r="F6" s="30" t="n"/>
      <c r="G6" s="30" t="n"/>
      <c r="H6" s="31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>
        <v>45309.76</v>
      </c>
      <c r="T6" s="196">
        <f>+SUM(T7:T11)</f>
        <v/>
      </c>
      <c r="U6" s="197">
        <f>+SUM(U7:U11)</f>
        <v/>
      </c>
      <c r="V6" s="196" t="n"/>
      <c r="W6" s="197" t="n"/>
      <c r="X6" s="198">
        <f>U6-T6</f>
        <v/>
      </c>
      <c r="Y6" s="74" t="n"/>
    </row>
    <row r="7" ht="18" customFormat="1" customHeight="1" s="1">
      <c r="A7" s="28" t="n">
        <v>1</v>
      </c>
      <c r="B7" s="29" t="inlineStr">
        <is>
          <t>010101001001</t>
        </is>
      </c>
      <c r="C7" s="29" t="inlineStr">
        <is>
          <t>平整场地</t>
        </is>
      </c>
      <c r="D7" s="29" t="inlineStr">
        <is>
          <t>1.平整场地</t>
        </is>
      </c>
      <c r="E7" s="30" t="inlineStr">
        <is>
          <t>m2</t>
        </is>
      </c>
      <c r="F7" s="30" t="n">
        <v>1860.25</v>
      </c>
      <c r="G7" s="199" t="n">
        <v>1860.25</v>
      </c>
      <c r="H7" s="200" t="n">
        <v>1860.25</v>
      </c>
      <c r="I7" s="199">
        <f>G7-F7</f>
        <v/>
      </c>
      <c r="J7" s="199">
        <f>H7-F7</f>
        <v/>
      </c>
      <c r="K7" s="199">
        <f>+H7-G7</f>
        <v/>
      </c>
      <c r="L7" s="48">
        <f>J7/F7</f>
        <v/>
      </c>
      <c r="M7" s="30" t="n">
        <v>2.32</v>
      </c>
      <c r="N7" s="30" t="n">
        <v>2.49</v>
      </c>
      <c r="O7" s="49">
        <f>(M7-N7)/N7</f>
        <v/>
      </c>
      <c r="P7" s="199">
        <f>N7*0.9056*0.85</f>
        <v/>
      </c>
      <c r="Q7" s="199">
        <f>N7*1.15</f>
        <v/>
      </c>
      <c r="R7" s="199">
        <f>IF(M7&lt;N7*0.9056*0.85,N7*0.9056*0.85,IF(M7&gt;N7*1.15,N7*1.15,M7))</f>
        <v/>
      </c>
      <c r="S7" s="30">
        <f>+F7*M7</f>
        <v/>
      </c>
      <c r="T7" s="169">
        <f>S7+R7*I7</f>
        <v/>
      </c>
      <c r="U7" s="197">
        <f>S7+R7*J7</f>
        <v/>
      </c>
      <c r="V7" s="196">
        <f>U7-S7</f>
        <v/>
      </c>
      <c r="W7" s="197">
        <f>+U7-T7</f>
        <v/>
      </c>
      <c r="X7" s="201">
        <f>+U7-T7</f>
        <v/>
      </c>
      <c r="Y7" s="74" t="inlineStr">
        <is>
          <t>包干</t>
        </is>
      </c>
    </row>
    <row r="8" ht="28.5" customFormat="1" customHeight="1" s="1">
      <c r="A8" s="28" t="n">
        <v>2</v>
      </c>
      <c r="B8" s="29" t="inlineStr">
        <is>
          <t>010101003001</t>
        </is>
      </c>
      <c r="C8" s="29" t="inlineStr">
        <is>
          <t>挖沟槽土方</t>
        </is>
      </c>
      <c r="D8" s="29" t="inlineStr">
        <is>
          <t>1.土壤类别:综合考虑
2.挖土深度:综合考虑</t>
        </is>
      </c>
      <c r="E8" s="30" t="inlineStr">
        <is>
          <t>m3</t>
        </is>
      </c>
      <c r="F8" s="30" t="n">
        <v>371.95</v>
      </c>
      <c r="G8" s="199" t="n">
        <v>371.95</v>
      </c>
      <c r="H8" s="200" t="n">
        <v>371.95</v>
      </c>
      <c r="I8" s="199">
        <f>G8-F8</f>
        <v/>
      </c>
      <c r="J8" s="199">
        <f>H8-F8</f>
        <v/>
      </c>
      <c r="K8" s="199">
        <f>+H8-G8</f>
        <v/>
      </c>
      <c r="L8" s="48">
        <f>J8/F8</f>
        <v/>
      </c>
      <c r="M8" s="30" t="n">
        <v>9.859999999999999</v>
      </c>
      <c r="N8" s="30" t="n">
        <v>9.32</v>
      </c>
      <c r="O8" s="49">
        <f>(M8-N8)/N8</f>
        <v/>
      </c>
      <c r="P8" s="199">
        <f>N8*0.9056*0.85</f>
        <v/>
      </c>
      <c r="Q8" s="199">
        <f>N8*1.15</f>
        <v/>
      </c>
      <c r="R8" s="199">
        <f>IF(M8&lt;N8*0.9056*0.85,N8*0.9056*0.85,IF(M8&gt;N8*1.15,N8*1.15,M8))</f>
        <v/>
      </c>
      <c r="S8" s="30" t="n">
        <v>3667.43</v>
      </c>
      <c r="T8" s="169">
        <f>S8+R8*I8</f>
        <v/>
      </c>
      <c r="U8" s="197">
        <f>S8+R8*J8</f>
        <v/>
      </c>
      <c r="V8" s="196">
        <f>U8-S8</f>
        <v/>
      </c>
      <c r="W8" s="197">
        <f>+U8-T8</f>
        <v/>
      </c>
      <c r="X8" s="201">
        <f>+U8-T8</f>
        <v/>
      </c>
      <c r="Y8" s="75" t="n"/>
    </row>
    <row r="9" ht="28.5" customFormat="1" customHeight="1" s="1">
      <c r="A9" s="28" t="n">
        <v>3</v>
      </c>
      <c r="B9" s="29" t="inlineStr">
        <is>
          <t>010101004002</t>
        </is>
      </c>
      <c r="C9" s="29" t="inlineStr">
        <is>
          <t>挖基坑土方</t>
        </is>
      </c>
      <c r="D9" s="29" t="inlineStr">
        <is>
          <t>1.土壤类别:综合考虑
2.挖土深度:综合考虑</t>
        </is>
      </c>
      <c r="E9" s="30" t="inlineStr">
        <is>
          <t>m3</t>
        </is>
      </c>
      <c r="F9" s="30" t="n">
        <v>872.09</v>
      </c>
      <c r="G9" s="199" t="n">
        <v>872.09</v>
      </c>
      <c r="H9" s="200" t="n">
        <v>872.09</v>
      </c>
      <c r="I9" s="199">
        <f>G9-F9</f>
        <v/>
      </c>
      <c r="J9" s="199">
        <f>H9-F9</f>
        <v/>
      </c>
      <c r="K9" s="199">
        <f>+H9-G9</f>
        <v/>
      </c>
      <c r="L9" s="48">
        <f>J9/F9</f>
        <v/>
      </c>
      <c r="M9" s="30" t="n">
        <v>8.25</v>
      </c>
      <c r="N9" s="30" t="n">
        <v>9.449999999999999</v>
      </c>
      <c r="O9" s="49">
        <f>(M9-N9)/N9</f>
        <v/>
      </c>
      <c r="P9" s="199">
        <f>N9*0.9056*0.85</f>
        <v/>
      </c>
      <c r="Q9" s="199">
        <f>N9*1.15</f>
        <v/>
      </c>
      <c r="R9" s="199">
        <f>IF(M9&lt;N9*0.9056*0.85,N9*0.9056*0.85,IF(M9&gt;N9*1.15,N9*1.15,M9))</f>
        <v/>
      </c>
      <c r="S9" s="30" t="n">
        <v>7194.74</v>
      </c>
      <c r="T9" s="169">
        <f>S9+R9*I9</f>
        <v/>
      </c>
      <c r="U9" s="197">
        <f>S9+R9*J9</f>
        <v/>
      </c>
      <c r="V9" s="196">
        <f>U9-S9</f>
        <v/>
      </c>
      <c r="W9" s="197">
        <f>+U9-T9</f>
        <v/>
      </c>
      <c r="X9" s="201">
        <f>+U9-T9</f>
        <v/>
      </c>
      <c r="Y9" s="75" t="n"/>
    </row>
    <row r="10" ht="41.25" customFormat="1" customHeight="1" s="1">
      <c r="A10" s="28" t="n">
        <v>4</v>
      </c>
      <c r="B10" s="29" t="inlineStr">
        <is>
          <t>010103001001</t>
        </is>
      </c>
      <c r="C10" s="29" t="inlineStr">
        <is>
          <t>回填方</t>
        </is>
      </c>
      <c r="D10" s="29" t="inlineStr">
        <is>
          <t>1.填方材料品种:原土
2.密实度要求:按设计及规范要求</t>
        </is>
      </c>
      <c r="E10" s="30" t="inlineStr">
        <is>
          <t>m3</t>
        </is>
      </c>
      <c r="F10" s="30" t="n">
        <v>851.99</v>
      </c>
      <c r="G10" s="199" t="n">
        <v>851.99</v>
      </c>
      <c r="H10" s="200" t="n">
        <v>851.99</v>
      </c>
      <c r="I10" s="199">
        <f>G10-F10</f>
        <v/>
      </c>
      <c r="J10" s="199">
        <f>H10-F10</f>
        <v/>
      </c>
      <c r="K10" s="199">
        <f>+H10-G10</f>
        <v/>
      </c>
      <c r="L10" s="48">
        <f>J10/F10</f>
        <v/>
      </c>
      <c r="M10" s="30" t="n">
        <v>17.92</v>
      </c>
      <c r="N10" s="30" t="n">
        <v>19.89</v>
      </c>
      <c r="O10" s="49">
        <f>(M10-N10)/N10</f>
        <v/>
      </c>
      <c r="P10" s="199">
        <f>N10*0.9056*0.85</f>
        <v/>
      </c>
      <c r="Q10" s="199">
        <f>N10*1.15</f>
        <v/>
      </c>
      <c r="R10" s="199">
        <f>IF(M10&lt;N10*0.9056*0.85,N10*0.9056*0.85,IF(M10&gt;N10*1.15,N10*1.15,M10))</f>
        <v/>
      </c>
      <c r="S10" s="30" t="n">
        <v>15267.66</v>
      </c>
      <c r="T10" s="169">
        <f>S10+R10*I10</f>
        <v/>
      </c>
      <c r="U10" s="197">
        <f>S10+R10*J10</f>
        <v/>
      </c>
      <c r="V10" s="196">
        <f>U10-S10</f>
        <v/>
      </c>
      <c r="W10" s="197">
        <f>+U10-T10</f>
        <v/>
      </c>
      <c r="X10" s="201">
        <f>+U10-T10</f>
        <v/>
      </c>
      <c r="Y10" s="75" t="n"/>
    </row>
    <row r="11" ht="41.25" customFormat="1" customHeight="1" s="1">
      <c r="A11" s="28" t="n">
        <v>5</v>
      </c>
      <c r="B11" s="29" t="inlineStr">
        <is>
          <t>010103002002</t>
        </is>
      </c>
      <c r="C11" s="29" t="inlineStr">
        <is>
          <t>余方弃置</t>
        </is>
      </c>
      <c r="D11" s="29" t="inlineStr">
        <is>
          <t>1.余方弃置
2.运距:智能渣土车运输运距综合考虑</t>
        </is>
      </c>
      <c r="E11" s="30" t="inlineStr">
        <is>
          <t>m3</t>
        </is>
      </c>
      <c r="F11" s="30" t="n">
        <v>264.2515</v>
      </c>
      <c r="G11" s="199" t="n">
        <v>264.25</v>
      </c>
      <c r="H11" s="200" t="n">
        <v>264.25</v>
      </c>
      <c r="I11" s="199">
        <f>G11-F11</f>
        <v/>
      </c>
      <c r="J11" s="199">
        <f>H11-F11</f>
        <v/>
      </c>
      <c r="K11" s="199">
        <f>+H11-G11</f>
        <v/>
      </c>
      <c r="L11" s="48">
        <f>J11/F11</f>
        <v/>
      </c>
      <c r="M11" s="30" t="n">
        <v>56.25</v>
      </c>
      <c r="N11" s="30" t="n">
        <v>59.2</v>
      </c>
      <c r="O11" s="49">
        <f>(M11-N11)/N11</f>
        <v/>
      </c>
      <c r="P11" s="199">
        <f>N11*0.9056*0.85</f>
        <v/>
      </c>
      <c r="Q11" s="199">
        <f>N11*1.15</f>
        <v/>
      </c>
      <c r="R11" s="199">
        <f>IF(M11&lt;N11*0.9056*0.85,N11*0.9056*0.85,IF(M11&gt;N11*1.15,N11*1.15,M11))</f>
        <v/>
      </c>
      <c r="S11" s="30" t="n">
        <v>14864.15</v>
      </c>
      <c r="T11" s="169">
        <f>S11+R11*I11</f>
        <v/>
      </c>
      <c r="U11" s="197">
        <f>S11+R11*J11</f>
        <v/>
      </c>
      <c r="V11" s="196">
        <f>U11-S11</f>
        <v/>
      </c>
      <c r="W11" s="197">
        <f>+U11-T11</f>
        <v/>
      </c>
      <c r="X11" s="201">
        <f>+U11-T11</f>
        <v/>
      </c>
      <c r="Y11" s="76" t="n"/>
    </row>
    <row r="12" ht="28.5" customFormat="1" customHeight="1" s="1">
      <c r="A12" s="28" t="n"/>
      <c r="B12" s="29" t="n"/>
      <c r="C12" s="29" t="inlineStr">
        <is>
          <t>桩基工程</t>
        </is>
      </c>
      <c r="D12" s="29" t="n"/>
      <c r="E12" s="29" t="n"/>
      <c r="F12" s="30" t="n"/>
      <c r="G12" s="199" t="n"/>
      <c r="H12" s="31" t="n"/>
      <c r="I12" s="199" t="n"/>
      <c r="J12" s="199" t="n"/>
      <c r="K12" s="199" t="n"/>
      <c r="L12" s="49" t="n"/>
      <c r="M12" s="30" t="n"/>
      <c r="N12" s="30" t="n"/>
      <c r="O12" s="30" t="n"/>
      <c r="P12" s="30" t="n"/>
      <c r="Q12" s="30" t="n"/>
      <c r="R12" s="199" t="n"/>
      <c r="S12" s="196">
        <f>+SUM(S13:S18)</f>
        <v/>
      </c>
      <c r="T12" s="196">
        <f>+SUM(T13:T18)</f>
        <v/>
      </c>
      <c r="U12" s="197">
        <f>SUM(U13:U18)</f>
        <v/>
      </c>
      <c r="V12" s="196">
        <f>U12-S12</f>
        <v/>
      </c>
      <c r="W12" s="197">
        <f>+U12-T12</f>
        <v/>
      </c>
      <c r="X12" s="198">
        <f>U12-T12</f>
        <v/>
      </c>
      <c r="Y12" s="74" t="n"/>
    </row>
    <row r="13" ht="110" customFormat="1" customHeight="1" s="1">
      <c r="A13" s="28" t="n">
        <v>6</v>
      </c>
      <c r="B13" s="29" t="inlineStr">
        <is>
          <t>010301002004</t>
        </is>
      </c>
      <c r="C13" s="29" t="inlineStr">
        <is>
          <t>预制钢筋混凝土管桩</t>
        </is>
      </c>
      <c r="D13" s="29" t="inlineStr">
        <is>
          <t>1.桩外径、壁厚:Φ400PHC80预应力管桩AB型壁厚95mm（综合考虑抗拔桩）
2.沉桩方法:静压
3.混凝土强度等级:C30C40
4.填充材料种类:微膨胀混凝土
5.接桩
6.预埋钢板</t>
        </is>
      </c>
      <c r="E13" s="30" t="inlineStr">
        <is>
          <t>m</t>
        </is>
      </c>
      <c r="F13" s="199" t="n">
        <v>4149.5</v>
      </c>
      <c r="G13" s="199" t="n">
        <v>4342.6</v>
      </c>
      <c r="H13" s="200" t="n">
        <v>4099.4</v>
      </c>
      <c r="I13" s="199">
        <f>G13-F13</f>
        <v/>
      </c>
      <c r="J13" s="199">
        <f>H13-F13</f>
        <v/>
      </c>
      <c r="K13" s="199">
        <f>+H13-G13</f>
        <v/>
      </c>
      <c r="L13" s="49">
        <f>I13/F13</f>
        <v/>
      </c>
      <c r="M13" s="30" t="n">
        <v>270.2</v>
      </c>
      <c r="N13" s="30" t="n">
        <v>319.38</v>
      </c>
      <c r="O13" s="49">
        <f>(M13-N13)/N13</f>
        <v/>
      </c>
      <c r="P13" s="199">
        <f>N13*0.9056*0.85</f>
        <v/>
      </c>
      <c r="Q13" s="199">
        <f>N13*1.15</f>
        <v/>
      </c>
      <c r="R13" s="199">
        <f>IF(M13&lt;N13*0.9056*0.85,N13*0.9056*0.85,IF(M13&gt;N13*1.15,N13*1.15,M13))</f>
        <v/>
      </c>
      <c r="S13" s="30">
        <f>+F13*M13</f>
        <v/>
      </c>
      <c r="T13" s="169">
        <f>S13+R13*I13</f>
        <v/>
      </c>
      <c r="U13" s="197">
        <f>S13+R13*J13</f>
        <v/>
      </c>
      <c r="V13" s="196">
        <f>U13-S13</f>
        <v/>
      </c>
      <c r="W13" s="197">
        <f>+U13-T13</f>
        <v/>
      </c>
      <c r="X13" s="201">
        <f>+U13-T13</f>
        <v/>
      </c>
      <c r="Y13" s="74" t="n"/>
    </row>
    <row r="14" ht="101" customFormat="1" customHeight="1" s="1">
      <c r="A14" s="28" t="n">
        <v>7</v>
      </c>
      <c r="B14" s="29" t="inlineStr">
        <is>
          <t>010301002006</t>
        </is>
      </c>
      <c r="C14" s="29" t="inlineStr">
        <is>
          <t>预制钢筋混凝土管桩（试验桩）</t>
        </is>
      </c>
      <c r="D14" s="29" t="inlineStr">
        <is>
          <t>1.桩外径、壁厚:Φ400PHC80预应力管桩AB型壁厚95mm
2.沉桩方法:静压
3.混凝土强度等级:C30C40
4.填充材料种类:微膨胀混凝土
5.接桩
6.预埋钢板</t>
        </is>
      </c>
      <c r="E14" s="30" t="inlineStr">
        <is>
          <t>m</t>
        </is>
      </c>
      <c r="F14" s="199" t="n">
        <v>107.5</v>
      </c>
      <c r="G14" s="199" t="n">
        <v>0</v>
      </c>
      <c r="H14" s="200" t="n">
        <v>0</v>
      </c>
      <c r="I14" s="199">
        <f>G14-F14</f>
        <v/>
      </c>
      <c r="J14" s="199">
        <f>H14-F14</f>
        <v/>
      </c>
      <c r="K14" s="199">
        <f>+H14-G14</f>
        <v/>
      </c>
      <c r="L14" s="49">
        <f>I14/F14</f>
        <v/>
      </c>
      <c r="M14" s="30" t="n">
        <v>314.72</v>
      </c>
      <c r="N14" s="30" t="n">
        <v>356.32</v>
      </c>
      <c r="O14" s="49">
        <f>(M14-N14)/N14</f>
        <v/>
      </c>
      <c r="P14" s="199">
        <f>N14*0.9056*0.85</f>
        <v/>
      </c>
      <c r="Q14" s="199">
        <f>N14*1.15</f>
        <v/>
      </c>
      <c r="R14" s="199">
        <f>IF(M14&lt;N14*0.9056*0.85,N14*0.9056*0.85,IF(M14&gt;N14*1.15,N14*1.15,M14))</f>
        <v/>
      </c>
      <c r="S14" s="30">
        <f>+F14*M14</f>
        <v/>
      </c>
      <c r="T14" s="169">
        <f>S14+R14*I14</f>
        <v/>
      </c>
      <c r="U14" s="197">
        <f>S14+R14*J14</f>
        <v/>
      </c>
      <c r="V14" s="196">
        <f>U14-S14</f>
        <v/>
      </c>
      <c r="W14" s="197">
        <f>+U14-T14</f>
        <v/>
      </c>
      <c r="X14" s="201">
        <f>+U14-T14</f>
        <v/>
      </c>
      <c r="Y14" s="74" t="n"/>
    </row>
    <row r="15" ht="31" customFormat="1" customHeight="1" s="1">
      <c r="A15" s="28" t="n">
        <v>8</v>
      </c>
      <c r="B15" s="29" t="inlineStr">
        <is>
          <t>010301002003</t>
        </is>
      </c>
      <c r="C15" s="29" t="inlineStr">
        <is>
          <t>预制钢筋混凝土管桩（送桩）</t>
        </is>
      </c>
      <c r="D15" s="29" t="inlineStr">
        <is>
          <t>1.桩外径、壁厚:Φ400PHC80预应力管桩AB型壁厚95mm</t>
        </is>
      </c>
      <c r="E15" s="30" t="inlineStr">
        <is>
          <t>m</t>
        </is>
      </c>
      <c r="F15" s="199" t="n">
        <v>396</v>
      </c>
      <c r="G15" s="199" t="n">
        <v>113.5</v>
      </c>
      <c r="H15" s="200" t="n">
        <v>113.5</v>
      </c>
      <c r="I15" s="199">
        <f>G15-F15</f>
        <v/>
      </c>
      <c r="J15" s="199">
        <f>H15-F15</f>
        <v/>
      </c>
      <c r="K15" s="199">
        <f>+H15-G15</f>
        <v/>
      </c>
      <c r="L15" s="49">
        <f>I15/F15</f>
        <v/>
      </c>
      <c r="M15" s="30" t="n">
        <v>56.37</v>
      </c>
      <c r="N15" s="30" t="n">
        <v>58.71</v>
      </c>
      <c r="O15" s="49">
        <f>(M15-N15)/N15</f>
        <v/>
      </c>
      <c r="P15" s="199">
        <f>N15*0.9056*0.85</f>
        <v/>
      </c>
      <c r="Q15" s="199">
        <f>N15*1.15</f>
        <v/>
      </c>
      <c r="R15" s="199">
        <f>IF(M15&lt;N15*0.9056*0.85,N15*0.9056*0.85,IF(M15&gt;N15*1.15,N15*1.15,M15))</f>
        <v/>
      </c>
      <c r="S15" s="30">
        <f>+F15*M15</f>
        <v/>
      </c>
      <c r="T15" s="169">
        <f>S15+R15*I15</f>
        <v/>
      </c>
      <c r="U15" s="197">
        <f>S15+R15*J15</f>
        <v/>
      </c>
      <c r="V15" s="196">
        <f>U15-S15</f>
        <v/>
      </c>
      <c r="W15" s="197">
        <f>+U15-T15</f>
        <v/>
      </c>
      <c r="X15" s="201">
        <f>+U15-T15</f>
        <v/>
      </c>
      <c r="Y15" s="74" t="n"/>
    </row>
    <row r="16" ht="52" customFormat="1" customHeight="1" s="1">
      <c r="A16" s="28" t="n">
        <v>9</v>
      </c>
      <c r="B16" s="29" t="inlineStr">
        <is>
          <t>010301004001</t>
        </is>
      </c>
      <c r="C16" s="29" t="inlineStr">
        <is>
          <t>截(凿)桩头</t>
        </is>
      </c>
      <c r="D16" s="29" t="inlineStr">
        <is>
          <t>1.桩类型:管桩
2.桩头截面、高度:桩径D为400
3.场外运输:综合考虑</t>
        </is>
      </c>
      <c r="E16" s="30" t="inlineStr">
        <is>
          <t>根</t>
        </is>
      </c>
      <c r="F16" s="202" t="n">
        <v>198</v>
      </c>
      <c r="G16" s="202" t="n">
        <v>191</v>
      </c>
      <c r="H16" s="203" t="n">
        <v>191</v>
      </c>
      <c r="I16" s="202">
        <f>G16-F16</f>
        <v/>
      </c>
      <c r="J16" s="202">
        <f>H16-F16</f>
        <v/>
      </c>
      <c r="K16" s="202">
        <f>+H16-G16</f>
        <v/>
      </c>
      <c r="L16" s="49">
        <f>I16/F16</f>
        <v/>
      </c>
      <c r="M16" s="30" t="n">
        <v>78.16</v>
      </c>
      <c r="N16" s="30" t="n">
        <v>95.36</v>
      </c>
      <c r="O16" s="49">
        <f>(M16-N16)/N16</f>
        <v/>
      </c>
      <c r="P16" s="199">
        <f>N16*0.9056*0.85</f>
        <v/>
      </c>
      <c r="Q16" s="199">
        <f>N16*1.15</f>
        <v/>
      </c>
      <c r="R16" s="199">
        <f>IF(M16&lt;N16*0.9056*0.85,N16*0.9056*0.85,IF(M16&gt;N16*1.15,N16*1.15,M16))</f>
        <v/>
      </c>
      <c r="S16" s="30">
        <f>+F16*M16</f>
        <v/>
      </c>
      <c r="T16" s="169">
        <f>S16+R16*I16</f>
        <v/>
      </c>
      <c r="U16" s="197">
        <f>S16+R16*J16</f>
        <v/>
      </c>
      <c r="V16" s="196">
        <f>U16-S16</f>
        <v/>
      </c>
      <c r="W16" s="197">
        <f>+U16-T16</f>
        <v/>
      </c>
      <c r="X16" s="201">
        <f>+U16-T16</f>
        <v/>
      </c>
      <c r="Y16" s="74" t="n"/>
    </row>
    <row r="17" ht="41.25" customFormat="1" customHeight="1" s="1">
      <c r="A17" s="28" t="n">
        <v>10</v>
      </c>
      <c r="B17" s="29" t="inlineStr">
        <is>
          <t>粤010301005001</t>
        </is>
      </c>
      <c r="C17" s="29" t="inlineStr">
        <is>
          <t>桩尖</t>
        </is>
      </c>
      <c r="D17" s="29" t="inlineStr">
        <is>
          <t>1.钢桩尖制作
2.桩径:400
3.具体做法详见图纸</t>
        </is>
      </c>
      <c r="E17" s="30" t="inlineStr">
        <is>
          <t>个</t>
        </is>
      </c>
      <c r="F17" s="30" t="n">
        <v>198</v>
      </c>
      <c r="G17" s="199" t="n">
        <v>191</v>
      </c>
      <c r="H17" s="31" t="n">
        <v>191</v>
      </c>
      <c r="I17" s="202">
        <f>G17-F17</f>
        <v/>
      </c>
      <c r="J17" s="202">
        <f>H17-F17</f>
        <v/>
      </c>
      <c r="K17" s="202">
        <f>+H17-G17</f>
        <v/>
      </c>
      <c r="L17" s="49">
        <f>I17/F17</f>
        <v/>
      </c>
      <c r="M17" s="30" t="n">
        <v>268.05</v>
      </c>
      <c r="N17" s="30" t="n">
        <v>259.06</v>
      </c>
      <c r="O17" s="49">
        <f>(M17-N17)/N17</f>
        <v/>
      </c>
      <c r="P17" s="199">
        <f>N17*0.9056*0.85</f>
        <v/>
      </c>
      <c r="Q17" s="199">
        <f>N17*1.15</f>
        <v/>
      </c>
      <c r="R17" s="199">
        <f>IF(M17&lt;N17*0.9056*0.85,N17*0.9056*0.85,IF(M17&gt;N17*1.15,N17*1.15,M17))</f>
        <v/>
      </c>
      <c r="S17" s="30">
        <f>+F17*M17</f>
        <v/>
      </c>
      <c r="T17" s="169">
        <f>S17+R17*I17</f>
        <v/>
      </c>
      <c r="U17" s="197">
        <f>S17+R17*J17</f>
        <v/>
      </c>
      <c r="V17" s="196">
        <f>U17-S17</f>
        <v/>
      </c>
      <c r="W17" s="197">
        <f>+U17-T17</f>
        <v/>
      </c>
      <c r="X17" s="201">
        <f>+U17-T17</f>
        <v/>
      </c>
      <c r="Y17" s="74" t="n"/>
    </row>
    <row r="18" ht="28.5" customFormat="1" customHeight="1" s="1">
      <c r="A18" s="28" t="n">
        <v>11</v>
      </c>
      <c r="B18" s="29" t="inlineStr">
        <is>
          <t>010515001013</t>
        </is>
      </c>
      <c r="C18" s="29" t="inlineStr">
        <is>
          <t>现浇构件钢筋</t>
        </is>
      </c>
      <c r="D18" s="29" t="inlineStr">
        <is>
          <t>1.桩头插筋</t>
        </is>
      </c>
      <c r="E18" s="30" t="inlineStr">
        <is>
          <t>t</t>
        </is>
      </c>
      <c r="F18" s="30" t="n">
        <v>4.5728</v>
      </c>
      <c r="G18" s="199" t="n">
        <v>0.95</v>
      </c>
      <c r="H18" s="204" t="n">
        <v>0.945</v>
      </c>
      <c r="I18" s="205">
        <f>G18-F18</f>
        <v/>
      </c>
      <c r="J18" s="205">
        <f>H18-F18</f>
        <v/>
      </c>
      <c r="K18" s="199">
        <f>+H18-G18</f>
        <v/>
      </c>
      <c r="L18" s="49">
        <f>I18/F18</f>
        <v/>
      </c>
      <c r="M18" s="30" t="n">
        <v>5341.14</v>
      </c>
      <c r="N18" s="30" t="n">
        <v>6492.43</v>
      </c>
      <c r="O18" s="49">
        <f>(M18-N18)/N18</f>
        <v/>
      </c>
      <c r="P18" s="199">
        <f>N18*0.9056*0.85</f>
        <v/>
      </c>
      <c r="Q18" s="199">
        <f>N18*1.15</f>
        <v/>
      </c>
      <c r="R18" s="199">
        <f>IF(M18&lt;N18*0.9056*0.85,N18*0.9056*0.85,IF(M18&gt;N18*1.15,N18*1.15,M18))</f>
        <v/>
      </c>
      <c r="S18" s="199">
        <f>+F18*M18</f>
        <v/>
      </c>
      <c r="T18" s="169">
        <f>S18+R18*I18</f>
        <v/>
      </c>
      <c r="U18" s="197">
        <f>S18+R18*J18</f>
        <v/>
      </c>
      <c r="V18" s="196">
        <f>U18-S18</f>
        <v/>
      </c>
      <c r="W18" s="197">
        <f>+U18-T18</f>
        <v/>
      </c>
      <c r="X18" s="201">
        <f>+U18-T18</f>
        <v/>
      </c>
      <c r="Y18" s="74" t="n"/>
    </row>
    <row r="19" ht="28.5" customFormat="1" customHeight="1" s="1">
      <c r="A19" s="28" t="n"/>
      <c r="B19" s="29" t="n"/>
      <c r="C19" s="29" t="inlineStr">
        <is>
          <t>砌筑工程</t>
        </is>
      </c>
      <c r="D19" s="29" t="n"/>
      <c r="E19" s="29" t="n"/>
      <c r="F19" s="30" t="n"/>
      <c r="G19" s="199" t="n"/>
      <c r="H19" s="31" t="n"/>
      <c r="I19" s="199" t="n"/>
      <c r="J19" s="199" t="n"/>
      <c r="K19" s="199" t="n"/>
      <c r="L19" s="49" t="n"/>
      <c r="M19" s="30" t="n"/>
      <c r="N19" s="30" t="n"/>
      <c r="O19" s="30" t="n"/>
      <c r="P19" s="30" t="n"/>
      <c r="Q19" s="30" t="n"/>
      <c r="R19" s="199" t="n"/>
      <c r="S19" s="196">
        <f>+SUM(S20:S28)</f>
        <v/>
      </c>
      <c r="T19" s="196">
        <f>+SUM(T20:T28)</f>
        <v/>
      </c>
      <c r="U19" s="197">
        <f>SUM(U20:U28)</f>
        <v/>
      </c>
      <c r="V19" s="196">
        <f>U19-S19</f>
        <v/>
      </c>
      <c r="W19" s="197">
        <f>+U19-T19</f>
        <v/>
      </c>
      <c r="X19" s="198">
        <f>U19-T19</f>
        <v/>
      </c>
      <c r="Y19" s="74" t="n"/>
    </row>
    <row r="20" ht="66.75" customFormat="1" customHeight="1" s="2">
      <c r="A20" s="37" t="n">
        <v>12</v>
      </c>
      <c r="B20" s="38" t="inlineStr">
        <is>
          <t>010103001002</t>
        </is>
      </c>
      <c r="C20" s="38" t="inlineStr">
        <is>
          <t>回填方</t>
        </is>
      </c>
      <c r="D20" s="38" t="inlineStr">
        <is>
          <t>1.卫生间回填
2.20厚WSM15找平层
3.陶粒混凝土(水泥:陶粒=1:8)回填兼找坡
4.20厚M20水泥砂浆找平层</t>
        </is>
      </c>
      <c r="E20" s="39" t="inlineStr">
        <is>
          <t>m3</t>
        </is>
      </c>
      <c r="F20" s="39" t="n">
        <v>197.372</v>
      </c>
      <c r="G20" s="206" t="n">
        <v>286.11</v>
      </c>
      <c r="H20" s="200" t="n">
        <v>230.85</v>
      </c>
      <c r="I20" s="206">
        <f>G20-F20</f>
        <v/>
      </c>
      <c r="J20" s="206">
        <f>H20-F20</f>
        <v/>
      </c>
      <c r="K20" s="206">
        <f>+H20-G20</f>
        <v/>
      </c>
      <c r="L20" s="51">
        <f>I20/F20</f>
        <v/>
      </c>
      <c r="M20" s="39" t="n">
        <v>793.8099999999999</v>
      </c>
      <c r="N20" s="39" t="n">
        <v>754.16</v>
      </c>
      <c r="O20" s="51">
        <f>(M20-N20)/N20</f>
        <v/>
      </c>
      <c r="P20" s="206">
        <f>N20*0.9056*0.85</f>
        <v/>
      </c>
      <c r="Q20" s="206">
        <f>N20*1.15</f>
        <v/>
      </c>
      <c r="R20" s="206">
        <f>IF(M20&lt;N20*0.9056*0.85,N20*0.9056*0.85,IF(M20&gt;N20*1.15,N20*1.15,M20))</f>
        <v/>
      </c>
      <c r="S20" s="206">
        <f>+F20*M20</f>
        <v/>
      </c>
      <c r="T20" s="207">
        <f>S20+R20*I20</f>
        <v/>
      </c>
      <c r="U20" s="197">
        <f>S20+R20*J20</f>
        <v/>
      </c>
      <c r="V20" s="196">
        <f>U20-S20</f>
        <v/>
      </c>
      <c r="W20" s="197">
        <f>+U20-T20</f>
        <v/>
      </c>
      <c r="X20" s="201">
        <f>+U20-T20</f>
        <v/>
      </c>
      <c r="Y20" s="77" t="n"/>
      <c r="Z20" s="78" t="n"/>
    </row>
    <row r="21" ht="78" customFormat="1" customHeight="1" s="1">
      <c r="A21" s="28" t="n">
        <v>13</v>
      </c>
      <c r="B21" s="29" t="inlineStr">
        <is>
          <t>010402001002</t>
        </is>
      </c>
      <c r="C21" s="29" t="inlineStr">
        <is>
          <t>砌块墙</t>
        </is>
      </c>
      <c r="D21" s="29" t="inlineStr">
        <is>
          <t>1.砌块品种、规格、强度等级:A5.0蒸压加气混凝土砌块
2.墙体类型:外墙
3.厚度:200
4.砂浆强度等级、配合比:DMM5专用砌筑砂浆</t>
        </is>
      </c>
      <c r="E21" s="30" t="inlineStr">
        <is>
          <t>m3</t>
        </is>
      </c>
      <c r="F21" s="30" t="n">
        <v>1133.36</v>
      </c>
      <c r="G21" s="199" t="n">
        <v>1141.36</v>
      </c>
      <c r="H21" s="200" t="n">
        <v>1015.03</v>
      </c>
      <c r="I21" s="199">
        <f>G21-F21</f>
        <v/>
      </c>
      <c r="J21" s="199">
        <f>H21-F21</f>
        <v/>
      </c>
      <c r="K21" s="199">
        <f>+H21-G21</f>
        <v/>
      </c>
      <c r="L21" s="49">
        <f>I21/F21</f>
        <v/>
      </c>
      <c r="M21" s="30" t="n">
        <v>589.41</v>
      </c>
      <c r="N21" s="30" t="n">
        <v>676.12</v>
      </c>
      <c r="O21" s="49">
        <f>(M21-N21)/N21</f>
        <v/>
      </c>
      <c r="P21" s="199">
        <f>N21*0.9056*0.85</f>
        <v/>
      </c>
      <c r="Q21" s="199">
        <f>N21*1.15</f>
        <v/>
      </c>
      <c r="R21" s="199">
        <f>IF(M21&lt;N21*0.9056*0.85,N21*0.9056*0.85,IF(M21&gt;N21*1.15,N21*1.15,M21))</f>
        <v/>
      </c>
      <c r="S21" s="199">
        <f>+F21*M21</f>
        <v/>
      </c>
      <c r="T21" s="169">
        <f>S21+R21*I21</f>
        <v/>
      </c>
      <c r="U21" s="197">
        <f>S21+R21*J21</f>
        <v/>
      </c>
      <c r="V21" s="196">
        <f>U21-S21</f>
        <v/>
      </c>
      <c r="W21" s="197">
        <f>+U21-T21</f>
        <v/>
      </c>
      <c r="X21" s="201">
        <f>+U21-T21</f>
        <v/>
      </c>
      <c r="Y21" s="74" t="n"/>
    </row>
    <row r="22" ht="76" customFormat="1" customHeight="1" s="1">
      <c r="A22" s="28" t="n">
        <v>14</v>
      </c>
      <c r="B22" s="29" t="inlineStr">
        <is>
          <t>010402001003</t>
        </is>
      </c>
      <c r="C22" s="29" t="inlineStr">
        <is>
          <t>砌块墙</t>
        </is>
      </c>
      <c r="D22" s="29" t="inlineStr">
        <is>
          <t>1.砌块品种、规格、强度等级:A5.0蒸压加气混凝土砌块
2.墙体类型:内墙
3.厚度:200
4.砂浆强度等级、配合比:DMM5专用砌筑砂浆</t>
        </is>
      </c>
      <c r="E22" s="30" t="inlineStr">
        <is>
          <t>m3</t>
        </is>
      </c>
      <c r="F22" s="30" t="n">
        <v>284.54</v>
      </c>
      <c r="G22" s="199" t="n">
        <v>307.27</v>
      </c>
      <c r="H22" s="200" t="n">
        <v>307.27</v>
      </c>
      <c r="I22" s="199">
        <f>G22-F22</f>
        <v/>
      </c>
      <c r="J22" s="199">
        <f>H22-F22</f>
        <v/>
      </c>
      <c r="K22" s="199">
        <f>+H22-G22</f>
        <v/>
      </c>
      <c r="L22" s="49">
        <f>I22/F22</f>
        <v/>
      </c>
      <c r="M22" s="30" t="n">
        <v>576.98</v>
      </c>
      <c r="N22" s="30" t="n">
        <v>661.47</v>
      </c>
      <c r="O22" s="49">
        <f>(M22-N22)/N22</f>
        <v/>
      </c>
      <c r="P22" s="199">
        <f>N22*0.9056*0.85</f>
        <v/>
      </c>
      <c r="Q22" s="199">
        <f>N22*1.15</f>
        <v/>
      </c>
      <c r="R22" s="199">
        <f>IF(M22&lt;N22*0.9056*0.85,N22*0.9056*0.85,IF(M22&gt;N22*1.15,N22*1.15,M22))</f>
        <v/>
      </c>
      <c r="S22" s="199">
        <f>+F22*M22</f>
        <v/>
      </c>
      <c r="T22" s="169">
        <f>S22+R22*I22</f>
        <v/>
      </c>
      <c r="U22" s="197">
        <f>S22+R22*J22</f>
        <v/>
      </c>
      <c r="V22" s="196">
        <f>U22-S22</f>
        <v/>
      </c>
      <c r="W22" s="197">
        <f>+U22-T22</f>
        <v/>
      </c>
      <c r="X22" s="201">
        <f>+U22-T22</f>
        <v/>
      </c>
      <c r="Y22" s="74" t="n"/>
    </row>
    <row r="23" ht="76" customFormat="1" customHeight="1" s="1">
      <c r="A23" s="28" t="n">
        <v>15</v>
      </c>
      <c r="B23" s="29" t="inlineStr">
        <is>
          <t>010402001004</t>
        </is>
      </c>
      <c r="C23" s="29" t="inlineStr">
        <is>
          <t>砌块墙</t>
        </is>
      </c>
      <c r="D23" s="29" t="inlineStr">
        <is>
          <t>1.砌块品种、规格、强度等级:A5.0蒸压加气混凝土砌块
2.墙体类型:内墙
3.厚度:100
4.砂浆强度等级、配合比:DMM5专用砌筑砂浆</t>
        </is>
      </c>
      <c r="E23" s="30" t="inlineStr">
        <is>
          <t>m3</t>
        </is>
      </c>
      <c r="F23" s="30" t="n">
        <v>9.087</v>
      </c>
      <c r="G23" s="199" t="n">
        <v>12.09</v>
      </c>
      <c r="H23" s="200" t="n">
        <v>12.09</v>
      </c>
      <c r="I23" s="199">
        <f>G23-F23</f>
        <v/>
      </c>
      <c r="J23" s="199">
        <f>H23-F23</f>
        <v/>
      </c>
      <c r="K23" s="199">
        <f>+H23-G23</f>
        <v/>
      </c>
      <c r="L23" s="49">
        <f>I23/F23</f>
        <v/>
      </c>
      <c r="M23" s="30" t="n">
        <v>599.54</v>
      </c>
      <c r="N23" s="30" t="n">
        <v>686.9</v>
      </c>
      <c r="O23" s="49">
        <f>(M23-N23)/N23</f>
        <v/>
      </c>
      <c r="P23" s="199">
        <f>N23*0.9056*0.85</f>
        <v/>
      </c>
      <c r="Q23" s="199">
        <f>N23*1.15</f>
        <v/>
      </c>
      <c r="R23" s="199">
        <f>IF(M23&lt;N23*0.9056*0.85,N23*0.9056*0.85,IF(M23&gt;N23*1.15,N23*1.15,M23))</f>
        <v/>
      </c>
      <c r="S23" s="199">
        <f>+F23*M23</f>
        <v/>
      </c>
      <c r="T23" s="169">
        <f>S23+R23*I23</f>
        <v/>
      </c>
      <c r="U23" s="197">
        <f>S23+R23*J23</f>
        <v/>
      </c>
      <c r="V23" s="196">
        <f>U23-S23</f>
        <v/>
      </c>
      <c r="W23" s="197">
        <f>+U23-T23</f>
        <v/>
      </c>
      <c r="X23" s="201">
        <f>+U23-T23</f>
        <v/>
      </c>
      <c r="Y23" s="74" t="n"/>
    </row>
    <row r="24" ht="76" customFormat="1" customHeight="1" s="1">
      <c r="A24" s="28" t="n">
        <v>16</v>
      </c>
      <c r="B24" s="29" t="inlineStr">
        <is>
          <t>010402001007</t>
        </is>
      </c>
      <c r="C24" s="29" t="inlineStr">
        <is>
          <t>砌块墙</t>
        </is>
      </c>
      <c r="D24" s="29" t="inlineStr">
        <is>
          <t>1.砌块品种、规格、强度等级:A5.0蒸压加气混凝土砌块
2.墙体类型:装饰墙
3.厚度:100
4.砂浆强度等级、配合比:DMM5专用砌筑砂浆</t>
        </is>
      </c>
      <c r="E24" s="30" t="inlineStr">
        <is>
          <t>m3</t>
        </is>
      </c>
      <c r="F24" s="30" t="n">
        <v>45.56</v>
      </c>
      <c r="G24" s="199" t="n">
        <v>83.18000000000001</v>
      </c>
      <c r="H24" s="200" t="n">
        <v>83.18000000000001</v>
      </c>
      <c r="I24" s="199">
        <f>G24-F24</f>
        <v/>
      </c>
      <c r="J24" s="199">
        <f>H24-F24</f>
        <v/>
      </c>
      <c r="K24" s="199">
        <f>+H24-G24</f>
        <v/>
      </c>
      <c r="L24" s="49">
        <f>I24/F24</f>
        <v/>
      </c>
      <c r="M24" s="30" t="n">
        <v>599.53</v>
      </c>
      <c r="N24" s="30" t="n">
        <v>686.9</v>
      </c>
      <c r="O24" s="49">
        <f>(M24-N24)/N24</f>
        <v/>
      </c>
      <c r="P24" s="199">
        <f>N24*0.9056*0.85</f>
        <v/>
      </c>
      <c r="Q24" s="199">
        <f>N24*1.15</f>
        <v/>
      </c>
      <c r="R24" s="199">
        <f>IF(M24&lt;N24*0.9056*0.85,N24*0.9056*0.85,IF(M24&gt;N24*1.15,N24*1.15,M24))</f>
        <v/>
      </c>
      <c r="S24" s="199">
        <f>+F24*M24</f>
        <v/>
      </c>
      <c r="T24" s="169">
        <f>S24+R24*I24</f>
        <v/>
      </c>
      <c r="U24" s="197">
        <f>S24+R24*J24</f>
        <v/>
      </c>
      <c r="V24" s="196">
        <f>U24-S24</f>
        <v/>
      </c>
      <c r="W24" s="197">
        <f>+U24-T24</f>
        <v/>
      </c>
      <c r="X24" s="201">
        <f>+U24-T24</f>
        <v/>
      </c>
      <c r="Y24" s="74" t="n"/>
    </row>
    <row r="25" ht="75" customFormat="1" customHeight="1" s="1">
      <c r="A25" s="28" t="n">
        <v>17</v>
      </c>
      <c r="B25" s="29" t="inlineStr">
        <is>
          <t>010402001006</t>
        </is>
      </c>
      <c r="C25" s="29" t="inlineStr">
        <is>
          <t>砌块墙</t>
        </is>
      </c>
      <c r="D25" s="29" t="inlineStr">
        <is>
          <t>1.砌块品种、规格、强度等级:MU15混凝土实心砖
2.墙体类型:女儿墙
3.厚度:200
4.砂浆强度等级、配合比:DMM10专用砌筑砂浆</t>
        </is>
      </c>
      <c r="E25" s="30" t="inlineStr">
        <is>
          <t>m3</t>
        </is>
      </c>
      <c r="F25" s="30" t="n">
        <v>23.9</v>
      </c>
      <c r="G25" s="199" t="n">
        <v>28.9</v>
      </c>
      <c r="H25" s="200" t="n">
        <v>19.78</v>
      </c>
      <c r="I25" s="199">
        <f>G25-F25</f>
        <v/>
      </c>
      <c r="J25" s="199">
        <f>H25-F25</f>
        <v/>
      </c>
      <c r="K25" s="199">
        <f>+H25-G25</f>
        <v/>
      </c>
      <c r="L25" s="49">
        <f>I25/F25</f>
        <v/>
      </c>
      <c r="M25" s="30" t="n">
        <v>591.21</v>
      </c>
      <c r="N25" s="30" t="n">
        <v>677</v>
      </c>
      <c r="O25" s="49">
        <f>(M25-N25)/N25</f>
        <v/>
      </c>
      <c r="P25" s="199">
        <f>N25*0.9056*0.85</f>
        <v/>
      </c>
      <c r="Q25" s="199">
        <f>N25*1.15</f>
        <v/>
      </c>
      <c r="R25" s="199">
        <f>IF(M25&lt;N25*0.9056*0.85,N25*0.9056*0.85,IF(M25&gt;N25*1.15,N25*1.15,M25))</f>
        <v/>
      </c>
      <c r="S25" s="199">
        <f>+F25*M25</f>
        <v/>
      </c>
      <c r="T25" s="169">
        <f>S25+R25*I25</f>
        <v/>
      </c>
      <c r="U25" s="197">
        <f>S25+R25*J25</f>
        <v/>
      </c>
      <c r="V25" s="196">
        <f>U25-S25</f>
        <v/>
      </c>
      <c r="W25" s="197">
        <f>+U25-T25</f>
        <v/>
      </c>
      <c r="X25" s="201">
        <f>+U25-T25</f>
        <v/>
      </c>
      <c r="Y25" s="74" t="n"/>
    </row>
    <row r="26" ht="54" customFormat="1" customHeight="1" s="1">
      <c r="A26" s="28" t="n">
        <v>18</v>
      </c>
      <c r="B26" s="29" t="inlineStr">
        <is>
          <t>010401012002</t>
        </is>
      </c>
      <c r="C26" s="29" t="inlineStr">
        <is>
          <t>零星砌砖</t>
        </is>
      </c>
      <c r="D26" s="29" t="inlineStr">
        <is>
          <t>1.砖砌台阶
2.MU10轻质砖
3.砂浆强度等级、配合比:M7.5水泥砂浆</t>
        </is>
      </c>
      <c r="E26" s="30" t="inlineStr">
        <is>
          <t>m2</t>
        </is>
      </c>
      <c r="F26" s="30" t="n">
        <v>22.87</v>
      </c>
      <c r="G26" s="199" t="n">
        <v>22.87</v>
      </c>
      <c r="H26" s="200" t="n">
        <v>13.34</v>
      </c>
      <c r="I26" s="199">
        <f>G26-F26</f>
        <v/>
      </c>
      <c r="J26" s="199">
        <f>H26-F26</f>
        <v/>
      </c>
      <c r="K26" s="199">
        <f>+H26-G26</f>
        <v/>
      </c>
      <c r="L26" s="49">
        <f>I26/F26</f>
        <v/>
      </c>
      <c r="M26" s="30" t="n">
        <v>159.51</v>
      </c>
      <c r="N26" s="30" t="n">
        <v>189.88</v>
      </c>
      <c r="O26" s="49">
        <f>(M26-N26)/N26</f>
        <v/>
      </c>
      <c r="P26" s="199">
        <f>N26*0.9056*0.85</f>
        <v/>
      </c>
      <c r="Q26" s="199">
        <f>N26*1.15</f>
        <v/>
      </c>
      <c r="R26" s="199">
        <f>IF(M26&lt;N26*0.9056*0.85,N26*0.9056*0.85,IF(M26&gt;N26*1.15,N26*1.15,M26))</f>
        <v/>
      </c>
      <c r="S26" s="199">
        <f>+F26*M26</f>
        <v/>
      </c>
      <c r="T26" s="169">
        <f>S26+R26*I26</f>
        <v/>
      </c>
      <c r="U26" s="197">
        <f>S26+R26*J26</f>
        <v/>
      </c>
      <c r="V26" s="196">
        <f>U26-S26</f>
        <v/>
      </c>
      <c r="W26" s="197">
        <f>+U26-T26</f>
        <v/>
      </c>
      <c r="X26" s="201">
        <f>+U26-T26</f>
        <v/>
      </c>
      <c r="Y26" s="74" t="n"/>
    </row>
    <row r="27" ht="54" customFormat="1" customHeight="1" s="2">
      <c r="A27" s="37" t="n">
        <v>19</v>
      </c>
      <c r="B27" s="38" t="inlineStr">
        <is>
          <t>010401012004</t>
        </is>
      </c>
      <c r="C27" s="38" t="inlineStr">
        <is>
          <t>零星砌砖</t>
        </is>
      </c>
      <c r="D27" s="38" t="inlineStr">
        <is>
          <t>1.花池
2.MU10轻质砖
3.砂浆强度等级、配合比:M7.5水泥砂浆</t>
        </is>
      </c>
      <c r="E27" s="39" t="inlineStr">
        <is>
          <t>m3</t>
        </is>
      </c>
      <c r="F27" s="39" t="n">
        <v>17.01</v>
      </c>
      <c r="G27" s="206" t="n">
        <v>20.5</v>
      </c>
      <c r="H27" s="200" t="n">
        <v>18.49</v>
      </c>
      <c r="I27" s="206">
        <f>G27-F27</f>
        <v/>
      </c>
      <c r="J27" s="206">
        <f>H27-F27</f>
        <v/>
      </c>
      <c r="K27" s="206">
        <f>+H27-G27</f>
        <v/>
      </c>
      <c r="L27" s="51">
        <f>I27/F27</f>
        <v/>
      </c>
      <c r="M27" s="39" t="n">
        <v>722.98</v>
      </c>
      <c r="N27" s="39" t="n">
        <v>864.65</v>
      </c>
      <c r="O27" s="51">
        <f>(M27-N27)/N27</f>
        <v/>
      </c>
      <c r="P27" s="206">
        <f>N27*0.9056*0.85</f>
        <v/>
      </c>
      <c r="Q27" s="206">
        <f>N27*1.15</f>
        <v/>
      </c>
      <c r="R27" s="206">
        <f>IF(M27&lt;N27*0.9056*0.85,N27*0.9056*0.85,IF(M27&gt;N27*1.15,N27*1.15,M27))</f>
        <v/>
      </c>
      <c r="S27" s="206">
        <f>+F27*M27</f>
        <v/>
      </c>
      <c r="T27" s="207">
        <f>S27+R27*I27</f>
        <v/>
      </c>
      <c r="U27" s="197">
        <f>S27+R27*J27</f>
        <v/>
      </c>
      <c r="V27" s="196">
        <f>U27-S27</f>
        <v/>
      </c>
      <c r="W27" s="197">
        <f>+U27-T27</f>
        <v/>
      </c>
      <c r="X27" s="201">
        <f>+U27-T27</f>
        <v/>
      </c>
      <c r="Y27" s="77" t="n"/>
    </row>
    <row r="28" ht="65" customFormat="1" customHeight="1" s="1">
      <c r="A28" s="28" t="n">
        <v>20</v>
      </c>
      <c r="B28" s="29" t="inlineStr">
        <is>
          <t>010401003001</t>
        </is>
      </c>
      <c r="C28" s="29" t="inlineStr">
        <is>
          <t>实心砖墙</t>
        </is>
      </c>
      <c r="D28" s="29" t="inlineStr">
        <is>
          <t>1.轻质砖
2.墙体类型:内墙
3.120
4.砂浆强度等级、配合比:DMM5专用砌筑砂浆</t>
        </is>
      </c>
      <c r="E28" s="30" t="inlineStr">
        <is>
          <t>m3</t>
        </is>
      </c>
      <c r="F28" s="30" t="n">
        <v>5.6117</v>
      </c>
      <c r="G28" s="199" t="n">
        <v>5.61</v>
      </c>
      <c r="H28" s="200" t="n">
        <v>3.93</v>
      </c>
      <c r="I28" s="199">
        <f>G28-F28</f>
        <v/>
      </c>
      <c r="J28" s="199">
        <f>H28-F28</f>
        <v/>
      </c>
      <c r="K28" s="199">
        <f>+H28-G28</f>
        <v/>
      </c>
      <c r="L28" s="49">
        <f>I28/F28</f>
        <v/>
      </c>
      <c r="M28" s="30" t="n">
        <v>586.04</v>
      </c>
      <c r="N28" s="30" t="n">
        <v>735.46</v>
      </c>
      <c r="O28" s="49">
        <f>(M28-N28)/N28</f>
        <v/>
      </c>
      <c r="P28" s="199">
        <f>N28*0.9056*0.85</f>
        <v/>
      </c>
      <c r="Q28" s="199">
        <f>N28*1.15</f>
        <v/>
      </c>
      <c r="R28" s="199">
        <f>IF(M28&lt;N28*0.9056*0.85,N28*0.9056*0.85,IF(M28&gt;N28*1.15,N28*1.15,M28))</f>
        <v/>
      </c>
      <c r="S28" s="199">
        <f>+F28*M28</f>
        <v/>
      </c>
      <c r="T28" s="169">
        <f>S28+R28*I28</f>
        <v/>
      </c>
      <c r="U28" s="197">
        <f>S28+R28*J28</f>
        <v/>
      </c>
      <c r="V28" s="196">
        <f>U28-S28</f>
        <v/>
      </c>
      <c r="W28" s="197">
        <f>+U28-T28</f>
        <v/>
      </c>
      <c r="X28" s="201">
        <f>+U28-T28</f>
        <v/>
      </c>
      <c r="Y28" s="74" t="n"/>
    </row>
    <row r="29" ht="28.5" customFormat="1" customHeight="1" s="1">
      <c r="A29" s="28" t="n"/>
      <c r="B29" s="29" t="n"/>
      <c r="C29" s="29" t="inlineStr">
        <is>
          <t>混凝土及钢筋混凝土工程</t>
        </is>
      </c>
      <c r="D29" s="29" t="n"/>
      <c r="E29" s="29" t="n"/>
      <c r="F29" s="30" t="n"/>
      <c r="G29" s="199" t="n"/>
      <c r="H29" s="31" t="n"/>
      <c r="I29" s="199" t="n"/>
      <c r="J29" s="199" t="n"/>
      <c r="K29" s="199" t="n"/>
      <c r="L29" s="49" t="n"/>
      <c r="M29" s="30" t="n"/>
      <c r="N29" s="30" t="n"/>
      <c r="O29" s="30" t="n"/>
      <c r="P29" s="30" t="n"/>
      <c r="Q29" s="30" t="n"/>
      <c r="R29" s="199" t="n"/>
      <c r="S29" s="196">
        <f>+SUM(S30:S60)</f>
        <v/>
      </c>
      <c r="T29" s="196">
        <f>+SUM(T30:T60)</f>
        <v/>
      </c>
      <c r="U29" s="197">
        <f>SUM(U30:U60)</f>
        <v/>
      </c>
      <c r="V29" s="196">
        <f>U29-S29</f>
        <v/>
      </c>
      <c r="W29" s="197">
        <f>+U29-T29</f>
        <v/>
      </c>
      <c r="X29" s="198">
        <f>U29-T29</f>
        <v/>
      </c>
      <c r="Y29" s="74" t="n"/>
    </row>
    <row r="30" ht="54" customFormat="1" customHeight="1" s="2">
      <c r="A30" s="37" t="n">
        <v>21</v>
      </c>
      <c r="B30" s="38" t="inlineStr">
        <is>
          <t>010501001002</t>
        </is>
      </c>
      <c r="C30" s="38" t="inlineStr">
        <is>
          <t>垫层</t>
        </is>
      </c>
      <c r="D30" s="38" t="inlineStr">
        <is>
          <t>1.垫层
2.混凝土种类:预拌混凝土
3.混凝土强度等级:C15
4.含混凝土泵送费用</t>
        </is>
      </c>
      <c r="E30" s="39" t="inlineStr">
        <is>
          <t>m3</t>
        </is>
      </c>
      <c r="F30" s="39" t="n">
        <v>214.32</v>
      </c>
      <c r="G30" s="206" t="n">
        <v>218.67</v>
      </c>
      <c r="H30" s="200" t="n">
        <v>218.67</v>
      </c>
      <c r="I30" s="206">
        <f>G30-F30</f>
        <v/>
      </c>
      <c r="J30" s="206">
        <f>H30-F30</f>
        <v/>
      </c>
      <c r="K30" s="206">
        <f>+H30-G30</f>
        <v/>
      </c>
      <c r="L30" s="51">
        <f>I30/F30</f>
        <v/>
      </c>
      <c r="M30" s="39" t="n">
        <v>626.1799999999999</v>
      </c>
      <c r="N30" s="39" t="n">
        <v>830</v>
      </c>
      <c r="O30" s="51">
        <f>(M30-N30)/N30</f>
        <v/>
      </c>
      <c r="P30" s="206">
        <f>N30*0.9056*0.85</f>
        <v/>
      </c>
      <c r="Q30" s="206">
        <f>N30*1.15</f>
        <v/>
      </c>
      <c r="R30" s="206">
        <f>IF(M30&lt;N30*0.9056*0.85,N30*0.9056*0.85,IF(M30&gt;N30*1.15,N30*1.15,M30))</f>
        <v/>
      </c>
      <c r="S30" s="206">
        <f>+F30*M30</f>
        <v/>
      </c>
      <c r="T30" s="207">
        <f>S30+R30*I30</f>
        <v/>
      </c>
      <c r="U30" s="197">
        <f>S30+R30*J30</f>
        <v/>
      </c>
      <c r="V30" s="196">
        <f>U30-S30</f>
        <v/>
      </c>
      <c r="W30" s="197">
        <f>+U30-T30</f>
        <v/>
      </c>
      <c r="X30" s="201">
        <f>+U30-T30</f>
        <v/>
      </c>
      <c r="Y30" s="77" t="n"/>
    </row>
    <row r="31" ht="54" customFormat="1" customHeight="1" s="2">
      <c r="A31" s="37" t="n">
        <v>22</v>
      </c>
      <c r="B31" s="38" t="inlineStr">
        <is>
          <t>010501005001</t>
        </is>
      </c>
      <c r="C31" s="38" t="inlineStr">
        <is>
          <t>桩承台基础</t>
        </is>
      </c>
      <c r="D31" s="38" t="inlineStr">
        <is>
          <t>1.桩承台
2.混凝土种类:预拌混凝土
3.混凝土强度等级:C35
4.含混凝土泵送费用</t>
        </is>
      </c>
      <c r="E31" s="39" t="inlineStr">
        <is>
          <t>m3</t>
        </is>
      </c>
      <c r="F31" s="39" t="n">
        <v>207.67</v>
      </c>
      <c r="G31" s="206" t="n">
        <v>302.65</v>
      </c>
      <c r="H31" s="200">
        <f>202.46+85.77</f>
        <v/>
      </c>
      <c r="I31" s="206">
        <f>G31-F31</f>
        <v/>
      </c>
      <c r="J31" s="206">
        <f>H31-F31</f>
        <v/>
      </c>
      <c r="K31" s="206">
        <f>+H31-G31</f>
        <v/>
      </c>
      <c r="L31" s="51">
        <f>I31/F31</f>
        <v/>
      </c>
      <c r="M31" s="39" t="n">
        <v>687.16</v>
      </c>
      <c r="N31" s="39" t="n">
        <v>861.01</v>
      </c>
      <c r="O31" s="51">
        <f>(M31-N31)/N31</f>
        <v/>
      </c>
      <c r="P31" s="206">
        <f>N31*0.9056*0.85</f>
        <v/>
      </c>
      <c r="Q31" s="206">
        <f>N31*1.15</f>
        <v/>
      </c>
      <c r="R31" s="206">
        <f>IF(M31&lt;N31*0.9056*0.85,N31*0.9056*0.85,IF(M31&gt;N31*1.15,N31*1.15,M31))</f>
        <v/>
      </c>
      <c r="S31" s="206">
        <f>+F31*M31</f>
        <v/>
      </c>
      <c r="T31" s="207">
        <f>S31+R31*I31</f>
        <v/>
      </c>
      <c r="U31" s="197">
        <f>S31+R31*J31</f>
        <v/>
      </c>
      <c r="V31" s="196">
        <f>U31-S31</f>
        <v/>
      </c>
      <c r="W31" s="197">
        <f>+U31-T31</f>
        <v/>
      </c>
      <c r="X31" s="201">
        <f>+U31-T31</f>
        <v/>
      </c>
      <c r="Y31" s="77" t="n"/>
    </row>
    <row r="32" ht="75" customFormat="1" customHeight="1" s="1">
      <c r="A32" s="28" t="n">
        <v>23</v>
      </c>
      <c r="B32" s="29" t="inlineStr">
        <is>
          <t>010503001001</t>
        </is>
      </c>
      <c r="C32" s="29" t="inlineStr">
        <is>
          <t>基础梁</t>
        </is>
      </c>
      <c r="D32" s="29" t="inlineStr">
        <is>
          <t>1.基础梁
2.混凝土种类:预拌混凝土
3.混凝土强度等级:C35
4.含混凝土泵送费用</t>
        </is>
      </c>
      <c r="E32" s="30" t="inlineStr">
        <is>
          <t>m3</t>
        </is>
      </c>
      <c r="F32" s="30" t="n">
        <v>147.955</v>
      </c>
      <c r="G32" s="199" t="n">
        <v>129.16</v>
      </c>
      <c r="H32" s="200" t="n">
        <v>129.16</v>
      </c>
      <c r="I32" s="199">
        <f>G32-F32</f>
        <v/>
      </c>
      <c r="J32" s="199">
        <f>H32-F32</f>
        <v/>
      </c>
      <c r="K32" s="199">
        <f>+H32-G32</f>
        <v/>
      </c>
      <c r="L32" s="49">
        <f>I32/F32</f>
        <v/>
      </c>
      <c r="M32" s="30" t="n">
        <v>679.67</v>
      </c>
      <c r="N32" s="30" t="n">
        <v>853.6900000000001</v>
      </c>
      <c r="O32" s="49">
        <f>(M32-N32)/N32</f>
        <v/>
      </c>
      <c r="P32" s="199">
        <f>N32*0.9056*0.85</f>
        <v/>
      </c>
      <c r="Q32" s="199">
        <f>N32*1.15</f>
        <v/>
      </c>
      <c r="R32" s="199">
        <f>IF(M32&lt;N32*0.9056*0.85,N32*0.9056*0.85,IF(M32&gt;N32*1.15,N32*1.15,M32))</f>
        <v/>
      </c>
      <c r="S32" s="199">
        <f>+F32*M32</f>
        <v/>
      </c>
      <c r="T32" s="169">
        <f>S32+R32*I32</f>
        <v/>
      </c>
      <c r="U32" s="197">
        <f>S32+R32*J32</f>
        <v/>
      </c>
      <c r="V32" s="196">
        <f>U32-S32</f>
        <v/>
      </c>
      <c r="W32" s="197">
        <f>+U32-T32</f>
        <v/>
      </c>
      <c r="X32" s="201">
        <f>+U32-T32</f>
        <v/>
      </c>
      <c r="Y32" s="74" t="n"/>
    </row>
    <row r="33" ht="54" customFormat="1" customHeight="1" s="1">
      <c r="A33" s="28" t="n">
        <v>24</v>
      </c>
      <c r="B33" s="29" t="inlineStr">
        <is>
          <t>010501004002</t>
        </is>
      </c>
      <c r="C33" s="29" t="inlineStr">
        <is>
          <t>满堂基础</t>
        </is>
      </c>
      <c r="D33" s="29" t="inlineStr">
        <is>
          <t>1.满堂基础
2.预拌混凝土
3.混凝土强度等级:C35
4.含混凝土泵送费用</t>
        </is>
      </c>
      <c r="E33" s="30" t="inlineStr">
        <is>
          <t>m3</t>
        </is>
      </c>
      <c r="F33" s="30" t="n">
        <v>190.44</v>
      </c>
      <c r="G33" s="199" t="n">
        <v>218.73</v>
      </c>
      <c r="H33" s="200" t="n">
        <v>208.31</v>
      </c>
      <c r="I33" s="199">
        <f>G33-F33</f>
        <v/>
      </c>
      <c r="J33" s="199">
        <f>H33-F33</f>
        <v/>
      </c>
      <c r="K33" s="199">
        <f>+H33-G33</f>
        <v/>
      </c>
      <c r="L33" s="49">
        <f>I33/F33</f>
        <v/>
      </c>
      <c r="M33" s="30" t="n">
        <v>686.38</v>
      </c>
      <c r="N33" s="30" t="n">
        <v>909.17</v>
      </c>
      <c r="O33" s="49">
        <f>(M33-N33)/N33</f>
        <v/>
      </c>
      <c r="P33" s="199">
        <f>N33*0.9056*0.85</f>
        <v/>
      </c>
      <c r="Q33" s="199">
        <f>N33*1.15</f>
        <v/>
      </c>
      <c r="R33" s="199">
        <f>IF(M33&lt;N33*0.9056*0.85,N33*0.9056*0.85,IF(M33&gt;N33*1.15,N33*1.15,M33))</f>
        <v/>
      </c>
      <c r="S33" s="199">
        <f>+F33*M33</f>
        <v/>
      </c>
      <c r="T33" s="169">
        <f>S33+R33*I33</f>
        <v/>
      </c>
      <c r="U33" s="197">
        <f>S33+R33*J33</f>
        <v/>
      </c>
      <c r="V33" s="196">
        <f>U33-S33</f>
        <v/>
      </c>
      <c r="W33" s="197">
        <f>+U33-T33</f>
        <v/>
      </c>
      <c r="X33" s="201">
        <f>+U33-T33</f>
        <v/>
      </c>
      <c r="Y33" s="74" t="n"/>
    </row>
    <row r="34" ht="54" customFormat="1" customHeight="1" s="1">
      <c r="A34" s="28" t="n">
        <v>25</v>
      </c>
      <c r="B34" s="29" t="inlineStr">
        <is>
          <t>010502001002</t>
        </is>
      </c>
      <c r="C34" s="29" t="inlineStr">
        <is>
          <t>矩形柱</t>
        </is>
      </c>
      <c r="D34" s="29" t="inlineStr">
        <is>
          <t>1.现浇建筑物混凝土矩形柱
2.混凝土种类:预拌混凝土
3.混凝土强度等级:C40
4.含混凝土泵送费用</t>
        </is>
      </c>
      <c r="E34" s="30" t="inlineStr">
        <is>
          <t>m3</t>
        </is>
      </c>
      <c r="F34" s="30" t="n">
        <v>191.488</v>
      </c>
      <c r="G34" s="199" t="n">
        <v>184.33</v>
      </c>
      <c r="H34" s="200" t="n">
        <v>175.55</v>
      </c>
      <c r="I34" s="199">
        <f>G34-F34</f>
        <v/>
      </c>
      <c r="J34" s="199">
        <f>H34-F34</f>
        <v/>
      </c>
      <c r="K34" s="199">
        <f>+H34-G34</f>
        <v/>
      </c>
      <c r="L34" s="49">
        <f>I34/F34</f>
        <v/>
      </c>
      <c r="M34" s="30" t="n">
        <v>787.99</v>
      </c>
      <c r="N34" s="30" t="n">
        <v>990.83</v>
      </c>
      <c r="O34" s="49">
        <f>(M34-N34)/N34</f>
        <v/>
      </c>
      <c r="P34" s="199">
        <f>N34*0.9056*0.85</f>
        <v/>
      </c>
      <c r="Q34" s="199">
        <f>N34*1.15</f>
        <v/>
      </c>
      <c r="R34" s="199">
        <f>IF(M34&lt;N34*0.9056*0.85,N34*0.9056*0.85,IF(M34&gt;N34*1.15,N34*1.15,M34))</f>
        <v/>
      </c>
      <c r="S34" s="199">
        <f>+F34*M34</f>
        <v/>
      </c>
      <c r="T34" s="169">
        <f>S34+R34*I34</f>
        <v/>
      </c>
      <c r="U34" s="197">
        <f>S34+R34*J34</f>
        <v/>
      </c>
      <c r="V34" s="196">
        <f>U34-S34</f>
        <v/>
      </c>
      <c r="W34" s="197">
        <f>+U34-T34</f>
        <v/>
      </c>
      <c r="X34" s="201">
        <f>+U34-T34</f>
        <v/>
      </c>
      <c r="Y34" s="74" t="n"/>
    </row>
    <row r="35" ht="54" customFormat="1" customHeight="1" s="1">
      <c r="A35" s="28" t="n">
        <v>26</v>
      </c>
      <c r="B35" s="29" t="inlineStr">
        <is>
          <t>010502001006</t>
        </is>
      </c>
      <c r="C35" s="29" t="inlineStr">
        <is>
          <t>矩形柱</t>
        </is>
      </c>
      <c r="D35" s="29" t="inlineStr">
        <is>
          <t>1.现浇建筑物混凝土矩形柱
2.混凝土种类:预拌混凝土
3.混凝土强度等级:C35
4.含混凝土泵送费用</t>
        </is>
      </c>
      <c r="E35" s="30" t="inlineStr">
        <is>
          <t>m3</t>
        </is>
      </c>
      <c r="F35" s="30" t="n">
        <v>133.32</v>
      </c>
      <c r="G35" s="199" t="n">
        <v>140.88</v>
      </c>
      <c r="H35" s="200" t="n">
        <v>134.17</v>
      </c>
      <c r="I35" s="199">
        <f>G35-F35</f>
        <v/>
      </c>
      <c r="J35" s="199">
        <f>H35-F35</f>
        <v/>
      </c>
      <c r="K35" s="199">
        <f>+H35-G35</f>
        <v/>
      </c>
      <c r="L35" s="49">
        <f>I35/F35</f>
        <v/>
      </c>
      <c r="M35" s="30" t="n">
        <v>777.84</v>
      </c>
      <c r="N35" s="30" t="n">
        <v>975.54</v>
      </c>
      <c r="O35" s="49">
        <f>(M35-N35)/N35</f>
        <v/>
      </c>
      <c r="P35" s="199">
        <f>N35*0.9056*0.85</f>
        <v/>
      </c>
      <c r="Q35" s="199">
        <f>N35*1.15</f>
        <v/>
      </c>
      <c r="R35" s="199">
        <f>IF(M35&lt;N35*0.9056*0.85,N35*0.9056*0.85,IF(M35&gt;N35*1.15,N35*1.15,M35))</f>
        <v/>
      </c>
      <c r="S35" s="199">
        <f>+F35*M35</f>
        <v/>
      </c>
      <c r="T35" s="169">
        <f>S35+R35*I35</f>
        <v/>
      </c>
      <c r="U35" s="197">
        <f>S35+R35*J35</f>
        <v/>
      </c>
      <c r="V35" s="196">
        <f>U35-S35</f>
        <v/>
      </c>
      <c r="W35" s="197">
        <f>+U35-T35</f>
        <v/>
      </c>
      <c r="X35" s="201">
        <f>+U35-T35</f>
        <v/>
      </c>
      <c r="Y35" s="74" t="n"/>
    </row>
    <row r="36" ht="54" customFormat="1" customHeight="1" s="2">
      <c r="A36" s="37" t="n">
        <v>27</v>
      </c>
      <c r="B36" s="38" t="inlineStr">
        <is>
          <t>010502001004</t>
        </is>
      </c>
      <c r="C36" s="38" t="inlineStr">
        <is>
          <t>矩形柱</t>
        </is>
      </c>
      <c r="D36" s="38" t="inlineStr">
        <is>
          <t>1.现浇建筑物混凝土矩形柱
2.混凝土种类:预拌混凝土
3.混凝土强度等级:C30
4.含混凝土泵送费用</t>
        </is>
      </c>
      <c r="E36" s="39" t="inlineStr">
        <is>
          <t>m3</t>
        </is>
      </c>
      <c r="F36" s="39" t="n">
        <v>167.06</v>
      </c>
      <c r="G36" s="206" t="n">
        <v>195.11</v>
      </c>
      <c r="H36" s="200" t="n">
        <v>185.82</v>
      </c>
      <c r="I36" s="206">
        <f>G36-F36</f>
        <v/>
      </c>
      <c r="J36" s="206">
        <f>H36-F36</f>
        <v/>
      </c>
      <c r="K36" s="206">
        <f>+H36-G36</f>
        <v/>
      </c>
      <c r="L36" s="51">
        <f>I36/F36</f>
        <v/>
      </c>
      <c r="M36" s="39" t="n">
        <v>767.6900000000001</v>
      </c>
      <c r="N36" s="39" t="n">
        <v>959.74</v>
      </c>
      <c r="O36" s="51">
        <f>(M36-N36)/N36</f>
        <v/>
      </c>
      <c r="P36" s="206">
        <f>N36*0.9056*0.85</f>
        <v/>
      </c>
      <c r="Q36" s="206">
        <f>N36*1.15</f>
        <v/>
      </c>
      <c r="R36" s="206">
        <f>IF(M36&lt;N36*0.9056*0.85,N36*0.9056*0.85,IF(M36&gt;N36*1.15,N36*1.15,M36))</f>
        <v/>
      </c>
      <c r="S36" s="206">
        <f>+F36*M36</f>
        <v/>
      </c>
      <c r="T36" s="207">
        <f>S36+R36*I36</f>
        <v/>
      </c>
      <c r="U36" s="197">
        <f>S36+R36*J36</f>
        <v/>
      </c>
      <c r="V36" s="196">
        <f>U36-S36</f>
        <v/>
      </c>
      <c r="W36" s="197">
        <f>+U36-T36</f>
        <v/>
      </c>
      <c r="X36" s="201">
        <f>+U36-T36</f>
        <v/>
      </c>
      <c r="Y36" s="77" t="n"/>
    </row>
    <row r="37" ht="54" customFormat="1" customHeight="1" s="1">
      <c r="A37" s="28" t="n">
        <v>28</v>
      </c>
      <c r="B37" s="29" t="inlineStr">
        <is>
          <t>010502001007</t>
        </is>
      </c>
      <c r="C37" s="29" t="inlineStr">
        <is>
          <t>异形柱</t>
        </is>
      </c>
      <c r="D37" s="29" t="inlineStr">
        <is>
          <t>1.现浇建筑物混凝土异形柱
2.混凝土种类:预拌混凝土
3.混凝土强度等级:C40
4.含混凝土泵送费用</t>
        </is>
      </c>
      <c r="E37" s="30" t="inlineStr">
        <is>
          <t>m3</t>
        </is>
      </c>
      <c r="F37" s="30" t="n">
        <v>43.022</v>
      </c>
      <c r="G37" s="199" t="n">
        <v>57.83</v>
      </c>
      <c r="H37" s="200" t="n">
        <v>57.83</v>
      </c>
      <c r="I37" s="199">
        <f>G37-F37</f>
        <v/>
      </c>
      <c r="J37" s="199">
        <f>H37-F37</f>
        <v/>
      </c>
      <c r="K37" s="199">
        <f>+H37-G37</f>
        <v/>
      </c>
      <c r="L37" s="49">
        <f>I37/F37</f>
        <v/>
      </c>
      <c r="M37" s="30" t="n">
        <v>787.99</v>
      </c>
      <c r="N37" s="30" t="n">
        <v>990.83</v>
      </c>
      <c r="O37" s="49">
        <f>(M37-N37)/N37</f>
        <v/>
      </c>
      <c r="P37" s="199">
        <f>N37*0.9056*0.85</f>
        <v/>
      </c>
      <c r="Q37" s="199">
        <f>N37*1.15</f>
        <v/>
      </c>
      <c r="R37" s="199">
        <f>IF(M37&lt;N37*0.9056*0.85,N37*0.9056*0.85,IF(M37&gt;N37*1.15,N37*1.15,M37))</f>
        <v/>
      </c>
      <c r="S37" s="199">
        <f>+F37*M37</f>
        <v/>
      </c>
      <c r="T37" s="169">
        <f>S37+R37*I37</f>
        <v/>
      </c>
      <c r="U37" s="197">
        <f>S37+R37*J37</f>
        <v/>
      </c>
      <c r="V37" s="196">
        <f>U37-S37</f>
        <v/>
      </c>
      <c r="W37" s="197">
        <f>+U37-T37</f>
        <v/>
      </c>
      <c r="X37" s="201">
        <f>+U37-T37</f>
        <v/>
      </c>
      <c r="Y37" s="74" t="n"/>
    </row>
    <row r="38" ht="54" customFormat="1" customHeight="1" s="1">
      <c r="A38" s="28" t="n">
        <v>29</v>
      </c>
      <c r="B38" s="29" t="inlineStr">
        <is>
          <t>010502001008</t>
        </is>
      </c>
      <c r="C38" s="29" t="inlineStr">
        <is>
          <t>异形柱</t>
        </is>
      </c>
      <c r="D38" s="29" t="inlineStr">
        <is>
          <t>1.现浇建筑物混凝土异形柱
2.混凝土种类:预拌混凝土
3.混凝土强度等级:C35
4.含混凝土泵送费用</t>
        </is>
      </c>
      <c r="E38" s="30" t="inlineStr">
        <is>
          <t>m3</t>
        </is>
      </c>
      <c r="F38" s="30" t="n">
        <v>18.55</v>
      </c>
      <c r="G38" s="199" t="n">
        <v>12.89</v>
      </c>
      <c r="H38" s="200" t="n">
        <v>12.89</v>
      </c>
      <c r="I38" s="199">
        <f>G38-F38</f>
        <v/>
      </c>
      <c r="J38" s="199">
        <f>H38-F38</f>
        <v/>
      </c>
      <c r="K38" s="199">
        <f>+H38-G38</f>
        <v/>
      </c>
      <c r="L38" s="49">
        <f>I38/F38</f>
        <v/>
      </c>
      <c r="M38" s="30" t="n">
        <v>777.84</v>
      </c>
      <c r="N38" s="30" t="n">
        <v>975.54</v>
      </c>
      <c r="O38" s="49">
        <f>(M38-N38)/N38</f>
        <v/>
      </c>
      <c r="P38" s="199">
        <f>N38*0.9056*0.85</f>
        <v/>
      </c>
      <c r="Q38" s="199">
        <f>N38*1.15</f>
        <v/>
      </c>
      <c r="R38" s="199">
        <f>IF(M38&lt;N38*0.9056*0.85,N38*0.9056*0.85,IF(M38&gt;N38*1.15,N38*1.15,M38))</f>
        <v/>
      </c>
      <c r="S38" s="199">
        <f>+F38*M38</f>
        <v/>
      </c>
      <c r="T38" s="169">
        <f>S38+R38*I38</f>
        <v/>
      </c>
      <c r="U38" s="197">
        <f>S38+R38*J38</f>
        <v/>
      </c>
      <c r="V38" s="196">
        <f>U38-S38</f>
        <v/>
      </c>
      <c r="W38" s="197">
        <f>+U38-T38</f>
        <v/>
      </c>
      <c r="X38" s="201">
        <f>+U38-T38</f>
        <v/>
      </c>
      <c r="Y38" s="74" t="n"/>
    </row>
    <row r="39" ht="41.25" customFormat="1" customHeight="1" s="3">
      <c r="A39" s="28" t="n">
        <v>30</v>
      </c>
      <c r="B39" s="29" t="inlineStr">
        <is>
          <t>010502002001</t>
        </is>
      </c>
      <c r="C39" s="29" t="inlineStr">
        <is>
          <t>构造柱</t>
        </is>
      </c>
      <c r="D39" s="29" t="inlineStr">
        <is>
          <t>1.构造柱
2.混凝土种类:预拌混凝土
3.混凝土强度等级:C25</t>
        </is>
      </c>
      <c r="E39" s="30" t="inlineStr">
        <is>
          <t>m3</t>
        </is>
      </c>
      <c r="F39" s="30" t="n">
        <v>142.86</v>
      </c>
      <c r="G39" s="199" t="n">
        <v>142.86</v>
      </c>
      <c r="H39" s="200" t="n">
        <v>130.02</v>
      </c>
      <c r="I39" s="199">
        <f>G39-F39</f>
        <v/>
      </c>
      <c r="J39" s="199">
        <f>H39-F39</f>
        <v/>
      </c>
      <c r="K39" s="199">
        <f>+H39-G39</f>
        <v/>
      </c>
      <c r="L39" s="49">
        <f>I39/F39</f>
        <v/>
      </c>
      <c r="M39" s="30" t="n">
        <v>820.9400000000001</v>
      </c>
      <c r="N39" s="30" t="n">
        <v>1006.12</v>
      </c>
      <c r="O39" s="49">
        <f>(M39-N39)/N39</f>
        <v/>
      </c>
      <c r="P39" s="199">
        <f>N39*0.9056*0.85</f>
        <v/>
      </c>
      <c r="Q39" s="199">
        <f>N39*1.15</f>
        <v/>
      </c>
      <c r="R39" s="199">
        <f>IF(M39&lt;N39*0.9056*0.85,N39*0.9056*0.85,IF(M39&gt;N39*1.15,N39*1.15,M39))</f>
        <v/>
      </c>
      <c r="S39" s="199">
        <f>+F39*M39</f>
        <v/>
      </c>
      <c r="T39" s="169">
        <f>S39+R39*I39</f>
        <v/>
      </c>
      <c r="U39" s="197">
        <f>S39+R39*J39</f>
        <v/>
      </c>
      <c r="V39" s="196">
        <f>U39-S39</f>
        <v/>
      </c>
      <c r="W39" s="197">
        <f>+U39-T39</f>
        <v/>
      </c>
      <c r="X39" s="201">
        <f>+U39-T39</f>
        <v/>
      </c>
      <c r="Y39" s="74" t="n"/>
      <c r="Z39" s="1" t="n"/>
      <c r="AA39" s="1" t="n"/>
    </row>
    <row r="40" ht="54" customFormat="1" customHeight="1" s="1">
      <c r="A40" s="28" t="n">
        <v>31</v>
      </c>
      <c r="B40" s="29" t="inlineStr">
        <is>
          <t>010504001001</t>
        </is>
      </c>
      <c r="C40" s="29" t="inlineStr">
        <is>
          <t>直形墙</t>
        </is>
      </c>
      <c r="D40" s="29" t="inlineStr">
        <is>
          <t>1.装饰墙
2.混凝土种类:预拌混凝土
3.混凝土强度等级:C25
4.含混凝土泵送费用</t>
        </is>
      </c>
      <c r="E40" s="30" t="inlineStr">
        <is>
          <t>m3</t>
        </is>
      </c>
      <c r="F40" s="30" t="n">
        <v>112.42</v>
      </c>
      <c r="G40" s="199" t="n">
        <v>116.14</v>
      </c>
      <c r="H40" s="200" t="n">
        <v>116.14</v>
      </c>
      <c r="I40" s="199">
        <f>G40-F40</f>
        <v/>
      </c>
      <c r="J40" s="199">
        <f>H40-F40</f>
        <v/>
      </c>
      <c r="K40" s="199">
        <f>+H40-G40</f>
        <v/>
      </c>
      <c r="L40" s="49">
        <f>I40/F40</f>
        <v/>
      </c>
      <c r="M40" s="30" t="n">
        <v>688.86</v>
      </c>
      <c r="N40" s="30" t="n">
        <v>830.73</v>
      </c>
      <c r="O40" s="49">
        <f>(M40-N40)/N40</f>
        <v/>
      </c>
      <c r="P40" s="199">
        <f>N40*0.9056*0.85</f>
        <v/>
      </c>
      <c r="Q40" s="199">
        <f>N40*1.15</f>
        <v/>
      </c>
      <c r="R40" s="199">
        <f>IF(M40&lt;N40*0.9056*0.85,N40*0.9056*0.85,IF(M40&gt;N40*1.15,N40*1.15,M40))</f>
        <v/>
      </c>
      <c r="S40" s="199">
        <f>+F40*M40</f>
        <v/>
      </c>
      <c r="T40" s="169">
        <f>S40+R40*I40</f>
        <v/>
      </c>
      <c r="U40" s="197">
        <f>S40+R40*J40</f>
        <v/>
      </c>
      <c r="V40" s="196">
        <f>U40-S40</f>
        <v/>
      </c>
      <c r="W40" s="197">
        <f>+U40-T40</f>
        <v/>
      </c>
      <c r="X40" s="201">
        <f>+U40-T40</f>
        <v/>
      </c>
      <c r="Y40" s="74" t="n"/>
    </row>
    <row r="41" ht="54" customFormat="1" customHeight="1" s="1">
      <c r="A41" s="28" t="n">
        <v>32</v>
      </c>
      <c r="B41" s="29" t="inlineStr">
        <is>
          <t>010504001002</t>
        </is>
      </c>
      <c r="C41" s="29" t="inlineStr">
        <is>
          <t>直形墙</t>
        </is>
      </c>
      <c r="D41" s="29" t="inlineStr">
        <is>
          <t>1.电梯井
2.混凝土种类:预拌混凝土
3.混凝土强度等级:C30
4.含混凝土泵送费用</t>
        </is>
      </c>
      <c r="E41" s="30" t="inlineStr">
        <is>
          <t>m3</t>
        </is>
      </c>
      <c r="F41" s="30" t="n">
        <v>1.118</v>
      </c>
      <c r="G41" s="199" t="n">
        <v>2.43</v>
      </c>
      <c r="H41" s="200" t="n">
        <v>2.31</v>
      </c>
      <c r="I41" s="199">
        <f>G41-F41</f>
        <v/>
      </c>
      <c r="J41" s="199">
        <f>H41-F41</f>
        <v/>
      </c>
      <c r="K41" s="199">
        <f>+H41-G41</f>
        <v/>
      </c>
      <c r="L41" s="49">
        <f>I41/F41</f>
        <v/>
      </c>
      <c r="M41" s="30" t="n">
        <v>699.01</v>
      </c>
      <c r="N41" s="30" t="n">
        <v>882.4400000000001</v>
      </c>
      <c r="O41" s="49">
        <f>(M41-N41)/N41</f>
        <v/>
      </c>
      <c r="P41" s="199">
        <f>N41*0.9056*0.85</f>
        <v/>
      </c>
      <c r="Q41" s="199">
        <f>N41*1.15</f>
        <v/>
      </c>
      <c r="R41" s="199">
        <f>IF(M41&lt;N41*0.9056*0.85,N41*0.9056*0.85,IF(M41&gt;N41*1.15,N41*1.15,M41))</f>
        <v/>
      </c>
      <c r="S41" s="199">
        <f>+F41*M41</f>
        <v/>
      </c>
      <c r="T41" s="169">
        <f>S41+R41*I41</f>
        <v/>
      </c>
      <c r="U41" s="197">
        <f>S41+R41*J41</f>
        <v/>
      </c>
      <c r="V41" s="196">
        <f>U41-S41</f>
        <v/>
      </c>
      <c r="W41" s="197">
        <f>+U41-T41</f>
        <v/>
      </c>
      <c r="X41" s="201">
        <f>+U41-T41</f>
        <v/>
      </c>
      <c r="Y41" s="74" t="n"/>
    </row>
    <row r="42" ht="54" customFormat="1" customHeight="1" s="1">
      <c r="A42" s="28" t="n">
        <v>33</v>
      </c>
      <c r="B42" s="29" t="inlineStr">
        <is>
          <t>010505001002</t>
        </is>
      </c>
      <c r="C42" s="29" t="inlineStr">
        <is>
          <t>有梁板</t>
        </is>
      </c>
      <c r="D42" s="29" t="inlineStr">
        <is>
          <t>1.有梁板
2.混凝土种类:预拌混凝土
3.混凝土强度等级:C30
4.含混凝土泵送费用</t>
        </is>
      </c>
      <c r="E42" s="30" t="inlineStr">
        <is>
          <t>m3</t>
        </is>
      </c>
      <c r="F42" s="30" t="n">
        <v>1987.3127</v>
      </c>
      <c r="G42" s="199" t="n">
        <v>2199.78</v>
      </c>
      <c r="H42" s="200">
        <f>2342.86-H43</f>
        <v/>
      </c>
      <c r="I42" s="199">
        <f>G42-F42</f>
        <v/>
      </c>
      <c r="J42" s="199">
        <f>H42-F42</f>
        <v/>
      </c>
      <c r="K42" s="199">
        <f>+H42-G42</f>
        <v/>
      </c>
      <c r="L42" s="49">
        <f>I42/F42</f>
        <v/>
      </c>
      <c r="M42" s="30" t="n">
        <v>674.8</v>
      </c>
      <c r="N42" s="30" t="n">
        <v>855.35</v>
      </c>
      <c r="O42" s="49">
        <f>(M42-N42)/N42</f>
        <v/>
      </c>
      <c r="P42" s="199">
        <f>N42*0.9056*0.85</f>
        <v/>
      </c>
      <c r="Q42" s="199">
        <f>N42*1.15</f>
        <v/>
      </c>
      <c r="R42" s="199">
        <f>IF(M42&lt;N42*0.9056*0.85,N42*0.9056*0.85,IF(M42&gt;N42*1.15,N42*1.15,M42))</f>
        <v/>
      </c>
      <c r="S42" s="199">
        <f>+F42*M42</f>
        <v/>
      </c>
      <c r="T42" s="169">
        <f>S42+R42*I42</f>
        <v/>
      </c>
      <c r="U42" s="197">
        <f>S42+R42*J42</f>
        <v/>
      </c>
      <c r="V42" s="196">
        <f>U42-S42</f>
        <v/>
      </c>
      <c r="W42" s="197">
        <f>+U42-T42</f>
        <v/>
      </c>
      <c r="X42" s="201">
        <f>+U42-T42</f>
        <v/>
      </c>
      <c r="Y42" s="74" t="n"/>
    </row>
    <row r="43" ht="54" customFormat="1" customHeight="1" s="1">
      <c r="A43" s="28" t="n">
        <v>34</v>
      </c>
      <c r="B43" s="29" t="inlineStr">
        <is>
          <t>010505001004</t>
        </is>
      </c>
      <c r="C43" s="29" t="inlineStr">
        <is>
          <t>有梁板（斜板）</t>
        </is>
      </c>
      <c r="D43" s="29" t="inlineStr">
        <is>
          <t>1.有梁板
2.混凝土种类:预拌混凝土
3.混凝土强度等级:C30
4.含混凝土泵送费用</t>
        </is>
      </c>
      <c r="E43" s="30" t="inlineStr">
        <is>
          <t>m3</t>
        </is>
      </c>
      <c r="F43" s="30" t="n">
        <v>325.8433</v>
      </c>
      <c r="G43" s="199" t="n">
        <v>272.63</v>
      </c>
      <c r="H43" s="200" t="n">
        <v>272.63</v>
      </c>
      <c r="I43" s="199">
        <f>G43-F43</f>
        <v/>
      </c>
      <c r="J43" s="199">
        <f>H43-F43</f>
        <v/>
      </c>
      <c r="K43" s="199">
        <f>+H43-G43</f>
        <v/>
      </c>
      <c r="L43" s="49">
        <f>I43/F43</f>
        <v/>
      </c>
      <c r="M43" s="30" t="n">
        <v>674.8</v>
      </c>
      <c r="N43" s="30" t="n">
        <v>869.35</v>
      </c>
      <c r="O43" s="49">
        <f>(M43-N43)/N43</f>
        <v/>
      </c>
      <c r="P43" s="199">
        <f>N43*0.9056*0.85</f>
        <v/>
      </c>
      <c r="Q43" s="199">
        <f>N43*1.15</f>
        <v/>
      </c>
      <c r="R43" s="199">
        <f>IF(M43&lt;N43*0.9056*0.85,N43*0.9056*0.85,IF(M43&gt;N43*1.15,N43*1.15,M43))</f>
        <v/>
      </c>
      <c r="S43" s="199">
        <f>+F43*M43</f>
        <v/>
      </c>
      <c r="T43" s="169">
        <f>S43+R43*I43</f>
        <v/>
      </c>
      <c r="U43" s="197">
        <f>S43+R43*J43</f>
        <v/>
      </c>
      <c r="V43" s="196">
        <f>U43-S43</f>
        <v/>
      </c>
      <c r="W43" s="197">
        <f>+U43-T43</f>
        <v/>
      </c>
      <c r="X43" s="201">
        <f>+U43-T43</f>
        <v/>
      </c>
      <c r="Y43" s="74" t="n"/>
    </row>
    <row r="44" ht="41.25" customFormat="1" customHeight="1" s="1">
      <c r="A44" s="28" t="n">
        <v>35</v>
      </c>
      <c r="B44" s="29" t="inlineStr">
        <is>
          <t>010505008002</t>
        </is>
      </c>
      <c r="C44" s="29" t="inlineStr">
        <is>
          <t>飘板</t>
        </is>
      </c>
      <c r="D44" s="29" t="inlineStr">
        <is>
          <t>1.部位:空调板、装饰飘板
2.混凝土种类:预拌混凝土
3.混凝土强度等级:C30</t>
        </is>
      </c>
      <c r="E44" s="30" t="inlineStr">
        <is>
          <t>m3</t>
        </is>
      </c>
      <c r="F44" s="30" t="n">
        <v>134.61</v>
      </c>
      <c r="G44" s="199" t="n">
        <v>110.91</v>
      </c>
      <c r="H44" s="200">
        <f>7.58+79.07+18.96</f>
        <v/>
      </c>
      <c r="I44" s="199">
        <f>G44-F44</f>
        <v/>
      </c>
      <c r="J44" s="199">
        <f>H44-F44</f>
        <v/>
      </c>
      <c r="K44" s="199">
        <f>+H44-G44</f>
        <v/>
      </c>
      <c r="L44" s="49">
        <f>I44/F44</f>
        <v/>
      </c>
      <c r="M44" s="30" t="n">
        <v>838.64</v>
      </c>
      <c r="N44" s="30" t="n">
        <v>1007.51</v>
      </c>
      <c r="O44" s="49">
        <f>(M44-N44)/N44</f>
        <v/>
      </c>
      <c r="P44" s="199">
        <f>N44*0.9056*0.85</f>
        <v/>
      </c>
      <c r="Q44" s="199">
        <f>N44*1.15</f>
        <v/>
      </c>
      <c r="R44" s="199">
        <f>IF(M44&lt;N44*0.9056*0.85,N44*0.9056*0.85,IF(M44&gt;N44*1.15,N44*1.15,M44))</f>
        <v/>
      </c>
      <c r="S44" s="199">
        <f>+F44*M44</f>
        <v/>
      </c>
      <c r="T44" s="169">
        <f>S44+R44*I44</f>
        <v/>
      </c>
      <c r="U44" s="197">
        <f>S44+R44*J44</f>
        <v/>
      </c>
      <c r="V44" s="196">
        <f>U44-S44</f>
        <v/>
      </c>
      <c r="W44" s="197">
        <f>+U44-T44</f>
        <v/>
      </c>
      <c r="X44" s="201">
        <f>+U44-T44</f>
        <v/>
      </c>
      <c r="Y44" s="74" t="n"/>
    </row>
    <row r="45" ht="41.25" customFormat="1" customHeight="1" s="1">
      <c r="A45" s="28" t="n">
        <v>36</v>
      </c>
      <c r="B45" s="29" t="inlineStr">
        <is>
          <t>010505006004</t>
        </is>
      </c>
      <c r="C45" s="29" t="inlineStr">
        <is>
          <t>栏板、反檐</t>
        </is>
      </c>
      <c r="D45" s="29" t="inlineStr">
        <is>
          <t>1.部位:栏板、反坎
2.混凝土强度等级:C25商品混凝土</t>
        </is>
      </c>
      <c r="E45" s="30" t="inlineStr">
        <is>
          <t>m3</t>
        </is>
      </c>
      <c r="F45" s="30" t="n">
        <v>28.37</v>
      </c>
      <c r="G45" s="199" t="n">
        <v>2.89</v>
      </c>
      <c r="H45" s="200" t="n">
        <v>2.89</v>
      </c>
      <c r="I45" s="199">
        <f>G45-F45</f>
        <v/>
      </c>
      <c r="J45" s="199">
        <f>H45-F45</f>
        <v/>
      </c>
      <c r="K45" s="199">
        <f>+H45-G45</f>
        <v/>
      </c>
      <c r="L45" s="49">
        <f>I45/F45</f>
        <v/>
      </c>
      <c r="M45" s="30" t="n">
        <v>826.88</v>
      </c>
      <c r="N45" s="30" t="n">
        <v>982.99</v>
      </c>
      <c r="O45" s="49">
        <f>(M45-N45)/N45</f>
        <v/>
      </c>
      <c r="P45" s="199">
        <f>N45*0.9056*0.85</f>
        <v/>
      </c>
      <c r="Q45" s="199">
        <f>N45*1.15</f>
        <v/>
      </c>
      <c r="R45" s="199">
        <f>IF(M45&lt;N45*0.9056*0.85,N45*0.9056*0.85,IF(M45&gt;N45*1.15,N45*1.15,M45))</f>
        <v/>
      </c>
      <c r="S45" s="199">
        <f>+F45*M45</f>
        <v/>
      </c>
      <c r="T45" s="169">
        <f>S45+R45*I45</f>
        <v/>
      </c>
      <c r="U45" s="197">
        <f>S45+R45*J45</f>
        <v/>
      </c>
      <c r="V45" s="196">
        <f>U45-S45</f>
        <v/>
      </c>
      <c r="W45" s="197">
        <f>+U45-T45</f>
        <v/>
      </c>
      <c r="X45" s="201">
        <f>+U45-T45</f>
        <v/>
      </c>
      <c r="Y45" s="74" t="n"/>
    </row>
    <row r="46" ht="41.25" customFormat="1" customHeight="1" s="3">
      <c r="A46" s="28" t="n">
        <v>37</v>
      </c>
      <c r="B46" s="29" t="inlineStr">
        <is>
          <t>010503004001</t>
        </is>
      </c>
      <c r="C46" s="29" t="inlineStr">
        <is>
          <t>圈梁（女儿墙压顶、窗台压顶）</t>
        </is>
      </c>
      <c r="D46" s="29" t="inlineStr">
        <is>
          <t>1.部位:圈梁
2.混凝土种类:预拌混凝土
3.混凝土强度等级:C25</t>
        </is>
      </c>
      <c r="E46" s="30" t="inlineStr">
        <is>
          <t>m3</t>
        </is>
      </c>
      <c r="F46" s="30" t="n">
        <v>44.62</v>
      </c>
      <c r="G46" s="199" t="n">
        <v>44.62</v>
      </c>
      <c r="H46" s="200" t="n">
        <v>44.62</v>
      </c>
      <c r="I46" s="199">
        <f>G46-F46</f>
        <v/>
      </c>
      <c r="J46" s="199">
        <f>H46-F46</f>
        <v/>
      </c>
      <c r="K46" s="199">
        <f>+H46-G46</f>
        <v/>
      </c>
      <c r="L46" s="49">
        <f>I46/F46</f>
        <v/>
      </c>
      <c r="M46" s="30" t="n">
        <v>730.1</v>
      </c>
      <c r="N46" s="30" t="n">
        <v>906.2</v>
      </c>
      <c r="O46" s="49">
        <f>(M46-N46)/N46</f>
        <v/>
      </c>
      <c r="P46" s="199">
        <f>N46*0.9056*0.85</f>
        <v/>
      </c>
      <c r="Q46" s="199">
        <f>N46*1.15</f>
        <v/>
      </c>
      <c r="R46" s="199">
        <f>IF(M46&lt;N46*0.9056*0.85,N46*0.9056*0.85,IF(M46&gt;N46*1.15,N46*1.15,M46))</f>
        <v/>
      </c>
      <c r="S46" s="199">
        <f>+F46*M46</f>
        <v/>
      </c>
      <c r="T46" s="169">
        <f>S46+R46*I46</f>
        <v/>
      </c>
      <c r="U46" s="197">
        <f>S46+R46*J46</f>
        <v/>
      </c>
      <c r="V46" s="196">
        <f>U46-S46</f>
        <v/>
      </c>
      <c r="W46" s="197">
        <f>+U46-T46</f>
        <v/>
      </c>
      <c r="X46" s="201">
        <f>+U46-T46</f>
        <v/>
      </c>
      <c r="Y46" s="74" t="n"/>
      <c r="Z46" s="1" t="n"/>
      <c r="AA46" s="1" t="n"/>
    </row>
    <row r="47" ht="41.25" customFormat="1" customHeight="1" s="1">
      <c r="A47" s="28" t="n">
        <v>38</v>
      </c>
      <c r="B47" s="29" t="inlineStr">
        <is>
          <t>010503005002</t>
        </is>
      </c>
      <c r="C47" s="29" t="inlineStr">
        <is>
          <t>过梁</t>
        </is>
      </c>
      <c r="D47" s="29" t="inlineStr">
        <is>
          <t>1.过梁
2.混凝土种类:预拌混凝土
3.混凝土强度等级:C25</t>
        </is>
      </c>
      <c r="E47" s="30" t="inlineStr">
        <is>
          <t>m3</t>
        </is>
      </c>
      <c r="F47" s="30" t="n">
        <v>10.13</v>
      </c>
      <c r="G47" s="199" t="n">
        <v>10.13</v>
      </c>
      <c r="H47" s="200" t="n">
        <v>10.13</v>
      </c>
      <c r="I47" s="199">
        <f>G47-F47</f>
        <v/>
      </c>
      <c r="J47" s="199">
        <f>H47-F47</f>
        <v/>
      </c>
      <c r="K47" s="199">
        <f>+H47-G47</f>
        <v/>
      </c>
      <c r="L47" s="49">
        <f>I47/F47</f>
        <v/>
      </c>
      <c r="M47" s="30" t="n">
        <v>730.1</v>
      </c>
      <c r="N47" s="30" t="n">
        <v>906.2</v>
      </c>
      <c r="O47" s="49">
        <f>(M47-N47)/N47</f>
        <v/>
      </c>
      <c r="P47" s="199">
        <f>N47*0.9056*0.85</f>
        <v/>
      </c>
      <c r="Q47" s="199">
        <f>N47*1.15</f>
        <v/>
      </c>
      <c r="R47" s="199">
        <f>IF(M47&lt;N47*0.9056*0.85,N47*0.9056*0.85,IF(M47&gt;N47*1.15,N47*1.15,M47))</f>
        <v/>
      </c>
      <c r="S47" s="199">
        <f>+F47*M47</f>
        <v/>
      </c>
      <c r="T47" s="169">
        <f>S47+R47*I47</f>
        <v/>
      </c>
      <c r="U47" s="197">
        <f>S47+R47*J47</f>
        <v/>
      </c>
      <c r="V47" s="196">
        <f>U47-S47</f>
        <v/>
      </c>
      <c r="W47" s="197">
        <f>+U47-T47</f>
        <v/>
      </c>
      <c r="X47" s="201">
        <f>+U47-T47</f>
        <v/>
      </c>
      <c r="Y47" s="74" t="n"/>
    </row>
    <row r="48" ht="41.25" customFormat="1" customHeight="1" s="1">
      <c r="A48" s="28" t="n">
        <v>39</v>
      </c>
      <c r="B48" s="29" t="inlineStr">
        <is>
          <t>010507007001</t>
        </is>
      </c>
      <c r="C48" s="29" t="inlineStr">
        <is>
          <t>其他构件</t>
        </is>
      </c>
      <c r="D48" s="29" t="inlineStr">
        <is>
          <t>1.反坎
2.混凝土种类:预拌混凝土
3.混凝土强度等级:C25</t>
        </is>
      </c>
      <c r="E48" s="30" t="inlineStr">
        <is>
          <t>m3</t>
        </is>
      </c>
      <c r="F48" s="30" t="n">
        <v>18.106</v>
      </c>
      <c r="G48" s="199" t="n">
        <v>0</v>
      </c>
      <c r="H48" s="200" t="n">
        <v>0</v>
      </c>
      <c r="I48" s="199">
        <f>G48-F48</f>
        <v/>
      </c>
      <c r="J48" s="199">
        <f>H48-F48</f>
        <v/>
      </c>
      <c r="K48" s="199">
        <f>+H48-G48</f>
        <v/>
      </c>
      <c r="L48" s="49">
        <f>I48/F48</f>
        <v/>
      </c>
      <c r="M48" s="30" t="n">
        <v>957.9</v>
      </c>
      <c r="N48" s="30" t="n">
        <v>1157.57</v>
      </c>
      <c r="O48" s="49">
        <f>(M48-N48)/N48</f>
        <v/>
      </c>
      <c r="P48" s="199">
        <f>N48*0.9056*0.85</f>
        <v/>
      </c>
      <c r="Q48" s="199">
        <f>N48*1.15</f>
        <v/>
      </c>
      <c r="R48" s="199">
        <f>IF(M48&lt;N48*0.9056*0.85,N48*0.9056*0.85,IF(M48&gt;N48*1.15,N48*1.15,M48))</f>
        <v/>
      </c>
      <c r="S48" s="199">
        <f>+F48*M48</f>
        <v/>
      </c>
      <c r="T48" s="169">
        <f>S48+R48*I48</f>
        <v/>
      </c>
      <c r="U48" s="197">
        <f>S48+R48*J48</f>
        <v/>
      </c>
      <c r="V48" s="196">
        <f>U48-S48</f>
        <v/>
      </c>
      <c r="W48" s="197">
        <f>+U48-T48</f>
        <v/>
      </c>
      <c r="X48" s="201">
        <f>+U48-T48</f>
        <v/>
      </c>
      <c r="Y48" s="74" t="n"/>
    </row>
    <row r="49" ht="41.25" customFormat="1" customHeight="1" s="1">
      <c r="A49" s="28" t="n">
        <v>40</v>
      </c>
      <c r="B49" s="29" t="inlineStr">
        <is>
          <t>010506001001</t>
        </is>
      </c>
      <c r="C49" s="29" t="inlineStr">
        <is>
          <t>直形楼梯</t>
        </is>
      </c>
      <c r="D49" s="29" t="inlineStr">
        <is>
          <t>1.混凝土种类:预拌混凝土
2.混凝土强度等级:C30
3.含混凝土泵送费用</t>
        </is>
      </c>
      <c r="E49" s="30" t="inlineStr">
        <is>
          <t>m3</t>
        </is>
      </c>
      <c r="F49" s="30" t="n">
        <v>102.36</v>
      </c>
      <c r="G49" s="199" t="n">
        <v>113.33</v>
      </c>
      <c r="H49" s="200" t="n">
        <v>107.93</v>
      </c>
      <c r="I49" s="199">
        <f>G49-F49</f>
        <v/>
      </c>
      <c r="J49" s="199">
        <f>H49-F49</f>
        <v/>
      </c>
      <c r="K49" s="199">
        <f>+H49-G49</f>
        <v/>
      </c>
      <c r="L49" s="49">
        <f>I49/F49</f>
        <v/>
      </c>
      <c r="M49" s="30" t="n">
        <v>726.66</v>
      </c>
      <c r="N49" s="30" t="n">
        <v>913.95</v>
      </c>
      <c r="O49" s="49">
        <f>(M49-N49)/N49</f>
        <v/>
      </c>
      <c r="P49" s="199">
        <f>N49*0.9056*0.85</f>
        <v/>
      </c>
      <c r="Q49" s="199">
        <f>N49*1.15</f>
        <v/>
      </c>
      <c r="R49" s="199">
        <f>IF(M49&lt;N49*0.9056*0.85,N49*0.9056*0.85,IF(M49&gt;N49*1.15,N49*1.15,M49))</f>
        <v/>
      </c>
      <c r="S49" s="199">
        <f>+F49*M49</f>
        <v/>
      </c>
      <c r="T49" s="169">
        <f>S49+R49*I49</f>
        <v/>
      </c>
      <c r="U49" s="197">
        <f>S49+R49*J49</f>
        <v/>
      </c>
      <c r="V49" s="196">
        <f>U49-S49</f>
        <v/>
      </c>
      <c r="W49" s="197">
        <f>+U49-T49</f>
        <v/>
      </c>
      <c r="X49" s="201">
        <f>+U49-T49</f>
        <v/>
      </c>
      <c r="Y49" s="74" t="n"/>
    </row>
    <row r="50" ht="41.25" customFormat="1" customHeight="1" s="2">
      <c r="A50" s="37" t="n">
        <v>41</v>
      </c>
      <c r="B50" s="38" t="inlineStr">
        <is>
          <t>010401013006</t>
        </is>
      </c>
      <c r="C50" s="38" t="inlineStr">
        <is>
          <t>砖散水、地坪</t>
        </is>
      </c>
      <c r="D50" s="38" t="inlineStr">
        <is>
          <t>1.散水
2.C20素砼垫层60厚
3.150厚3:7灰土</t>
        </is>
      </c>
      <c r="E50" s="39" t="inlineStr">
        <is>
          <t>m2</t>
        </is>
      </c>
      <c r="F50" s="39" t="n">
        <v>141.6688</v>
      </c>
      <c r="G50" s="206" t="n">
        <v>239.87</v>
      </c>
      <c r="H50" s="200" t="n">
        <v>0</v>
      </c>
      <c r="I50" s="206">
        <f>G50-F50</f>
        <v/>
      </c>
      <c r="J50" s="206">
        <f>H50-F50</f>
        <v/>
      </c>
      <c r="K50" s="206">
        <f>+H50-G50</f>
        <v/>
      </c>
      <c r="L50" s="51">
        <f>I50/F50</f>
        <v/>
      </c>
      <c r="M50" s="39" t="n">
        <v>80.23999999999999</v>
      </c>
      <c r="N50" s="39" t="n">
        <v>95.34</v>
      </c>
      <c r="O50" s="51">
        <f>(M50-N50)/N50</f>
        <v/>
      </c>
      <c r="P50" s="206">
        <f>N50*0.9056*0.85</f>
        <v/>
      </c>
      <c r="Q50" s="206">
        <f>N50*1.15</f>
        <v/>
      </c>
      <c r="R50" s="206">
        <f>IF(M50&lt;N50*0.9056*0.85,N50*0.9056*0.85,IF(M50&gt;N50*1.15,N50*1.15,M50))</f>
        <v/>
      </c>
      <c r="S50" s="206">
        <f>+F50*M50</f>
        <v/>
      </c>
      <c r="T50" s="207">
        <f>S50+R50*I50</f>
        <v/>
      </c>
      <c r="U50" s="197">
        <f>S50+R50*J50</f>
        <v/>
      </c>
      <c r="V50" s="196">
        <f>U50-S50</f>
        <v/>
      </c>
      <c r="W50" s="197">
        <f>+U50-T50</f>
        <v/>
      </c>
      <c r="X50" s="201">
        <f>+U50-T50</f>
        <v/>
      </c>
      <c r="Y50" s="77" t="n"/>
      <c r="Z50" s="77" t="n"/>
    </row>
    <row r="51" ht="41.25" customFormat="1" customHeight="1" s="1">
      <c r="A51" s="28" t="n">
        <v>42</v>
      </c>
      <c r="B51" s="29" t="inlineStr">
        <is>
          <t>010515001015</t>
        </is>
      </c>
      <c r="C51" s="29" t="inlineStr">
        <is>
          <t>现浇构件钢筋</t>
        </is>
      </c>
      <c r="D51" s="29" t="inlineStr">
        <is>
          <t>1.钢筋种类、规格:现浇构件带肋钢筋(HRB400)φ10以内</t>
        </is>
      </c>
      <c r="E51" s="30" t="inlineStr">
        <is>
          <t>t</t>
        </is>
      </c>
      <c r="F51" s="30" t="n">
        <v>178.2</v>
      </c>
      <c r="G51" s="199" t="n">
        <v>163.8</v>
      </c>
      <c r="H51" s="204" t="n">
        <v>163.799</v>
      </c>
      <c r="I51" s="199">
        <f>G51-F51</f>
        <v/>
      </c>
      <c r="J51" s="199">
        <f>H51-F51</f>
        <v/>
      </c>
      <c r="K51" s="199">
        <f>+H51-G51</f>
        <v/>
      </c>
      <c r="L51" s="49">
        <f>I51/F51</f>
        <v/>
      </c>
      <c r="M51" s="30" t="n">
        <v>5708.81</v>
      </c>
      <c r="N51" s="30" t="n">
        <v>6995.45</v>
      </c>
      <c r="O51" s="49">
        <f>(M51-N51)/N51</f>
        <v/>
      </c>
      <c r="P51" s="199">
        <f>N51*0.9056*0.85</f>
        <v/>
      </c>
      <c r="Q51" s="199">
        <f>N51*1.15</f>
        <v/>
      </c>
      <c r="R51" s="199">
        <f>IF(M51&lt;N51*0.9056*0.85,N51*0.9056*0.85,IF(M51&gt;N51*1.15,N51*1.15,M51))</f>
        <v/>
      </c>
      <c r="S51" s="199">
        <f>+F51*M51</f>
        <v/>
      </c>
      <c r="T51" s="169">
        <f>S51+R51*I51</f>
        <v/>
      </c>
      <c r="U51" s="197">
        <f>S51+R51*J51</f>
        <v/>
      </c>
      <c r="V51" s="196">
        <f>U51-S51</f>
        <v/>
      </c>
      <c r="W51" s="197">
        <f>+U51-T51</f>
        <v/>
      </c>
      <c r="X51" s="201">
        <f>+U51-T51</f>
        <v/>
      </c>
      <c r="Y51" s="74" t="n"/>
      <c r="Z51" s="71" t="n"/>
    </row>
    <row r="52" ht="41.25" customFormat="1" customHeight="1" s="1">
      <c r="A52" s="28" t="n">
        <v>43</v>
      </c>
      <c r="B52" s="29" t="inlineStr">
        <is>
          <t>010515001016</t>
        </is>
      </c>
      <c r="C52" s="29" t="inlineStr">
        <is>
          <t>现浇构件钢筋</t>
        </is>
      </c>
      <c r="D52" s="29" t="inlineStr">
        <is>
          <t>1.钢筋种类、规格:现浇构件带肋钢筋(HRB400E)φ10以内</t>
        </is>
      </c>
      <c r="E52" s="30" t="inlineStr">
        <is>
          <t>t</t>
        </is>
      </c>
      <c r="F52" s="30" t="n">
        <v>6.982</v>
      </c>
      <c r="G52" s="199" t="n">
        <v>11.74</v>
      </c>
      <c r="H52" s="204" t="n">
        <v>11.744</v>
      </c>
      <c r="I52" s="199">
        <f>G52-F52</f>
        <v/>
      </c>
      <c r="J52" s="199">
        <f>H52-F52</f>
        <v/>
      </c>
      <c r="K52" s="199">
        <f>+H52-G52</f>
        <v/>
      </c>
      <c r="L52" s="49">
        <f>I52/F52</f>
        <v/>
      </c>
      <c r="M52" s="30" t="n">
        <v>5708.81</v>
      </c>
      <c r="N52" s="30" t="n">
        <v>7085.72</v>
      </c>
      <c r="O52" s="49">
        <f>(M52-N52)/N52</f>
        <v/>
      </c>
      <c r="P52" s="199">
        <f>N52*0.9056*0.85</f>
        <v/>
      </c>
      <c r="Q52" s="199">
        <f>N52*1.15</f>
        <v/>
      </c>
      <c r="R52" s="199">
        <f>IF(M52&lt;N52*0.9056*0.85,N52*0.9056*0.85,IF(M52&gt;N52*1.15,N52*1.15,M52))</f>
        <v/>
      </c>
      <c r="S52" s="199">
        <f>+F52*M52</f>
        <v/>
      </c>
      <c r="T52" s="169">
        <f>S52+R52*I52</f>
        <v/>
      </c>
      <c r="U52" s="197">
        <f>S52+R52*J52</f>
        <v/>
      </c>
      <c r="V52" s="196">
        <f>U52-S52</f>
        <v/>
      </c>
      <c r="W52" s="197">
        <f>+U52-T52</f>
        <v/>
      </c>
      <c r="X52" s="201">
        <f>+U52-T52</f>
        <v/>
      </c>
      <c r="Y52" s="74" t="n"/>
      <c r="Z52" s="71" t="n"/>
    </row>
    <row r="53" ht="41.25" customFormat="1" customHeight="1" s="1">
      <c r="A53" s="28" t="n">
        <v>44</v>
      </c>
      <c r="B53" s="29" t="inlineStr">
        <is>
          <t>010515001017</t>
        </is>
      </c>
      <c r="C53" s="29" t="inlineStr">
        <is>
          <t>现浇构件钢筋</t>
        </is>
      </c>
      <c r="D53" s="29" t="inlineStr">
        <is>
          <t>1.钢筋种类、规格:现浇构件带肋钢筋(HRB400)φ25以内</t>
        </is>
      </c>
      <c r="E53" s="30" t="inlineStr">
        <is>
          <t>t</t>
        </is>
      </c>
      <c r="F53" s="30" t="n">
        <v>30.489</v>
      </c>
      <c r="G53" s="199" t="n">
        <v>65.31999999999999</v>
      </c>
      <c r="H53" s="204" t="n">
        <v>65.324</v>
      </c>
      <c r="I53" s="199">
        <f>G53-F53</f>
        <v/>
      </c>
      <c r="J53" s="199">
        <f>H53-F53</f>
        <v/>
      </c>
      <c r="K53" s="199">
        <f>+H53-G53</f>
        <v/>
      </c>
      <c r="L53" s="49">
        <f>I53/F53</f>
        <v/>
      </c>
      <c r="M53" s="30" t="n">
        <v>5570.86</v>
      </c>
      <c r="N53" s="30" t="n">
        <v>6793.55</v>
      </c>
      <c r="O53" s="49">
        <f>(M53-N53)/N53</f>
        <v/>
      </c>
      <c r="P53" s="199">
        <f>N53*0.9056*0.85</f>
        <v/>
      </c>
      <c r="Q53" s="199">
        <f>N53*1.15</f>
        <v/>
      </c>
      <c r="R53" s="199">
        <f>IF(M53&lt;N53*0.9056*0.85,N53*0.9056*0.85,IF(M53&gt;N53*1.15,N53*1.15,M53))</f>
        <v/>
      </c>
      <c r="S53" s="199">
        <f>+F53*M53</f>
        <v/>
      </c>
      <c r="T53" s="169">
        <f>S53+R53*I53</f>
        <v/>
      </c>
      <c r="U53" s="197">
        <f>S53+R53*J53</f>
        <v/>
      </c>
      <c r="V53" s="196">
        <f>U53-S53</f>
        <v/>
      </c>
      <c r="W53" s="197">
        <f>+U53-T53</f>
        <v/>
      </c>
      <c r="X53" s="201">
        <f>+U53-T53</f>
        <v/>
      </c>
      <c r="Y53" s="74" t="n"/>
      <c r="Z53" s="71" t="n"/>
    </row>
    <row r="54" ht="41.25" customFormat="1" customHeight="1" s="1">
      <c r="A54" s="28" t="n">
        <v>45</v>
      </c>
      <c r="B54" s="29" t="inlineStr">
        <is>
          <t>010515001026</t>
        </is>
      </c>
      <c r="C54" s="29" t="inlineStr">
        <is>
          <t>现浇构件钢筋</t>
        </is>
      </c>
      <c r="D54" s="29" t="inlineStr">
        <is>
          <t>1.钢筋种类、规格:现浇构件带肋钢筋(HRB400E)φ25以内</t>
        </is>
      </c>
      <c r="E54" s="30" t="inlineStr">
        <is>
          <t>t</t>
        </is>
      </c>
      <c r="F54" s="30" t="n">
        <v>205.801</v>
      </c>
      <c r="G54" s="199" t="n">
        <v>180.93</v>
      </c>
      <c r="H54" s="204" t="n">
        <v>180.929</v>
      </c>
      <c r="I54" s="199">
        <f>G54-F54</f>
        <v/>
      </c>
      <c r="J54" s="199">
        <f>H54-F54</f>
        <v/>
      </c>
      <c r="K54" s="199">
        <f>+H54-G54</f>
        <v/>
      </c>
      <c r="L54" s="49">
        <f>I54/F54</f>
        <v/>
      </c>
      <c r="M54" s="30" t="n">
        <v>5570.86</v>
      </c>
      <c r="N54" s="30" t="n">
        <v>6884.26</v>
      </c>
      <c r="O54" s="49">
        <f>(M54-N54)/N54</f>
        <v/>
      </c>
      <c r="P54" s="199">
        <f>N54*0.9056*0.85</f>
        <v/>
      </c>
      <c r="Q54" s="199">
        <f>N54*1.15</f>
        <v/>
      </c>
      <c r="R54" s="199">
        <f>IF(M54&lt;N54*0.9056*0.85,N54*0.9056*0.85,IF(M54&gt;N54*1.15,N54*1.15,M54))</f>
        <v/>
      </c>
      <c r="S54" s="199">
        <f>+F54*M54</f>
        <v/>
      </c>
      <c r="T54" s="169">
        <f>S54+R54*I54</f>
        <v/>
      </c>
      <c r="U54" s="197">
        <f>S54+R54*J54</f>
        <v/>
      </c>
      <c r="V54" s="196">
        <f>U54-S54</f>
        <v/>
      </c>
      <c r="W54" s="197">
        <f>+U54-T54</f>
        <v/>
      </c>
      <c r="X54" s="201">
        <f>+U54-T54</f>
        <v/>
      </c>
      <c r="Y54" s="74" t="n"/>
      <c r="Z54" s="71" t="n"/>
    </row>
    <row r="55" ht="41.25" customFormat="1" customHeight="1" s="1">
      <c r="A55" s="28" t="n">
        <v>46</v>
      </c>
      <c r="B55" s="29" t="inlineStr">
        <is>
          <t>010515001025</t>
        </is>
      </c>
      <c r="C55" s="29" t="inlineStr">
        <is>
          <t>现浇构件钢筋</t>
        </is>
      </c>
      <c r="D55" s="29" t="inlineStr">
        <is>
          <t>1.钢筋种类、规格:现浇构件带肋钢筋(HRB400E)φ25以外</t>
        </is>
      </c>
      <c r="E55" s="30" t="inlineStr">
        <is>
          <t>t</t>
        </is>
      </c>
      <c r="F55" s="30" t="n">
        <v>9.881</v>
      </c>
      <c r="G55" s="199" t="n">
        <v>8.130000000000001</v>
      </c>
      <c r="H55" s="204" t="n">
        <v>8.125999999999999</v>
      </c>
      <c r="I55" s="199">
        <f>G55-F55</f>
        <v/>
      </c>
      <c r="J55" s="199">
        <f>H55-F55</f>
        <v/>
      </c>
      <c r="K55" s="199">
        <f>+H55-G55</f>
        <v/>
      </c>
      <c r="L55" s="49">
        <f>I55/F55</f>
        <v/>
      </c>
      <c r="M55" s="30" t="n">
        <v>5507.01</v>
      </c>
      <c r="N55" s="30" t="n">
        <v>6766.86</v>
      </c>
      <c r="O55" s="49">
        <f>(M55-N55)/N55</f>
        <v/>
      </c>
      <c r="P55" s="199">
        <f>N55*0.9056*0.85</f>
        <v/>
      </c>
      <c r="Q55" s="199">
        <f>N55*1.15</f>
        <v/>
      </c>
      <c r="R55" s="199">
        <f>IF(M55&lt;N55*0.9056*0.85,N55*0.9056*0.85,IF(M55&gt;N55*1.15,N55*1.15,M55))</f>
        <v/>
      </c>
      <c r="S55" s="199">
        <f>+F55*M55</f>
        <v/>
      </c>
      <c r="T55" s="169">
        <f>S55+R55*I55</f>
        <v/>
      </c>
      <c r="U55" s="197">
        <f>S55+R55*J55</f>
        <v/>
      </c>
      <c r="V55" s="196">
        <f>U55-S55</f>
        <v/>
      </c>
      <c r="W55" s="197">
        <f>+U55-T55</f>
        <v/>
      </c>
      <c r="X55" s="201">
        <f>+U55-T55</f>
        <v/>
      </c>
      <c r="Y55" s="74" t="n"/>
      <c r="Z55" s="71" t="n"/>
    </row>
    <row r="56" ht="41.25" customFormat="1" customHeight="1" s="1">
      <c r="A56" s="28" t="n">
        <v>47</v>
      </c>
      <c r="B56" s="29" t="inlineStr">
        <is>
          <t>010515001022</t>
        </is>
      </c>
      <c r="C56" s="29" t="inlineStr">
        <is>
          <t>现浇构件钢筋</t>
        </is>
      </c>
      <c r="D56" s="29" t="inlineStr">
        <is>
          <t>1.钢筋种类、规格:现浇构件箍筋带肋钢筋(HRB400)φ10以内</t>
        </is>
      </c>
      <c r="E56" s="30" t="inlineStr">
        <is>
          <t>t</t>
        </is>
      </c>
      <c r="F56" s="30" t="n">
        <v>97.663</v>
      </c>
      <c r="G56" s="199" t="n">
        <v>109.47</v>
      </c>
      <c r="H56" s="204" t="n">
        <v>109.473</v>
      </c>
      <c r="I56" s="199">
        <f>G56-F56</f>
        <v/>
      </c>
      <c r="J56" s="199">
        <f>H56-F56</f>
        <v/>
      </c>
      <c r="K56" s="199">
        <f>+H56-G56</f>
        <v/>
      </c>
      <c r="L56" s="49">
        <f>I56/F56</f>
        <v/>
      </c>
      <c r="M56" s="30" t="n">
        <v>6837.26</v>
      </c>
      <c r="N56" s="30" t="n">
        <v>8255.91</v>
      </c>
      <c r="O56" s="49">
        <f>(M56-N56)/N56</f>
        <v/>
      </c>
      <c r="P56" s="199">
        <f>N56*0.9056*0.85</f>
        <v/>
      </c>
      <c r="Q56" s="199">
        <f>N56*1.15</f>
        <v/>
      </c>
      <c r="R56" s="199">
        <f>IF(M56&lt;N56*0.9056*0.85,N56*0.9056*0.85,IF(M56&gt;N56*1.15,N56*1.15,M56))</f>
        <v/>
      </c>
      <c r="S56" s="199">
        <f>+F56*M56</f>
        <v/>
      </c>
      <c r="T56" s="169">
        <f>S56+R56*I56</f>
        <v/>
      </c>
      <c r="U56" s="197">
        <f>S56+R56*J56</f>
        <v/>
      </c>
      <c r="V56" s="196">
        <f>U56-S56</f>
        <v/>
      </c>
      <c r="W56" s="197">
        <f>+U56-T56</f>
        <v/>
      </c>
      <c r="X56" s="201">
        <f>+U56-T56</f>
        <v/>
      </c>
      <c r="Y56" s="74" t="n"/>
      <c r="Z56" s="71" t="n"/>
    </row>
    <row r="57" ht="41.25" customFormat="1" customHeight="1" s="1">
      <c r="A57" s="28" t="n">
        <v>48</v>
      </c>
      <c r="B57" s="29" t="inlineStr">
        <is>
          <t>010515001023</t>
        </is>
      </c>
      <c r="C57" s="29" t="inlineStr">
        <is>
          <t>现浇构件钢筋</t>
        </is>
      </c>
      <c r="D57" s="29" t="inlineStr">
        <is>
          <t>1.钢筋种类、规格:现浇构件箍筋带肋钢筋(HRB400)φ10以外</t>
        </is>
      </c>
      <c r="E57" s="30" t="inlineStr">
        <is>
          <t>t</t>
        </is>
      </c>
      <c r="F57" s="30" t="n">
        <v>3.526</v>
      </c>
      <c r="G57" s="199" t="n">
        <v>4.1</v>
      </c>
      <c r="H57" s="204" t="n">
        <v>4.104</v>
      </c>
      <c r="I57" s="199">
        <f>G57-F57</f>
        <v/>
      </c>
      <c r="J57" s="199">
        <f>H57-F57</f>
        <v/>
      </c>
      <c r="K57" s="199">
        <f>+H57-G57</f>
        <v/>
      </c>
      <c r="L57" s="49">
        <f>I57/F57</f>
        <v/>
      </c>
      <c r="M57" s="30" t="n">
        <v>5844.44</v>
      </c>
      <c r="N57" s="30" t="n">
        <v>7106.92</v>
      </c>
      <c r="O57" s="49">
        <f>(M57-N57)/N57</f>
        <v/>
      </c>
      <c r="P57" s="199">
        <f>N57*0.9056*0.85</f>
        <v/>
      </c>
      <c r="Q57" s="199">
        <f>N57*1.15</f>
        <v/>
      </c>
      <c r="R57" s="199">
        <f>IF(M57&lt;N57*0.9056*0.85,N57*0.9056*0.85,IF(M57&gt;N57*1.15,N57*1.15,M57))</f>
        <v/>
      </c>
      <c r="S57" s="199">
        <f>+F57*M57</f>
        <v/>
      </c>
      <c r="T57" s="169">
        <f>S57+R57*I57</f>
        <v/>
      </c>
      <c r="U57" s="197">
        <f>S57+R57*J57</f>
        <v/>
      </c>
      <c r="V57" s="196">
        <f>U57-S57</f>
        <v/>
      </c>
      <c r="W57" s="197">
        <f>+U57-T57</f>
        <v/>
      </c>
      <c r="X57" s="201">
        <f>+U57-T57</f>
        <v/>
      </c>
      <c r="Y57" s="74" t="n"/>
      <c r="Z57" s="71" t="n"/>
    </row>
    <row r="58" ht="28.5" customFormat="1" customHeight="1" s="1">
      <c r="A58" s="28" t="n">
        <v>49</v>
      </c>
      <c r="B58" s="29" t="inlineStr">
        <is>
          <t>010516003001</t>
        </is>
      </c>
      <c r="C58" s="29" t="inlineStr">
        <is>
          <t>钢筋连接</t>
        </is>
      </c>
      <c r="D58" s="29" t="inlineStr">
        <is>
          <t>1.连接方式:电渣压力焊接
2.规格:φ18以内</t>
        </is>
      </c>
      <c r="E58" s="30" t="inlineStr">
        <is>
          <t>个</t>
        </is>
      </c>
      <c r="F58" s="30" t="n">
        <v>2456</v>
      </c>
      <c r="G58" s="199" t="n">
        <v>0</v>
      </c>
      <c r="H58" s="203" t="n">
        <v>0</v>
      </c>
      <c r="I58" s="199">
        <f>G58-F58</f>
        <v/>
      </c>
      <c r="J58" s="199">
        <f>H58-F58</f>
        <v/>
      </c>
      <c r="K58" s="199">
        <f>+H58-G58</f>
        <v/>
      </c>
      <c r="L58" s="49">
        <f>I58/F58</f>
        <v/>
      </c>
      <c r="M58" s="30" t="n">
        <v>7.47</v>
      </c>
      <c r="N58" s="30" t="n">
        <v>8.25</v>
      </c>
      <c r="O58" s="49">
        <f>(M58-N58)/N58</f>
        <v/>
      </c>
      <c r="P58" s="199">
        <f>N58*0.9056*0.85</f>
        <v/>
      </c>
      <c r="Q58" s="199">
        <f>N58*1.15</f>
        <v/>
      </c>
      <c r="R58" s="199">
        <f>IF(M58&lt;N58*0.9056*0.85,N58*0.9056*0.85,IF(M58&gt;N58*1.15,N58*1.15,M58))</f>
        <v/>
      </c>
      <c r="S58" s="199">
        <f>+F58*M58</f>
        <v/>
      </c>
      <c r="T58" s="169">
        <f>S58+R58*I58</f>
        <v/>
      </c>
      <c r="U58" s="197">
        <f>S58+R58*J58</f>
        <v/>
      </c>
      <c r="V58" s="196">
        <f>U58-S58</f>
        <v/>
      </c>
      <c r="W58" s="197">
        <f>+U58-T58</f>
        <v/>
      </c>
      <c r="X58" s="201">
        <f>+U58-T58</f>
        <v/>
      </c>
      <c r="Y58" s="74" t="n"/>
    </row>
    <row r="59" ht="28.5" customFormat="1" customHeight="1" s="1">
      <c r="A59" s="28" t="n">
        <v>50</v>
      </c>
      <c r="B59" s="29" t="inlineStr">
        <is>
          <t>010516003002</t>
        </is>
      </c>
      <c r="C59" s="29" t="inlineStr">
        <is>
          <t>钢筋连接</t>
        </is>
      </c>
      <c r="D59" s="29" t="inlineStr">
        <is>
          <t>1.连接方式:电渣压力焊接
2.规格:φ32以内</t>
        </is>
      </c>
      <c r="E59" s="30" t="inlineStr">
        <is>
          <t>个</t>
        </is>
      </c>
      <c r="F59" s="30" t="n">
        <v>2572</v>
      </c>
      <c r="G59" s="199" t="n">
        <v>0</v>
      </c>
      <c r="H59" s="203" t="n">
        <v>0</v>
      </c>
      <c r="I59" s="199">
        <f>G59-F59</f>
        <v/>
      </c>
      <c r="J59" s="199">
        <f>H59-F59</f>
        <v/>
      </c>
      <c r="K59" s="199">
        <f>+H59-G59</f>
        <v/>
      </c>
      <c r="L59" s="49">
        <f>I59/F59</f>
        <v/>
      </c>
      <c r="M59" s="30" t="n">
        <v>9.460000000000001</v>
      </c>
      <c r="N59" s="30" t="n">
        <v>10.44</v>
      </c>
      <c r="O59" s="49">
        <f>(M59-N59)/N59</f>
        <v/>
      </c>
      <c r="P59" s="199">
        <f>N59*0.9056*0.85</f>
        <v/>
      </c>
      <c r="Q59" s="199">
        <f>N59*1.15</f>
        <v/>
      </c>
      <c r="R59" s="199">
        <f>IF(M59&lt;N59*0.9056*0.85,N59*0.9056*0.85,IF(M59&gt;N59*1.15,N59*1.15,M59))</f>
        <v/>
      </c>
      <c r="S59" s="199">
        <f>+F59*M59</f>
        <v/>
      </c>
      <c r="T59" s="169">
        <f>S59+R59*I59</f>
        <v/>
      </c>
      <c r="U59" s="197">
        <f>S59+R59*J59</f>
        <v/>
      </c>
      <c r="V59" s="196">
        <f>U59-S59</f>
        <v/>
      </c>
      <c r="W59" s="197">
        <f>+U59-T59</f>
        <v/>
      </c>
      <c r="X59" s="201">
        <f>+U59-T59</f>
        <v/>
      </c>
      <c r="Y59" s="74" t="n"/>
    </row>
    <row r="60" ht="41.25" customFormat="1" customHeight="1" s="1">
      <c r="A60" s="28" t="n">
        <v>51</v>
      </c>
      <c r="B60" s="29" t="inlineStr">
        <is>
          <t>010516003003</t>
        </is>
      </c>
      <c r="C60" s="29" t="inlineStr">
        <is>
          <t>机械连接</t>
        </is>
      </c>
      <c r="D60" s="29" t="inlineStr">
        <is>
          <t>1.连接方式:套筒直螺纹钢筋接头
2.规格:φ32以内</t>
        </is>
      </c>
      <c r="E60" s="30" t="inlineStr">
        <is>
          <t>个</t>
        </is>
      </c>
      <c r="F60" s="30" t="n">
        <v>3536</v>
      </c>
      <c r="G60" s="199" t="n">
        <v>0</v>
      </c>
      <c r="H60" s="203" t="n">
        <v>0</v>
      </c>
      <c r="I60" s="199">
        <f>G60-F60</f>
        <v/>
      </c>
      <c r="J60" s="199">
        <f>H60-F60</f>
        <v/>
      </c>
      <c r="K60" s="199">
        <f>+H60-G60</f>
        <v/>
      </c>
      <c r="L60" s="49">
        <f>I60/F60</f>
        <v/>
      </c>
      <c r="M60" s="30" t="n">
        <v>16.67</v>
      </c>
      <c r="N60" s="30" t="n">
        <v>21.53</v>
      </c>
      <c r="O60" s="49">
        <f>(M60-N60)/N60</f>
        <v/>
      </c>
      <c r="P60" s="199">
        <f>N60*0.9056*0.85</f>
        <v/>
      </c>
      <c r="Q60" s="199">
        <f>N60*1.15</f>
        <v/>
      </c>
      <c r="R60" s="199">
        <f>IF(M60&lt;N60*0.9056*0.85,N60*0.9056*0.85,IF(M60&gt;N60*1.15,N60*1.15,M60))</f>
        <v/>
      </c>
      <c r="S60" s="199">
        <f>+F60*M60</f>
        <v/>
      </c>
      <c r="T60" s="169">
        <f>S60+R60*I60</f>
        <v/>
      </c>
      <c r="U60" s="197">
        <f>S60+R60*J60</f>
        <v/>
      </c>
      <c r="V60" s="196">
        <f>U60-S60</f>
        <v/>
      </c>
      <c r="W60" s="197">
        <f>+U60-T60</f>
        <v/>
      </c>
      <c r="X60" s="201">
        <f>+U60-T60</f>
        <v/>
      </c>
      <c r="Y60" s="74" t="n"/>
    </row>
    <row r="61" ht="28.5" customFormat="1" customHeight="1" s="1">
      <c r="A61" s="28" t="n"/>
      <c r="B61" s="29" t="n"/>
      <c r="C61" s="29" t="inlineStr">
        <is>
          <t>金属结构工程</t>
        </is>
      </c>
      <c r="D61" s="29" t="n"/>
      <c r="E61" s="29" t="n"/>
      <c r="F61" s="30" t="n"/>
      <c r="G61" s="199" t="n"/>
      <c r="H61" s="31" t="n"/>
      <c r="I61" s="199" t="n"/>
      <c r="J61" s="199" t="n"/>
      <c r="K61" s="199" t="n"/>
      <c r="L61" s="49" t="n"/>
      <c r="M61" s="30" t="n"/>
      <c r="N61" s="30" t="n"/>
      <c r="O61" s="30" t="n"/>
      <c r="P61" s="30" t="n"/>
      <c r="Q61" s="30" t="n"/>
      <c r="R61" s="199" t="n"/>
      <c r="S61" s="196">
        <f>+SUM(S62:S64)</f>
        <v/>
      </c>
      <c r="T61" s="196">
        <f>+SUM(T62:T64)</f>
        <v/>
      </c>
      <c r="U61" s="197">
        <f>SUM(U62:U64)</f>
        <v/>
      </c>
      <c r="V61" s="196">
        <f>U61-S61</f>
        <v/>
      </c>
      <c r="W61" s="197">
        <f>+U61-T61</f>
        <v/>
      </c>
      <c r="X61" s="198">
        <f>U61-T61</f>
        <v/>
      </c>
      <c r="Y61" s="74" t="n"/>
    </row>
    <row r="62" ht="41.25" customFormat="1" customHeight="1" s="1">
      <c r="A62" s="28" t="n">
        <v>52</v>
      </c>
      <c r="B62" s="29" t="inlineStr">
        <is>
          <t>010607005001</t>
        </is>
      </c>
      <c r="C62" s="29" t="inlineStr">
        <is>
          <t>砌块墙钢丝网加固</t>
        </is>
      </c>
      <c r="D62" s="29" t="inlineStr">
        <is>
          <t>1.镀锌钢丝网
2.材料品种、规格:Φ0.9@12.7*12.7</t>
        </is>
      </c>
      <c r="E62" s="30" t="inlineStr">
        <is>
          <t>m2</t>
        </is>
      </c>
      <c r="F62" s="30" t="n">
        <v>13762.06</v>
      </c>
      <c r="G62" s="199" t="n">
        <v>10786.52</v>
      </c>
      <c r="H62" s="200" t="n">
        <v>10786.52</v>
      </c>
      <c r="I62" s="199">
        <f>G62-F62</f>
        <v/>
      </c>
      <c r="J62" s="199">
        <f>H62-F62</f>
        <v/>
      </c>
      <c r="K62" s="199">
        <f>+H62-G62</f>
        <v/>
      </c>
      <c r="L62" s="49">
        <f>I62/F62</f>
        <v/>
      </c>
      <c r="M62" s="30" t="n">
        <v>6.91</v>
      </c>
      <c r="N62" s="30" t="n">
        <v>16.21</v>
      </c>
      <c r="O62" s="49">
        <f>(M62-N62)/N62</f>
        <v/>
      </c>
      <c r="P62" s="199">
        <f>N62*0.9056*0.85</f>
        <v/>
      </c>
      <c r="Q62" s="199">
        <f>N62*1.15</f>
        <v/>
      </c>
      <c r="R62" s="199">
        <f>IF(M62&lt;N62*0.9056*0.85,N62*0.9056*0.85,IF(M62&gt;N62*1.15,N62*1.15,M62))</f>
        <v/>
      </c>
      <c r="S62" s="199">
        <f>+F62*M62</f>
        <v/>
      </c>
      <c r="T62" s="169">
        <f>S62+R62*I62</f>
        <v/>
      </c>
      <c r="U62" s="197">
        <f>S62+R62*J62</f>
        <v/>
      </c>
      <c r="V62" s="196">
        <f>U62-S62</f>
        <v/>
      </c>
      <c r="W62" s="197">
        <f>+U62-T62</f>
        <v/>
      </c>
      <c r="X62" s="201">
        <f>+U62-T62</f>
        <v/>
      </c>
      <c r="Y62" s="79" t="n"/>
    </row>
    <row r="63" ht="45" customFormat="1" customHeight="1" s="1">
      <c r="A63" s="28" t="n">
        <v>53</v>
      </c>
      <c r="B63" s="29" t="inlineStr">
        <is>
          <t>010607005002</t>
        </is>
      </c>
      <c r="C63" s="29" t="inlineStr">
        <is>
          <t>砌块墙钢丝网加固</t>
        </is>
      </c>
      <c r="D63" s="29" t="inlineStr">
        <is>
          <t>1.耐碱玻璃纤维网布</t>
        </is>
      </c>
      <c r="E63" s="30" t="inlineStr">
        <is>
          <t>m2</t>
        </is>
      </c>
      <c r="F63" s="30" t="n">
        <v>3398.102</v>
      </c>
      <c r="G63" s="199" t="n">
        <v>1581.43</v>
      </c>
      <c r="H63" s="200" t="n">
        <v>1581.43</v>
      </c>
      <c r="I63" s="199">
        <f>G63-F63</f>
        <v/>
      </c>
      <c r="J63" s="199">
        <f>H63-F63</f>
        <v/>
      </c>
      <c r="K63" s="199">
        <f>+H63-G63</f>
        <v/>
      </c>
      <c r="L63" s="49">
        <f>I63/F63</f>
        <v/>
      </c>
      <c r="M63" s="30" t="n">
        <v>4.58</v>
      </c>
      <c r="N63" s="30" t="n">
        <v>11.97</v>
      </c>
      <c r="O63" s="49">
        <f>(M63-N63)/N63</f>
        <v/>
      </c>
      <c r="P63" s="199">
        <f>N63*0.9056*0.85</f>
        <v/>
      </c>
      <c r="Q63" s="199">
        <f>N63*1.15</f>
        <v/>
      </c>
      <c r="R63" s="199">
        <f>IF(M63&lt;N63*0.9056*0.85,N63*0.9056*0.85,IF(M63&gt;N63*1.15,N63*1.15,M63))</f>
        <v/>
      </c>
      <c r="S63" s="199">
        <f>+F63*M63</f>
        <v/>
      </c>
      <c r="T63" s="169">
        <f>S63+R63*I63</f>
        <v/>
      </c>
      <c r="U63" s="197">
        <f>S63+R63*J63</f>
        <v/>
      </c>
      <c r="V63" s="196">
        <f>U63-S63</f>
        <v/>
      </c>
      <c r="W63" s="197">
        <f>+U63-T63</f>
        <v/>
      </c>
      <c r="X63" s="201">
        <f>+U63-T63</f>
        <v/>
      </c>
      <c r="Y63" s="80" t="n"/>
    </row>
    <row r="64" ht="41.25" customFormat="1" customHeight="1" s="1">
      <c r="A64" s="28" t="n">
        <v>54</v>
      </c>
      <c r="B64" s="29" t="inlineStr">
        <is>
          <t>010606008002</t>
        </is>
      </c>
      <c r="C64" s="29" t="inlineStr">
        <is>
          <t>钢梯</t>
        </is>
      </c>
      <c r="D64" s="29" t="inlineStr">
        <is>
          <t>1.钢爬梯
2.防锈漆一道
3.图集:15J403</t>
        </is>
      </c>
      <c r="E64" s="30" t="inlineStr">
        <is>
          <t>t</t>
        </is>
      </c>
      <c r="F64" s="30" t="n">
        <v>0.25</v>
      </c>
      <c r="G64" s="199" t="n">
        <v>0.25</v>
      </c>
      <c r="H64" s="200" t="n">
        <v>0.25</v>
      </c>
      <c r="I64" s="199">
        <f>G64-F64</f>
        <v/>
      </c>
      <c r="J64" s="199">
        <f>H64-F64</f>
        <v/>
      </c>
      <c r="K64" s="199">
        <f>+H64-G64</f>
        <v/>
      </c>
      <c r="L64" s="49">
        <f>I64/F64</f>
        <v/>
      </c>
      <c r="M64" s="30" t="n">
        <v>11361.56</v>
      </c>
      <c r="N64" s="30" t="n">
        <v>9563.91</v>
      </c>
      <c r="O64" s="49">
        <f>(M64-N64)/N64</f>
        <v/>
      </c>
      <c r="P64" s="199">
        <f>N64*0.9056*0.85</f>
        <v/>
      </c>
      <c r="Q64" s="199">
        <f>N64*1.15</f>
        <v/>
      </c>
      <c r="R64" s="199">
        <f>IF(M64&lt;N64*0.9056*0.85,N64*0.9056*0.85,IF(M64&gt;N64*1.15,N64*1.15,M64))</f>
        <v/>
      </c>
      <c r="S64" s="199">
        <f>+F64*M64</f>
        <v/>
      </c>
      <c r="T64" s="169">
        <f>S64+R64*I64</f>
        <v/>
      </c>
      <c r="U64" s="197">
        <f>S64+R64*J64</f>
        <v/>
      </c>
      <c r="V64" s="196">
        <f>U64-S64</f>
        <v/>
      </c>
      <c r="W64" s="197">
        <f>+U64-T64</f>
        <v/>
      </c>
      <c r="X64" s="201">
        <f>+U64-T64</f>
        <v/>
      </c>
      <c r="Y64" s="81" t="n"/>
    </row>
    <row r="65" ht="28.5" customFormat="1" customHeight="1" s="1">
      <c r="A65" s="28" t="n"/>
      <c r="B65" s="29" t="n"/>
      <c r="C65" s="29" t="inlineStr">
        <is>
          <t>门窗工程</t>
        </is>
      </c>
      <c r="D65" s="29" t="n"/>
      <c r="E65" s="29" t="n"/>
      <c r="F65" s="30" t="n"/>
      <c r="G65" s="199" t="n"/>
      <c r="H65" s="31" t="n"/>
      <c r="I65" s="199" t="n"/>
      <c r="J65" s="199" t="n"/>
      <c r="K65" s="199" t="n"/>
      <c r="L65" s="49" t="n"/>
      <c r="M65" s="30" t="n"/>
      <c r="N65" s="30" t="n"/>
      <c r="O65" s="30" t="n"/>
      <c r="P65" s="30" t="n"/>
      <c r="Q65" s="30" t="n"/>
      <c r="R65" s="199" t="n"/>
      <c r="S65" s="196">
        <f>+SUM(S66:S78)</f>
        <v/>
      </c>
      <c r="T65" s="196">
        <f>+SUM(T66:T78)</f>
        <v/>
      </c>
      <c r="U65" s="197">
        <f>SUM(U66:U78)</f>
        <v/>
      </c>
      <c r="V65" s="196">
        <f>U65-S65</f>
        <v/>
      </c>
      <c r="W65" s="197">
        <f>+U65-T65</f>
        <v/>
      </c>
      <c r="X65" s="198">
        <f>U65-T65</f>
        <v/>
      </c>
      <c r="Y65" s="74" t="n"/>
    </row>
    <row r="66" ht="54" customFormat="1" customHeight="1" s="1">
      <c r="A66" s="28" t="n">
        <v>55</v>
      </c>
      <c r="B66" s="29" t="inlineStr">
        <is>
          <t>010802003013</t>
        </is>
      </c>
      <c r="C66" s="29" t="inlineStr">
        <is>
          <t>钢质防火门</t>
        </is>
      </c>
      <c r="D66" s="29" t="inlineStr">
        <is>
          <t>1.门类型:钢质防火门丙扇(级）
2.闭门器安装
3.其他详见施工设计图</t>
        </is>
      </c>
      <c r="E66" s="30" t="inlineStr">
        <is>
          <t>m2</t>
        </is>
      </c>
      <c r="F66" s="30" t="n">
        <v>30.24</v>
      </c>
      <c r="G66" s="199" t="n">
        <v>30.24</v>
      </c>
      <c r="H66" s="200" t="n">
        <v>30.24</v>
      </c>
      <c r="I66" s="199">
        <f>G66-F66</f>
        <v/>
      </c>
      <c r="J66" s="199">
        <f>H66-F66</f>
        <v/>
      </c>
      <c r="K66" s="199">
        <f>+H66-G66</f>
        <v/>
      </c>
      <c r="L66" s="49">
        <f>I66/F66</f>
        <v/>
      </c>
      <c r="M66" s="30" t="n">
        <v>545.42</v>
      </c>
      <c r="N66" s="30" t="n">
        <v>575.79</v>
      </c>
      <c r="O66" s="49">
        <f>(M66-N66)/N66</f>
        <v/>
      </c>
      <c r="P66" s="199">
        <f>N66*0.9056*0.85</f>
        <v/>
      </c>
      <c r="Q66" s="199">
        <f>N66*1.15</f>
        <v/>
      </c>
      <c r="R66" s="199">
        <f>IF(M66&lt;N66*0.9056*0.85,N66*0.9056*0.85,IF(M66&gt;N66*1.15,N66*1.15,M66))</f>
        <v/>
      </c>
      <c r="S66" s="199">
        <f>+F66*M66</f>
        <v/>
      </c>
      <c r="T66" s="169">
        <f>S66+R66*I66</f>
        <v/>
      </c>
      <c r="U66" s="197">
        <f>S66+R66*J66</f>
        <v/>
      </c>
      <c r="V66" s="196">
        <f>U66-S66</f>
        <v/>
      </c>
      <c r="W66" s="197">
        <f>+U66-T66</f>
        <v/>
      </c>
      <c r="X66" s="201">
        <f>+U66-T66</f>
        <v/>
      </c>
      <c r="Y66" s="74" t="n"/>
    </row>
    <row r="67" ht="54" customFormat="1" customHeight="1" s="1">
      <c r="A67" s="28" t="n">
        <v>56</v>
      </c>
      <c r="B67" s="29" t="inlineStr">
        <is>
          <t>010802003015</t>
        </is>
      </c>
      <c r="C67" s="29" t="inlineStr">
        <is>
          <t>钢质防火门</t>
        </is>
      </c>
      <c r="D67" s="29" t="inlineStr">
        <is>
          <t>1.门类型:钢质防火门单扇(甲级）
2.闭门器安装
3.其他详见施工设计图</t>
        </is>
      </c>
      <c r="E67" s="30" t="inlineStr">
        <is>
          <t>m2</t>
        </is>
      </c>
      <c r="F67" s="30" t="n">
        <v>15.35</v>
      </c>
      <c r="G67" s="199" t="n">
        <v>16.97</v>
      </c>
      <c r="H67" s="200" t="n">
        <v>16.97</v>
      </c>
      <c r="I67" s="199">
        <f>G67-F67</f>
        <v/>
      </c>
      <c r="J67" s="199">
        <f>H67-F67</f>
        <v/>
      </c>
      <c r="K67" s="199">
        <f>+H67-G67</f>
        <v/>
      </c>
      <c r="L67" s="49">
        <f>I67/F67</f>
        <v/>
      </c>
      <c r="M67" s="30" t="n">
        <v>559.8200000000001</v>
      </c>
      <c r="N67" s="30" t="n">
        <v>644.14</v>
      </c>
      <c r="O67" s="49">
        <f>(M67-N67)/N67</f>
        <v/>
      </c>
      <c r="P67" s="199">
        <f>N67*0.9056*0.85</f>
        <v/>
      </c>
      <c r="Q67" s="199">
        <f>N67*1.15</f>
        <v/>
      </c>
      <c r="R67" s="199">
        <f>IF(M67&lt;N67*0.9056*0.85,N67*0.9056*0.85,IF(M67&gt;N67*1.15,N67*1.15,M67))</f>
        <v/>
      </c>
      <c r="S67" s="199">
        <f>+F67*M67</f>
        <v/>
      </c>
      <c r="T67" s="169">
        <f>S67+R67*I67</f>
        <v/>
      </c>
      <c r="U67" s="197">
        <f>S67+R67*J67</f>
        <v/>
      </c>
      <c r="V67" s="196">
        <f>U67-S67</f>
        <v/>
      </c>
      <c r="W67" s="197">
        <f>+U67-T67</f>
        <v/>
      </c>
      <c r="X67" s="201">
        <f>+U67-T67</f>
        <v/>
      </c>
      <c r="Y67" s="74" t="n"/>
    </row>
    <row r="68" ht="54" customFormat="1" customHeight="1" s="1">
      <c r="A68" s="28" t="n">
        <v>57</v>
      </c>
      <c r="B68" s="29" t="inlineStr">
        <is>
          <t>010802003014</t>
        </is>
      </c>
      <c r="C68" s="29" t="inlineStr">
        <is>
          <t>钢质防火门</t>
        </is>
      </c>
      <c r="D68" s="29" t="inlineStr">
        <is>
          <t>1.门类型:钢质防火门双扇(乙级）
2.闭门器安装
3.其他详见施工设计图</t>
        </is>
      </c>
      <c r="E68" s="30" t="inlineStr">
        <is>
          <t>m2</t>
        </is>
      </c>
      <c r="F68" s="30" t="n">
        <v>48.3</v>
      </c>
      <c r="G68" s="199" t="n">
        <v>48.3</v>
      </c>
      <c r="H68" s="200" t="n">
        <v>48.3</v>
      </c>
      <c r="I68" s="199">
        <f>G68-F68</f>
        <v/>
      </c>
      <c r="J68" s="199">
        <f>H68-F68</f>
        <v/>
      </c>
      <c r="K68" s="199">
        <f>+H68-G68</f>
        <v/>
      </c>
      <c r="L68" s="49">
        <f>I68/F68</f>
        <v/>
      </c>
      <c r="M68" s="30" t="n">
        <v>547.91</v>
      </c>
      <c r="N68" s="30" t="n">
        <v>612.9400000000001</v>
      </c>
      <c r="O68" s="49">
        <f>(M68-N68)/N68</f>
        <v/>
      </c>
      <c r="P68" s="199">
        <f>N68*0.9056*0.85</f>
        <v/>
      </c>
      <c r="Q68" s="199">
        <f>N68*1.15</f>
        <v/>
      </c>
      <c r="R68" s="199">
        <f>IF(M68&lt;N68*0.9056*0.85,N68*0.9056*0.85,IF(M68&gt;N68*1.15,N68*1.15,M68))</f>
        <v/>
      </c>
      <c r="S68" s="199">
        <f>+F68*M68</f>
        <v/>
      </c>
      <c r="T68" s="169">
        <f>S68+R68*I68</f>
        <v/>
      </c>
      <c r="U68" s="197">
        <f>S68+R68*J68</f>
        <v/>
      </c>
      <c r="V68" s="196">
        <f>U68-S68</f>
        <v/>
      </c>
      <c r="W68" s="197">
        <f>+U68-T68</f>
        <v/>
      </c>
      <c r="X68" s="201">
        <f>+U68-T68</f>
        <v/>
      </c>
      <c r="Y68" s="74" t="n"/>
    </row>
    <row r="69" ht="54" customFormat="1" customHeight="1" s="1">
      <c r="A69" s="28" t="n">
        <v>58</v>
      </c>
      <c r="B69" s="29" t="inlineStr">
        <is>
          <t>010802003016</t>
        </is>
      </c>
      <c r="C69" s="29" t="inlineStr">
        <is>
          <t>钢质防火门</t>
        </is>
      </c>
      <c r="D69" s="29" t="inlineStr">
        <is>
          <t>1.门类型:钢质防火门单扇(乙级）
2.闭门器安装
3.其他详见施工设计图</t>
        </is>
      </c>
      <c r="E69" s="30" t="inlineStr">
        <is>
          <t>m2</t>
        </is>
      </c>
      <c r="F69" s="30" t="n">
        <v>2.415</v>
      </c>
      <c r="G69" s="199" t="n">
        <v>2.42</v>
      </c>
      <c r="H69" s="200" t="n">
        <v>2.42</v>
      </c>
      <c r="I69" s="199">
        <f>G69-F69</f>
        <v/>
      </c>
      <c r="J69" s="199">
        <f>H69-F69</f>
        <v/>
      </c>
      <c r="K69" s="199">
        <f>+H69-G69</f>
        <v/>
      </c>
      <c r="L69" s="49">
        <f>I69/F69</f>
        <v/>
      </c>
      <c r="M69" s="30" t="n">
        <v>547.91</v>
      </c>
      <c r="N69" s="30" t="n">
        <v>616.58</v>
      </c>
      <c r="O69" s="49">
        <f>(M69-N69)/N69</f>
        <v/>
      </c>
      <c r="P69" s="199">
        <f>N69*0.9056*0.85</f>
        <v/>
      </c>
      <c r="Q69" s="199">
        <f>N69*1.15</f>
        <v/>
      </c>
      <c r="R69" s="199">
        <f>IF(M69&lt;N69*0.9056*0.85,N69*0.9056*0.85,IF(M69&gt;N69*1.15,N69*1.15,M69))</f>
        <v/>
      </c>
      <c r="S69" s="199">
        <f>+F69*M69</f>
        <v/>
      </c>
      <c r="T69" s="169">
        <f>S69+R69*I69</f>
        <v/>
      </c>
      <c r="U69" s="197">
        <f>S69+R69*J69</f>
        <v/>
      </c>
      <c r="V69" s="196">
        <f>U69-S69</f>
        <v/>
      </c>
      <c r="W69" s="197">
        <f>+U69-T69</f>
        <v/>
      </c>
      <c r="X69" s="201">
        <f>+U69-T69</f>
        <v/>
      </c>
      <c r="Y69" s="74" t="n"/>
    </row>
    <row r="70" ht="54" customFormat="1" customHeight="1" s="1">
      <c r="A70" s="28" t="n">
        <v>59</v>
      </c>
      <c r="B70" s="29" t="inlineStr">
        <is>
          <t>010802001002</t>
        </is>
      </c>
      <c r="C70" s="29" t="inlineStr">
        <is>
          <t>金属(塑钢)门</t>
        </is>
      </c>
      <c r="D70" s="29" t="inlineStr">
        <is>
          <t>1.镀锌钢板门
2.1.5mm厚优质镀锌钢表面氟碳漆静电喷涂
3.304不锈钢五金件及门锁</t>
        </is>
      </c>
      <c r="E70" s="30" t="inlineStr">
        <is>
          <t>m2</t>
        </is>
      </c>
      <c r="F70" s="30" t="n">
        <v>5.865</v>
      </c>
      <c r="G70" s="199" t="n">
        <v>7.49</v>
      </c>
      <c r="H70" s="200" t="n">
        <v>7.49</v>
      </c>
      <c r="I70" s="199">
        <f>G70-F70</f>
        <v/>
      </c>
      <c r="J70" s="199">
        <f>H70-F70</f>
        <v/>
      </c>
      <c r="K70" s="199">
        <f>+H70-G70</f>
        <v/>
      </c>
      <c r="L70" s="49">
        <f>I70/F70</f>
        <v/>
      </c>
      <c r="M70" s="30" t="n">
        <v>777.73</v>
      </c>
      <c r="N70" s="30" t="n">
        <v>700.9</v>
      </c>
      <c r="O70" s="49">
        <f>(M70-N70)/N70</f>
        <v/>
      </c>
      <c r="P70" s="199">
        <f>N70*0.9056*0.85</f>
        <v/>
      </c>
      <c r="Q70" s="199">
        <f>N70*1.15</f>
        <v/>
      </c>
      <c r="R70" s="199">
        <f>IF(M70&lt;N70*0.9056*0.85,N70*0.9056*0.85,IF(M70&gt;N70*1.15,N70*1.15,M70))</f>
        <v/>
      </c>
      <c r="S70" s="199">
        <f>+F70*M70</f>
        <v/>
      </c>
      <c r="T70" s="169">
        <f>S70+R70*I70</f>
        <v/>
      </c>
      <c r="U70" s="197">
        <f>S70+R70*J70</f>
        <v/>
      </c>
      <c r="V70" s="196">
        <f>U70-S70</f>
        <v/>
      </c>
      <c r="W70" s="197">
        <f>+U70-T70</f>
        <v/>
      </c>
      <c r="X70" s="201">
        <f>+U70-T70</f>
        <v/>
      </c>
      <c r="Y70" s="74" t="n"/>
    </row>
    <row r="71" ht="66.75" customFormat="1" customHeight="1" s="1">
      <c r="A71" s="28" t="n">
        <v>60</v>
      </c>
      <c r="B71" s="29" t="inlineStr">
        <is>
          <t>010802001003</t>
        </is>
      </c>
      <c r="C71" s="29" t="inlineStr">
        <is>
          <t>金属(塑钢)门</t>
        </is>
      </c>
      <c r="D71" s="29" t="inlineStr">
        <is>
          <t>1.镀锌钢板门
2.1.5mm厚优质镀锌钢表面氟碳漆静电喷涂
3.304不锈钢五金件及门锁
4.上部开启窗6mm钢化玻璃</t>
        </is>
      </c>
      <c r="E71" s="30" t="inlineStr">
        <is>
          <t>m2</t>
        </is>
      </c>
      <c r="F71" s="30" t="n">
        <v>337.84</v>
      </c>
      <c r="G71" s="199" t="n">
        <v>337.84</v>
      </c>
      <c r="H71" s="200" t="n">
        <v>337.84</v>
      </c>
      <c r="I71" s="199">
        <f>G71-F71</f>
        <v/>
      </c>
      <c r="J71" s="199">
        <f>H71-F71</f>
        <v/>
      </c>
      <c r="K71" s="199">
        <f>+H71-G71</f>
        <v/>
      </c>
      <c r="L71" s="49">
        <f>I71/F71</f>
        <v/>
      </c>
      <c r="M71" s="30" t="n">
        <v>746.49</v>
      </c>
      <c r="N71" s="30" t="n">
        <v>662.8</v>
      </c>
      <c r="O71" s="49">
        <f>(M71-N71)/N71</f>
        <v/>
      </c>
      <c r="P71" s="199">
        <f>N71*0.9056*0.85</f>
        <v/>
      </c>
      <c r="Q71" s="199">
        <f>N71*1.15</f>
        <v/>
      </c>
      <c r="R71" s="199">
        <f>IF(M71&lt;N71*0.9056*0.85,N71*0.9056*0.85,IF(M71&gt;N71*1.15,N71*1.15,M71))</f>
        <v/>
      </c>
      <c r="S71" s="199">
        <f>+F71*M71</f>
        <v/>
      </c>
      <c r="T71" s="169">
        <f>S71+R71*I71</f>
        <v/>
      </c>
      <c r="U71" s="197">
        <f>S71+R71*J71</f>
        <v/>
      </c>
      <c r="V71" s="196">
        <f>U71-S71</f>
        <v/>
      </c>
      <c r="W71" s="197">
        <f>+U71-T71</f>
        <v/>
      </c>
      <c r="X71" s="201">
        <f>+U71-T71</f>
        <v/>
      </c>
      <c r="Y71" s="74" t="n"/>
    </row>
    <row r="72" ht="79.5" customFormat="1" customHeight="1" s="1">
      <c r="A72" s="28" t="n">
        <v>61</v>
      </c>
      <c r="B72" s="29" t="inlineStr">
        <is>
          <t>010807001014</t>
        </is>
      </c>
      <c r="C72" s="29" t="inlineStr">
        <is>
          <t>金属(塑钢、断桥)窗</t>
        </is>
      </c>
      <c r="D72" s="29" t="inlineStr">
        <is>
          <t>1.窗类型:90系列推拉窗
2.铝材厚度:1.8mm
3.玻璃品种、厚度:Low-E中空玻璃(6+12A+6)
4.排烟窗做法详见图纸
5.其他详见施工设计图</t>
        </is>
      </c>
      <c r="E72" s="30" t="inlineStr">
        <is>
          <t>m2</t>
        </is>
      </c>
      <c r="F72" s="30" t="n">
        <v>1315.21</v>
      </c>
      <c r="G72" s="199" t="n">
        <v>1315.21</v>
      </c>
      <c r="H72" s="200" t="n">
        <v>819.47</v>
      </c>
      <c r="I72" s="199">
        <f>G72-F72</f>
        <v/>
      </c>
      <c r="J72" s="199">
        <f>H72-F72</f>
        <v/>
      </c>
      <c r="K72" s="199">
        <f>+H72-G72</f>
        <v/>
      </c>
      <c r="L72" s="49">
        <f>I72/F72</f>
        <v/>
      </c>
      <c r="M72" s="30" t="n">
        <v>565.96</v>
      </c>
      <c r="N72" s="30" t="n">
        <v>605.7</v>
      </c>
      <c r="O72" s="49">
        <f>(M72-N72)/N72</f>
        <v/>
      </c>
      <c r="P72" s="199">
        <f>N72*0.9056*0.85</f>
        <v/>
      </c>
      <c r="Q72" s="199">
        <f>N72*1.15</f>
        <v/>
      </c>
      <c r="R72" s="199">
        <f>IF(M72&lt;N72*0.9056*0.85,N72*0.9056*0.85,IF(M72&gt;N72*1.15,N72*1.15,M72))</f>
        <v/>
      </c>
      <c r="S72" s="199">
        <f>+F72*M72</f>
        <v/>
      </c>
      <c r="T72" s="169">
        <f>S72+R72*I72</f>
        <v/>
      </c>
      <c r="U72" s="197">
        <f>S72+R72*J72</f>
        <v/>
      </c>
      <c r="V72" s="196">
        <f>U72-S72</f>
        <v/>
      </c>
      <c r="W72" s="197">
        <f>+U72-T72</f>
        <v/>
      </c>
      <c r="X72" s="201">
        <f>+U72-T72</f>
        <v/>
      </c>
      <c r="Y72" s="74" t="n"/>
    </row>
    <row r="73" ht="79.5" customFormat="1" customHeight="1" s="1">
      <c r="A73" s="28" t="n">
        <v>62</v>
      </c>
      <c r="B73" s="29" t="inlineStr">
        <is>
          <t>010807001015</t>
        </is>
      </c>
      <c r="C73" s="29" t="inlineStr">
        <is>
          <t>金属(塑钢、断桥)窗</t>
        </is>
      </c>
      <c r="D73" s="29" t="inlineStr">
        <is>
          <t>1.窗类型:70系列铝合金平开窗
2.铝材厚度:1.8mm
3.玻璃品种、厚度:Low-E中空玻璃(6+12A+6)
4.其他详见施工设计图</t>
        </is>
      </c>
      <c r="E73" s="30" t="inlineStr">
        <is>
          <t>m2</t>
        </is>
      </c>
      <c r="F73" s="30" t="n">
        <v>15.075</v>
      </c>
      <c r="G73" s="199" t="n">
        <v>15.08</v>
      </c>
      <c r="H73" s="200" t="n">
        <v>15.08</v>
      </c>
      <c r="I73" s="199">
        <f>G73-F73</f>
        <v/>
      </c>
      <c r="J73" s="199">
        <f>H73-F73</f>
        <v/>
      </c>
      <c r="K73" s="199">
        <f>+H73-G73</f>
        <v/>
      </c>
      <c r="L73" s="49">
        <f>I73/F73</f>
        <v/>
      </c>
      <c r="M73" s="30" t="n">
        <v>657.9299999999999</v>
      </c>
      <c r="N73" s="30" t="n">
        <v>568.34</v>
      </c>
      <c r="O73" s="49">
        <f>(M73-N73)/N73</f>
        <v/>
      </c>
      <c r="P73" s="199">
        <f>N73*0.9056*0.85</f>
        <v/>
      </c>
      <c r="Q73" s="199">
        <f>N73*1.15</f>
        <v/>
      </c>
      <c r="R73" s="199">
        <f>IF(M73&lt;N73*0.9056*0.85,N73*0.9056*0.85,IF(M73&gt;N73*1.15,N73*1.15,M73))</f>
        <v/>
      </c>
      <c r="S73" s="199">
        <f>+F73*M73</f>
        <v/>
      </c>
      <c r="T73" s="169">
        <f>S73+R73*I73</f>
        <v/>
      </c>
      <c r="U73" s="197">
        <f>S73+R73*J73</f>
        <v/>
      </c>
      <c r="V73" s="196">
        <f>U73-S73</f>
        <v/>
      </c>
      <c r="W73" s="197">
        <f>+U73-T73</f>
        <v/>
      </c>
      <c r="X73" s="201">
        <f>+U73-T73</f>
        <v/>
      </c>
      <c r="Y73" s="74" t="n"/>
    </row>
    <row r="74" ht="66.75" customFormat="1" customHeight="1" s="1">
      <c r="A74" s="28" t="n">
        <v>63</v>
      </c>
      <c r="B74" s="29" t="inlineStr">
        <is>
          <t>010807001016</t>
        </is>
      </c>
      <c r="C74" s="29" t="inlineStr">
        <is>
          <t>金属(塑钢、断桥)窗</t>
        </is>
      </c>
      <c r="D74" s="29" t="inlineStr">
        <is>
          <t>1.窗类型:铝合金固定窗
2.铝材厚度:1.8mm
3.玻璃品种、厚度:Low-E中空玻璃(6+12A+6)
4.其他详见施工设计图</t>
        </is>
      </c>
      <c r="E74" s="30" t="inlineStr">
        <is>
          <t>m2</t>
        </is>
      </c>
      <c r="F74" s="30" t="n">
        <v>310.21</v>
      </c>
      <c r="G74" s="199" t="n">
        <v>828.54</v>
      </c>
      <c r="H74" s="200" t="n">
        <v>828.54</v>
      </c>
      <c r="I74" s="199">
        <f>G74-F74</f>
        <v/>
      </c>
      <c r="J74" s="199">
        <f>H74-F74</f>
        <v/>
      </c>
      <c r="K74" s="199">
        <f>+H74-G74</f>
        <v/>
      </c>
      <c r="L74" s="49">
        <f>I74/F74</f>
        <v/>
      </c>
      <c r="M74" s="30" t="n">
        <v>568.25</v>
      </c>
      <c r="N74" s="30" t="n">
        <v>534.64</v>
      </c>
      <c r="O74" s="49">
        <f>(M74-N74)/N74</f>
        <v/>
      </c>
      <c r="P74" s="199">
        <f>N74*0.9056*0.85</f>
        <v/>
      </c>
      <c r="Q74" s="199">
        <f>N74*1.15</f>
        <v/>
      </c>
      <c r="R74" s="199">
        <f>IF(M74&lt;N74*0.9056*0.85,N74*0.9056*0.85,IF(M74&gt;N74*1.15,N74*1.15,M74))</f>
        <v/>
      </c>
      <c r="S74" s="199">
        <f>+F74*M74</f>
        <v/>
      </c>
      <c r="T74" s="169">
        <f>S74+R74*I74</f>
        <v/>
      </c>
      <c r="U74" s="197">
        <f>S74+R74*J74</f>
        <v/>
      </c>
      <c r="V74" s="196">
        <f>U74-S74</f>
        <v/>
      </c>
      <c r="W74" s="197">
        <f>+U74-T74</f>
        <v/>
      </c>
      <c r="X74" s="201">
        <f>+U74-T74</f>
        <v/>
      </c>
      <c r="Y74" s="74" t="n"/>
    </row>
    <row r="75" ht="41.25" customFormat="1" customHeight="1" s="1">
      <c r="A75" s="28" t="n">
        <v>64</v>
      </c>
      <c r="B75" s="29" t="inlineStr">
        <is>
          <t>010807002001</t>
        </is>
      </c>
      <c r="C75" s="29" t="inlineStr">
        <is>
          <t>金属防火窗</t>
        </is>
      </c>
      <c r="D75" s="29" t="inlineStr">
        <is>
          <t>1.铝合金乙级防火玻璃固定窗安装
2.其他详见施工设计图</t>
        </is>
      </c>
      <c r="E75" s="30" t="inlineStr">
        <is>
          <t>m2</t>
        </is>
      </c>
      <c r="F75" s="30" t="n">
        <v>4.88</v>
      </c>
      <c r="G75" s="199" t="n">
        <v>4.88</v>
      </c>
      <c r="H75" s="200" t="n">
        <v>4.88</v>
      </c>
      <c r="I75" s="199">
        <f>G75-F75</f>
        <v/>
      </c>
      <c r="J75" s="199">
        <f>H75-F75</f>
        <v/>
      </c>
      <c r="K75" s="199">
        <f>+H75-G75</f>
        <v/>
      </c>
      <c r="L75" s="49">
        <f>I75/F75</f>
        <v/>
      </c>
      <c r="M75" s="30" t="n">
        <v>537.53</v>
      </c>
      <c r="N75" s="30" t="n">
        <v>665.09</v>
      </c>
      <c r="O75" s="49">
        <f>(M75-N75)/N75</f>
        <v/>
      </c>
      <c r="P75" s="199">
        <f>N75*0.9056*0.85</f>
        <v/>
      </c>
      <c r="Q75" s="199">
        <f>N75*1.15</f>
        <v/>
      </c>
      <c r="R75" s="199">
        <f>IF(M75&lt;N75*0.9056*0.85,N75*0.9056*0.85,IF(M75&gt;N75*1.15,N75*1.15,M75))</f>
        <v/>
      </c>
      <c r="S75" s="199">
        <f>+F75*M75</f>
        <v/>
      </c>
      <c r="T75" s="169">
        <f>S75+R75*I75</f>
        <v/>
      </c>
      <c r="U75" s="197">
        <f>S75+R75*J75</f>
        <v/>
      </c>
      <c r="V75" s="196">
        <f>U75-S75</f>
        <v/>
      </c>
      <c r="W75" s="197">
        <f>+U75-T75</f>
        <v/>
      </c>
      <c r="X75" s="201">
        <f>+U75-T75</f>
        <v/>
      </c>
      <c r="Y75" s="74" t="n"/>
    </row>
    <row r="76" ht="28.5" customFormat="1" customHeight="1" s="1">
      <c r="A76" s="28" t="n">
        <v>65</v>
      </c>
      <c r="B76" s="29" t="inlineStr">
        <is>
          <t>010807003003</t>
        </is>
      </c>
      <c r="C76" s="29" t="inlineStr">
        <is>
          <t>金属百叶窗</t>
        </is>
      </c>
      <c r="D76" s="29" t="inlineStr">
        <is>
          <t>1.铝合金百叶窗
2.其他详见施工设计图</t>
        </is>
      </c>
      <c r="E76" s="30" t="inlineStr">
        <is>
          <t>m2</t>
        </is>
      </c>
      <c r="F76" s="30" t="n">
        <v>10.7</v>
      </c>
      <c r="G76" s="199" t="n">
        <v>10.7</v>
      </c>
      <c r="H76" s="200" t="n">
        <v>10.7</v>
      </c>
      <c r="I76" s="199">
        <f>G76-F76</f>
        <v/>
      </c>
      <c r="J76" s="199">
        <f>H76-F76</f>
        <v/>
      </c>
      <c r="K76" s="199">
        <f>+H76-G76</f>
        <v/>
      </c>
      <c r="L76" s="49">
        <f>I76/F76</f>
        <v/>
      </c>
      <c r="M76" s="30" t="n">
        <v>301.24</v>
      </c>
      <c r="N76" s="30" t="n">
        <v>404.84</v>
      </c>
      <c r="O76" s="49">
        <f>(M76-N76)/N76</f>
        <v/>
      </c>
      <c r="P76" s="199">
        <f>N76*0.9056*0.85</f>
        <v/>
      </c>
      <c r="Q76" s="199">
        <f>N76*1.15</f>
        <v/>
      </c>
      <c r="R76" s="199">
        <f>IF(M76&lt;N76*0.9056*0.85,N76*0.9056*0.85,IF(M76&gt;N76*1.15,N76*1.15,M76))</f>
        <v/>
      </c>
      <c r="S76" s="199">
        <f>+F76*M76</f>
        <v/>
      </c>
      <c r="T76" s="169">
        <f>S76+R76*I76</f>
        <v/>
      </c>
      <c r="U76" s="197">
        <f>S76+R76*J76</f>
        <v/>
      </c>
      <c r="V76" s="196">
        <f>U76-S76</f>
        <v/>
      </c>
      <c r="W76" s="197">
        <f>+U76-T76</f>
        <v/>
      </c>
      <c r="X76" s="201">
        <f>+U76-T76</f>
        <v/>
      </c>
      <c r="Y76" s="74" t="n"/>
    </row>
    <row r="77" ht="54" customFormat="1" customHeight="1" s="1">
      <c r="A77" s="28" t="n">
        <v>66</v>
      </c>
      <c r="B77" s="29" t="inlineStr">
        <is>
          <t>010807003004</t>
        </is>
      </c>
      <c r="C77" s="29" t="inlineStr">
        <is>
          <t>金属百叶窗</t>
        </is>
      </c>
      <c r="D77" s="29" t="inlineStr">
        <is>
          <t>1.铝合金空调百叶
2.30*30*2.0灰色铝方通
3.25*50*1.5灰色铝方通
4.其他详见施工设计图</t>
        </is>
      </c>
      <c r="E77" s="30" t="inlineStr">
        <is>
          <t>m2</t>
        </is>
      </c>
      <c r="F77" s="30" t="n">
        <v>321.13</v>
      </c>
      <c r="G77" s="199" t="n">
        <v>321.13</v>
      </c>
      <c r="H77" s="200" t="n">
        <v>321.13</v>
      </c>
      <c r="I77" s="199">
        <f>G77-F77</f>
        <v/>
      </c>
      <c r="J77" s="199">
        <f>H77-F77</f>
        <v/>
      </c>
      <c r="K77" s="199">
        <f>+H77-G77</f>
        <v/>
      </c>
      <c r="L77" s="49">
        <f>I77/F77</f>
        <v/>
      </c>
      <c r="M77" s="30" t="n">
        <v>301.24</v>
      </c>
      <c r="N77" s="30" t="n">
        <v>428.94</v>
      </c>
      <c r="O77" s="49">
        <f>(M77-N77)/N77</f>
        <v/>
      </c>
      <c r="P77" s="199">
        <f>N77*0.9056*0.85</f>
        <v/>
      </c>
      <c r="Q77" s="199">
        <f>N77*1.15</f>
        <v/>
      </c>
      <c r="R77" s="199">
        <f>IF(M77&lt;N77*0.9056*0.85,N77*0.9056*0.85,IF(M77&gt;N77*1.15,N77*1.15,M77))</f>
        <v/>
      </c>
      <c r="S77" s="199">
        <f>+F77*M77</f>
        <v/>
      </c>
      <c r="T77" s="169">
        <f>S77+R77*I77</f>
        <v/>
      </c>
      <c r="U77" s="197">
        <f>S77+R77*J77</f>
        <v/>
      </c>
      <c r="V77" s="196">
        <f>U77-S77</f>
        <v/>
      </c>
      <c r="W77" s="197">
        <f>+U77-T77</f>
        <v/>
      </c>
      <c r="X77" s="201">
        <f>+U77-T77</f>
        <v/>
      </c>
      <c r="Y77" s="74" t="n"/>
    </row>
    <row r="78" ht="54" customFormat="1" customHeight="1" s="1">
      <c r="A78" s="28" t="n">
        <v>67</v>
      </c>
      <c r="B78" s="29" t="inlineStr">
        <is>
          <t>010807005001</t>
        </is>
      </c>
      <c r="C78" s="29" t="inlineStr">
        <is>
          <t>金属格栅窗</t>
        </is>
      </c>
      <c r="D78" s="29" t="inlineStr">
        <is>
          <t>1.3.0厚300*100深灰色铝合金方管装饰格栅，中心间距300
2.其他详见施工设计图</t>
        </is>
      </c>
      <c r="E78" s="30" t="inlineStr">
        <is>
          <t>m</t>
        </is>
      </c>
      <c r="F78" s="30" t="n">
        <v>664.5</v>
      </c>
      <c r="G78" s="199" t="n">
        <v>669</v>
      </c>
      <c r="H78" s="200" t="n">
        <v>669</v>
      </c>
      <c r="I78" s="199">
        <f>G78-F78</f>
        <v/>
      </c>
      <c r="J78" s="199">
        <f>H78-F78</f>
        <v/>
      </c>
      <c r="K78" s="199">
        <f>+H78-G78</f>
        <v/>
      </c>
      <c r="L78" s="49">
        <f>I78/F78</f>
        <v/>
      </c>
      <c r="M78" s="30" t="n">
        <v>329</v>
      </c>
      <c r="N78" s="30" t="n">
        <v>380</v>
      </c>
      <c r="O78" s="49">
        <f>(M78-N78)/N78</f>
        <v/>
      </c>
      <c r="P78" s="199">
        <f>N78*0.9056*0.85</f>
        <v/>
      </c>
      <c r="Q78" s="199">
        <f>N78*1.15</f>
        <v/>
      </c>
      <c r="R78" s="199">
        <f>IF(M78&lt;N78*0.9056*0.85,N78*0.9056*0.85,IF(M78&gt;N78*1.15,N78*1.15,M78))</f>
        <v/>
      </c>
      <c r="S78" s="199">
        <f>+F78*M78</f>
        <v/>
      </c>
      <c r="T78" s="169">
        <f>S78+R78*I78</f>
        <v/>
      </c>
      <c r="U78" s="197">
        <f>S78+R78*J78</f>
        <v/>
      </c>
      <c r="V78" s="196">
        <f>U78-S78</f>
        <v/>
      </c>
      <c r="W78" s="197">
        <f>+U78-T78</f>
        <v/>
      </c>
      <c r="X78" s="201">
        <f>+U78-T78</f>
        <v/>
      </c>
      <c r="Y78" s="74" t="n"/>
    </row>
    <row r="79" ht="28.5" customFormat="1" customHeight="1" s="1">
      <c r="A79" s="28" t="n"/>
      <c r="B79" s="29" t="n"/>
      <c r="C79" s="29" t="inlineStr">
        <is>
          <t>屋面及防水工程</t>
        </is>
      </c>
      <c r="D79" s="29" t="n"/>
      <c r="E79" s="29" t="n"/>
      <c r="F79" s="30" t="n"/>
      <c r="G79" s="199" t="n"/>
      <c r="H79" s="31" t="n"/>
      <c r="I79" s="199" t="n"/>
      <c r="J79" s="199" t="n"/>
      <c r="K79" s="199" t="n"/>
      <c r="L79" s="49" t="n"/>
      <c r="M79" s="30" t="n"/>
      <c r="N79" s="30" t="n"/>
      <c r="O79" s="30" t="n"/>
      <c r="P79" s="30" t="n"/>
      <c r="Q79" s="30" t="n"/>
      <c r="R79" s="199" t="n"/>
      <c r="S79" s="196">
        <f>+SUM(S80:S93)</f>
        <v/>
      </c>
      <c r="T79" s="196">
        <f>+SUM(T80:T93)</f>
        <v/>
      </c>
      <c r="U79" s="197">
        <f>SUM(U80:U93)</f>
        <v/>
      </c>
      <c r="V79" s="196">
        <f>U79-S79</f>
        <v/>
      </c>
      <c r="W79" s="197">
        <f>+U79-T79</f>
        <v/>
      </c>
      <c r="X79" s="198">
        <f>U79-T79</f>
        <v/>
      </c>
      <c r="Y79" s="74" t="n"/>
    </row>
    <row r="80" ht="41.25" customFormat="1" customHeight="1" s="1">
      <c r="A80" s="28" t="n">
        <v>68</v>
      </c>
      <c r="B80" s="29" t="inlineStr">
        <is>
          <t>011102003008</t>
        </is>
      </c>
      <c r="C80" s="29" t="inlineStr">
        <is>
          <t>块料楼地面（屋1）</t>
        </is>
      </c>
      <c r="D80" s="29" t="inlineStr">
        <is>
          <t>1.面层:8~10厚防滑地砖,缝宽5~8
2.20厚M15干硬性水泥沙浆</t>
        </is>
      </c>
      <c r="E80" s="30" t="inlineStr">
        <is>
          <t>m2</t>
        </is>
      </c>
      <c r="F80" s="30" t="n">
        <v>127.5</v>
      </c>
      <c r="G80" s="199" t="n">
        <v>127.5</v>
      </c>
      <c r="H80" s="200" t="n">
        <v>127.5</v>
      </c>
      <c r="I80" s="199">
        <f>G80-F80</f>
        <v/>
      </c>
      <c r="J80" s="199">
        <f>H80-F80</f>
        <v/>
      </c>
      <c r="K80" s="199">
        <f>+H80-G80</f>
        <v/>
      </c>
      <c r="L80" s="49">
        <f>I80/F80</f>
        <v/>
      </c>
      <c r="M80" s="30" t="n">
        <v>116.74</v>
      </c>
      <c r="N80" s="30" t="n">
        <v>116.28</v>
      </c>
      <c r="O80" s="49">
        <f>(M80-N80)/N80</f>
        <v/>
      </c>
      <c r="P80" s="199">
        <f>N80*0.9056*0.85</f>
        <v/>
      </c>
      <c r="Q80" s="199">
        <f>N80*1.15</f>
        <v/>
      </c>
      <c r="R80" s="199">
        <f>IF(M80&lt;N80*0.9056*0.85,N80*0.9056*0.85,IF(M80&gt;N80*1.15,N80*1.15,M80))</f>
        <v/>
      </c>
      <c r="S80" s="199">
        <f>+F80*M80</f>
        <v/>
      </c>
      <c r="T80" s="169">
        <f>S80+R80*I80</f>
        <v/>
      </c>
      <c r="U80" s="197">
        <f>S80+R80*J80</f>
        <v/>
      </c>
      <c r="V80" s="196">
        <f>U80-S80</f>
        <v/>
      </c>
      <c r="W80" s="197">
        <f>+U80-T80</f>
        <v/>
      </c>
      <c r="X80" s="201">
        <f>+U80-T80</f>
        <v/>
      </c>
      <c r="Y80" s="74" t="n"/>
    </row>
    <row r="81" ht="60" customFormat="1" customHeight="1" s="1">
      <c r="A81" s="28" t="n">
        <v>69</v>
      </c>
      <c r="B81" s="29" t="inlineStr">
        <is>
          <t>010902003012</t>
        </is>
      </c>
      <c r="C81" s="29" t="inlineStr">
        <is>
          <t>屋面刚性层（屋1）</t>
        </is>
      </c>
      <c r="D81" s="29" t="inlineStr">
        <is>
          <t>1.40厚C20细石混凝土找平层,表面压光。(双向配筋ΦC4@150,每6米设缝,密封胶嵌缝。）</t>
        </is>
      </c>
      <c r="E81" s="30" t="inlineStr">
        <is>
          <t>m2</t>
        </is>
      </c>
      <c r="F81" s="30" t="n">
        <v>285.67</v>
      </c>
      <c r="G81" s="199" t="n">
        <v>418.55</v>
      </c>
      <c r="H81" s="200">
        <f>418.545</f>
        <v/>
      </c>
      <c r="I81" s="199">
        <f>G81-F81</f>
        <v/>
      </c>
      <c r="J81" s="199">
        <f>H81-F81</f>
        <v/>
      </c>
      <c r="K81" s="199">
        <f>+H81-G81</f>
        <v/>
      </c>
      <c r="L81" s="49">
        <f>I81/F81</f>
        <v/>
      </c>
      <c r="M81" s="30" t="n">
        <v>59.04</v>
      </c>
      <c r="N81" s="30" t="n">
        <v>56.42</v>
      </c>
      <c r="O81" s="49">
        <f>(M81-N81)/N81</f>
        <v/>
      </c>
      <c r="P81" s="199">
        <f>N81*0.9056*0.85</f>
        <v/>
      </c>
      <c r="Q81" s="199">
        <f>N81*1.15</f>
        <v/>
      </c>
      <c r="R81" s="199">
        <f>IF(M81&lt;N81*0.9056*0.85,N81*0.9056*0.85,IF(M81&gt;N81*1.15,N81*1.15,M81))</f>
        <v/>
      </c>
      <c r="S81" s="199">
        <f>+F81*M81</f>
        <v/>
      </c>
      <c r="T81" s="169">
        <f>S81+R81*I81</f>
        <v/>
      </c>
      <c r="U81" s="197">
        <f>S81+R81*J81</f>
        <v/>
      </c>
      <c r="V81" s="196">
        <f>U81-S81</f>
        <v/>
      </c>
      <c r="W81" s="197">
        <f>+U81-T81</f>
        <v/>
      </c>
      <c r="X81" s="201">
        <f>+U81-T81</f>
        <v/>
      </c>
      <c r="Y81" s="74" t="n"/>
    </row>
    <row r="82" ht="34" customFormat="1" customHeight="1" s="1">
      <c r="A82" s="28" t="n">
        <v>70</v>
      </c>
      <c r="B82" s="29" t="inlineStr">
        <is>
          <t>010902001007</t>
        </is>
      </c>
      <c r="C82" s="29" t="inlineStr">
        <is>
          <t>屋面卷材防水（屋1、屋4）</t>
        </is>
      </c>
      <c r="D82" s="29" t="inlineStr">
        <is>
          <t>1.1.5厚自粘聚合物改性沥青防水卷材(无胎)</t>
        </is>
      </c>
      <c r="E82" s="30" t="inlineStr">
        <is>
          <t>m2</t>
        </is>
      </c>
      <c r="F82" s="30" t="n">
        <v>2127.181</v>
      </c>
      <c r="G82" s="199" t="n">
        <v>2760.03</v>
      </c>
      <c r="H82" s="200">
        <f>2760.0325</f>
        <v/>
      </c>
      <c r="I82" s="199">
        <f>G82-F82</f>
        <v/>
      </c>
      <c r="J82" s="199">
        <f>H82-F82</f>
        <v/>
      </c>
      <c r="K82" s="199">
        <f>+H82-G82</f>
        <v/>
      </c>
      <c r="L82" s="49">
        <f>I82/F82</f>
        <v/>
      </c>
      <c r="M82" s="30" t="n">
        <v>38.75</v>
      </c>
      <c r="N82" s="30" t="n">
        <v>31.86</v>
      </c>
      <c r="O82" s="49">
        <f>(M82-N82)/N82</f>
        <v/>
      </c>
      <c r="P82" s="199">
        <f>N82*0.9056*0.85</f>
        <v/>
      </c>
      <c r="Q82" s="199">
        <f>N82*1.15</f>
        <v/>
      </c>
      <c r="R82" s="199">
        <f>IF(M82&lt;N82*0.9056*0.85,N82*0.9056*0.85,IF(M82&gt;N82*1.15,N82*1.15,M82))</f>
        <v/>
      </c>
      <c r="S82" s="199">
        <f>+F82*M82</f>
        <v/>
      </c>
      <c r="T82" s="169">
        <f>S82+R82*I82</f>
        <v/>
      </c>
      <c r="U82" s="197">
        <f>S82+R82*J82</f>
        <v/>
      </c>
      <c r="V82" s="196">
        <f>U82-S82</f>
        <v/>
      </c>
      <c r="W82" s="197">
        <f>+U82-T82</f>
        <v/>
      </c>
      <c r="X82" s="201">
        <f>+U82-T82</f>
        <v/>
      </c>
      <c r="Y82" s="74" t="n"/>
    </row>
    <row r="83" ht="41.25" customFormat="1" customHeight="1" s="1">
      <c r="A83" s="28" t="n">
        <v>71</v>
      </c>
      <c r="B83" s="29" t="inlineStr">
        <is>
          <t>010902003013</t>
        </is>
      </c>
      <c r="C83" s="29" t="inlineStr">
        <is>
          <t>屋面刚性层（屋1）</t>
        </is>
      </c>
      <c r="D83" s="29" t="inlineStr">
        <is>
          <t>1.40厚WSM20水泥浆找平层,纵横设置分格缝间距≤4000,缝宽15~20</t>
        </is>
      </c>
      <c r="E83" s="30" t="inlineStr">
        <is>
          <t>m2</t>
        </is>
      </c>
      <c r="F83" s="30" t="n">
        <v>301.37</v>
      </c>
      <c r="G83" s="199" t="n">
        <v>425.93</v>
      </c>
      <c r="H83" s="200">
        <f>425.925</f>
        <v/>
      </c>
      <c r="I83" s="199">
        <f>G83-F83</f>
        <v/>
      </c>
      <c r="J83" s="199">
        <f>H83-F83</f>
        <v/>
      </c>
      <c r="K83" s="199">
        <f>+H83-G83</f>
        <v/>
      </c>
      <c r="L83" s="49">
        <f>I83/F83</f>
        <v/>
      </c>
      <c r="M83" s="30" t="n">
        <v>37.14</v>
      </c>
      <c r="N83" s="30" t="n">
        <v>55.94</v>
      </c>
      <c r="O83" s="49">
        <f>(M83-N83)/N83</f>
        <v/>
      </c>
      <c r="P83" s="199">
        <f>N83*0.9056*0.85</f>
        <v/>
      </c>
      <c r="Q83" s="199">
        <f>N83*1.15</f>
        <v/>
      </c>
      <c r="R83" s="199">
        <f>IF(M83&lt;N83*0.9056*0.85,N83*0.9056*0.85,IF(M83&gt;N83*1.15,N83*1.15,M83))</f>
        <v/>
      </c>
      <c r="S83" s="199">
        <f>+F83*M83</f>
        <v/>
      </c>
      <c r="T83" s="169">
        <f>S83+R83*I83</f>
        <v/>
      </c>
      <c r="U83" s="197">
        <f>S83+R83*J83</f>
        <v/>
      </c>
      <c r="V83" s="196">
        <f>U83-S83</f>
        <v/>
      </c>
      <c r="W83" s="197">
        <f>+U83-T83</f>
        <v/>
      </c>
      <c r="X83" s="201">
        <f>+U83-T83</f>
        <v/>
      </c>
      <c r="Y83" s="74" t="n"/>
    </row>
    <row r="84" ht="28.5" customFormat="1" customHeight="1" s="1">
      <c r="A84" s="28" t="n">
        <v>72</v>
      </c>
      <c r="B84" s="29" t="inlineStr">
        <is>
          <t>010902002005</t>
        </is>
      </c>
      <c r="C84" s="29" t="inlineStr">
        <is>
          <t>屋面涂膜防水（屋1、屋4）</t>
        </is>
      </c>
      <c r="D84" s="29" t="inlineStr">
        <is>
          <t>1.1.5厚聚氨酯防水涂膜</t>
        </is>
      </c>
      <c r="E84" s="30" t="inlineStr">
        <is>
          <t>m2</t>
        </is>
      </c>
      <c r="F84" s="30" t="n">
        <v>2127.181</v>
      </c>
      <c r="G84" s="199" t="n">
        <v>2760.03</v>
      </c>
      <c r="H84" s="200">
        <f>2760.0325</f>
        <v/>
      </c>
      <c r="I84" s="199">
        <f>G84-F84</f>
        <v/>
      </c>
      <c r="J84" s="199">
        <f>H84-F84</f>
        <v/>
      </c>
      <c r="K84" s="199">
        <f>+H84-G84</f>
        <v/>
      </c>
      <c r="L84" s="49">
        <f>I84/F84</f>
        <v/>
      </c>
      <c r="M84" s="30" t="n">
        <v>33.79</v>
      </c>
      <c r="N84" s="30" t="n">
        <v>31.82</v>
      </c>
      <c r="O84" s="49">
        <f>(M84-N84)/N84</f>
        <v/>
      </c>
      <c r="P84" s="199">
        <f>N84*0.9056*0.85</f>
        <v/>
      </c>
      <c r="Q84" s="199">
        <f>N84*1.15</f>
        <v/>
      </c>
      <c r="R84" s="199">
        <f>IF(M84&lt;N84*0.9056*0.85,N84*0.9056*0.85,IF(M84&gt;N84*1.15,N84*1.15,M84))</f>
        <v/>
      </c>
      <c r="S84" s="199">
        <f>+F84*M84</f>
        <v/>
      </c>
      <c r="T84" s="169">
        <f>S84+R84*I84</f>
        <v/>
      </c>
      <c r="U84" s="197">
        <f>S84+R84*J84</f>
        <v/>
      </c>
      <c r="V84" s="196">
        <f>U84-S84</f>
        <v/>
      </c>
      <c r="W84" s="197">
        <f>+U84-T84</f>
        <v/>
      </c>
      <c r="X84" s="201">
        <f>+U84-T84</f>
        <v/>
      </c>
      <c r="Y84" s="74" t="n"/>
    </row>
    <row r="85" ht="28.5" customFormat="1" customHeight="1" s="1">
      <c r="A85" s="28" t="n">
        <v>73</v>
      </c>
      <c r="B85" s="29" t="inlineStr">
        <is>
          <t>010902001008</t>
        </is>
      </c>
      <c r="C85" s="29" t="inlineStr">
        <is>
          <t>屋面卷材防水（屋2）</t>
        </is>
      </c>
      <c r="D85" s="29" t="inlineStr">
        <is>
          <t>1.4.0厚塑性体改性沥青防水卷材(耐根穿刺防水层)</t>
        </is>
      </c>
      <c r="E85" s="30" t="inlineStr">
        <is>
          <t>m2</t>
        </is>
      </c>
      <c r="F85" s="30" t="n">
        <v>197.7197</v>
      </c>
      <c r="G85" s="199" t="n">
        <v>198.38</v>
      </c>
      <c r="H85" s="200" t="n">
        <v>198.38</v>
      </c>
      <c r="I85" s="199">
        <f>G85-F85</f>
        <v/>
      </c>
      <c r="J85" s="199">
        <f>H85-F85</f>
        <v/>
      </c>
      <c r="K85" s="199">
        <f>+H85-G85</f>
        <v/>
      </c>
      <c r="L85" s="49">
        <f>I85/F85</f>
        <v/>
      </c>
      <c r="M85" s="30" t="n">
        <v>63.61</v>
      </c>
      <c r="N85" s="30" t="n">
        <v>122.57</v>
      </c>
      <c r="O85" s="49">
        <f>(M85-N85)/N85</f>
        <v/>
      </c>
      <c r="P85" s="199">
        <f>N85*0.9056*0.85</f>
        <v/>
      </c>
      <c r="Q85" s="199">
        <f>N85*1.15</f>
        <v/>
      </c>
      <c r="R85" s="199">
        <f>IF(M85&lt;N85*0.9056*0.85,N85*0.9056*0.85,IF(M85&gt;N85*1.15,N85*1.15,M85))</f>
        <v/>
      </c>
      <c r="S85" s="199">
        <f>+F85*M85</f>
        <v/>
      </c>
      <c r="T85" s="169">
        <f>S85+R85*I85</f>
        <v/>
      </c>
      <c r="U85" s="197">
        <f>S85+R85*J85</f>
        <v/>
      </c>
      <c r="V85" s="196">
        <f>U85-S85</f>
        <v/>
      </c>
      <c r="W85" s="197">
        <f>+U85-T85</f>
        <v/>
      </c>
      <c r="X85" s="201">
        <f>+U85-T85</f>
        <v/>
      </c>
      <c r="Y85" s="74" t="n"/>
    </row>
    <row r="86" ht="28.5" customFormat="1" customHeight="1" s="1">
      <c r="A86" s="28" t="n">
        <v>74</v>
      </c>
      <c r="B86" s="29" t="inlineStr">
        <is>
          <t>010902002006</t>
        </is>
      </c>
      <c r="C86" s="29" t="inlineStr">
        <is>
          <t>屋面涂膜防水（屋2）</t>
        </is>
      </c>
      <c r="D86" s="29" t="inlineStr">
        <is>
          <t>1.2厚聚氨酯防水涂膜</t>
        </is>
      </c>
      <c r="E86" s="30" t="inlineStr">
        <is>
          <t>m2</t>
        </is>
      </c>
      <c r="F86" s="30" t="n">
        <v>197.7197</v>
      </c>
      <c r="G86" s="199" t="n">
        <v>198.38</v>
      </c>
      <c r="H86" s="200" t="n">
        <v>198.38</v>
      </c>
      <c r="I86" s="199">
        <f>G86-F86</f>
        <v/>
      </c>
      <c r="J86" s="199">
        <f>H86-F86</f>
        <v/>
      </c>
      <c r="K86" s="199">
        <f>+H86-G86</f>
        <v/>
      </c>
      <c r="L86" s="49">
        <f>I86/F86</f>
        <v/>
      </c>
      <c r="M86" s="30" t="n">
        <v>44.88</v>
      </c>
      <c r="N86" s="30" t="n">
        <v>42.2</v>
      </c>
      <c r="O86" s="49">
        <f>(M86-N86)/N86</f>
        <v/>
      </c>
      <c r="P86" s="199">
        <f>N86*0.9056*0.85</f>
        <v/>
      </c>
      <c r="Q86" s="199">
        <f>N86*1.15</f>
        <v/>
      </c>
      <c r="R86" s="199">
        <f>IF(M86&lt;N86*0.9056*0.85,N86*0.9056*0.85,IF(M86&gt;N86*1.15,N86*1.15,M86))</f>
        <v/>
      </c>
      <c r="S86" s="199">
        <f>+F86*M86</f>
        <v/>
      </c>
      <c r="T86" s="169">
        <f>S86+R86*I86</f>
        <v/>
      </c>
      <c r="U86" s="197">
        <f>S86+R86*J86</f>
        <v/>
      </c>
      <c r="V86" s="196">
        <f>U86-S86</f>
        <v/>
      </c>
      <c r="W86" s="197">
        <f>+U86-T86</f>
        <v/>
      </c>
      <c r="X86" s="201">
        <f>+U86-T86</f>
        <v/>
      </c>
      <c r="Y86" s="74" t="n"/>
    </row>
    <row r="87" ht="54" customFormat="1" customHeight="1" s="1">
      <c r="A87" s="28" t="n">
        <v>75</v>
      </c>
      <c r="B87" s="29" t="inlineStr">
        <is>
          <t>010902003014</t>
        </is>
      </c>
      <c r="C87" s="29" t="inlineStr">
        <is>
          <t>屋面刚性层（屋2、屋3）</t>
        </is>
      </c>
      <c r="D87" s="29" t="inlineStr">
        <is>
          <t>1.20厚(最薄处)WSM20水泥浆找2%坡,纵横设置分格缝间距≤6000,缝宽10~20的分格缝</t>
        </is>
      </c>
      <c r="E87" s="30" t="inlineStr">
        <is>
          <t>m2</t>
        </is>
      </c>
      <c r="F87" s="30" t="n">
        <v>174.74</v>
      </c>
      <c r="G87" s="199" t="n">
        <v>155.36</v>
      </c>
      <c r="H87" s="200" t="n">
        <v>155.36</v>
      </c>
      <c r="I87" s="199">
        <f>G87-F87</f>
        <v/>
      </c>
      <c r="J87" s="199">
        <f>H87-F87</f>
        <v/>
      </c>
      <c r="K87" s="199">
        <f>+H87-G87</f>
        <v/>
      </c>
      <c r="L87" s="49">
        <f>I87/F87</f>
        <v/>
      </c>
      <c r="M87" s="30" t="n">
        <v>28.13</v>
      </c>
      <c r="N87" s="30" t="n">
        <v>21.75</v>
      </c>
      <c r="O87" s="49">
        <f>(M87-N87)/N87</f>
        <v/>
      </c>
      <c r="P87" s="199">
        <f>N87*0.9056*0.85</f>
        <v/>
      </c>
      <c r="Q87" s="199">
        <f>N87*1.15</f>
        <v/>
      </c>
      <c r="R87" s="199">
        <f>IF(M87&lt;N87*0.9056*0.85,N87*0.9056*0.85,IF(M87&gt;N87*1.15,N87*1.15,M87))</f>
        <v/>
      </c>
      <c r="S87" s="199">
        <f>+F87*M87</f>
        <v/>
      </c>
      <c r="T87" s="169">
        <f>S87+R87*I87</f>
        <v/>
      </c>
      <c r="U87" s="197">
        <f>S87+R87*J87</f>
        <v/>
      </c>
      <c r="V87" s="196">
        <f>U87-S87</f>
        <v/>
      </c>
      <c r="W87" s="197">
        <f>+U87-T87</f>
        <v/>
      </c>
      <c r="X87" s="201">
        <f>+U87-T87</f>
        <v/>
      </c>
      <c r="Y87" s="74" t="n"/>
    </row>
    <row r="88" ht="54" customFormat="1" customHeight="1" s="1">
      <c r="A88" s="28" t="n">
        <v>76</v>
      </c>
      <c r="B88" s="29" t="inlineStr">
        <is>
          <t>010902003015</t>
        </is>
      </c>
      <c r="C88" s="29" t="inlineStr">
        <is>
          <t>屋面刚性层（屋2、屋3）</t>
        </is>
      </c>
      <c r="D88" s="29" t="inlineStr">
        <is>
          <t>1.20厚(最薄处)WSM20水泥浆找平,纵横设置分格缝间距≤4000,缝宽10~20的分格缝</t>
        </is>
      </c>
      <c r="E88" s="30" t="inlineStr">
        <is>
          <t>m2</t>
        </is>
      </c>
      <c r="F88" s="30" t="n">
        <v>174.74</v>
      </c>
      <c r="G88" s="199" t="n">
        <v>354.61</v>
      </c>
      <c r="H88" s="200" t="n">
        <v>354.61</v>
      </c>
      <c r="I88" s="199">
        <f>G88-F88</f>
        <v/>
      </c>
      <c r="J88" s="199">
        <f>H88-F88</f>
        <v/>
      </c>
      <c r="K88" s="199">
        <f>+H88-G88</f>
        <v/>
      </c>
      <c r="L88" s="49">
        <f>I88/F88</f>
        <v/>
      </c>
      <c r="M88" s="30" t="n">
        <v>25.06</v>
      </c>
      <c r="N88" s="30" t="n">
        <v>21.76</v>
      </c>
      <c r="O88" s="49">
        <f>(M88-N88)/N88</f>
        <v/>
      </c>
      <c r="P88" s="199">
        <f>N88*0.9056*0.85</f>
        <v/>
      </c>
      <c r="Q88" s="199">
        <f>N88*1.15</f>
        <v/>
      </c>
      <c r="R88" s="199">
        <f>IF(M88&lt;N88*0.9056*0.85,N88*0.9056*0.85,IF(M88&gt;N88*1.15,N88*1.15,M88))</f>
        <v/>
      </c>
      <c r="S88" s="199">
        <f>+F88*M88</f>
        <v/>
      </c>
      <c r="T88" s="169">
        <f>S88+R88*I88</f>
        <v/>
      </c>
      <c r="U88" s="197">
        <f>S88+R88*J88</f>
        <v/>
      </c>
      <c r="V88" s="196">
        <f>U88-S88</f>
        <v/>
      </c>
      <c r="W88" s="197">
        <f>+U88-T88</f>
        <v/>
      </c>
      <c r="X88" s="201">
        <f>+U88-T88</f>
        <v/>
      </c>
      <c r="Y88" s="74" t="n"/>
    </row>
    <row r="89" ht="28.5" customFormat="1" customHeight="1" s="1">
      <c r="A89" s="28" t="n">
        <v>77</v>
      </c>
      <c r="B89" s="29" t="inlineStr">
        <is>
          <t>010902003016</t>
        </is>
      </c>
      <c r="C89" s="29" t="inlineStr">
        <is>
          <t>屋面刚性层（屋4）</t>
        </is>
      </c>
      <c r="D89" s="29" t="inlineStr">
        <is>
          <t>1.20厚(最薄处)DSM15水泥浆找平</t>
        </is>
      </c>
      <c r="E89" s="30" t="inlineStr">
        <is>
          <t>m2</t>
        </is>
      </c>
      <c r="F89" s="30" t="n">
        <v>1772.31</v>
      </c>
      <c r="G89" s="199" t="n">
        <v>2238.69</v>
      </c>
      <c r="H89" s="200" t="n">
        <v>2238.69</v>
      </c>
      <c r="I89" s="199">
        <f>G89-F89</f>
        <v/>
      </c>
      <c r="J89" s="199">
        <f>H89-F89</f>
        <v/>
      </c>
      <c r="K89" s="199">
        <f>+H89-G89</f>
        <v/>
      </c>
      <c r="L89" s="49">
        <f>I89/F89</f>
        <v/>
      </c>
      <c r="M89" s="30" t="n">
        <v>24.44</v>
      </c>
      <c r="N89" s="30" t="n">
        <v>22.51</v>
      </c>
      <c r="O89" s="49">
        <f>(M89-N89)/N89</f>
        <v/>
      </c>
      <c r="P89" s="199">
        <f>N89*0.9056*0.85</f>
        <v/>
      </c>
      <c r="Q89" s="199">
        <f>N89*1.15</f>
        <v/>
      </c>
      <c r="R89" s="199">
        <f>IF(M89&lt;N89*0.9056*0.85,N89*0.9056*0.85,IF(M89&gt;N89*1.15,N89*1.15,M89))</f>
        <v/>
      </c>
      <c r="S89" s="199">
        <f>+F89*M89</f>
        <v/>
      </c>
      <c r="T89" s="169">
        <f>S89+R89*I89</f>
        <v/>
      </c>
      <c r="U89" s="197">
        <f>S89+R89*J89</f>
        <v/>
      </c>
      <c r="V89" s="196">
        <f>U89-S89</f>
        <v/>
      </c>
      <c r="W89" s="197">
        <f>+U89-T89</f>
        <v/>
      </c>
      <c r="X89" s="201">
        <f>+U89-T89</f>
        <v/>
      </c>
      <c r="Y89" s="74" t="n"/>
    </row>
    <row r="90" ht="54" customFormat="1" customHeight="1" s="1">
      <c r="A90" s="28" t="n">
        <v>78</v>
      </c>
      <c r="B90" s="29" t="inlineStr">
        <is>
          <t>010901001001</t>
        </is>
      </c>
      <c r="C90" s="29" t="inlineStr">
        <is>
          <t>瓦屋面（屋4、屋5）</t>
        </is>
      </c>
      <c r="D90" s="29" t="inlineStr">
        <is>
          <t>1.彩石金属瓦
2.冷弯型钢挂瓦条,中距按瓦材规格
3.其他详见施工设计图</t>
        </is>
      </c>
      <c r="E90" s="30" t="inlineStr">
        <is>
          <t>m2</t>
        </is>
      </c>
      <c r="F90" s="30" t="n">
        <v>1772.31</v>
      </c>
      <c r="G90" s="199" t="n">
        <v>1774.67</v>
      </c>
      <c r="H90" s="200" t="n">
        <v>1774.67</v>
      </c>
      <c r="I90" s="199">
        <f>G90-F90</f>
        <v/>
      </c>
      <c r="J90" s="199">
        <f>H90-F90</f>
        <v/>
      </c>
      <c r="K90" s="199">
        <f>+H90-G90</f>
        <v/>
      </c>
      <c r="L90" s="49">
        <f>I90/F90</f>
        <v/>
      </c>
      <c r="M90" s="30" t="n">
        <v>240.86</v>
      </c>
      <c r="N90" s="30" t="n">
        <v>182.42</v>
      </c>
      <c r="O90" s="49">
        <f>(M90-N90)/N90</f>
        <v/>
      </c>
      <c r="P90" s="199">
        <f>N90*0.9056*0.85</f>
        <v/>
      </c>
      <c r="Q90" s="199">
        <f>N90*1.15</f>
        <v/>
      </c>
      <c r="R90" s="199">
        <f>IF(M90&lt;N90*0.9056*0.85,N90*0.9056*0.85,IF(M90&gt;N90*1.15,N90*1.15,M90))</f>
        <v/>
      </c>
      <c r="S90" s="199">
        <f>+F90*M90</f>
        <v/>
      </c>
      <c r="T90" s="169">
        <f>S90+R90*I90</f>
        <v/>
      </c>
      <c r="U90" s="197">
        <f>S90+R90*J90</f>
        <v/>
      </c>
      <c r="V90" s="196">
        <f>U90-S90</f>
        <v/>
      </c>
      <c r="W90" s="197">
        <f>+U90-T90</f>
        <v/>
      </c>
      <c r="X90" s="201">
        <f>+U90-T90</f>
        <v/>
      </c>
      <c r="Y90" s="74" t="n"/>
    </row>
    <row r="91" ht="71" customFormat="1" customHeight="1" s="4">
      <c r="A91" s="82" t="n">
        <v>79</v>
      </c>
      <c r="B91" s="83" t="inlineStr">
        <is>
          <t>010904002003</t>
        </is>
      </c>
      <c r="C91" s="83" t="inlineStr">
        <is>
          <t>楼(地)面涂膜防水（沉池）</t>
        </is>
      </c>
      <c r="D91" s="83" t="inlineStr">
        <is>
          <t>1.1.5厚聚合物水泥基防水涂料
2.20厚M20水泥砂浆找平找坡层</t>
        </is>
      </c>
      <c r="E91" s="84" t="inlineStr">
        <is>
          <t>m2</t>
        </is>
      </c>
      <c r="F91" s="84" t="n">
        <v>657.4299999999999</v>
      </c>
      <c r="G91" s="208" t="n">
        <v>657.4299999999999</v>
      </c>
      <c r="H91" s="200" t="n">
        <v>657.4299999999999</v>
      </c>
      <c r="I91" s="208">
        <f>G91-F91</f>
        <v/>
      </c>
      <c r="J91" s="208">
        <f>H91-F91</f>
        <v/>
      </c>
      <c r="K91" s="208">
        <f>+H91-G91</f>
        <v/>
      </c>
      <c r="L91" s="86">
        <f>I91/F91</f>
        <v/>
      </c>
      <c r="M91" s="84" t="n">
        <v>63.95</v>
      </c>
      <c r="N91" s="84" t="n">
        <v>70.44</v>
      </c>
      <c r="O91" s="86">
        <f>(M91-N91)/N91</f>
        <v/>
      </c>
      <c r="P91" s="208">
        <f>N91*0.9056*0.85</f>
        <v/>
      </c>
      <c r="Q91" s="208">
        <f>N91*1.15</f>
        <v/>
      </c>
      <c r="R91" s="208">
        <f>IF(M91&lt;N91*0.9056*0.85,N91*0.9056*0.85,IF(M91&gt;N91*1.15,N91*1.15,M91))</f>
        <v/>
      </c>
      <c r="S91" s="208">
        <f>+F91*M91</f>
        <v/>
      </c>
      <c r="T91" s="209">
        <f>S91+R91*I91</f>
        <v/>
      </c>
      <c r="U91" s="197">
        <f>S91+R91*J91</f>
        <v/>
      </c>
      <c r="V91" s="196">
        <f>U91-S91</f>
        <v/>
      </c>
      <c r="W91" s="197">
        <f>+U91-T91</f>
        <v/>
      </c>
      <c r="X91" s="201">
        <f>+U91-T91</f>
        <v/>
      </c>
      <c r="Y91" s="90" t="n"/>
    </row>
    <row r="92" ht="94" customFormat="1" customHeight="1" s="1">
      <c r="A92" s="28" t="n">
        <v>80</v>
      </c>
      <c r="B92" s="29" t="inlineStr">
        <is>
          <t>010904002002</t>
        </is>
      </c>
      <c r="C92" s="29" t="inlineStr">
        <is>
          <t>楼(地)面涂膜防水（卫生间）</t>
        </is>
      </c>
      <c r="D92" s="29" t="inlineStr">
        <is>
          <t>1.1.5厚聚合物水泥基防水涂料</t>
        </is>
      </c>
      <c r="E92" s="30" t="inlineStr">
        <is>
          <t>m2</t>
        </is>
      </c>
      <c r="F92" s="30" t="n">
        <v>493.43</v>
      </c>
      <c r="G92" s="199" t="n">
        <v>0</v>
      </c>
      <c r="H92" s="200" t="n">
        <v>0</v>
      </c>
      <c r="I92" s="199">
        <f>G92-F92</f>
        <v/>
      </c>
      <c r="J92" s="199">
        <f>H92-F92</f>
        <v/>
      </c>
      <c r="K92" s="199">
        <f>+H92-G92</f>
        <v/>
      </c>
      <c r="L92" s="49">
        <f>I92/F92</f>
        <v/>
      </c>
      <c r="M92" s="30" t="n">
        <v>42.91</v>
      </c>
      <c r="N92" s="30" t="n">
        <v>46.07</v>
      </c>
      <c r="O92" s="49">
        <f>(M92-N92)/N92</f>
        <v/>
      </c>
      <c r="P92" s="199">
        <f>N92*0.9056*0.85</f>
        <v/>
      </c>
      <c r="Q92" s="199">
        <f>N92*1.15</f>
        <v/>
      </c>
      <c r="R92" s="199">
        <f>IF(M92&lt;N92*0.9056*0.85,N92*0.9056*0.85,IF(M92&gt;N92*1.15,N92*1.15,M92))</f>
        <v/>
      </c>
      <c r="S92" s="199">
        <f>+F92*M92</f>
        <v/>
      </c>
      <c r="T92" s="169">
        <f>S92+R92*I92</f>
        <v/>
      </c>
      <c r="U92" s="197">
        <f>S92+R92*J92</f>
        <v/>
      </c>
      <c r="V92" s="196">
        <f>U92-S92</f>
        <v/>
      </c>
      <c r="W92" s="197">
        <f>+U92-T92</f>
        <v/>
      </c>
      <c r="X92" s="201">
        <f>+U92-T92</f>
        <v/>
      </c>
      <c r="Y92" s="80" t="n"/>
    </row>
    <row r="93" ht="107" customFormat="1" customHeight="1" s="1">
      <c r="A93" s="28" t="n">
        <v>81</v>
      </c>
      <c r="B93" s="29" t="inlineStr">
        <is>
          <t>010903002001</t>
        </is>
      </c>
      <c r="C93" s="29" t="inlineStr">
        <is>
          <t>墙面涂膜防水（卫生间）</t>
        </is>
      </c>
      <c r="D93" s="29" t="inlineStr">
        <is>
          <t>1.卫生间墙身
2.1.5厚聚合物水泥基防水涂料
3.15厚WPM20水泥砂浆找平,分两遍成活,底层抹灰应压实搓毛</t>
        </is>
      </c>
      <c r="E93" s="30" t="inlineStr">
        <is>
          <t>m2</t>
        </is>
      </c>
      <c r="F93" s="30" t="n">
        <v>1721.84</v>
      </c>
      <c r="G93" s="199" t="n">
        <v>0</v>
      </c>
      <c r="H93" s="200" t="n">
        <v>0</v>
      </c>
      <c r="I93" s="199">
        <f>G93-F93</f>
        <v/>
      </c>
      <c r="J93" s="199">
        <f>H93-F93</f>
        <v/>
      </c>
      <c r="K93" s="199">
        <f>+H93-G93</f>
        <v/>
      </c>
      <c r="L93" s="49">
        <f>I93/F93</f>
        <v/>
      </c>
      <c r="M93" s="30" t="n">
        <v>76.48</v>
      </c>
      <c r="N93" s="30" t="n">
        <v>80.23</v>
      </c>
      <c r="O93" s="49">
        <f>(M93-N93)/N93</f>
        <v/>
      </c>
      <c r="P93" s="199">
        <f>N93*0.9056*0.85</f>
        <v/>
      </c>
      <c r="Q93" s="199">
        <f>N93*1.15</f>
        <v/>
      </c>
      <c r="R93" s="199">
        <f>IF(M93&lt;N93*0.9056*0.85,N93*0.9056*0.85,IF(M93&gt;N93*1.15,N93*1.15,M93))</f>
        <v/>
      </c>
      <c r="S93" s="199">
        <f>+F93*M93</f>
        <v/>
      </c>
      <c r="T93" s="169">
        <f>S93+R93*I93</f>
        <v/>
      </c>
      <c r="U93" s="197">
        <f>S93+R93*J93</f>
        <v/>
      </c>
      <c r="V93" s="196">
        <f>U93-S93</f>
        <v/>
      </c>
      <c r="W93" s="197">
        <f>+U93-T93</f>
        <v/>
      </c>
      <c r="X93" s="201">
        <f>+U93-T93</f>
        <v/>
      </c>
      <c r="Y93" s="81" t="n"/>
    </row>
    <row r="94" ht="28.5" customFormat="1" customHeight="1" s="1">
      <c r="A94" s="28" t="n"/>
      <c r="B94" s="29" t="n"/>
      <c r="C94" s="29" t="inlineStr">
        <is>
          <t>保温、隔热、防腐工程</t>
        </is>
      </c>
      <c r="D94" s="29" t="n"/>
      <c r="E94" s="29" t="n"/>
      <c r="F94" s="30" t="n"/>
      <c r="G94" s="199" t="n"/>
      <c r="H94" s="31" t="n"/>
      <c r="I94" s="199" t="n"/>
      <c r="J94" s="199" t="n"/>
      <c r="K94" s="199" t="n"/>
      <c r="L94" s="49" t="n"/>
      <c r="M94" s="30" t="n"/>
      <c r="N94" s="30" t="n"/>
      <c r="O94" s="30" t="n"/>
      <c r="P94" s="30" t="n"/>
      <c r="Q94" s="30" t="n"/>
      <c r="R94" s="199" t="n"/>
      <c r="S94" s="196">
        <f>+SUM(S95:S100)</f>
        <v/>
      </c>
      <c r="T94" s="196">
        <f>+SUM(T95:T100)</f>
        <v/>
      </c>
      <c r="U94" s="197">
        <f>SUM(U95:U100)</f>
        <v/>
      </c>
      <c r="V94" s="196">
        <f>U94-S94</f>
        <v/>
      </c>
      <c r="W94" s="197">
        <f>+U94-T94</f>
        <v/>
      </c>
      <c r="X94" s="198" t="n"/>
      <c r="Y94" s="74" t="n"/>
    </row>
    <row r="95" ht="28.5" customFormat="1" customHeight="1" s="1">
      <c r="A95" s="28" t="n">
        <v>82</v>
      </c>
      <c r="B95" s="29" t="inlineStr">
        <is>
          <t>011001001001</t>
        </is>
      </c>
      <c r="C95" s="29" t="inlineStr">
        <is>
          <t>保温隔热屋面（屋1）</t>
        </is>
      </c>
      <c r="D95" s="29" t="inlineStr">
        <is>
          <t>1.55厚RC型B2级挤塑聚苯乙烯泡沫塑料板</t>
        </is>
      </c>
      <c r="E95" s="30" t="inlineStr">
        <is>
          <t>m2</t>
        </is>
      </c>
      <c r="F95" s="30" t="n">
        <v>285.67</v>
      </c>
      <c r="G95" s="199" t="n">
        <v>285.67</v>
      </c>
      <c r="H95" s="200" t="n">
        <v>124.33</v>
      </c>
      <c r="I95" s="199">
        <f>G95-F95</f>
        <v/>
      </c>
      <c r="J95" s="199">
        <f>H95-F95</f>
        <v/>
      </c>
      <c r="K95" s="199">
        <f>+H95-G95</f>
        <v/>
      </c>
      <c r="L95" s="49">
        <f>I95/F95</f>
        <v/>
      </c>
      <c r="M95" s="30" t="n">
        <v>30.02</v>
      </c>
      <c r="N95" s="30" t="n">
        <v>54.05</v>
      </c>
      <c r="O95" s="49">
        <f>(M95-N95)/N95</f>
        <v/>
      </c>
      <c r="P95" s="199">
        <f>N95*0.9056*0.85</f>
        <v/>
      </c>
      <c r="Q95" s="199">
        <f>N95*1.15</f>
        <v/>
      </c>
      <c r="R95" s="199">
        <f>IF(M95&lt;N95*0.9056*0.85,N95*0.9056*0.85,IF(M95&gt;N95*1.15,N95*1.15,M95))</f>
        <v/>
      </c>
      <c r="S95" s="199">
        <f>+F95*M95</f>
        <v/>
      </c>
      <c r="T95" s="169">
        <f>S95+R95*I95</f>
        <v/>
      </c>
      <c r="U95" s="197">
        <f>S95+R95*J95</f>
        <v/>
      </c>
      <c r="V95" s="196">
        <f>U95-S95</f>
        <v/>
      </c>
      <c r="W95" s="197">
        <f>+U95-T95</f>
        <v/>
      </c>
      <c r="X95" s="201">
        <f>+U95-T95</f>
        <v/>
      </c>
      <c r="Y95" s="74" t="n"/>
    </row>
    <row r="96" ht="41.25" customFormat="1" customHeight="1" s="1">
      <c r="A96" s="28" t="n">
        <v>83</v>
      </c>
      <c r="B96" s="29" t="inlineStr">
        <is>
          <t>011003001001</t>
        </is>
      </c>
      <c r="C96" s="29" t="inlineStr">
        <is>
          <t>隔离层（屋2）</t>
        </is>
      </c>
      <c r="D96" s="29" t="inlineStr">
        <is>
          <t>1.部位:种植屋面
2.聚酯无纺布过滤层
3.凹凸型排(蓄)水板</t>
        </is>
      </c>
      <c r="E96" s="30" t="inlineStr">
        <is>
          <t>m2</t>
        </is>
      </c>
      <c r="F96" s="30" t="n">
        <v>174.74</v>
      </c>
      <c r="G96" s="199" t="n">
        <v>174.74</v>
      </c>
      <c r="H96" s="200" t="n">
        <v>174.74</v>
      </c>
      <c r="I96" s="199">
        <f>G96-F96</f>
        <v/>
      </c>
      <c r="J96" s="199">
        <f>H96-F96</f>
        <v/>
      </c>
      <c r="K96" s="199">
        <f>+H96-G96</f>
        <v/>
      </c>
      <c r="L96" s="49">
        <f>I96/F96</f>
        <v/>
      </c>
      <c r="M96" s="30" t="n">
        <v>14.58</v>
      </c>
      <c r="N96" s="30" t="n">
        <v>23.14</v>
      </c>
      <c r="O96" s="49">
        <f>(M96-N96)/N96</f>
        <v/>
      </c>
      <c r="P96" s="199">
        <f>N96*0.9056*0.85</f>
        <v/>
      </c>
      <c r="Q96" s="199">
        <f>N96*1.15</f>
        <v/>
      </c>
      <c r="R96" s="199">
        <f>IF(M96&lt;N96*0.9056*0.85,N96*0.9056*0.85,IF(M96&gt;N96*1.15,N96*1.15,M96))</f>
        <v/>
      </c>
      <c r="S96" s="199">
        <f>+F96*M96</f>
        <v/>
      </c>
      <c r="T96" s="169">
        <f>S96+R96*I96</f>
        <v/>
      </c>
      <c r="U96" s="197">
        <f>S96+R96*J96</f>
        <v/>
      </c>
      <c r="V96" s="196">
        <f>U96-S96</f>
        <v/>
      </c>
      <c r="W96" s="197">
        <f>+U96-T96</f>
        <v/>
      </c>
      <c r="X96" s="201">
        <f>+U96-T96</f>
        <v/>
      </c>
      <c r="Y96" s="74" t="n"/>
    </row>
    <row r="97" ht="28.5" customFormat="1" customHeight="1" s="1">
      <c r="A97" s="28" t="n">
        <v>84</v>
      </c>
      <c r="B97" s="29" t="inlineStr">
        <is>
          <t>011001001002</t>
        </is>
      </c>
      <c r="C97" s="29" t="inlineStr">
        <is>
          <t>保温隔热屋面（屋2）</t>
        </is>
      </c>
      <c r="D97" s="29" t="inlineStr">
        <is>
          <t>1.20厚RC型B2级挤塑聚苯乙烯泡沫塑料板</t>
        </is>
      </c>
      <c r="E97" s="30" t="inlineStr">
        <is>
          <t>m2</t>
        </is>
      </c>
      <c r="F97" s="30" t="n">
        <v>174.74</v>
      </c>
      <c r="G97" s="199" t="n">
        <v>174.74</v>
      </c>
      <c r="H97" s="200" t="n">
        <v>174.74</v>
      </c>
      <c r="I97" s="199">
        <f>G97-F97</f>
        <v/>
      </c>
      <c r="J97" s="199">
        <f>H97-F97</f>
        <v/>
      </c>
      <c r="K97" s="199">
        <f>+H97-G97</f>
        <v/>
      </c>
      <c r="L97" s="49">
        <f>I97/F97</f>
        <v/>
      </c>
      <c r="M97" s="30" t="n">
        <v>29</v>
      </c>
      <c r="N97" s="30" t="n">
        <v>29.53</v>
      </c>
      <c r="O97" s="49">
        <f>(M97-N97)/N97</f>
        <v/>
      </c>
      <c r="P97" s="199">
        <f>N97*0.9056*0.85</f>
        <v/>
      </c>
      <c r="Q97" s="199">
        <f>N97*1.15</f>
        <v/>
      </c>
      <c r="R97" s="199">
        <f>IF(M97&lt;N97*0.9056*0.85,N97*0.9056*0.85,IF(M97&gt;N97*1.15,N97*1.15,M97))</f>
        <v/>
      </c>
      <c r="S97" s="199">
        <f>+F97*M97</f>
        <v/>
      </c>
      <c r="T97" s="169">
        <f>S97+R97*I97</f>
        <v/>
      </c>
      <c r="U97" s="197">
        <f>S97+R97*J97</f>
        <v/>
      </c>
      <c r="V97" s="196">
        <f>U97-S97</f>
        <v/>
      </c>
      <c r="W97" s="197">
        <f>+U97-T97</f>
        <v/>
      </c>
      <c r="X97" s="201">
        <f>+U97-T97</f>
        <v/>
      </c>
      <c r="Y97" s="74" t="n"/>
    </row>
    <row r="98" ht="41.25" customFormat="1" customHeight="1" s="2">
      <c r="A98" s="37" t="n">
        <v>85</v>
      </c>
      <c r="B98" s="38" t="inlineStr">
        <is>
          <t>011003001002</t>
        </is>
      </c>
      <c r="C98" s="38" t="inlineStr">
        <is>
          <t>隔离层（屋1、屋2、屋3、屋4）</t>
        </is>
      </c>
      <c r="D98" s="38" t="inlineStr">
        <is>
          <t>1.0.4厚聚乙烯薄膜隔离层</t>
        </is>
      </c>
      <c r="E98" s="39" t="inlineStr">
        <is>
          <t>m2</t>
        </is>
      </c>
      <c r="F98" s="39" t="n">
        <v>2232.72</v>
      </c>
      <c r="G98" s="206" t="n">
        <v>2927.74</v>
      </c>
      <c r="H98" s="206">
        <f>2927.7425</f>
        <v/>
      </c>
      <c r="I98" s="206">
        <f>G98-F98</f>
        <v/>
      </c>
      <c r="J98" s="206">
        <f>H98-F98</f>
        <v/>
      </c>
      <c r="K98" s="206">
        <f>+H98-G98</f>
        <v/>
      </c>
      <c r="L98" s="51">
        <f>I98/F98</f>
        <v/>
      </c>
      <c r="M98" s="39" t="n">
        <v>4.06</v>
      </c>
      <c r="N98" s="39" t="n">
        <v>7.24</v>
      </c>
      <c r="O98" s="51">
        <f>(M98-N98)/N98</f>
        <v/>
      </c>
      <c r="P98" s="206">
        <f>N98*0.9056*0.85</f>
        <v/>
      </c>
      <c r="Q98" s="206">
        <f>N98*1.15</f>
        <v/>
      </c>
      <c r="R98" s="206">
        <f>IF(M98&lt;N98*0.9056*0.85,N98*0.9056*0.85,IF(M98&gt;N98*1.15,N98*1.15,M98))</f>
        <v/>
      </c>
      <c r="S98" s="206">
        <f>+F98*M98</f>
        <v/>
      </c>
      <c r="T98" s="207">
        <f>S98+R98*I98</f>
        <v/>
      </c>
      <c r="U98" s="210">
        <f>S98+R98*J98</f>
        <v/>
      </c>
      <c r="V98" s="196">
        <f>U98-S98</f>
        <v/>
      </c>
      <c r="W98" s="197">
        <f>+U98-T98</f>
        <v/>
      </c>
      <c r="X98" s="211">
        <f>+U98-T98</f>
        <v/>
      </c>
      <c r="Y98" s="77" t="n"/>
    </row>
    <row r="99" ht="28.5" customFormat="1" customHeight="1" s="1">
      <c r="A99" s="28" t="n">
        <v>86</v>
      </c>
      <c r="B99" s="29" t="inlineStr">
        <is>
          <t>011001001003</t>
        </is>
      </c>
      <c r="C99" s="29" t="inlineStr">
        <is>
          <t>保温隔热屋面（屋4）</t>
        </is>
      </c>
      <c r="D99" s="29" t="inlineStr">
        <is>
          <t>1.50厚RC型B2级挤塑聚苯乙烯泡沫塑料板</t>
        </is>
      </c>
      <c r="E99" s="30" t="inlineStr">
        <is>
          <t>m2</t>
        </is>
      </c>
      <c r="F99" s="30" t="n">
        <v>1772.31</v>
      </c>
      <c r="G99" s="199" t="n">
        <v>1774.67</v>
      </c>
      <c r="H99" s="200" t="n">
        <v>1774.67</v>
      </c>
      <c r="I99" s="199">
        <f>G99-F99</f>
        <v/>
      </c>
      <c r="J99" s="199">
        <f>H99-F99</f>
        <v/>
      </c>
      <c r="K99" s="199">
        <f>+H99-G99</f>
        <v/>
      </c>
      <c r="L99" s="49">
        <f>I99/F99</f>
        <v/>
      </c>
      <c r="M99" s="30" t="n">
        <v>30.02</v>
      </c>
      <c r="N99" s="30" t="n">
        <v>49.93</v>
      </c>
      <c r="O99" s="49">
        <f>(M99-N99)/N99</f>
        <v/>
      </c>
      <c r="P99" s="199">
        <f>N99*0.9056*0.85</f>
        <v/>
      </c>
      <c r="Q99" s="199">
        <f>N99*1.15</f>
        <v/>
      </c>
      <c r="R99" s="199">
        <f>IF(M99&lt;N99*0.9056*0.85,N99*0.9056*0.85,IF(M99&gt;N99*1.15,N99*1.15,M99))</f>
        <v/>
      </c>
      <c r="S99" s="199">
        <f>+F99*M99</f>
        <v/>
      </c>
      <c r="T99" s="169">
        <f>S99+R99*I99</f>
        <v/>
      </c>
      <c r="U99" s="197">
        <f>S99+R99*J99</f>
        <v/>
      </c>
      <c r="V99" s="196">
        <f>U99-S99</f>
        <v/>
      </c>
      <c r="W99" s="197">
        <f>+U99-T99</f>
        <v/>
      </c>
      <c r="X99" s="201">
        <f>+U99-T99</f>
        <v/>
      </c>
      <c r="Y99" s="74" t="n"/>
    </row>
    <row r="100" ht="66.75" customFormat="1" customHeight="1" s="1">
      <c r="A100" s="28" t="n">
        <v>87</v>
      </c>
      <c r="B100" s="29" t="inlineStr">
        <is>
          <t>011001003001</t>
        </is>
      </c>
      <c r="C100" s="29" t="inlineStr">
        <is>
          <t>保温隔热墙面</t>
        </is>
      </c>
      <c r="D100" s="29" t="inlineStr">
        <is>
          <t>1.西向外墙内保温10mm玻化微珠保温砂浆
2.5厚抗裂砂浆内置保温专用玻纤网(130g/m2)
3.做法详见图纸</t>
        </is>
      </c>
      <c r="E100" s="30" t="inlineStr">
        <is>
          <t>m2</t>
        </is>
      </c>
      <c r="F100" s="30" t="n">
        <v>625.6</v>
      </c>
      <c r="G100" s="199" t="n">
        <v>463.18</v>
      </c>
      <c r="H100" s="200" t="n">
        <v>463.18</v>
      </c>
      <c r="I100" s="199">
        <f>G100-F100</f>
        <v/>
      </c>
      <c r="J100" s="199">
        <f>H100-F100</f>
        <v/>
      </c>
      <c r="K100" s="199">
        <f>+H100-G100</f>
        <v/>
      </c>
      <c r="L100" s="49">
        <f>I100/F100</f>
        <v/>
      </c>
      <c r="M100" s="30" t="n">
        <v>85.13</v>
      </c>
      <c r="N100" s="30" t="n">
        <v>65.26000000000001</v>
      </c>
      <c r="O100" s="49">
        <f>(M100-N100)/N100</f>
        <v/>
      </c>
      <c r="P100" s="199">
        <f>N100*0.9056*0.85</f>
        <v/>
      </c>
      <c r="Q100" s="199">
        <f>N100*1.15</f>
        <v/>
      </c>
      <c r="R100" s="199">
        <f>IF(M100&lt;N100*0.9056*0.85,N100*0.9056*0.85,IF(M100&gt;N100*1.15,N100*1.15,M100))</f>
        <v/>
      </c>
      <c r="S100" s="199">
        <f>+F100*M100</f>
        <v/>
      </c>
      <c r="T100" s="169">
        <f>S100+R100*I100</f>
        <v/>
      </c>
      <c r="U100" s="197">
        <f>S100+R100*J100</f>
        <v/>
      </c>
      <c r="V100" s="196">
        <f>U100-S100</f>
        <v/>
      </c>
      <c r="W100" s="197">
        <f>+U100-T100</f>
        <v/>
      </c>
      <c r="X100" s="201">
        <f>+U100-T100</f>
        <v/>
      </c>
      <c r="Y100" s="74" t="n"/>
    </row>
    <row r="101" ht="28.5" customFormat="1" customHeight="1" s="1">
      <c r="A101" s="28" t="n"/>
      <c r="B101" s="29" t="n"/>
      <c r="C101" s="29" t="inlineStr">
        <is>
          <t>楼地面装饰工程</t>
        </is>
      </c>
      <c r="D101" s="29" t="n"/>
      <c r="E101" s="29" t="n"/>
      <c r="F101" s="30" t="n"/>
      <c r="G101" s="199" t="n"/>
      <c r="H101" s="31" t="n"/>
      <c r="I101" s="199" t="n"/>
      <c r="J101" s="199" t="n"/>
      <c r="K101" s="199" t="n"/>
      <c r="L101" s="49" t="n"/>
      <c r="M101" s="30" t="n"/>
      <c r="N101" s="30" t="n"/>
      <c r="O101" s="30" t="n"/>
      <c r="P101" s="30" t="n"/>
      <c r="Q101" s="30" t="n"/>
      <c r="R101" s="199" t="n"/>
      <c r="S101" s="196">
        <f>+SUM(S102:S116)</f>
        <v/>
      </c>
      <c r="T101" s="196">
        <f>+SUM(T102:T116)</f>
        <v/>
      </c>
      <c r="U101" s="197">
        <f>SUM(U102:U116)</f>
        <v/>
      </c>
      <c r="V101" s="196">
        <f>U101-S101</f>
        <v/>
      </c>
      <c r="W101" s="197">
        <f>+U101-T101</f>
        <v/>
      </c>
      <c r="X101" s="198">
        <f>U101-T101</f>
        <v/>
      </c>
      <c r="Y101" s="74" t="n"/>
    </row>
    <row r="102" ht="41.25" customFormat="1" customHeight="1" s="1">
      <c r="A102" s="28" t="n">
        <v>88</v>
      </c>
      <c r="B102" s="29" t="inlineStr">
        <is>
          <t>011101001004</t>
        </is>
      </c>
      <c r="C102" s="29" t="inlineStr">
        <is>
          <t>水泥砂浆楼地面（地1）（水电井）</t>
        </is>
      </c>
      <c r="D102" s="29" t="inlineStr">
        <is>
          <t>1.20厚M20水泥砂浆打底,加水泥粉随手抹光向地漏找坡</t>
        </is>
      </c>
      <c r="E102" s="30" t="inlineStr">
        <is>
          <t>m2</t>
        </is>
      </c>
      <c r="F102" s="30" t="n">
        <v>70.27</v>
      </c>
      <c r="G102" s="199" t="n">
        <v>124.44</v>
      </c>
      <c r="H102" s="200" t="n">
        <v>124.44</v>
      </c>
      <c r="I102" s="199">
        <f>G102-F102</f>
        <v/>
      </c>
      <c r="J102" s="199">
        <f>H102-F102</f>
        <v/>
      </c>
      <c r="K102" s="199">
        <f>+H102-G102</f>
        <v/>
      </c>
      <c r="L102" s="49">
        <f>I102/F102</f>
        <v/>
      </c>
      <c r="M102" s="30" t="n">
        <v>29.28</v>
      </c>
      <c r="N102" s="30" t="n">
        <v>24.37</v>
      </c>
      <c r="O102" s="49">
        <f>(M102-N102)/N102</f>
        <v/>
      </c>
      <c r="P102" s="199">
        <f>N102*0.9056*0.85</f>
        <v/>
      </c>
      <c r="Q102" s="199">
        <f>N102*1.15</f>
        <v/>
      </c>
      <c r="R102" s="199">
        <f>IF(M102&lt;N102*0.9056*0.85,N102*0.9056*0.85,IF(M102&gt;N102*1.15,N102*1.15,M102))</f>
        <v/>
      </c>
      <c r="S102" s="199">
        <f>+F102*M102</f>
        <v/>
      </c>
      <c r="T102" s="169">
        <f>S102+R102*I102</f>
        <v/>
      </c>
      <c r="U102" s="197">
        <f>S102+R102*J102</f>
        <v/>
      </c>
      <c r="V102" s="196">
        <f>U102-S102</f>
        <v/>
      </c>
      <c r="W102" s="197">
        <f>+U102-T102</f>
        <v/>
      </c>
      <c r="X102" s="201">
        <f>+U102-T102</f>
        <v/>
      </c>
      <c r="Y102" s="74" t="n"/>
    </row>
    <row r="103" ht="54" customFormat="1" customHeight="1" s="1">
      <c r="A103" s="28" t="n">
        <v>89</v>
      </c>
      <c r="B103" s="29" t="inlineStr">
        <is>
          <t>011102003016</t>
        </is>
      </c>
      <c r="C103" s="29" t="inlineStr">
        <is>
          <t>块料楼地面（地2）</t>
        </is>
      </c>
      <c r="D103" s="29" t="inlineStr">
        <is>
          <t>1.400*400mm防滑地砖铺平拍实,纯水泥浆擦缝
2.15厚DSM15水泥砂浆结合层</t>
        </is>
      </c>
      <c r="E103" s="30" t="inlineStr">
        <is>
          <t>m2</t>
        </is>
      </c>
      <c r="F103" s="30" t="n">
        <v>522.17</v>
      </c>
      <c r="G103" s="199" t="n">
        <v>520.8200000000001</v>
      </c>
      <c r="H103" s="200" t="n">
        <v>520.8200000000001</v>
      </c>
      <c r="I103" s="199">
        <f>G103-F103</f>
        <v/>
      </c>
      <c r="J103" s="199">
        <f>H103-F103</f>
        <v/>
      </c>
      <c r="K103" s="199">
        <f>+H103-G103</f>
        <v/>
      </c>
      <c r="L103" s="49">
        <f>I103/F103</f>
        <v/>
      </c>
      <c r="M103" s="30" t="n">
        <v>112.13</v>
      </c>
      <c r="N103" s="30" t="n">
        <v>74.23999999999999</v>
      </c>
      <c r="O103" s="49">
        <f>(M103-N103)/N103</f>
        <v/>
      </c>
      <c r="P103" s="199">
        <f>N103*0.9056*0.85</f>
        <v/>
      </c>
      <c r="Q103" s="199">
        <f>N103*1.15</f>
        <v/>
      </c>
      <c r="R103" s="199">
        <f>IF(M103&lt;N103*0.9056*0.85,N103*0.9056*0.85,IF(M103&gt;N103*1.15,N103*1.15,M103))</f>
        <v/>
      </c>
      <c r="S103" s="199">
        <f>+F103*M103</f>
        <v/>
      </c>
      <c r="T103" s="169">
        <f>S103+R103*I103</f>
        <v/>
      </c>
      <c r="U103" s="197">
        <f>S103+R103*J103</f>
        <v/>
      </c>
      <c r="V103" s="196">
        <f>U103-S103</f>
        <v/>
      </c>
      <c r="W103" s="197">
        <f>+U103-T103</f>
        <v/>
      </c>
      <c r="X103" s="201">
        <f>+U103-T103</f>
        <v/>
      </c>
      <c r="Y103" s="74" t="n"/>
    </row>
    <row r="104" ht="66.75" customFormat="1" customHeight="1" s="1">
      <c r="A104" s="28" t="n">
        <v>90</v>
      </c>
      <c r="B104" s="29" t="inlineStr">
        <is>
          <t>011103002001</t>
        </is>
      </c>
      <c r="C104" s="29" t="inlineStr">
        <is>
          <t>橡胶板卷材楼地面</t>
        </is>
      </c>
      <c r="D104" s="29" t="inlineStr">
        <is>
          <t>1.2.0mm厚PVC卷材木纹地板胶专用粘合剂粘贴
2.20~45厚M20水泥砂浆,压实赶光
3.做法详见图纸</t>
        </is>
      </c>
      <c r="E104" s="30" t="inlineStr">
        <is>
          <t>m2</t>
        </is>
      </c>
      <c r="F104" s="30" t="n">
        <v>149.22</v>
      </c>
      <c r="G104" s="199" t="n">
        <v>148.09</v>
      </c>
      <c r="H104" s="200" t="n">
        <v>148.09</v>
      </c>
      <c r="I104" s="199">
        <f>G104-F104</f>
        <v/>
      </c>
      <c r="J104" s="199">
        <f>H104-F104</f>
        <v/>
      </c>
      <c r="K104" s="199">
        <f>+H104-G104</f>
        <v/>
      </c>
      <c r="L104" s="49">
        <f>I104/F104</f>
        <v/>
      </c>
      <c r="M104" s="30" t="n">
        <v>142.46</v>
      </c>
      <c r="N104" s="30" t="n">
        <v>223.87</v>
      </c>
      <c r="O104" s="49">
        <f>(M104-N104)/N104</f>
        <v/>
      </c>
      <c r="P104" s="199">
        <f>N104*0.9056*0.85</f>
        <v/>
      </c>
      <c r="Q104" s="199">
        <f>N104*1.15</f>
        <v/>
      </c>
      <c r="R104" s="199">
        <f>IF(M104&lt;N104*0.9056*0.85,N104*0.9056*0.85,IF(M104&gt;N104*1.15,N104*1.15,M104))</f>
        <v/>
      </c>
      <c r="S104" s="199">
        <f>+F104*M104</f>
        <v/>
      </c>
      <c r="T104" s="169">
        <f>S104+R104*I104</f>
        <v/>
      </c>
      <c r="U104" s="197">
        <f>S104+R104*J104</f>
        <v/>
      </c>
      <c r="V104" s="196">
        <f>U104-S104</f>
        <v/>
      </c>
      <c r="W104" s="197">
        <f>+U104-T104</f>
        <v/>
      </c>
      <c r="X104" s="201">
        <f>+U104-T104</f>
        <v/>
      </c>
      <c r="Y104" s="74" t="n"/>
    </row>
    <row r="105" ht="79.5" customFormat="1" customHeight="1" s="1">
      <c r="A105" s="28" t="n">
        <v>91</v>
      </c>
      <c r="B105" s="29" t="inlineStr">
        <is>
          <t>011104002002</t>
        </is>
      </c>
      <c r="C105" s="29" t="inlineStr">
        <is>
          <t>竹、木(复合)地板</t>
        </is>
      </c>
      <c r="D105" s="29" t="inlineStr">
        <is>
          <t>1.成品2厚UPVC卷材(同质透心)专用粘合剂粘贴
2.18mm阻燃夹板面铺
3.40*40*2方钢底架(横竖间隔≤600)
4.做法详见图纸</t>
        </is>
      </c>
      <c r="E105" s="30" t="inlineStr">
        <is>
          <t>m2</t>
        </is>
      </c>
      <c r="F105" s="30" t="n">
        <v>8.99</v>
      </c>
      <c r="G105" s="199" t="n">
        <v>8.859999999999999</v>
      </c>
      <c r="H105" s="200" t="n">
        <v>8.859999999999999</v>
      </c>
      <c r="I105" s="199">
        <f>G105-F105</f>
        <v/>
      </c>
      <c r="J105" s="199">
        <f>H105-F105</f>
        <v/>
      </c>
      <c r="K105" s="199">
        <f>+H105-G105</f>
        <v/>
      </c>
      <c r="L105" s="49">
        <f>I105/F105</f>
        <v/>
      </c>
      <c r="M105" s="30" t="n">
        <v>275.97</v>
      </c>
      <c r="N105" s="30" t="n">
        <v>451.48</v>
      </c>
      <c r="O105" s="49">
        <f>(M105-N105)/N105</f>
        <v/>
      </c>
      <c r="P105" s="199">
        <f>N105*0.9056*0.85</f>
        <v/>
      </c>
      <c r="Q105" s="199">
        <f>N105*1.15</f>
        <v/>
      </c>
      <c r="R105" s="199">
        <f>IF(M105&lt;N105*0.9056*0.85,N105*0.9056*0.85,IF(M105&gt;N105*1.15,N105*1.15,M105))</f>
        <v/>
      </c>
      <c r="S105" s="199">
        <f>+F105*M105</f>
        <v/>
      </c>
      <c r="T105" s="169">
        <f>S105+R105*I105</f>
        <v/>
      </c>
      <c r="U105" s="197">
        <f>S105+R105*J105</f>
        <v/>
      </c>
      <c r="V105" s="196">
        <f>U105-S105</f>
        <v/>
      </c>
      <c r="W105" s="197">
        <f>+U105-T105</f>
        <v/>
      </c>
      <c r="X105" s="201">
        <f>+U105-T105</f>
        <v/>
      </c>
      <c r="Y105" s="74" t="n"/>
    </row>
    <row r="106" ht="41.25" customFormat="1" customHeight="1" s="1">
      <c r="A106" s="28" t="n">
        <v>92</v>
      </c>
      <c r="B106" s="29" t="inlineStr">
        <is>
          <t>011101003002</t>
        </is>
      </c>
      <c r="C106" s="29" t="inlineStr">
        <is>
          <t>细石混凝土楼地面（地5）</t>
        </is>
      </c>
      <c r="D106" s="29" t="inlineStr">
        <is>
          <t>1.40厚C20细石混凝土,随打随抹光(骨料用石灰石、白云石)</t>
        </is>
      </c>
      <c r="E106" s="30" t="inlineStr">
        <is>
          <t>m2</t>
        </is>
      </c>
      <c r="F106" s="30" t="n">
        <v>111.87</v>
      </c>
      <c r="G106" s="199" t="n">
        <v>96.72</v>
      </c>
      <c r="H106" s="200" t="n">
        <v>96.72</v>
      </c>
      <c r="I106" s="199">
        <f>G106-F106</f>
        <v/>
      </c>
      <c r="J106" s="199">
        <f>H106-F106</f>
        <v/>
      </c>
      <c r="K106" s="199">
        <f>+H106-G106</f>
        <v/>
      </c>
      <c r="L106" s="49">
        <f>I106/F106</f>
        <v/>
      </c>
      <c r="M106" s="30" t="n">
        <v>37.28</v>
      </c>
      <c r="N106" s="30" t="n">
        <v>45.52</v>
      </c>
      <c r="O106" s="49">
        <f>(M106-N106)/N106</f>
        <v/>
      </c>
      <c r="P106" s="199">
        <f>N106*0.9056*0.85</f>
        <v/>
      </c>
      <c r="Q106" s="199">
        <f>N106*1.15</f>
        <v/>
      </c>
      <c r="R106" s="199">
        <f>IF(M106&lt;N106*0.9056*0.85,N106*0.9056*0.85,IF(M106&gt;N106*1.15,N106*1.15,M106))</f>
        <v/>
      </c>
      <c r="S106" s="199">
        <f>+F106*M106</f>
        <v/>
      </c>
      <c r="T106" s="169">
        <f>S106+R106*I106</f>
        <v/>
      </c>
      <c r="U106" s="197">
        <f>S106+R106*J106</f>
        <v/>
      </c>
      <c r="V106" s="196">
        <f>U106-S106</f>
        <v/>
      </c>
      <c r="W106" s="197">
        <f>+U106-T106</f>
        <v/>
      </c>
      <c r="X106" s="201">
        <f>+U106-T106</f>
        <v/>
      </c>
      <c r="Y106" s="74" t="n"/>
    </row>
    <row r="107" ht="66.75" customFormat="1" customHeight="1" s="1">
      <c r="A107" s="28" t="n">
        <v>93</v>
      </c>
      <c r="B107" s="29" t="inlineStr">
        <is>
          <t>011104004002</t>
        </is>
      </c>
      <c r="C107" s="29" t="inlineStr">
        <is>
          <t>防静电活动地板（地6）</t>
        </is>
      </c>
      <c r="D107" s="29" t="inlineStr">
        <is>
          <t>1.150~250高架空防静电活动地板
2.20厚M20水泥砂浆,压实赶光,面层涂刷地板漆
3.做法详见图纸</t>
        </is>
      </c>
      <c r="E107" s="30" t="inlineStr">
        <is>
          <t>m2</t>
        </is>
      </c>
      <c r="F107" s="30" t="n">
        <v>28.42</v>
      </c>
      <c r="G107" s="199" t="n">
        <v>28.35</v>
      </c>
      <c r="H107" s="200" t="n">
        <v>28.35</v>
      </c>
      <c r="I107" s="199">
        <f>G107-F107</f>
        <v/>
      </c>
      <c r="J107" s="199">
        <f>H107-F107</f>
        <v/>
      </c>
      <c r="K107" s="199">
        <f>+H107-G107</f>
        <v/>
      </c>
      <c r="L107" s="49">
        <f>I107/F107</f>
        <v/>
      </c>
      <c r="M107" s="30" t="n">
        <v>371.27</v>
      </c>
      <c r="N107" s="30" t="n">
        <v>486.78</v>
      </c>
      <c r="O107" s="49">
        <f>(M107-N107)/N107</f>
        <v/>
      </c>
      <c r="P107" s="199">
        <f>N107*0.9056*0.85</f>
        <v/>
      </c>
      <c r="Q107" s="199">
        <f>N107*1.15</f>
        <v/>
      </c>
      <c r="R107" s="199">
        <f>IF(M107&lt;N107*0.9056*0.85,N107*0.9056*0.85,IF(M107&gt;N107*1.15,N107*1.15,M107))</f>
        <v/>
      </c>
      <c r="S107" s="199">
        <f>+F107*M107</f>
        <v/>
      </c>
      <c r="T107" s="169">
        <f>S107+R107*I107</f>
        <v/>
      </c>
      <c r="U107" s="197">
        <f>S107+R107*J107</f>
        <v/>
      </c>
      <c r="V107" s="196">
        <f>U107-S107</f>
        <v/>
      </c>
      <c r="W107" s="197">
        <f>+U107-T107</f>
        <v/>
      </c>
      <c r="X107" s="201">
        <f>+U107-T107</f>
        <v/>
      </c>
      <c r="Y107" s="74" t="n"/>
    </row>
    <row r="108" ht="66.75" customFormat="1" customHeight="1" s="1">
      <c r="A108" s="28" t="n">
        <v>94</v>
      </c>
      <c r="B108" s="29" t="inlineStr">
        <is>
          <t>011104002001</t>
        </is>
      </c>
      <c r="C108" s="29" t="inlineStr">
        <is>
          <t>竹、木(复合)地板</t>
        </is>
      </c>
      <c r="D108" s="29" t="inlineStr">
        <is>
          <t>1.12mm厚900*150实木地板
2.18mm阻燃夹板面铺
3.40*40*2方钢底架(横竖间隔≤600)
4.做法详见图纸</t>
        </is>
      </c>
      <c r="E108" s="30" t="inlineStr">
        <is>
          <t>m2</t>
        </is>
      </c>
      <c r="F108" s="30" t="n">
        <v>183.197</v>
      </c>
      <c r="G108" s="199" t="n">
        <v>182.5</v>
      </c>
      <c r="H108" s="200" t="n">
        <v>182.5</v>
      </c>
      <c r="I108" s="199">
        <f>G108-F108</f>
        <v/>
      </c>
      <c r="J108" s="199">
        <f>H108-F108</f>
        <v/>
      </c>
      <c r="K108" s="199">
        <f>+H108-G108</f>
        <v/>
      </c>
      <c r="L108" s="49">
        <f>I108/F108</f>
        <v/>
      </c>
      <c r="M108" s="30" t="n">
        <v>309.33</v>
      </c>
      <c r="N108" s="30" t="n">
        <v>499.73</v>
      </c>
      <c r="O108" s="49">
        <f>(M108-N108)/N108</f>
        <v/>
      </c>
      <c r="P108" s="199">
        <f>N108*0.9056*0.85</f>
        <v/>
      </c>
      <c r="Q108" s="199">
        <f>N108*1.15</f>
        <v/>
      </c>
      <c r="R108" s="199">
        <f>IF(M108&lt;N108*0.9056*0.85,N108*0.9056*0.85,IF(M108&gt;N108*1.15,N108*1.15,M108))</f>
        <v/>
      </c>
      <c r="S108" s="199">
        <f>+F108*M108</f>
        <v/>
      </c>
      <c r="T108" s="169">
        <f>S108+R108*I108</f>
        <v/>
      </c>
      <c r="U108" s="197">
        <f>S108+R108*J108</f>
        <v/>
      </c>
      <c r="V108" s="196">
        <f>U108-S108</f>
        <v/>
      </c>
      <c r="W108" s="197">
        <f>+U108-T108</f>
        <v/>
      </c>
      <c r="X108" s="201">
        <f>+U108-T108</f>
        <v/>
      </c>
      <c r="Y108" s="74" t="n"/>
    </row>
    <row r="109" ht="79.5" customFormat="1" customHeight="1" s="1">
      <c r="A109" s="28" t="n">
        <v>95</v>
      </c>
      <c r="B109" s="29" t="inlineStr">
        <is>
          <t>011102003017</t>
        </is>
      </c>
      <c r="C109" s="29" t="inlineStr">
        <is>
          <t>块料楼地面（地8）</t>
        </is>
      </c>
      <c r="D109" s="29" t="inlineStr">
        <is>
          <t>1.楼地面铺贴800X800mm仿古地砖,面用白水泥擦缝
2.30厚1:3干硬性水泥砂浆结合层
3.3厚ALE隔声涂料
4.做法详见图纸</t>
        </is>
      </c>
      <c r="E109" s="30" t="inlineStr">
        <is>
          <t>m2</t>
        </is>
      </c>
      <c r="F109" s="30" t="n">
        <v>3115.37</v>
      </c>
      <c r="G109" s="199" t="n">
        <v>3127.6</v>
      </c>
      <c r="H109" s="200" t="n">
        <v>3127.6</v>
      </c>
      <c r="I109" s="199">
        <f>G109-F109</f>
        <v/>
      </c>
      <c r="J109" s="199">
        <f>H109-F109</f>
        <v/>
      </c>
      <c r="K109" s="199">
        <f>+H109-G109</f>
        <v/>
      </c>
      <c r="L109" s="49">
        <f>I109/F109</f>
        <v/>
      </c>
      <c r="M109" s="30" t="n">
        <v>162.27</v>
      </c>
      <c r="N109" s="30" t="n">
        <v>181.82</v>
      </c>
      <c r="O109" s="49">
        <f>(M109-N109)/N109</f>
        <v/>
      </c>
      <c r="P109" s="199">
        <f>N109*0.9056*0.85</f>
        <v/>
      </c>
      <c r="Q109" s="199">
        <f>N109*1.15</f>
        <v/>
      </c>
      <c r="R109" s="199">
        <f>IF(M109&lt;N109*0.9056*0.85,N109*0.9056*0.85,IF(M109&gt;N109*1.15,N109*1.15,M109))</f>
        <v/>
      </c>
      <c r="S109" s="199">
        <f>+F109*M109</f>
        <v/>
      </c>
      <c r="T109" s="169">
        <f>S109+R109*I109</f>
        <v/>
      </c>
      <c r="U109" s="197">
        <f>S109+R109*J109</f>
        <v/>
      </c>
      <c r="V109" s="196">
        <f>U109-S109</f>
        <v/>
      </c>
      <c r="W109" s="197">
        <f>+U109-T109</f>
        <v/>
      </c>
      <c r="X109" s="201">
        <f>+U109-T109</f>
        <v/>
      </c>
      <c r="Y109" s="74" t="n"/>
    </row>
    <row r="110" ht="79.5" customFormat="1" customHeight="1" s="1">
      <c r="A110" s="28" t="n">
        <v>96</v>
      </c>
      <c r="B110" s="29" t="inlineStr">
        <is>
          <t>011102003019</t>
        </is>
      </c>
      <c r="C110" s="29" t="inlineStr">
        <is>
          <t>块料楼地面</t>
        </is>
      </c>
      <c r="D110" s="29" t="inlineStr">
        <is>
          <t>1.楼地面铺贴600X600mm仿古地砖,面用白水泥擦缝
2.30厚1:3干硬性水泥砂浆结合层
3.3厚ALE隔声涂料
4.做法详见图纸</t>
        </is>
      </c>
      <c r="E110" s="30" t="inlineStr">
        <is>
          <t>m2</t>
        </is>
      </c>
      <c r="F110" s="30" t="n">
        <v>293.97</v>
      </c>
      <c r="G110" s="199" t="n">
        <v>282.62</v>
      </c>
      <c r="H110" s="200" t="n">
        <v>282.62</v>
      </c>
      <c r="I110" s="199">
        <f>G110-F110</f>
        <v/>
      </c>
      <c r="J110" s="199">
        <f>H110-F110</f>
        <v/>
      </c>
      <c r="K110" s="199">
        <f>+H110-G110</f>
        <v/>
      </c>
      <c r="L110" s="49">
        <f>I110/F110</f>
        <v/>
      </c>
      <c r="M110" s="30" t="n">
        <v>160.56</v>
      </c>
      <c r="N110" s="30" t="n">
        <v>162.88</v>
      </c>
      <c r="O110" s="49">
        <f>(M110-N110)/N110</f>
        <v/>
      </c>
      <c r="P110" s="199">
        <f>N110*0.9056*0.85</f>
        <v/>
      </c>
      <c r="Q110" s="199">
        <f>N110*1.15</f>
        <v/>
      </c>
      <c r="R110" s="199">
        <f>IF(M110&lt;N110*0.9056*0.85,N110*0.9056*0.85,IF(M110&gt;N110*1.15,N110*1.15,M110))</f>
        <v/>
      </c>
      <c r="S110" s="199">
        <f>+F110*M110</f>
        <v/>
      </c>
      <c r="T110" s="169">
        <f>S110+R110*I110</f>
        <v/>
      </c>
      <c r="U110" s="197">
        <f>S110+R110*J110</f>
        <v/>
      </c>
      <c r="V110" s="196">
        <f>U110-S110</f>
        <v/>
      </c>
      <c r="W110" s="197">
        <f>+U110-T110</f>
        <v/>
      </c>
      <c r="X110" s="201">
        <f>+U110-T110</f>
        <v/>
      </c>
      <c r="Y110" s="74" t="n"/>
    </row>
    <row r="111" ht="79.5" customFormat="1" customHeight="1" s="1">
      <c r="A111" s="28" t="n">
        <v>97</v>
      </c>
      <c r="B111" s="29" t="inlineStr">
        <is>
          <t>011102003020</t>
        </is>
      </c>
      <c r="C111" s="29" t="inlineStr">
        <is>
          <t>块料楼地面</t>
        </is>
      </c>
      <c r="D111" s="29" t="inlineStr">
        <is>
          <t>1.楼地面铺贴600*600木纹砖,面用白水泥擦缝
2.30厚1:3干硬性水泥砂浆结合层
3.3厚ALE隔声涂料
4.做法详见图纸</t>
        </is>
      </c>
      <c r="E111" s="30" t="inlineStr">
        <is>
          <t>m2</t>
        </is>
      </c>
      <c r="F111" s="30" t="n">
        <v>86.09999999999999</v>
      </c>
      <c r="G111" s="199" t="n">
        <v>85.15000000000001</v>
      </c>
      <c r="H111" s="200" t="n">
        <v>85.15000000000001</v>
      </c>
      <c r="I111" s="199">
        <f>G111-F111</f>
        <v/>
      </c>
      <c r="J111" s="199">
        <f>H111-F111</f>
        <v/>
      </c>
      <c r="K111" s="199">
        <f>+H111-G111</f>
        <v/>
      </c>
      <c r="L111" s="49">
        <f>I111/F111</f>
        <v/>
      </c>
      <c r="M111" s="30" t="n">
        <v>160.56</v>
      </c>
      <c r="N111" s="30" t="n">
        <v>197.61</v>
      </c>
      <c r="O111" s="49">
        <f>(M111-N111)/N111</f>
        <v/>
      </c>
      <c r="P111" s="199">
        <f>N111*0.9056*0.85</f>
        <v/>
      </c>
      <c r="Q111" s="199">
        <f>N111*1.15</f>
        <v/>
      </c>
      <c r="R111" s="199">
        <f>IF(M111&lt;N111*0.9056*0.85,N111*0.9056*0.85,IF(M111&gt;N111*1.15,N111*1.15,M111))</f>
        <v/>
      </c>
      <c r="S111" s="199">
        <f>+F111*M111</f>
        <v/>
      </c>
      <c r="T111" s="169">
        <f>S111+R111*I111</f>
        <v/>
      </c>
      <c r="U111" s="197">
        <f>S111+R111*J111</f>
        <v/>
      </c>
      <c r="V111" s="196">
        <f>U111-S111</f>
        <v/>
      </c>
      <c r="W111" s="197">
        <f>+U111-T111</f>
        <v/>
      </c>
      <c r="X111" s="201">
        <f>+U111-T111</f>
        <v/>
      </c>
      <c r="Y111" s="74" t="n"/>
    </row>
    <row r="112" ht="66.75" customFormat="1" customHeight="1" s="1">
      <c r="A112" s="28" t="n">
        <v>98</v>
      </c>
      <c r="B112" s="29" t="inlineStr">
        <is>
          <t>011102003018</t>
        </is>
      </c>
      <c r="C112" s="29" t="inlineStr">
        <is>
          <t>块料楼地面（地10）</t>
        </is>
      </c>
      <c r="D112" s="29" t="inlineStr">
        <is>
          <t>1.8~10厚防滑地砖铺实拍平,水泥砂浆填缝
2.30厚1:3干硬性水泥砂浆结合层
3.做法详见图纸</t>
        </is>
      </c>
      <c r="E112" s="30" t="inlineStr">
        <is>
          <t>m2</t>
        </is>
      </c>
      <c r="F112" s="30" t="n">
        <v>3705.78</v>
      </c>
      <c r="G112" s="199" t="n">
        <v>3908.85</v>
      </c>
      <c r="H112" s="200" t="n">
        <v>3908.85</v>
      </c>
      <c r="I112" s="199">
        <f>G112-F112</f>
        <v/>
      </c>
      <c r="J112" s="199">
        <f>H112-F112</f>
        <v/>
      </c>
      <c r="K112" s="199">
        <f>+H112-G112</f>
        <v/>
      </c>
      <c r="L112" s="49">
        <f>I112/F112</f>
        <v/>
      </c>
      <c r="M112" s="30" t="n">
        <v>129.21</v>
      </c>
      <c r="N112" s="30" t="n">
        <v>90.73</v>
      </c>
      <c r="O112" s="49">
        <f>(M112-N112)/N112</f>
        <v/>
      </c>
      <c r="P112" s="199">
        <f>N112*0.9056*0.85</f>
        <v/>
      </c>
      <c r="Q112" s="199">
        <f>N112*1.15</f>
        <v/>
      </c>
      <c r="R112" s="199">
        <f>IF(M112&lt;N112*0.9056*0.85,N112*0.9056*0.85,IF(M112&gt;N112*1.15,N112*1.15,M112))</f>
        <v/>
      </c>
      <c r="S112" s="199">
        <f>+F112*M112</f>
        <v/>
      </c>
      <c r="T112" s="169">
        <f>S112+R112*I112</f>
        <v/>
      </c>
      <c r="U112" s="197">
        <f>S112+R112*J112</f>
        <v/>
      </c>
      <c r="V112" s="196">
        <f>U112-S112</f>
        <v/>
      </c>
      <c r="W112" s="197">
        <f>+U112-T112</f>
        <v/>
      </c>
      <c r="X112" s="201">
        <f>+U112-T112</f>
        <v/>
      </c>
      <c r="Y112" s="74" t="n"/>
    </row>
    <row r="113" ht="79.5" customFormat="1" customHeight="1" s="1">
      <c r="A113" s="28" t="n">
        <v>99</v>
      </c>
      <c r="B113" s="29" t="inlineStr">
        <is>
          <t>011106002001</t>
        </is>
      </c>
      <c r="C113" s="29" t="inlineStr">
        <is>
          <t>块料楼梯面层（地10）</t>
        </is>
      </c>
      <c r="D113" s="29" t="inlineStr">
        <is>
          <t>1.楼梯面层
2.8~10厚防滑地砖铺实拍平,水泥砂浆填缝
3.30厚1:3干硬性水泥砂浆结合层
4.做法详见图纸</t>
        </is>
      </c>
      <c r="E113" s="30" t="inlineStr">
        <is>
          <t>m2</t>
        </is>
      </c>
      <c r="F113" s="30" t="n">
        <v>721.1799999999999</v>
      </c>
      <c r="G113" s="199" t="n">
        <v>437.63</v>
      </c>
      <c r="H113" s="200" t="n">
        <v>437.63</v>
      </c>
      <c r="I113" s="199">
        <f>G113-F113</f>
        <v/>
      </c>
      <c r="J113" s="199">
        <f>H113-F113</f>
        <v/>
      </c>
      <c r="K113" s="199">
        <f>+H113-G113</f>
        <v/>
      </c>
      <c r="L113" s="49">
        <f>I113/F113</f>
        <v/>
      </c>
      <c r="M113" s="30" t="n">
        <v>256.98</v>
      </c>
      <c r="N113" s="30" t="n">
        <v>212.4</v>
      </c>
      <c r="O113" s="49">
        <f>(M113-N113)/N113</f>
        <v/>
      </c>
      <c r="P113" s="199">
        <f>N113*0.9056*0.85</f>
        <v/>
      </c>
      <c r="Q113" s="199">
        <f>N113*1.15</f>
        <v/>
      </c>
      <c r="R113" s="199">
        <f>IF(M113&lt;N113*0.9056*0.85,N113*0.9056*0.85,IF(M113&gt;N113*1.15,N113*1.15,M113))</f>
        <v/>
      </c>
      <c r="S113" s="199">
        <f>+F113*M113</f>
        <v/>
      </c>
      <c r="T113" s="169">
        <f>S113+R113*I113</f>
        <v/>
      </c>
      <c r="U113" s="197">
        <f>S113+R113*J113</f>
        <v/>
      </c>
      <c r="V113" s="196">
        <f>U113-S113</f>
        <v/>
      </c>
      <c r="W113" s="197">
        <f>+U113-T113</f>
        <v/>
      </c>
      <c r="X113" s="201">
        <f>+U113-T113</f>
        <v/>
      </c>
      <c r="Y113" s="74" t="n"/>
    </row>
    <row r="114" ht="54" customFormat="1" customHeight="1" s="1">
      <c r="A114" s="28" t="n">
        <v>100</v>
      </c>
      <c r="B114" s="29" t="inlineStr">
        <is>
          <t>011105001001</t>
        </is>
      </c>
      <c r="C114" s="29" t="inlineStr">
        <is>
          <t>水泥砂浆踢脚线</t>
        </is>
      </c>
      <c r="D114" s="29" t="inlineStr">
        <is>
          <t>1.水泥砂浆踢脚线
2.15厚M15水泥砂浆底+10厚M20水泥砂浆面
3.高度:120mm</t>
        </is>
      </c>
      <c r="E114" s="30" t="inlineStr">
        <is>
          <t>m2</t>
        </is>
      </c>
      <c r="F114" s="30" t="n">
        <v>11.6</v>
      </c>
      <c r="G114" s="199" t="n">
        <v>14.37</v>
      </c>
      <c r="H114" s="200" t="n">
        <v>14.37</v>
      </c>
      <c r="I114" s="199">
        <f>G114-F114</f>
        <v/>
      </c>
      <c r="J114" s="199">
        <f>H114-F114</f>
        <v/>
      </c>
      <c r="K114" s="199">
        <f>+H114-G114</f>
        <v/>
      </c>
      <c r="L114" s="49">
        <f>I114/F114</f>
        <v/>
      </c>
      <c r="M114" s="30" t="n">
        <v>61.3</v>
      </c>
      <c r="N114" s="30" t="n">
        <v>41.42</v>
      </c>
      <c r="O114" s="49">
        <f>(M114-N114)/N114</f>
        <v/>
      </c>
      <c r="P114" s="199">
        <f>N114*0.9056*0.85</f>
        <v/>
      </c>
      <c r="Q114" s="199">
        <f>N114*1.15</f>
        <v/>
      </c>
      <c r="R114" s="199">
        <f>IF(M114&lt;N114*0.9056*0.85,N114*0.9056*0.85,IF(M114&gt;N114*1.15,N114*1.15,M114))</f>
        <v/>
      </c>
      <c r="S114" s="199">
        <f>+F114*M114</f>
        <v/>
      </c>
      <c r="T114" s="169">
        <f>S114+R114*I114</f>
        <v/>
      </c>
      <c r="U114" s="197">
        <f>S114+R114*J114</f>
        <v/>
      </c>
      <c r="V114" s="196">
        <f>U114-S114</f>
        <v/>
      </c>
      <c r="W114" s="197">
        <f>+U114-T114</f>
        <v/>
      </c>
      <c r="X114" s="201">
        <f>+U114-T114</f>
        <v/>
      </c>
      <c r="Y114" s="74" t="n"/>
    </row>
    <row r="115" ht="66.75" customFormat="1" customHeight="1" s="1">
      <c r="A115" s="28" t="n">
        <v>101</v>
      </c>
      <c r="B115" s="29" t="inlineStr">
        <is>
          <t>011105003001</t>
        </is>
      </c>
      <c r="C115" s="29" t="inlineStr">
        <is>
          <t>块料踢脚线</t>
        </is>
      </c>
      <c r="D115" s="29" t="inlineStr">
        <is>
          <t>1.5~10厚砖块踢脚线,稀水泥浆(或彩色水泥浆)擦缝
2.高度:120mm
3.9厚M20水泥砂浆粘接层(内掺建筑胶)</t>
        </is>
      </c>
      <c r="E115" s="30" t="inlineStr">
        <is>
          <t>m2</t>
        </is>
      </c>
      <c r="F115" s="30" t="n">
        <v>299.7787</v>
      </c>
      <c r="G115" s="199" t="n">
        <v>99.41</v>
      </c>
      <c r="H115" s="200" t="n">
        <v>99.41</v>
      </c>
      <c r="I115" s="199">
        <f>G115-F115</f>
        <v/>
      </c>
      <c r="J115" s="199">
        <f>H115-F115</f>
        <v/>
      </c>
      <c r="K115" s="199">
        <f>+H115-G115</f>
        <v/>
      </c>
      <c r="L115" s="49">
        <f>I115/F115</f>
        <v/>
      </c>
      <c r="M115" s="30" t="n">
        <v>192.09</v>
      </c>
      <c r="N115" s="30" t="n">
        <v>190.61</v>
      </c>
      <c r="O115" s="49">
        <f>(M115-N115)/N115</f>
        <v/>
      </c>
      <c r="P115" s="199">
        <f>N115*0.9056*0.85</f>
        <v/>
      </c>
      <c r="Q115" s="199">
        <f>N115*1.15</f>
        <v/>
      </c>
      <c r="R115" s="199">
        <f>IF(M115&lt;N115*0.9056*0.85,N115*0.9056*0.85,IF(M115&gt;N115*1.15,N115*1.15,M115))</f>
        <v/>
      </c>
      <c r="S115" s="199">
        <f>+F115*M115</f>
        <v/>
      </c>
      <c r="T115" s="169">
        <f>S115+R115*I115</f>
        <v/>
      </c>
      <c r="U115" s="197">
        <f>S115+R115*J115</f>
        <v/>
      </c>
      <c r="V115" s="196">
        <f>U115-S115</f>
        <v/>
      </c>
      <c r="W115" s="197">
        <f>+U115-T115</f>
        <v/>
      </c>
      <c r="X115" s="201">
        <f>+U115-T115</f>
        <v/>
      </c>
      <c r="Y115" s="91" t="n"/>
    </row>
    <row r="116" ht="79.5" customFormat="1" customHeight="1" s="1">
      <c r="A116" s="28" t="n">
        <v>102</v>
      </c>
      <c r="B116" s="29" t="inlineStr">
        <is>
          <t>040201022001</t>
        </is>
      </c>
      <c r="C116" s="29" t="inlineStr">
        <is>
          <t>排水沟、截水沟</t>
        </is>
      </c>
      <c r="D116" s="29" t="inlineStr">
        <is>
          <t>1.排水沟
2.最薄15厚DSM20水泥砂找坡0.5%(沟底)阴角位置做R=50的圆弧处理
3.20厚DWM20防水砂浆
4.380mm成品不锈钢格栅</t>
        </is>
      </c>
      <c r="E116" s="30" t="inlineStr">
        <is>
          <t>m</t>
        </is>
      </c>
      <c r="F116" s="30" t="n">
        <v>37.3</v>
      </c>
      <c r="G116" s="199" t="n">
        <v>59.05</v>
      </c>
      <c r="H116" s="200" t="n">
        <v>59.05</v>
      </c>
      <c r="I116" s="199">
        <f>G116-F116</f>
        <v/>
      </c>
      <c r="J116" s="199">
        <f>H116-F116</f>
        <v/>
      </c>
      <c r="K116" s="199">
        <f>+H116-G116</f>
        <v/>
      </c>
      <c r="L116" s="49">
        <f>I116/F116</f>
        <v/>
      </c>
      <c r="M116" s="30" t="n">
        <v>240.47</v>
      </c>
      <c r="N116" s="30" t="n">
        <v>365.14</v>
      </c>
      <c r="O116" s="49">
        <f>(M116-N116)/N116</f>
        <v/>
      </c>
      <c r="P116" s="199">
        <f>N116*0.9056*0.85</f>
        <v/>
      </c>
      <c r="Q116" s="199">
        <f>N116*1.15</f>
        <v/>
      </c>
      <c r="R116" s="199">
        <f>IF(M116&lt;N116*0.9056*0.85,N116*0.9056*0.85,IF(M116&gt;N116*1.15,N116*1.15,M116))</f>
        <v/>
      </c>
      <c r="S116" s="199">
        <f>+F116*M116</f>
        <v/>
      </c>
      <c r="T116" s="169">
        <f>S116+R116*I116</f>
        <v/>
      </c>
      <c r="U116" s="197">
        <f>S116+R116*J116</f>
        <v/>
      </c>
      <c r="V116" s="196">
        <f>U116-S116</f>
        <v/>
      </c>
      <c r="W116" s="197">
        <f>+U116-T116</f>
        <v/>
      </c>
      <c r="X116" s="201">
        <f>+U116-T116</f>
        <v/>
      </c>
      <c r="Y116" s="74" t="n"/>
    </row>
    <row r="117" ht="41.25" customFormat="1" customHeight="1" s="1">
      <c r="A117" s="28" t="n"/>
      <c r="B117" s="29" t="n"/>
      <c r="C117" s="29" t="inlineStr">
        <is>
          <t>墙、柱面装饰与隔断、幕墙工程</t>
        </is>
      </c>
      <c r="D117" s="29" t="n"/>
      <c r="E117" s="29" t="n"/>
      <c r="F117" s="30" t="n"/>
      <c r="G117" s="199" t="n"/>
      <c r="H117" s="31" t="n"/>
      <c r="I117" s="199" t="n"/>
      <c r="J117" s="199" t="n"/>
      <c r="K117" s="199" t="n"/>
      <c r="L117" s="49" t="n"/>
      <c r="M117" s="30" t="n"/>
      <c r="N117" s="30" t="n"/>
      <c r="O117" s="30" t="n"/>
      <c r="P117" s="30" t="n"/>
      <c r="Q117" s="30" t="n"/>
      <c r="R117" s="199" t="n"/>
      <c r="S117" s="196">
        <f>+SUM(S118:S140)</f>
        <v/>
      </c>
      <c r="T117" s="196">
        <f>+SUM(T118:T140)</f>
        <v/>
      </c>
      <c r="U117" s="197">
        <f>SUM(U118:U140)</f>
        <v/>
      </c>
      <c r="V117" s="196">
        <f>U117-S117</f>
        <v/>
      </c>
      <c r="W117" s="197">
        <f>+U117-T117</f>
        <v/>
      </c>
      <c r="X117" s="198">
        <f>U117-T117</f>
        <v/>
      </c>
      <c r="Y117" s="74" t="n"/>
    </row>
    <row r="118" ht="188" customFormat="1" customHeight="1" s="1">
      <c r="A118" s="28" t="n">
        <v>103</v>
      </c>
      <c r="B118" s="29" t="inlineStr">
        <is>
          <t>011204003001</t>
        </is>
      </c>
      <c r="C118" s="29" t="inlineStr">
        <is>
          <t>块料墙面(外墙2)</t>
        </is>
      </c>
      <c r="D118" s="29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E118" s="30" t="inlineStr">
        <is>
          <t>m2</t>
        </is>
      </c>
      <c r="F118" s="30" t="n">
        <v>4800.62</v>
      </c>
      <c r="G118" s="199" t="n">
        <v>5727.72</v>
      </c>
      <c r="H118" s="200" t="n">
        <v>5727.72</v>
      </c>
      <c r="I118" s="199">
        <f>G118-F118</f>
        <v/>
      </c>
      <c r="J118" s="199">
        <f>H118-F118</f>
        <v/>
      </c>
      <c r="K118" s="199">
        <f>+H118-G118</f>
        <v/>
      </c>
      <c r="L118" s="49">
        <f>I118/F118</f>
        <v/>
      </c>
      <c r="M118" s="30" t="n">
        <v>188.2</v>
      </c>
      <c r="N118" s="30" t="n">
        <v>140.67</v>
      </c>
      <c r="O118" s="49">
        <f>(M118-N118)/N118</f>
        <v/>
      </c>
      <c r="P118" s="199">
        <f>N118*0.9056*0.85</f>
        <v/>
      </c>
      <c r="Q118" s="199">
        <f>N118*1.15</f>
        <v/>
      </c>
      <c r="R118" s="199">
        <f>IF(M118&lt;N118*0.9056*0.85,N118*0.9056*0.85,IF(M118&gt;N118*1.15,N118*1.15,M118))</f>
        <v/>
      </c>
      <c r="S118" s="199">
        <f>+F118*M118</f>
        <v/>
      </c>
      <c r="T118" s="169">
        <f>S118+R118*I118</f>
        <v/>
      </c>
      <c r="U118" s="197">
        <f>S118+R118*J118</f>
        <v/>
      </c>
      <c r="V118" s="196">
        <f>U118-S118</f>
        <v/>
      </c>
      <c r="W118" s="197">
        <f>+U118-T118</f>
        <v/>
      </c>
      <c r="X118" s="201">
        <f>+U118-T118</f>
        <v/>
      </c>
      <c r="Y118" s="74" t="n"/>
    </row>
    <row r="119" ht="157" customFormat="1" customHeight="1" s="1">
      <c r="A119" s="28" t="n">
        <v>104</v>
      </c>
      <c r="B119" s="29" t="inlineStr">
        <is>
          <t>011407001002</t>
        </is>
      </c>
      <c r="C119" s="29" t="inlineStr">
        <is>
          <t>墙面喷刷涂料(外墙1)</t>
        </is>
      </c>
      <c r="D119" s="29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19" s="30" t="inlineStr">
        <is>
          <t>m2</t>
        </is>
      </c>
      <c r="F119" s="30" t="n">
        <v>4141.885</v>
      </c>
      <c r="G119" s="199" t="n">
        <v>4617.49</v>
      </c>
      <c r="H119" s="200" t="n">
        <v>4617.49</v>
      </c>
      <c r="I119" s="199">
        <f>G119-F119</f>
        <v/>
      </c>
      <c r="J119" s="199">
        <f>H119-F119</f>
        <v/>
      </c>
      <c r="K119" s="199">
        <f>+H119-G119</f>
        <v/>
      </c>
      <c r="L119" s="49">
        <f>I119/F119</f>
        <v/>
      </c>
      <c r="M119" s="30" t="n">
        <v>133.2</v>
      </c>
      <c r="N119" s="30" t="n">
        <v>98.47</v>
      </c>
      <c r="O119" s="49">
        <f>(M119-N119)/N119</f>
        <v/>
      </c>
      <c r="P119" s="199">
        <f>N119*0.9056*0.85</f>
        <v/>
      </c>
      <c r="Q119" s="199">
        <f>N119*1.15</f>
        <v/>
      </c>
      <c r="R119" s="199">
        <f>IF(M119&lt;N119*0.9056*0.85,N119*0.9056*0.85,IF(M119&gt;N119*1.15,N119*1.15,M119))</f>
        <v/>
      </c>
      <c r="S119" s="199">
        <f>+F119*M119</f>
        <v/>
      </c>
      <c r="T119" s="169">
        <f>S119+R119*I119</f>
        <v/>
      </c>
      <c r="U119" s="197">
        <f>S119+R119*J119</f>
        <v/>
      </c>
      <c r="V119" s="196">
        <f>U119-S119</f>
        <v/>
      </c>
      <c r="W119" s="197">
        <f>+U119-T119</f>
        <v/>
      </c>
      <c r="X119" s="201">
        <f>+U119-T119</f>
        <v/>
      </c>
      <c r="Y119" s="74" t="n"/>
    </row>
    <row r="120" ht="45" customFormat="1" customHeight="1" s="1">
      <c r="A120" s="28" t="n">
        <v>105</v>
      </c>
      <c r="B120" s="29" t="inlineStr">
        <is>
          <t>011201001007</t>
        </is>
      </c>
      <c r="C120" s="29" t="inlineStr">
        <is>
          <t>墙面一般抹灰（墙1、墙5）</t>
        </is>
      </c>
      <c r="D120" s="29" t="inlineStr">
        <is>
          <t>1.20厚M10水泥砂浆抹面压光
2.甩浆拉毛刷108胶素水泥浆一道(内掺水重8%的胶料)</t>
        </is>
      </c>
      <c r="E120" s="30" t="inlineStr">
        <is>
          <t>m2</t>
        </is>
      </c>
      <c r="F120" s="30" t="n">
        <v>860.21</v>
      </c>
      <c r="G120" s="199" t="n">
        <v>1062.87</v>
      </c>
      <c r="H120" s="200" t="n">
        <v>1062.87</v>
      </c>
      <c r="I120" s="199">
        <f>G120-F120</f>
        <v/>
      </c>
      <c r="J120" s="199">
        <f>H120-F120</f>
        <v/>
      </c>
      <c r="K120" s="199">
        <f>+H120-G120</f>
        <v/>
      </c>
      <c r="L120" s="49">
        <f>I120/F120</f>
        <v/>
      </c>
      <c r="M120" s="30" t="n">
        <v>30.33</v>
      </c>
      <c r="N120" s="30" t="n">
        <v>31.52</v>
      </c>
      <c r="O120" s="49">
        <f>(M120-N120)/N120</f>
        <v/>
      </c>
      <c r="P120" s="199">
        <f>N120*0.9056*0.85</f>
        <v/>
      </c>
      <c r="Q120" s="199">
        <f>N120*1.15</f>
        <v/>
      </c>
      <c r="R120" s="199">
        <f>IF(M120&lt;N120*0.9056*0.85,N120*0.9056*0.85,IF(M120&gt;N120*1.15,N120*1.15,M120))</f>
        <v/>
      </c>
      <c r="S120" s="199">
        <f>+F120*M120</f>
        <v/>
      </c>
      <c r="T120" s="169">
        <f>S120+R120*I120</f>
        <v/>
      </c>
      <c r="U120" s="197">
        <f>S120+R120*J120</f>
        <v/>
      </c>
      <c r="V120" s="196">
        <f>U120-S120</f>
        <v/>
      </c>
      <c r="W120" s="197">
        <f>+U120-T120</f>
        <v/>
      </c>
      <c r="X120" s="201">
        <f>+U120-T120</f>
        <v/>
      </c>
      <c r="Y120" s="74" t="n"/>
    </row>
    <row r="121" ht="126" customFormat="1" customHeight="1" s="1">
      <c r="A121" s="28" t="n">
        <v>106</v>
      </c>
      <c r="B121" s="29" t="inlineStr">
        <is>
          <t>011207001002</t>
        </is>
      </c>
      <c r="C121" s="29" t="inlineStr">
        <is>
          <t>墙面装饰板（墙2）</t>
        </is>
      </c>
      <c r="D121" s="29" t="inlineStr">
        <is>
          <t>1.护墙板墙面
2.面层材料品种、规格、颜色:顶部:10*60mm浅金檀护墙板收口线
中部:9mm浅金檀护墙板
底部:17mm浅金檀护墙板地脚线
3.做法详见图纸</t>
        </is>
      </c>
      <c r="E121" s="30" t="inlineStr">
        <is>
          <t>m2</t>
        </is>
      </c>
      <c r="F121" s="30" t="n">
        <v>1005.89</v>
      </c>
      <c r="G121" s="199" t="n">
        <v>942.12</v>
      </c>
      <c r="H121" s="200" t="n">
        <v>942.12</v>
      </c>
      <c r="I121" s="199">
        <f>G121-F121</f>
        <v/>
      </c>
      <c r="J121" s="199">
        <f>H121-F121</f>
        <v/>
      </c>
      <c r="K121" s="199">
        <f>+H121-G121</f>
        <v/>
      </c>
      <c r="L121" s="49">
        <f>I121/F121</f>
        <v/>
      </c>
      <c r="M121" s="30" t="n">
        <v>334.46</v>
      </c>
      <c r="N121" s="30" t="n">
        <v>371.67</v>
      </c>
      <c r="O121" s="49">
        <f>(M121-N121)/N121</f>
        <v/>
      </c>
      <c r="P121" s="199">
        <f>N121*0.9056*0.85</f>
        <v/>
      </c>
      <c r="Q121" s="199">
        <f>N121*1.15</f>
        <v/>
      </c>
      <c r="R121" s="199">
        <f>IF(M121&lt;N121*0.9056*0.85,N121*0.9056*0.85,IF(M121&gt;N121*1.15,N121*1.15,M121))</f>
        <v/>
      </c>
      <c r="S121" s="199">
        <f>+F121*M121</f>
        <v/>
      </c>
      <c r="T121" s="169">
        <f>S121+R121*I121</f>
        <v/>
      </c>
      <c r="U121" s="197">
        <f>S121+R121*J121</f>
        <v/>
      </c>
      <c r="V121" s="196">
        <f>U121-S121</f>
        <v/>
      </c>
      <c r="W121" s="197">
        <f>+U121-T121</f>
        <v/>
      </c>
      <c r="X121" s="201">
        <f>+U121-T121</f>
        <v/>
      </c>
      <c r="Y121" s="74" t="n"/>
    </row>
    <row r="122" ht="41.25" customFormat="1" customHeight="1" s="1">
      <c r="A122" s="28" t="n">
        <v>107</v>
      </c>
      <c r="B122" s="29" t="inlineStr">
        <is>
          <t>011406001004</t>
        </is>
      </c>
      <c r="C122" s="29" t="inlineStr">
        <is>
          <t>墙面喷刷涂料(墙3）</t>
        </is>
      </c>
      <c r="D122" s="29" t="inlineStr">
        <is>
          <t>1.满刮腻子二道
2.刷内墙无机涂料,底漆一道,面漆两道</t>
        </is>
      </c>
      <c r="E122" s="30" t="inlineStr">
        <is>
          <t>m2</t>
        </is>
      </c>
      <c r="F122" s="30" t="n">
        <v>7636.76</v>
      </c>
      <c r="G122" s="199" t="n">
        <v>7636.76</v>
      </c>
      <c r="H122" s="200">
        <f>7215.09+29.99</f>
        <v/>
      </c>
      <c r="I122" s="199">
        <f>G122-F122</f>
        <v/>
      </c>
      <c r="J122" s="199">
        <f>H122-F122</f>
        <v/>
      </c>
      <c r="K122" s="199">
        <f>+H122-G122</f>
        <v/>
      </c>
      <c r="L122" s="49">
        <f>I122/F122</f>
        <v/>
      </c>
      <c r="M122" s="30" t="n">
        <v>36.95</v>
      </c>
      <c r="N122" s="30" t="n">
        <v>50.6</v>
      </c>
      <c r="O122" s="49">
        <f>(M122-N122)/N122</f>
        <v/>
      </c>
      <c r="P122" s="199">
        <f>N122*0.9056*0.85</f>
        <v/>
      </c>
      <c r="Q122" s="199">
        <f>N122*1.15</f>
        <v/>
      </c>
      <c r="R122" s="199">
        <f>IF(M122&lt;N122*0.9056*0.85,N122*0.9056*0.85,IF(M122&gt;N122*1.15,N122*1.15,M122))</f>
        <v/>
      </c>
      <c r="S122" s="199">
        <f>+F122*M122</f>
        <v/>
      </c>
      <c r="T122" s="169">
        <f>S122+R122*I122</f>
        <v/>
      </c>
      <c r="U122" s="197">
        <f>S122+R122*J122</f>
        <v/>
      </c>
      <c r="V122" s="196">
        <f>U122-S122</f>
        <v/>
      </c>
      <c r="W122" s="197">
        <f>+U122-T122</f>
        <v/>
      </c>
      <c r="X122" s="201">
        <f>+U122-T122</f>
        <v/>
      </c>
      <c r="Y122" s="74" t="n"/>
    </row>
    <row r="123" ht="28.5" customFormat="1" customHeight="1" s="1">
      <c r="A123" s="28" t="n">
        <v>108</v>
      </c>
      <c r="B123" s="29" t="inlineStr">
        <is>
          <t>011204003012</t>
        </is>
      </c>
      <c r="C123" s="29" t="inlineStr">
        <is>
          <t>块料墙面（墙4）</t>
        </is>
      </c>
      <c r="D123" s="29" t="inlineStr">
        <is>
          <t>1.镶贴400*400陶瓷面砖墙面建筑胶粘剂粘贴</t>
        </is>
      </c>
      <c r="E123" s="30" t="inlineStr">
        <is>
          <t>m2</t>
        </is>
      </c>
      <c r="F123" s="30" t="n">
        <v>1721.84</v>
      </c>
      <c r="G123" s="199" t="n">
        <v>1721.84</v>
      </c>
      <c r="H123" s="200" t="n">
        <v>1516.95</v>
      </c>
      <c r="I123" s="199">
        <f>G123-F123</f>
        <v/>
      </c>
      <c r="J123" s="199">
        <f>H123-F123</f>
        <v/>
      </c>
      <c r="K123" s="199">
        <f>+H123-G123</f>
        <v/>
      </c>
      <c r="L123" s="49">
        <f>I123/F123</f>
        <v/>
      </c>
      <c r="M123" s="30" t="n">
        <v>148.21</v>
      </c>
      <c r="N123" s="30" t="n">
        <v>117.46</v>
      </c>
      <c r="O123" s="49">
        <f>(M123-N123)/N123</f>
        <v/>
      </c>
      <c r="P123" s="199">
        <f>N123*0.9056*0.85</f>
        <v/>
      </c>
      <c r="Q123" s="199">
        <f>N123*1.15</f>
        <v/>
      </c>
      <c r="R123" s="199">
        <f>IF(M123&lt;N123*0.9056*0.85,N123*0.9056*0.85,IF(M123&gt;N123*1.15,N123*1.15,M123))</f>
        <v/>
      </c>
      <c r="S123" s="199">
        <f>+F123*M123</f>
        <v/>
      </c>
      <c r="T123" s="169">
        <f>S123+R123*I123</f>
        <v/>
      </c>
      <c r="U123" s="197">
        <f>S123+R123*J123</f>
        <v/>
      </c>
      <c r="V123" s="196">
        <f>U123-S123</f>
        <v/>
      </c>
      <c r="W123" s="197">
        <f>+U123-T123</f>
        <v/>
      </c>
      <c r="X123" s="201">
        <f>+U123-T123</f>
        <v/>
      </c>
      <c r="Y123" s="74" t="n"/>
    </row>
    <row r="124" ht="41.25" customFormat="1" customHeight="1" s="1">
      <c r="A124" s="28" t="n">
        <v>109</v>
      </c>
      <c r="B124" s="29" t="inlineStr">
        <is>
          <t>011201001008</t>
        </is>
      </c>
      <c r="C124" s="29" t="inlineStr">
        <is>
          <t>墙面一般抹灰（墙3、4）</t>
        </is>
      </c>
      <c r="D124" s="29" t="inlineStr">
        <is>
          <t>1.15厚WPM20水泥砂浆找平,分两遍成活,底层抹灰应压实搓毛</t>
        </is>
      </c>
      <c r="E124" s="30" t="inlineStr">
        <is>
          <t>m2</t>
        </is>
      </c>
      <c r="F124" s="30" t="n">
        <v>9577.91</v>
      </c>
      <c r="G124" s="199" t="n">
        <v>9577.91</v>
      </c>
      <c r="H124" s="200" t="n">
        <v>8407.99</v>
      </c>
      <c r="I124" s="199">
        <f>G124-F124</f>
        <v/>
      </c>
      <c r="J124" s="199">
        <f>H124-F124</f>
        <v/>
      </c>
      <c r="K124" s="199">
        <f>+H124-G124</f>
        <v/>
      </c>
      <c r="L124" s="49">
        <f>I124/F124</f>
        <v/>
      </c>
      <c r="M124" s="30" t="n">
        <v>22.12</v>
      </c>
      <c r="N124" s="30" t="n">
        <v>24.38</v>
      </c>
      <c r="O124" s="49">
        <f>(M124-N124)/N124</f>
        <v/>
      </c>
      <c r="P124" s="199">
        <f>N124*0.9056*0.85</f>
        <v/>
      </c>
      <c r="Q124" s="199">
        <f>N124*1.15</f>
        <v/>
      </c>
      <c r="R124" s="199">
        <f>IF(M124&lt;N124*0.9056*0.85,N124*0.9056*0.85,IF(M124&gt;N124*1.15,N124*1.15,M124))</f>
        <v/>
      </c>
      <c r="S124" s="199">
        <f>+F124*M124</f>
        <v/>
      </c>
      <c r="T124" s="169">
        <f>S124+R124*I124</f>
        <v/>
      </c>
      <c r="U124" s="197">
        <f>S124+R124*J124</f>
        <v/>
      </c>
      <c r="V124" s="196">
        <f>U124-S124</f>
        <v/>
      </c>
      <c r="W124" s="197">
        <f>+U124-T124</f>
        <v/>
      </c>
      <c r="X124" s="201">
        <f>+U124-T124</f>
        <v/>
      </c>
      <c r="Y124" s="74" t="n"/>
    </row>
    <row r="125" ht="28.5" customFormat="1" customHeight="1" s="1">
      <c r="A125" s="28" t="n">
        <v>110</v>
      </c>
      <c r="B125" s="29" t="inlineStr">
        <is>
          <t>011406001009</t>
        </is>
      </c>
      <c r="C125" s="29" t="inlineStr">
        <is>
          <t>墙面喷刷涂料(墙5）</t>
        </is>
      </c>
      <c r="D125" s="29" t="inlineStr">
        <is>
          <t>1.满刮耐水防霉白色腻子</t>
        </is>
      </c>
      <c r="E125" s="30" t="inlineStr">
        <is>
          <t>m2</t>
        </is>
      </c>
      <c r="F125" s="30" t="n">
        <v>439.79</v>
      </c>
      <c r="G125" s="199" t="n">
        <v>670.37</v>
      </c>
      <c r="H125" s="200" t="n">
        <v>670.37</v>
      </c>
      <c r="I125" s="199">
        <f>G125-F125</f>
        <v/>
      </c>
      <c r="J125" s="199">
        <f>H125-F125</f>
        <v/>
      </c>
      <c r="K125" s="199">
        <f>+H125-G125</f>
        <v/>
      </c>
      <c r="L125" s="49">
        <f>I125/F125</f>
        <v/>
      </c>
      <c r="M125" s="30" t="n">
        <v>17.13</v>
      </c>
      <c r="N125" s="30" t="n">
        <v>18.67</v>
      </c>
      <c r="O125" s="49">
        <f>(M125-N125)/N125</f>
        <v/>
      </c>
      <c r="P125" s="199">
        <f>N125*0.9056*0.85</f>
        <v/>
      </c>
      <c r="Q125" s="199">
        <f>N125*1.15</f>
        <v/>
      </c>
      <c r="R125" s="199">
        <f>IF(M125&lt;N125*0.9056*0.85,N125*0.9056*0.85,IF(M125&gt;N125*1.15,N125*1.15,M125))</f>
        <v/>
      </c>
      <c r="S125" s="199">
        <f>+F125*M125</f>
        <v/>
      </c>
      <c r="T125" s="169">
        <f>S125+R125*I125</f>
        <v/>
      </c>
      <c r="U125" s="197">
        <f>S125+R125*J125</f>
        <v/>
      </c>
      <c r="V125" s="196">
        <f>U125-S125</f>
        <v/>
      </c>
      <c r="W125" s="197">
        <f>+U125-T125</f>
        <v/>
      </c>
      <c r="X125" s="201">
        <f>+U125-T125</f>
        <v/>
      </c>
      <c r="Y125" s="74" t="n"/>
    </row>
    <row r="126" ht="41.25" customFormat="1" customHeight="1" s="1">
      <c r="A126" s="28" t="n">
        <v>111</v>
      </c>
      <c r="B126" s="29" t="inlineStr">
        <is>
          <t>011204003014</t>
        </is>
      </c>
      <c r="C126" s="29" t="inlineStr">
        <is>
          <t>块料墙面（墙8）</t>
        </is>
      </c>
      <c r="D126" s="29" t="inlineStr">
        <is>
          <t>1.镶贴300*600陶瓷面砖墙面建筑胶粘剂粘贴
2.15厚WPM20水泥砂浆找平</t>
        </is>
      </c>
      <c r="E126" s="30" t="inlineStr">
        <is>
          <t>m2</t>
        </is>
      </c>
      <c r="F126" s="30" t="n">
        <v>1696.13</v>
      </c>
      <c r="G126" s="199" t="n">
        <v>1696.13</v>
      </c>
      <c r="H126" s="200" t="n">
        <v>1350.87</v>
      </c>
      <c r="I126" s="199">
        <f>G126-F126</f>
        <v/>
      </c>
      <c r="J126" s="199">
        <f>H126-F126</f>
        <v/>
      </c>
      <c r="K126" s="199">
        <f>+H126-G126</f>
        <v/>
      </c>
      <c r="L126" s="49">
        <f>I126/F126</f>
        <v/>
      </c>
      <c r="M126" s="30" t="n">
        <v>162.51</v>
      </c>
      <c r="N126" s="30" t="n">
        <v>147.48</v>
      </c>
      <c r="O126" s="49">
        <f>(M126-N126)/N126</f>
        <v/>
      </c>
      <c r="P126" s="199">
        <f>N126*0.9056*0.85</f>
        <v/>
      </c>
      <c r="Q126" s="199">
        <f>N126*1.15</f>
        <v/>
      </c>
      <c r="R126" s="199">
        <f>IF(M126&lt;N126*0.9056*0.85,N126*0.9056*0.85,IF(M126&gt;N126*1.15,N126*1.15,M126))</f>
        <v/>
      </c>
      <c r="S126" s="199">
        <f>+F126*M126</f>
        <v/>
      </c>
      <c r="T126" s="169">
        <f>S126+R126*I126</f>
        <v/>
      </c>
      <c r="U126" s="197">
        <f>S126+R126*J126</f>
        <v/>
      </c>
      <c r="V126" s="196">
        <f>U126-S126</f>
        <v/>
      </c>
      <c r="W126" s="197">
        <f>+U126-T126</f>
        <v/>
      </c>
      <c r="X126" s="201">
        <f>+U126-T126</f>
        <v/>
      </c>
      <c r="Y126" s="74" t="n"/>
    </row>
    <row r="127" ht="41.25" customFormat="1" customHeight="1" s="1">
      <c r="A127" s="28" t="n">
        <v>112</v>
      </c>
      <c r="B127" s="29" t="inlineStr">
        <is>
          <t>011204003015</t>
        </is>
      </c>
      <c r="C127" s="29" t="inlineStr">
        <is>
          <t>块料墙面</t>
        </is>
      </c>
      <c r="D127" s="29" t="inlineStr">
        <is>
          <t>1.镶贴300*300仿古砖墙面建筑胶粘剂粘贴
2.15厚WPM20水泥砂浆找平</t>
        </is>
      </c>
      <c r="E127" s="30" t="inlineStr">
        <is>
          <t>m2</t>
        </is>
      </c>
      <c r="F127" s="30" t="n">
        <v>24.54</v>
      </c>
      <c r="G127" s="199" t="n">
        <v>24.54</v>
      </c>
      <c r="H127" s="200" t="n">
        <v>12.26</v>
      </c>
      <c r="I127" s="199">
        <f>G127-F127</f>
        <v/>
      </c>
      <c r="J127" s="199">
        <f>H127-F127</f>
        <v/>
      </c>
      <c r="K127" s="199">
        <f>+H127-G127</f>
        <v/>
      </c>
      <c r="L127" s="49">
        <f>I127/F127</f>
        <v/>
      </c>
      <c r="M127" s="30" t="n">
        <v>139.68</v>
      </c>
      <c r="N127" s="30" t="n">
        <v>141.12</v>
      </c>
      <c r="O127" s="49">
        <f>(M127-N127)/N127</f>
        <v/>
      </c>
      <c r="P127" s="199">
        <f>N127*0.9056*0.85</f>
        <v/>
      </c>
      <c r="Q127" s="199">
        <f>N127*1.15</f>
        <v/>
      </c>
      <c r="R127" s="199">
        <f>IF(M127&lt;N127*0.9056*0.85,N127*0.9056*0.85,IF(M127&gt;N127*1.15,N127*1.15,M127))</f>
        <v/>
      </c>
      <c r="S127" s="199">
        <f>+F127*M127</f>
        <v/>
      </c>
      <c r="T127" s="169">
        <f>S127+R127*I127</f>
        <v/>
      </c>
      <c r="U127" s="197">
        <f>S127+R127*J127</f>
        <v/>
      </c>
      <c r="V127" s="196">
        <f>U127-S127</f>
        <v/>
      </c>
      <c r="W127" s="197">
        <f>+U127-T127</f>
        <v/>
      </c>
      <c r="X127" s="201">
        <f>+U127-T127</f>
        <v/>
      </c>
      <c r="Y127" s="74" t="n"/>
    </row>
    <row r="128" ht="54" customFormat="1" customHeight="1" s="2">
      <c r="A128" s="37" t="n">
        <v>113</v>
      </c>
      <c r="B128" s="38" t="inlineStr">
        <is>
          <t>011205001001</t>
        </is>
      </c>
      <c r="C128" s="38" t="inlineStr">
        <is>
          <t>石材柱面</t>
        </is>
      </c>
      <c r="D128" s="38" t="inlineStr">
        <is>
          <t>1.首层柱脚
2.安装方式:挂贴米色大理石
3.其他详见施工设计图</t>
        </is>
      </c>
      <c r="E128" s="39" t="inlineStr">
        <is>
          <t>m2</t>
        </is>
      </c>
      <c r="F128" s="39" t="n">
        <v>259.648</v>
      </c>
      <c r="G128" s="206" t="n">
        <v>281.42</v>
      </c>
      <c r="H128" s="206" t="n">
        <v>281.42</v>
      </c>
      <c r="I128" s="206">
        <f>G128-F128</f>
        <v/>
      </c>
      <c r="J128" s="206">
        <f>H128-F128</f>
        <v/>
      </c>
      <c r="K128" s="206">
        <f>+H128-G128</f>
        <v/>
      </c>
      <c r="L128" s="51">
        <f>I128/F128</f>
        <v/>
      </c>
      <c r="M128" s="39" t="n">
        <v>666.3099999999999</v>
      </c>
      <c r="N128" s="39" t="n">
        <v>453.37</v>
      </c>
      <c r="O128" s="51">
        <f>(M128-N128)/N128</f>
        <v/>
      </c>
      <c r="P128" s="206">
        <f>N128*0.9056*0.85</f>
        <v/>
      </c>
      <c r="Q128" s="206">
        <f>N128*1.15</f>
        <v/>
      </c>
      <c r="R128" s="206">
        <f>IF(M128&lt;N128*0.9056*0.85,N128*0.9056*0.85,IF(M128&gt;N128*1.15,N128*1.15,M128))</f>
        <v/>
      </c>
      <c r="S128" s="206">
        <f>+F128*M128</f>
        <v/>
      </c>
      <c r="T128" s="207">
        <f>S128+R128*I128</f>
        <v/>
      </c>
      <c r="U128" s="210">
        <f>S128+R128*J128</f>
        <v/>
      </c>
      <c r="V128" s="196">
        <f>U128-S128</f>
        <v/>
      </c>
      <c r="W128" s="197">
        <f>+U128-T128</f>
        <v/>
      </c>
      <c r="X128" s="211">
        <f>+U128-T128</f>
        <v/>
      </c>
      <c r="Y128" s="77" t="n"/>
      <c r="Z128" s="92" t="n"/>
    </row>
    <row r="129" ht="51" customFormat="1" customHeight="1" s="1">
      <c r="A129" s="28" t="n">
        <v>114</v>
      </c>
      <c r="B129" s="29" t="inlineStr">
        <is>
          <t>010809004001</t>
        </is>
      </c>
      <c r="C129" s="29" t="inlineStr">
        <is>
          <t>石材窗台板</t>
        </is>
      </c>
      <c r="D129" s="29" t="inlineStr">
        <is>
          <t>1.米黄花岗石窗台石</t>
        </is>
      </c>
      <c r="E129" s="30" t="inlineStr">
        <is>
          <t>m2</t>
        </is>
      </c>
      <c r="F129" s="30" t="n">
        <v>16.8156</v>
      </c>
      <c r="G129" s="199" t="n">
        <v>16.82</v>
      </c>
      <c r="H129" s="200" t="n">
        <v>6.73</v>
      </c>
      <c r="I129" s="199">
        <f>G129-F129</f>
        <v/>
      </c>
      <c r="J129" s="199">
        <f>H129-F129</f>
        <v/>
      </c>
      <c r="K129" s="199">
        <f>+H129-G129</f>
        <v/>
      </c>
      <c r="L129" s="49">
        <f>I129/F129</f>
        <v/>
      </c>
      <c r="M129" s="30" t="n">
        <v>532.5599999999999</v>
      </c>
      <c r="N129" s="30" t="n">
        <v>490.86</v>
      </c>
      <c r="O129" s="49">
        <f>(M129-N129)/N129</f>
        <v/>
      </c>
      <c r="P129" s="199">
        <f>N129*0.9056*0.85</f>
        <v/>
      </c>
      <c r="Q129" s="199">
        <f>N129*1.15</f>
        <v/>
      </c>
      <c r="R129" s="199">
        <f>IF(M129&lt;N129*0.9056*0.85,N129*0.9056*0.85,IF(M129&gt;N129*1.15,N129*1.15,M129))</f>
        <v/>
      </c>
      <c r="S129" s="199">
        <f>+F129*M129</f>
        <v/>
      </c>
      <c r="T129" s="169">
        <f>S129+R129*I129</f>
        <v/>
      </c>
      <c r="U129" s="197">
        <f>S129+R129*J129</f>
        <v/>
      </c>
      <c r="V129" s="196">
        <f>U129-S129</f>
        <v/>
      </c>
      <c r="W129" s="197">
        <f>+U129-T129</f>
        <v/>
      </c>
      <c r="X129" s="201">
        <f>+U129-T129</f>
        <v/>
      </c>
      <c r="Y129" s="74" t="n"/>
    </row>
    <row r="130" ht="79.5" customFormat="1" customHeight="1" s="1">
      <c r="A130" s="28" t="n">
        <v>115</v>
      </c>
      <c r="B130" s="29" t="inlineStr">
        <is>
          <t>011207001003</t>
        </is>
      </c>
      <c r="C130" s="29" t="inlineStr">
        <is>
          <t>墙面装饰板</t>
        </is>
      </c>
      <c r="D130" s="29" t="inlineStr">
        <is>
          <t>1.18MM厚A级防火吸音板
2.50厚超细玻璃棉容重:32KG/m3外包吸声无纺布
3.15mm阻燃夹板
4.50*50阻燃木龙骨底架
5.1.2厚黑色不锈钢压槽</t>
        </is>
      </c>
      <c r="E130" s="30" t="inlineStr">
        <is>
          <t>m2</t>
        </is>
      </c>
      <c r="F130" s="30" t="n">
        <v>129.335</v>
      </c>
      <c r="G130" s="199" t="n">
        <v>136.49</v>
      </c>
      <c r="H130" s="200" t="n">
        <v>136.49</v>
      </c>
      <c r="I130" s="199">
        <f>G130-F130</f>
        <v/>
      </c>
      <c r="J130" s="199">
        <f>H130-F130</f>
        <v/>
      </c>
      <c r="K130" s="199">
        <f>+H130-G130</f>
        <v/>
      </c>
      <c r="L130" s="49">
        <f>I130/F130</f>
        <v/>
      </c>
      <c r="M130" s="30" t="n">
        <v>314.41</v>
      </c>
      <c r="N130" s="30" t="n">
        <v>271.64</v>
      </c>
      <c r="O130" s="49">
        <f>(M130-N130)/N130</f>
        <v/>
      </c>
      <c r="P130" s="199">
        <f>N130*0.9056*0.85</f>
        <v/>
      </c>
      <c r="Q130" s="199">
        <f>N130*1.15</f>
        <v/>
      </c>
      <c r="R130" s="199">
        <f>IF(M130&lt;N130*0.9056*0.85,N130*0.9056*0.85,IF(M130&gt;N130*1.15,N130*1.15,M130))</f>
        <v/>
      </c>
      <c r="S130" s="199">
        <f>+F130*M130</f>
        <v/>
      </c>
      <c r="T130" s="169">
        <f>S130+R130*I130</f>
        <v/>
      </c>
      <c r="U130" s="197">
        <f>S130+R130*J130</f>
        <v/>
      </c>
      <c r="V130" s="196">
        <f>U130-S130</f>
        <v/>
      </c>
      <c r="W130" s="197">
        <f>+U130-T130</f>
        <v/>
      </c>
      <c r="X130" s="201">
        <f>+U130-T130</f>
        <v/>
      </c>
      <c r="Y130" s="74" t="n"/>
    </row>
    <row r="131" ht="41.25" customFormat="1" customHeight="1" s="1">
      <c r="A131" s="28" t="n">
        <v>116</v>
      </c>
      <c r="B131" s="29" t="inlineStr">
        <is>
          <t>011207001004</t>
        </is>
      </c>
      <c r="C131" s="29" t="inlineStr">
        <is>
          <t>墙面装饰板</t>
        </is>
      </c>
      <c r="D131" s="29" t="inlineStr">
        <is>
          <t>1.4MM蓝色免漆板
2.15mm阻燃夹板
3.30*30阻燃木龙骨底架</t>
        </is>
      </c>
      <c r="E131" s="30" t="inlineStr">
        <is>
          <t>m2</t>
        </is>
      </c>
      <c r="F131" s="30" t="n">
        <v>56.123</v>
      </c>
      <c r="G131" s="199" t="n">
        <v>70.04000000000001</v>
      </c>
      <c r="H131" s="200" t="n">
        <v>14.82</v>
      </c>
      <c r="I131" s="199">
        <f>G131-F131</f>
        <v/>
      </c>
      <c r="J131" s="199">
        <f>H131-F131</f>
        <v/>
      </c>
      <c r="K131" s="199">
        <f>+H131-G131</f>
        <v/>
      </c>
      <c r="L131" s="49">
        <f>I131/F131</f>
        <v/>
      </c>
      <c r="M131" s="30" t="n">
        <v>341.48</v>
      </c>
      <c r="N131" s="30" t="n">
        <v>151.55</v>
      </c>
      <c r="O131" s="49">
        <f>(M131-N131)/N131</f>
        <v/>
      </c>
      <c r="P131" s="199">
        <f>N131*0.9056*0.85</f>
        <v/>
      </c>
      <c r="Q131" s="199">
        <f>N131*1.15</f>
        <v/>
      </c>
      <c r="R131" s="199">
        <f>IF(M131&lt;N131*0.9056*0.85,N131*0.9056*0.85,IF(M131&gt;N131*1.15,N131*1.15,M131))</f>
        <v/>
      </c>
      <c r="S131" s="199">
        <f>+F131*M131</f>
        <v/>
      </c>
      <c r="T131" s="169">
        <f>S131+R131*I131</f>
        <v/>
      </c>
      <c r="U131" s="197">
        <f>S131+R131*J131</f>
        <v/>
      </c>
      <c r="V131" s="196">
        <f>U131-S131</f>
        <v/>
      </c>
      <c r="W131" s="197">
        <f>+U131-T131</f>
        <v/>
      </c>
      <c r="X131" s="201">
        <f>+U131-T131</f>
        <v/>
      </c>
      <c r="Y131" s="74" t="n"/>
    </row>
    <row r="132" ht="41.25" customFormat="1" customHeight="1" s="1">
      <c r="A132" s="28" t="n">
        <v>117</v>
      </c>
      <c r="B132" s="29" t="inlineStr">
        <is>
          <t>011207001007</t>
        </is>
      </c>
      <c r="C132" s="29" t="inlineStr">
        <is>
          <t>墙面装饰板</t>
        </is>
      </c>
      <c r="D132" s="29" t="inlineStr">
        <is>
          <t>1.5MM厚清镜
2.15mm阻燃夹板
3.50*50阻燃木龙骨底架</t>
        </is>
      </c>
      <c r="E132" s="30" t="inlineStr">
        <is>
          <t>m2</t>
        </is>
      </c>
      <c r="F132" s="30" t="n">
        <v>31.04</v>
      </c>
      <c r="G132" s="199" t="n">
        <v>32.05</v>
      </c>
      <c r="H132" s="200" t="n">
        <v>32.05</v>
      </c>
      <c r="I132" s="199">
        <f>G132-F132</f>
        <v/>
      </c>
      <c r="J132" s="199">
        <f>H132-F132</f>
        <v/>
      </c>
      <c r="K132" s="199">
        <f>+H132-G132</f>
        <v/>
      </c>
      <c r="L132" s="49">
        <f>I132/F132</f>
        <v/>
      </c>
      <c r="M132" s="30" t="n">
        <v>437.33</v>
      </c>
      <c r="N132" s="30" t="n">
        <v>228.53</v>
      </c>
      <c r="O132" s="49">
        <f>(M132-N132)/N132</f>
        <v/>
      </c>
      <c r="P132" s="199">
        <f>N132*0.9056*0.85</f>
        <v/>
      </c>
      <c r="Q132" s="199">
        <f>N132*1.15</f>
        <v/>
      </c>
      <c r="R132" s="199">
        <f>IF(M132&lt;N132*0.9056*0.85,N132*0.9056*0.85,IF(M132&gt;N132*1.15,N132*1.15,M132))</f>
        <v/>
      </c>
      <c r="S132" s="199">
        <f>+F132*M132</f>
        <v/>
      </c>
      <c r="T132" s="169">
        <f>S132+R132*I132</f>
        <v/>
      </c>
      <c r="U132" s="197">
        <f>S132+R132*J132</f>
        <v/>
      </c>
      <c r="V132" s="196">
        <f>U132-S132</f>
        <v/>
      </c>
      <c r="W132" s="197">
        <f>+U132-T132</f>
        <v/>
      </c>
      <c r="X132" s="201">
        <f>+U132-T132</f>
        <v/>
      </c>
      <c r="Y132" s="74" t="n"/>
    </row>
    <row r="133" ht="41.25" customFormat="1" customHeight="1" s="1">
      <c r="A133" s="28" t="n">
        <v>118</v>
      </c>
      <c r="B133" s="29" t="inlineStr">
        <is>
          <t>011207001006</t>
        </is>
      </c>
      <c r="C133" s="29" t="inlineStr">
        <is>
          <t>墙面装饰板（logo）</t>
        </is>
      </c>
      <c r="D133" s="29" t="inlineStr">
        <is>
          <t>1.15MM蓝色免漆板
2.15mm阻燃夹板
3.30*30阻燃木龙骨底架</t>
        </is>
      </c>
      <c r="E133" s="30" t="inlineStr">
        <is>
          <t>m2</t>
        </is>
      </c>
      <c r="F133" s="30" t="n">
        <v>4.77</v>
      </c>
      <c r="G133" s="199" t="n">
        <v>4.77</v>
      </c>
      <c r="H133" s="200" t="n">
        <v>1.76</v>
      </c>
      <c r="I133" s="199">
        <f>G133-F133</f>
        <v/>
      </c>
      <c r="J133" s="199">
        <f>H133-F133</f>
        <v/>
      </c>
      <c r="K133" s="199">
        <f>+H133-G133</f>
        <v/>
      </c>
      <c r="L133" s="49">
        <f>I133/F133</f>
        <v/>
      </c>
      <c r="M133" s="30" t="n">
        <v>429.48</v>
      </c>
      <c r="N133" s="30" t="n">
        <v>300.05</v>
      </c>
      <c r="O133" s="49">
        <f>(M133-N133)/N133</f>
        <v/>
      </c>
      <c r="P133" s="199">
        <f>N133*0.9056*0.85</f>
        <v/>
      </c>
      <c r="Q133" s="199">
        <f>N133*1.15</f>
        <v/>
      </c>
      <c r="R133" s="199">
        <f>IF(M133&lt;N133*0.9056*0.85,N133*0.9056*0.85,IF(M133&gt;N133*1.15,N133*1.15,M133))</f>
        <v/>
      </c>
      <c r="S133" s="199">
        <f>+F133*M133</f>
        <v/>
      </c>
      <c r="T133" s="169">
        <f>S133+R133*I133</f>
        <v/>
      </c>
      <c r="U133" s="197">
        <f>S133+R133*J133</f>
        <v/>
      </c>
      <c r="V133" s="196">
        <f>U133-S133</f>
        <v/>
      </c>
      <c r="W133" s="197">
        <f>+U133-T133</f>
        <v/>
      </c>
      <c r="X133" s="201">
        <f>+U133-T133</f>
        <v/>
      </c>
      <c r="Y133" s="74" t="n"/>
    </row>
    <row r="134" ht="54" customFormat="1" customHeight="1" s="1">
      <c r="A134" s="28" t="n">
        <v>119</v>
      </c>
      <c r="B134" s="29" t="inlineStr">
        <is>
          <t>011207001009</t>
        </is>
      </c>
      <c r="C134" s="29" t="inlineStr">
        <is>
          <t>墙面装饰板</t>
        </is>
      </c>
      <c r="D134" s="29" t="inlineStr">
        <is>
          <t>1.9mm欧松板
2.15mm阻燃夹板
3.30*30阻燃木龙骨底架
4.30mm透明亚克力板</t>
        </is>
      </c>
      <c r="E134" s="30" t="inlineStr">
        <is>
          <t>m2</t>
        </is>
      </c>
      <c r="F134" s="30" t="n">
        <v>9.449999999999999</v>
      </c>
      <c r="G134" s="199" t="n">
        <v>9.449999999999999</v>
      </c>
      <c r="H134" s="200" t="n">
        <v>9.449999999999999</v>
      </c>
      <c r="I134" s="199">
        <f>G134-F134</f>
        <v/>
      </c>
      <c r="J134" s="199">
        <f>H134-F134</f>
        <v/>
      </c>
      <c r="K134" s="199">
        <f>+H134-G134</f>
        <v/>
      </c>
      <c r="L134" s="49">
        <f>I134/F134</f>
        <v/>
      </c>
      <c r="M134" s="30" t="n">
        <v>419.95</v>
      </c>
      <c r="N134" s="30" t="n">
        <v>250.86</v>
      </c>
      <c r="O134" s="49">
        <f>(M134-N134)/N134</f>
        <v/>
      </c>
      <c r="P134" s="199">
        <f>N134*0.9056*0.85</f>
        <v/>
      </c>
      <c r="Q134" s="199">
        <f>N134*1.15</f>
        <v/>
      </c>
      <c r="R134" s="199">
        <f>IF(M134&lt;N134*0.9056*0.85,N134*0.9056*0.85,IF(M134&gt;N134*1.15,N134*1.15,M134))</f>
        <v/>
      </c>
      <c r="S134" s="199">
        <f>+F134*M134</f>
        <v/>
      </c>
      <c r="T134" s="169">
        <f>S134+R134*I134</f>
        <v/>
      </c>
      <c r="U134" s="197">
        <f>S134+R134*J134</f>
        <v/>
      </c>
      <c r="V134" s="196">
        <f>U134-S134</f>
        <v/>
      </c>
      <c r="W134" s="197">
        <f>+U134-T134</f>
        <v/>
      </c>
      <c r="X134" s="201">
        <f>+U134-T134</f>
        <v/>
      </c>
      <c r="Y134" s="74" t="n"/>
    </row>
    <row r="135" ht="54" customFormat="1" customHeight="1" s="1">
      <c r="A135" s="28" t="n">
        <v>120</v>
      </c>
      <c r="B135" s="29" t="inlineStr">
        <is>
          <t>011207001005</t>
        </is>
      </c>
      <c r="C135" s="29" t="inlineStr">
        <is>
          <t>墙面装饰板</t>
        </is>
      </c>
      <c r="D135" s="29" t="inlineStr">
        <is>
          <t>1.贴黄色墙布
2.9mm阻燃夹板
3.30*30阻燃木龙骨底架
4.1.2厚黑色不锈钢压槽</t>
        </is>
      </c>
      <c r="E135" s="30" t="inlineStr">
        <is>
          <t>m2</t>
        </is>
      </c>
      <c r="F135" s="30" t="n">
        <v>20.52</v>
      </c>
      <c r="G135" s="199" t="n">
        <v>20.58</v>
      </c>
      <c r="H135" s="200" t="n">
        <v>20.58</v>
      </c>
      <c r="I135" s="199">
        <f>G135-F135</f>
        <v/>
      </c>
      <c r="J135" s="199">
        <f>H135-F135</f>
        <v/>
      </c>
      <c r="K135" s="199">
        <f>+H135-G135</f>
        <v/>
      </c>
      <c r="L135" s="49">
        <f>I135/F135</f>
        <v/>
      </c>
      <c r="M135" s="30" t="n">
        <v>217.33</v>
      </c>
      <c r="N135" s="30" t="n">
        <v>149.29</v>
      </c>
      <c r="O135" s="49">
        <f>(M135-N135)/N135</f>
        <v/>
      </c>
      <c r="P135" s="199">
        <f>N135*0.9056*0.85</f>
        <v/>
      </c>
      <c r="Q135" s="199">
        <f>N135*1.15</f>
        <v/>
      </c>
      <c r="R135" s="199">
        <f>IF(M135&lt;N135*0.9056*0.85,N135*0.9056*0.85,IF(M135&gt;N135*1.15,N135*1.15,M135))</f>
        <v/>
      </c>
      <c r="S135" s="199">
        <f>+F135*M135</f>
        <v/>
      </c>
      <c r="T135" s="169">
        <f>S135+R135*I135</f>
        <v/>
      </c>
      <c r="U135" s="197">
        <f>S135+R135*J135</f>
        <v/>
      </c>
      <c r="V135" s="196">
        <f>U135-S135</f>
        <v/>
      </c>
      <c r="W135" s="197">
        <f>+U135-T135</f>
        <v/>
      </c>
      <c r="X135" s="201">
        <f>+U135-T135</f>
        <v/>
      </c>
      <c r="Y135" s="74" t="n"/>
    </row>
    <row r="136" ht="54" customFormat="1" customHeight="1" s="1">
      <c r="A136" s="28" t="n">
        <v>121</v>
      </c>
      <c r="B136" s="29" t="inlineStr">
        <is>
          <t>011207001008</t>
        </is>
      </c>
      <c r="C136" s="29" t="inlineStr">
        <is>
          <t>墙面装饰板</t>
        </is>
      </c>
      <c r="D136" s="29" t="inlineStr">
        <is>
          <t>1.刮塑油浅橙色无机装修涂料
2.5mm阻燃夹板
3.30*30阻燃木龙骨底架</t>
        </is>
      </c>
      <c r="E136" s="30" t="inlineStr">
        <is>
          <t>m2</t>
        </is>
      </c>
      <c r="F136" s="30" t="n">
        <v>36.5</v>
      </c>
      <c r="G136" s="199" t="n">
        <v>36.5</v>
      </c>
      <c r="H136" s="200" t="n">
        <v>36.5</v>
      </c>
      <c r="I136" s="199">
        <f>G136-F136</f>
        <v/>
      </c>
      <c r="J136" s="199">
        <f>H136-F136</f>
        <v/>
      </c>
      <c r="K136" s="199">
        <f>+H136-G136</f>
        <v/>
      </c>
      <c r="L136" s="49">
        <f>I136/F136</f>
        <v/>
      </c>
      <c r="M136" s="30" t="n">
        <v>111.44</v>
      </c>
      <c r="N136" s="30" t="n">
        <v>113.84</v>
      </c>
      <c r="O136" s="49">
        <f>(M136-N136)/N136</f>
        <v/>
      </c>
      <c r="P136" s="199">
        <f>N136*0.9056*0.85</f>
        <v/>
      </c>
      <c r="Q136" s="199">
        <f>N136*1.15</f>
        <v/>
      </c>
      <c r="R136" s="199">
        <f>IF(M136&lt;N136*0.9056*0.85,N136*0.9056*0.85,IF(M136&gt;N136*1.15,N136*1.15,M136))</f>
        <v/>
      </c>
      <c r="S136" s="199">
        <f>+F136*M136</f>
        <v/>
      </c>
      <c r="T136" s="169">
        <f>S136+R136*I136</f>
        <v/>
      </c>
      <c r="U136" s="197">
        <f>S136+R136*J136</f>
        <v/>
      </c>
      <c r="V136" s="196">
        <f>U136-S136</f>
        <v/>
      </c>
      <c r="W136" s="197">
        <f>+U136-T136</f>
        <v/>
      </c>
      <c r="X136" s="201">
        <f>+U136-T136</f>
        <v/>
      </c>
      <c r="Y136" s="74" t="n"/>
    </row>
    <row r="137" ht="28.5" customFormat="1" customHeight="1" s="1">
      <c r="A137" s="28" t="n">
        <v>122</v>
      </c>
      <c r="B137" s="29" t="inlineStr">
        <is>
          <t>011105005001</t>
        </is>
      </c>
      <c r="C137" s="29" t="inlineStr">
        <is>
          <t>木质踢脚线</t>
        </is>
      </c>
      <c r="D137" s="29" t="inlineStr">
        <is>
          <t>1.实木地板原木色地脚线
2.踢脚线高度:100mm</t>
        </is>
      </c>
      <c r="E137" s="30" t="inlineStr">
        <is>
          <t>m2</t>
        </is>
      </c>
      <c r="F137" s="30" t="n">
        <v>7.217</v>
      </c>
      <c r="G137" s="199" t="n">
        <v>20.92</v>
      </c>
      <c r="H137" s="200" t="n">
        <v>20.92</v>
      </c>
      <c r="I137" s="199">
        <f>G137-F137</f>
        <v/>
      </c>
      <c r="J137" s="199">
        <f>H137-F137</f>
        <v/>
      </c>
      <c r="K137" s="199">
        <f>+H137-G137</f>
        <v/>
      </c>
      <c r="L137" s="49">
        <f>I137/F137</f>
        <v/>
      </c>
      <c r="M137" s="30" t="n">
        <v>151.13</v>
      </c>
      <c r="N137" s="30" t="n">
        <v>392.16</v>
      </c>
      <c r="O137" s="49">
        <f>(M137-N137)/N137</f>
        <v/>
      </c>
      <c r="P137" s="199">
        <f>N137*0.9056*0.85</f>
        <v/>
      </c>
      <c r="Q137" s="199">
        <f>N137*1.15</f>
        <v/>
      </c>
      <c r="R137" s="199">
        <f>IF(M137&lt;N137*0.9056*0.85,N137*0.9056*0.85,IF(M137&gt;N137*1.15,N137*1.15,M137))</f>
        <v/>
      </c>
      <c r="S137" s="199">
        <f>+F137*M137</f>
        <v/>
      </c>
      <c r="T137" s="169">
        <f>S137+R137*I137</f>
        <v/>
      </c>
      <c r="U137" s="197">
        <f>S137+R137*J137</f>
        <v/>
      </c>
      <c r="V137" s="196">
        <f>U137-S137</f>
        <v/>
      </c>
      <c r="W137" s="197">
        <f>+U137-T137</f>
        <v/>
      </c>
      <c r="X137" s="201">
        <f>+U137-T137</f>
        <v/>
      </c>
      <c r="Y137" s="74" t="n"/>
    </row>
    <row r="138" ht="18" customFormat="1" customHeight="1" s="1">
      <c r="A138" s="28" t="n">
        <v>123</v>
      </c>
      <c r="B138" s="29" t="inlineStr">
        <is>
          <t>011210003001</t>
        </is>
      </c>
      <c r="C138" s="29" t="inlineStr">
        <is>
          <t>玻璃隔断</t>
        </is>
      </c>
      <c r="D138" s="29" t="inlineStr">
        <is>
          <t>1.8mm厚钢化清玻璃隔断</t>
        </is>
      </c>
      <c r="E138" s="30" t="inlineStr">
        <is>
          <t>m2</t>
        </is>
      </c>
      <c r="F138" s="30" t="n">
        <v>3.9</v>
      </c>
      <c r="G138" s="199" t="n">
        <v>6.27</v>
      </c>
      <c r="H138" s="200" t="n">
        <v>6.27</v>
      </c>
      <c r="I138" s="199">
        <f>G138-F138</f>
        <v/>
      </c>
      <c r="J138" s="199">
        <f>H138-F138</f>
        <v/>
      </c>
      <c r="K138" s="199">
        <f>+H138-G138</f>
        <v/>
      </c>
      <c r="L138" s="49">
        <f>I138/F138</f>
        <v/>
      </c>
      <c r="M138" s="30" t="n">
        <v>149.62</v>
      </c>
      <c r="N138" s="30" t="n">
        <v>182.2</v>
      </c>
      <c r="O138" s="49">
        <f>(M138-N138)/N138</f>
        <v/>
      </c>
      <c r="P138" s="199">
        <f>N138*0.9056*0.85</f>
        <v/>
      </c>
      <c r="Q138" s="199">
        <f>N138*1.15</f>
        <v/>
      </c>
      <c r="R138" s="199">
        <f>IF(M138&lt;N138*0.9056*0.85,N138*0.9056*0.85,IF(M138&gt;N138*1.15,N138*1.15,M138))</f>
        <v/>
      </c>
      <c r="S138" s="199">
        <f>+F138*M138</f>
        <v/>
      </c>
      <c r="T138" s="169">
        <f>S138+R138*I138</f>
        <v/>
      </c>
      <c r="U138" s="197">
        <f>S138+R138*J138</f>
        <v/>
      </c>
      <c r="V138" s="196">
        <f>U138-S138</f>
        <v/>
      </c>
      <c r="W138" s="197">
        <f>+U138-T138</f>
        <v/>
      </c>
      <c r="X138" s="201">
        <f>+U138-T138</f>
        <v/>
      </c>
      <c r="Y138" s="74" t="n"/>
    </row>
    <row r="139" ht="28.5" customFormat="1" customHeight="1" s="1">
      <c r="A139" s="28" t="n">
        <v>124</v>
      </c>
      <c r="B139" s="29" t="inlineStr">
        <is>
          <t>011210006001</t>
        </is>
      </c>
      <c r="C139" s="29" t="inlineStr">
        <is>
          <t>其他隔断</t>
        </is>
      </c>
      <c r="D139" s="29" t="inlineStr">
        <is>
          <t>1.轻钢龙骨12mm硅钙板隔墙(包龙骨)双面</t>
        </is>
      </c>
      <c r="E139" s="30" t="inlineStr">
        <is>
          <t>m2</t>
        </is>
      </c>
      <c r="F139" s="30" t="n">
        <v>39.888</v>
      </c>
      <c r="G139" s="199" t="n">
        <v>39.89</v>
      </c>
      <c r="H139" s="200" t="n">
        <v>35.67</v>
      </c>
      <c r="I139" s="199">
        <f>G139-F139</f>
        <v/>
      </c>
      <c r="J139" s="199">
        <f>H139-F139</f>
        <v/>
      </c>
      <c r="K139" s="199">
        <f>+H139-G139</f>
        <v/>
      </c>
      <c r="L139" s="49">
        <f>I139/F139</f>
        <v/>
      </c>
      <c r="M139" s="30" t="n">
        <v>100.87</v>
      </c>
      <c r="N139" s="30" t="n">
        <v>103.02</v>
      </c>
      <c r="O139" s="49">
        <f>(M139-N139)/N139</f>
        <v/>
      </c>
      <c r="P139" s="199">
        <f>N139*0.9056*0.85</f>
        <v/>
      </c>
      <c r="Q139" s="199">
        <f>N139*1.15</f>
        <v/>
      </c>
      <c r="R139" s="199">
        <f>IF(M139&lt;N139*0.9056*0.85,N139*0.9056*0.85,IF(M139&gt;N139*1.15,N139*1.15,M139))</f>
        <v/>
      </c>
      <c r="S139" s="199">
        <f>+F139*M139</f>
        <v/>
      </c>
      <c r="T139" s="169">
        <f>S139+R139*I139</f>
        <v/>
      </c>
      <c r="U139" s="197">
        <f>S139+R139*J139</f>
        <v/>
      </c>
      <c r="V139" s="196">
        <f>U139-S139</f>
        <v/>
      </c>
      <c r="W139" s="197">
        <f>+U139-T139</f>
        <v/>
      </c>
      <c r="X139" s="201">
        <f>+U139-T139</f>
        <v/>
      </c>
      <c r="Y139" s="74" t="n"/>
    </row>
    <row r="140" ht="28.5" customFormat="1" customHeight="1" s="1">
      <c r="A140" s="28" t="n">
        <v>125</v>
      </c>
      <c r="B140" s="29" t="inlineStr">
        <is>
          <t>011508002001</t>
        </is>
      </c>
      <c r="C140" s="29" t="inlineStr">
        <is>
          <t>有机玻璃字</t>
        </is>
      </c>
      <c r="D140" s="29" t="inlineStr">
        <is>
          <t>1.订做亚克力广告字体logo
2.H=190mm</t>
        </is>
      </c>
      <c r="E140" s="30" t="inlineStr">
        <is>
          <t>个</t>
        </is>
      </c>
      <c r="F140" s="30" t="n">
        <v>19</v>
      </c>
      <c r="G140" s="199" t="n">
        <v>19</v>
      </c>
      <c r="H140" s="203" t="n">
        <v>19</v>
      </c>
      <c r="I140" s="199">
        <f>G140-F140</f>
        <v/>
      </c>
      <c r="J140" s="199">
        <f>H140-F140</f>
        <v/>
      </c>
      <c r="K140" s="199">
        <f>+H140-G140</f>
        <v/>
      </c>
      <c r="L140" s="49">
        <f>I140/F140</f>
        <v/>
      </c>
      <c r="M140" s="30" t="n">
        <v>148.45</v>
      </c>
      <c r="N140" s="30" t="n">
        <v>199.33</v>
      </c>
      <c r="O140" s="49">
        <f>(M140-N140)/N140</f>
        <v/>
      </c>
      <c r="P140" s="199">
        <f>N140*0.9056*0.85</f>
        <v/>
      </c>
      <c r="Q140" s="199">
        <f>N140*1.15</f>
        <v/>
      </c>
      <c r="R140" s="199">
        <f>IF(M140&lt;N140*0.9056*0.85,N140*0.9056*0.85,IF(M140&gt;N140*1.15,N140*1.15,M140))</f>
        <v/>
      </c>
      <c r="S140" s="199">
        <f>+F140*M140</f>
        <v/>
      </c>
      <c r="T140" s="169">
        <f>S140+R140*I140</f>
        <v/>
      </c>
      <c r="U140" s="197">
        <f>S140+R140*J140</f>
        <v/>
      </c>
      <c r="V140" s="196">
        <f>U140-S140</f>
        <v/>
      </c>
      <c r="W140" s="197">
        <f>+U140-T140</f>
        <v/>
      </c>
      <c r="X140" s="201">
        <f>+U140-T140</f>
        <v/>
      </c>
      <c r="Y140" s="74" t="n"/>
    </row>
    <row r="141" ht="28.5" customFormat="1" customHeight="1" s="1">
      <c r="A141" s="28" t="n"/>
      <c r="B141" s="29" t="n"/>
      <c r="C141" s="29" t="inlineStr">
        <is>
          <t>天棚工程</t>
        </is>
      </c>
      <c r="D141" s="29" t="n"/>
      <c r="E141" s="29" t="n"/>
      <c r="F141" s="30" t="n"/>
      <c r="G141" s="199" t="n"/>
      <c r="H141" s="31" t="n"/>
      <c r="I141" s="199" t="n"/>
      <c r="J141" s="199" t="n"/>
      <c r="K141" s="199" t="n"/>
      <c r="L141" s="49" t="n"/>
      <c r="M141" s="30" t="n"/>
      <c r="N141" s="30" t="n"/>
      <c r="O141" s="49" t="n"/>
      <c r="P141" s="199" t="n"/>
      <c r="Q141" s="199" t="n"/>
      <c r="R141" s="199" t="n"/>
      <c r="S141" s="196">
        <f>+SUM(S142:S147)</f>
        <v/>
      </c>
      <c r="T141" s="196">
        <f>+SUM(T142:T147)</f>
        <v/>
      </c>
      <c r="U141" s="197">
        <f>SUM(U142:U147)</f>
        <v/>
      </c>
      <c r="V141" s="196">
        <f>U141-S141</f>
        <v/>
      </c>
      <c r="W141" s="197">
        <f>+U141-T141</f>
        <v/>
      </c>
      <c r="X141" s="198">
        <f>U141-T141</f>
        <v/>
      </c>
      <c r="Y141" s="74" t="n"/>
    </row>
    <row r="142" ht="28.5" customFormat="1" customHeight="1" s="1">
      <c r="A142" s="28" t="n">
        <v>126</v>
      </c>
      <c r="B142" s="29" t="inlineStr">
        <is>
          <t>011407002003</t>
        </is>
      </c>
      <c r="C142" s="29" t="inlineStr">
        <is>
          <t>天棚喷刷涂料（顶1）</t>
        </is>
      </c>
      <c r="D142" s="29" t="inlineStr">
        <is>
          <t>1.加强型腻子找平层5厚
2.无机涂料,三遍成活</t>
        </is>
      </c>
      <c r="E142" s="30" t="inlineStr">
        <is>
          <t>m2</t>
        </is>
      </c>
      <c r="F142" s="30" t="n">
        <v>7757.446</v>
      </c>
      <c r="G142" s="199" t="n">
        <v>7886.13</v>
      </c>
      <c r="H142" s="200" t="n">
        <v>7886.13</v>
      </c>
      <c r="I142" s="199">
        <f>G142-F142</f>
        <v/>
      </c>
      <c r="J142" s="199">
        <f>H142-F142</f>
        <v/>
      </c>
      <c r="K142" s="199">
        <f>+H142-G142</f>
        <v/>
      </c>
      <c r="L142" s="49">
        <f>I142/F142</f>
        <v/>
      </c>
      <c r="M142" s="30" t="n">
        <v>39.44</v>
      </c>
      <c r="N142" s="30" t="n">
        <v>48.24</v>
      </c>
      <c r="O142" s="49">
        <f>(M142-N142)/N142</f>
        <v/>
      </c>
      <c r="P142" s="199">
        <f>N142*0.9056*0.85</f>
        <v/>
      </c>
      <c r="Q142" s="199">
        <f>N142*1.15</f>
        <v/>
      </c>
      <c r="R142" s="199">
        <f>IF(M142&lt;N142*0.9056*0.85,N142*0.9056*0.85,IF(M142&gt;N142*1.15,N142*1.15,M142))</f>
        <v/>
      </c>
      <c r="S142" s="199">
        <f>+F142*M142</f>
        <v/>
      </c>
      <c r="T142" s="169">
        <f>S142+R142*I142</f>
        <v/>
      </c>
      <c r="U142" s="197">
        <f>S142+R142*J142</f>
        <v/>
      </c>
      <c r="V142" s="196">
        <f>U142-S142</f>
        <v/>
      </c>
      <c r="W142" s="197">
        <f>+U142-T142</f>
        <v/>
      </c>
      <c r="X142" s="201">
        <f>+U142-T142</f>
        <v/>
      </c>
      <c r="Y142" s="74" t="n"/>
    </row>
    <row r="143" ht="28.5" customFormat="1" customHeight="1" s="1">
      <c r="A143" s="28" t="n">
        <v>127</v>
      </c>
      <c r="B143" s="29" t="inlineStr">
        <is>
          <t>011406001007</t>
        </is>
      </c>
      <c r="C143" s="29" t="inlineStr">
        <is>
          <t>抹灰面油漆（顶2）</t>
        </is>
      </c>
      <c r="D143" s="29" t="inlineStr">
        <is>
          <t>1.扫白色灰水二道</t>
        </is>
      </c>
      <c r="E143" s="30" t="inlineStr">
        <is>
          <t>m2</t>
        </is>
      </c>
      <c r="F143" s="30" t="n">
        <v>27.24</v>
      </c>
      <c r="G143" s="199" t="n">
        <v>40.3</v>
      </c>
      <c r="H143" s="200" t="n">
        <v>40.3</v>
      </c>
      <c r="I143" s="199">
        <f>G143-F143</f>
        <v/>
      </c>
      <c r="J143" s="199">
        <f>H143-F143</f>
        <v/>
      </c>
      <c r="K143" s="199">
        <f>+H143-G143</f>
        <v/>
      </c>
      <c r="L143" s="49">
        <f>I143/F143</f>
        <v/>
      </c>
      <c r="M143" s="30" t="n">
        <v>19.62</v>
      </c>
      <c r="N143" s="30" t="n">
        <v>17.11</v>
      </c>
      <c r="O143" s="49">
        <f>(M143-N143)/N143</f>
        <v/>
      </c>
      <c r="P143" s="199">
        <f>N143*0.9056*0.85</f>
        <v/>
      </c>
      <c r="Q143" s="199">
        <f>N143*1.15</f>
        <v/>
      </c>
      <c r="R143" s="199">
        <f>IF(M143&lt;N143*0.9056*0.85,N143*0.9056*0.85,IF(M143&gt;N143*1.15,N143*1.15,M143))</f>
        <v/>
      </c>
      <c r="S143" s="199">
        <f>+F143*M143</f>
        <v/>
      </c>
      <c r="T143" s="169">
        <f>S143+R143*I143</f>
        <v/>
      </c>
      <c r="U143" s="197">
        <f>S143+R143*J143</f>
        <v/>
      </c>
      <c r="V143" s="196">
        <f>U143-S143</f>
        <v/>
      </c>
      <c r="W143" s="197">
        <f>+U143-T143</f>
        <v/>
      </c>
      <c r="X143" s="201">
        <f>+U143-T143</f>
        <v/>
      </c>
      <c r="Y143" s="74" t="inlineStr">
        <is>
          <t>变更</t>
        </is>
      </c>
    </row>
    <row r="144" ht="79.5" customFormat="1" customHeight="1" s="1">
      <c r="A144" s="28" t="n">
        <v>128</v>
      </c>
      <c r="B144" s="29" t="inlineStr">
        <is>
          <t>011302001006</t>
        </is>
      </c>
      <c r="C144" s="29" t="inlineStr">
        <is>
          <t>吊顶天棚</t>
        </is>
      </c>
      <c r="D144" s="29" t="inlineStr">
        <is>
          <t>1.装配式U型轻钢天棚龙骨(不上人型)面层规格(mm)600×600平面
2.600*600*8mm厚穿孔硅钙板天花
3.做法详见图纸</t>
        </is>
      </c>
      <c r="E144" s="30" t="inlineStr">
        <is>
          <t>m2</t>
        </is>
      </c>
      <c r="F144" s="30" t="n">
        <v>122.4</v>
      </c>
      <c r="G144" s="199" t="n">
        <v>122.4</v>
      </c>
      <c r="H144" s="200" t="n">
        <v>122.4</v>
      </c>
      <c r="I144" s="199">
        <f>G144-F144</f>
        <v/>
      </c>
      <c r="J144" s="199">
        <f>H144-F144</f>
        <v/>
      </c>
      <c r="K144" s="199">
        <f>+H144-G144</f>
        <v/>
      </c>
      <c r="L144" s="49">
        <f>I144/F144</f>
        <v/>
      </c>
      <c r="M144" s="30" t="n">
        <v>127.13</v>
      </c>
      <c r="N144" s="30" t="n">
        <v>53.7</v>
      </c>
      <c r="O144" s="49">
        <f>(M144-N144)/N144</f>
        <v/>
      </c>
      <c r="P144" s="199">
        <f>N144*0.9056*0.85</f>
        <v/>
      </c>
      <c r="Q144" s="199">
        <f>N144*1.15</f>
        <v/>
      </c>
      <c r="R144" s="199">
        <f>IF(M144&lt;N144*0.9056*0.85,N144*0.9056*0.85,IF(M144&gt;N144*1.15,N144*1.15,M144))</f>
        <v/>
      </c>
      <c r="S144" s="199">
        <f>+F144*M144</f>
        <v/>
      </c>
      <c r="T144" s="169">
        <f>S144+R144*I144</f>
        <v/>
      </c>
      <c r="U144" s="197">
        <f>S144+R144*J144</f>
        <v/>
      </c>
      <c r="V144" s="196">
        <f>U144-S144</f>
        <v/>
      </c>
      <c r="W144" s="197">
        <f>+U144-T144</f>
        <v/>
      </c>
      <c r="X144" s="201">
        <f>+U144-T144</f>
        <v/>
      </c>
      <c r="Y144" s="74" t="n"/>
    </row>
    <row r="145" ht="28.5" customFormat="1" customHeight="1" s="1">
      <c r="A145" s="28" t="n">
        <v>129</v>
      </c>
      <c r="B145" s="29" t="inlineStr">
        <is>
          <t>011406001008</t>
        </is>
      </c>
      <c r="C145" s="29" t="inlineStr">
        <is>
          <t>抹灰面油漆（顶5）</t>
        </is>
      </c>
      <c r="D145" s="29" t="inlineStr">
        <is>
          <t>1.耐水防霉白色腻子两遍</t>
        </is>
      </c>
      <c r="E145" s="30" t="inlineStr">
        <is>
          <t>m2</t>
        </is>
      </c>
      <c r="F145" s="30" t="n">
        <v>3599.223</v>
      </c>
      <c r="G145" s="199" t="n">
        <v>5402.28</v>
      </c>
      <c r="H145" s="200" t="n">
        <v>5402.28</v>
      </c>
      <c r="I145" s="199">
        <f>G145-F145</f>
        <v/>
      </c>
      <c r="J145" s="199">
        <f>H145-F145</f>
        <v/>
      </c>
      <c r="K145" s="199">
        <f>+H145-G145</f>
        <v/>
      </c>
      <c r="L145" s="49">
        <f>I145/F145</f>
        <v/>
      </c>
      <c r="M145" s="30" t="n">
        <v>19.62</v>
      </c>
      <c r="N145" s="30" t="n">
        <v>21.48</v>
      </c>
      <c r="O145" s="49">
        <f>(M145-N145)/N145</f>
        <v/>
      </c>
      <c r="P145" s="199">
        <f>N145*0.9056*0.85</f>
        <v/>
      </c>
      <c r="Q145" s="199">
        <f>N145*1.15</f>
        <v/>
      </c>
      <c r="R145" s="199">
        <f>IF(M145&lt;N145*0.9056*0.85,N145*0.9056*0.85,IF(M145&gt;N145*1.15,N145*1.15,M145))</f>
        <v/>
      </c>
      <c r="S145" s="199">
        <f>+F145*M145</f>
        <v/>
      </c>
      <c r="T145" s="169">
        <f>S145+R145*I145</f>
        <v/>
      </c>
      <c r="U145" s="197">
        <f>S145+R145*J145</f>
        <v/>
      </c>
      <c r="V145" s="196">
        <f>U145-S145</f>
        <v/>
      </c>
      <c r="W145" s="197">
        <f>+U145-T145</f>
        <v/>
      </c>
      <c r="X145" s="201">
        <f>+U145-T145</f>
        <v/>
      </c>
      <c r="Y145" s="74" t="n"/>
    </row>
    <row r="146" ht="41.25" customFormat="1" customHeight="1" s="1">
      <c r="A146" s="28" t="n">
        <v>130</v>
      </c>
      <c r="B146" s="29" t="inlineStr">
        <is>
          <t>011302002001</t>
        </is>
      </c>
      <c r="C146" s="29" t="inlineStr">
        <is>
          <t>格栅吊顶</t>
        </is>
      </c>
      <c r="D146" s="29" t="inlineStr">
        <is>
          <t>1.50*100*1.0铝方管格栅天花(木纹转印)
2.做法详见图纸</t>
        </is>
      </c>
      <c r="E146" s="30" t="inlineStr">
        <is>
          <t>m2</t>
        </is>
      </c>
      <c r="F146" s="30" t="n">
        <v>22.36</v>
      </c>
      <c r="G146" s="199" t="n">
        <v>22.36</v>
      </c>
      <c r="H146" s="200" t="n">
        <v>22.36</v>
      </c>
      <c r="I146" s="199">
        <f>G146-F146</f>
        <v/>
      </c>
      <c r="J146" s="199">
        <f>H146-F146</f>
        <v/>
      </c>
      <c r="K146" s="199">
        <f>+H146-G146</f>
        <v/>
      </c>
      <c r="L146" s="49">
        <f>I146/F146</f>
        <v/>
      </c>
      <c r="M146" s="30" t="n">
        <v>203.6</v>
      </c>
      <c r="N146" s="30" t="n">
        <v>174.62</v>
      </c>
      <c r="O146" s="49">
        <f>(M146-N146)/N146</f>
        <v/>
      </c>
      <c r="P146" s="199">
        <f>N146*0.9056*0.85</f>
        <v/>
      </c>
      <c r="Q146" s="199">
        <f>N146*1.15</f>
        <v/>
      </c>
      <c r="R146" s="199">
        <f>IF(M146&lt;N146*0.9056*0.85,N146*0.9056*0.85,IF(M146&gt;N146*1.15,N146*1.15,M146))</f>
        <v/>
      </c>
      <c r="S146" s="199">
        <f>+F146*M146</f>
        <v/>
      </c>
      <c r="T146" s="169">
        <f>S146+R146*I146</f>
        <v/>
      </c>
      <c r="U146" s="197">
        <f>S146+R146*J146</f>
        <v/>
      </c>
      <c r="V146" s="196">
        <f>U146-S146</f>
        <v/>
      </c>
      <c r="W146" s="197">
        <f>+U146-T146</f>
        <v/>
      </c>
      <c r="X146" s="201">
        <f>+U146-T146</f>
        <v/>
      </c>
      <c r="Y146" s="74" t="n"/>
    </row>
    <row r="147" ht="92.25" customFormat="1" customHeight="1" s="1">
      <c r="A147" s="28" t="n">
        <v>131</v>
      </c>
      <c r="B147" s="29" t="inlineStr">
        <is>
          <t>011302001007</t>
        </is>
      </c>
      <c r="C147" s="29" t="inlineStr">
        <is>
          <t>吊顶天棚</t>
        </is>
      </c>
      <c r="D147" s="29" t="inlineStr">
        <is>
          <t>1.装配式U型轻钢天棚龙骨(不上人型)面层规格(mm)600×600跌级
2.9mm胶合板基层
3.8MM厚硅钙板天花面层
4.加强型腻子找平层5厚
5.无机涂料,三遍成活</t>
        </is>
      </c>
      <c r="E147" s="30" t="inlineStr">
        <is>
          <t>m2</t>
        </is>
      </c>
      <c r="F147" s="30" t="n">
        <v>92.34</v>
      </c>
      <c r="G147" s="199" t="n">
        <v>103.1</v>
      </c>
      <c r="H147" s="200" t="n">
        <v>103.1</v>
      </c>
      <c r="I147" s="199">
        <f>G147-F147</f>
        <v/>
      </c>
      <c r="J147" s="199">
        <f>H147-F147</f>
        <v/>
      </c>
      <c r="K147" s="199">
        <f>+H147-G147</f>
        <v/>
      </c>
      <c r="L147" s="49">
        <f>I147/F147</f>
        <v/>
      </c>
      <c r="M147" s="30" t="n">
        <v>173.89</v>
      </c>
      <c r="N147" s="30" t="n">
        <v>176.34</v>
      </c>
      <c r="O147" s="49">
        <f>(M147-N147)/N147</f>
        <v/>
      </c>
      <c r="P147" s="199">
        <f>N147*0.9056*0.85</f>
        <v/>
      </c>
      <c r="Q147" s="199">
        <f>N147*1.15</f>
        <v/>
      </c>
      <c r="R147" s="199">
        <f>IF(M147&lt;N147*0.9056*0.85,N147*0.9056*0.85,IF(M147&gt;N147*1.15,N147*1.15,M147))</f>
        <v/>
      </c>
      <c r="S147" s="199">
        <f>+F147*M147</f>
        <v/>
      </c>
      <c r="T147" s="169">
        <f>S147+R147*I147</f>
        <v/>
      </c>
      <c r="U147" s="197">
        <f>S147+R147*J147</f>
        <v/>
      </c>
      <c r="V147" s="196">
        <f>U147-S147</f>
        <v/>
      </c>
      <c r="W147" s="197">
        <f>+U147-T147</f>
        <v/>
      </c>
      <c r="X147" s="201">
        <f>+U147-T147</f>
        <v/>
      </c>
      <c r="Y147" s="74" t="n"/>
    </row>
    <row r="148" ht="28.5" customFormat="1" customHeight="1" s="1">
      <c r="A148" s="28" t="n"/>
      <c r="B148" s="29" t="n"/>
      <c r="C148" s="29" t="inlineStr">
        <is>
          <t>其他装饰工程</t>
        </is>
      </c>
      <c r="D148" s="29" t="n"/>
      <c r="E148" s="29" t="n"/>
      <c r="F148" s="30" t="n"/>
      <c r="G148" s="199" t="n"/>
      <c r="H148" s="31" t="n"/>
      <c r="I148" s="199" t="n"/>
      <c r="J148" s="199" t="n"/>
      <c r="K148" s="199" t="n"/>
      <c r="L148" s="49" t="n"/>
      <c r="M148" s="30" t="n"/>
      <c r="N148" s="30" t="n"/>
      <c r="O148" s="30" t="n"/>
      <c r="P148" s="30" t="n"/>
      <c r="Q148" s="30" t="n"/>
      <c r="R148" s="199" t="n"/>
      <c r="S148" s="196">
        <f>+SUM(S149:S166)</f>
        <v/>
      </c>
      <c r="T148" s="196">
        <f>+SUM(T149:T166)</f>
        <v/>
      </c>
      <c r="U148" s="197">
        <f>SUM(U149:U166)</f>
        <v/>
      </c>
      <c r="V148" s="196">
        <f>U148-S148</f>
        <v/>
      </c>
      <c r="W148" s="197">
        <f>+U148-T148</f>
        <v/>
      </c>
      <c r="X148" s="198">
        <f>U148-T148</f>
        <v/>
      </c>
      <c r="Y148" s="74" t="n"/>
    </row>
    <row r="149" ht="95" customFormat="1" customHeight="1" s="1">
      <c r="A149" s="28" t="n">
        <v>132</v>
      </c>
      <c r="B149" s="29" t="inlineStr">
        <is>
          <t>011503001007</t>
        </is>
      </c>
      <c r="C149" s="29" t="inlineStr">
        <is>
          <t>金属扶手、栏杆、栏板</t>
        </is>
      </c>
      <c r="D149" s="29" t="inlineStr">
        <is>
          <t>1.名称:不锈钢护窗栏杆H=900mm
2.上扶手:Φ60x2.5不锈钢管
3.栏杆:Φ30x2.0不锈钢管
4.含热镀锌预埋件及螺栓</t>
        </is>
      </c>
      <c r="E149" s="30" t="inlineStr">
        <is>
          <t>m</t>
        </is>
      </c>
      <c r="F149" s="30" t="n">
        <v>182.16</v>
      </c>
      <c r="G149" s="199" t="n">
        <v>224.19</v>
      </c>
      <c r="H149" s="200" t="n">
        <v>194.56</v>
      </c>
      <c r="I149" s="199">
        <f>G149-F149</f>
        <v/>
      </c>
      <c r="J149" s="199">
        <f>H149-F149</f>
        <v/>
      </c>
      <c r="K149" s="199">
        <f>+H149-G149</f>
        <v/>
      </c>
      <c r="L149" s="49">
        <f>I149/F149</f>
        <v/>
      </c>
      <c r="M149" s="30" t="n">
        <v>527.8</v>
      </c>
      <c r="N149" s="30" t="n">
        <v>781.46</v>
      </c>
      <c r="O149" s="49">
        <f>(M149-N149)/N149</f>
        <v/>
      </c>
      <c r="P149" s="199">
        <f>N149*0.9056*0.85</f>
        <v/>
      </c>
      <c r="Q149" s="199">
        <f>N149*1.15</f>
        <v/>
      </c>
      <c r="R149" s="199">
        <f>IF(M149&lt;N149*0.9056*0.85,N149*0.9056*0.85,IF(M149&gt;N149*1.15,N149*1.15,M149))</f>
        <v/>
      </c>
      <c r="S149" s="199">
        <f>+F149*M149</f>
        <v/>
      </c>
      <c r="T149" s="169">
        <f>S149+R149*I149</f>
        <v/>
      </c>
      <c r="U149" s="197">
        <f>S149+R149*J149</f>
        <v/>
      </c>
      <c r="V149" s="196">
        <f>U149-S149</f>
        <v/>
      </c>
      <c r="W149" s="197">
        <f>+U149-T149</f>
        <v/>
      </c>
      <c r="X149" s="201">
        <f>+U149-T149</f>
        <v/>
      </c>
      <c r="Y149" s="74" t="n"/>
    </row>
    <row r="150" ht="78" customFormat="1" customHeight="1" s="1">
      <c r="A150" s="28" t="n">
        <v>133</v>
      </c>
      <c r="B150" s="29" t="inlineStr">
        <is>
          <t>011503001003</t>
        </is>
      </c>
      <c r="C150" s="29" t="inlineStr">
        <is>
          <t>金属扶手、栏杆、栏板</t>
        </is>
      </c>
      <c r="D150" s="29" t="inlineStr">
        <is>
          <t>1.名称:不锈钢楼梯栏杆H=1200mm
2.上扶手:Φ60x3.0不锈钢管
3.栏杆:Φ28x1.2不锈钢管
4.含热镀锌预埋件及螺栓
5.做法参照国标15J403-1</t>
        </is>
      </c>
      <c r="E150" s="30" t="inlineStr">
        <is>
          <t>m</t>
        </is>
      </c>
      <c r="F150" s="30" t="n">
        <v>153.8</v>
      </c>
      <c r="G150" s="199" t="n">
        <v>159.85</v>
      </c>
      <c r="H150" s="200" t="n">
        <v>159.85</v>
      </c>
      <c r="I150" s="199">
        <f>G150-F150</f>
        <v/>
      </c>
      <c r="J150" s="199">
        <f>H150-F150</f>
        <v/>
      </c>
      <c r="K150" s="199">
        <f>+H150-G150</f>
        <v/>
      </c>
      <c r="L150" s="49">
        <f>I150/F150</f>
        <v/>
      </c>
      <c r="M150" s="30" t="n">
        <v>508.12</v>
      </c>
      <c r="N150" s="30" t="n">
        <v>816.95</v>
      </c>
      <c r="O150" s="49">
        <f>(M150-N150)/N150</f>
        <v/>
      </c>
      <c r="P150" s="199">
        <f>N150*0.9056*0.85</f>
        <v/>
      </c>
      <c r="Q150" s="199">
        <f>N150*1.15</f>
        <v/>
      </c>
      <c r="R150" s="199">
        <f>IF(M150&lt;N150*0.9056*0.85,N150*0.9056*0.85,IF(M150&gt;N150*1.15,N150*1.15,M150))</f>
        <v/>
      </c>
      <c r="S150" s="199">
        <f>+F150*M150</f>
        <v/>
      </c>
      <c r="T150" s="169">
        <f>S150+R150*I150</f>
        <v/>
      </c>
      <c r="U150" s="197">
        <f>S150+R150*J150</f>
        <v/>
      </c>
      <c r="V150" s="196">
        <f>U150-S150</f>
        <v/>
      </c>
      <c r="W150" s="197">
        <f>+U150-T150</f>
        <v/>
      </c>
      <c r="X150" s="201">
        <f>+U150-T150</f>
        <v/>
      </c>
      <c r="Y150" s="74" t="n"/>
    </row>
    <row r="151" ht="77" customFormat="1" customHeight="1" s="1">
      <c r="A151" s="28" t="n">
        <v>134</v>
      </c>
      <c r="B151" s="29" t="inlineStr">
        <is>
          <t>011503001009</t>
        </is>
      </c>
      <c r="C151" s="29" t="inlineStr">
        <is>
          <t>金属扶手、栏杆、栏板</t>
        </is>
      </c>
      <c r="D151" s="29" t="inlineStr">
        <is>
          <t>1.名称:走廊拉丝不锈钢烤漆栏杆H=1200mm
2.上扶手:Φ60x3.0不锈钢管
3.栏杆:Φ28x1.2不锈钢管
4.含热镀锌预埋件及螺栓
5.做法参照国标15J403-1</t>
        </is>
      </c>
      <c r="E151" s="30" t="inlineStr">
        <is>
          <t>m</t>
        </is>
      </c>
      <c r="F151" s="30" t="n">
        <v>429.913</v>
      </c>
      <c r="G151" s="199" t="n">
        <v>442.35</v>
      </c>
      <c r="H151" s="200" t="n">
        <v>442.35</v>
      </c>
      <c r="I151" s="199">
        <f>G151-F151</f>
        <v/>
      </c>
      <c r="J151" s="199">
        <f>H151-F151</f>
        <v/>
      </c>
      <c r="K151" s="199">
        <f>+H151-G151</f>
        <v/>
      </c>
      <c r="L151" s="49">
        <f>I151/F151</f>
        <v/>
      </c>
      <c r="M151" s="30" t="n">
        <v>618.48</v>
      </c>
      <c r="N151" s="30" t="n">
        <v>849.58</v>
      </c>
      <c r="O151" s="49">
        <f>(M151-N151)/N151</f>
        <v/>
      </c>
      <c r="P151" s="199">
        <f>N151*0.9056*0.85</f>
        <v/>
      </c>
      <c r="Q151" s="199">
        <f>N151*1.15</f>
        <v/>
      </c>
      <c r="R151" s="199">
        <f>IF(M151&lt;N151*0.9056*0.85,N151*0.9056*0.85,IF(M151&gt;N151*1.15,N151*1.15,M151))</f>
        <v/>
      </c>
      <c r="S151" s="199">
        <f>+F151*M151</f>
        <v/>
      </c>
      <c r="T151" s="169">
        <f>S151+R151*I151</f>
        <v/>
      </c>
      <c r="U151" s="197">
        <f>S151+R151*J151</f>
        <v/>
      </c>
      <c r="V151" s="196">
        <f>U151-S151</f>
        <v/>
      </c>
      <c r="W151" s="197">
        <f>+U151-T151</f>
        <v/>
      </c>
      <c r="X151" s="201">
        <f>+U151-T151</f>
        <v/>
      </c>
      <c r="Y151" s="74" t="n"/>
    </row>
    <row r="152" ht="54" customFormat="1" customHeight="1" s="1">
      <c r="A152" s="28" t="n">
        <v>135</v>
      </c>
      <c r="B152" s="29" t="inlineStr">
        <is>
          <t>011503008001</t>
        </is>
      </c>
      <c r="C152" s="29" t="inlineStr">
        <is>
          <t>玻璃栏板</t>
        </is>
      </c>
      <c r="D152" s="29" t="inlineStr">
        <is>
          <t>1.不锈钢立柱玻璃栏板
2.H=1250mm
3.不锈钢扶手Φ50x3.0直型
4.做法参照国标15J403-1</t>
        </is>
      </c>
      <c r="E152" s="30" t="inlineStr">
        <is>
          <t>m</t>
        </is>
      </c>
      <c r="F152" s="30" t="n">
        <v>25.228</v>
      </c>
      <c r="G152" s="199" t="n">
        <v>25.23</v>
      </c>
      <c r="H152" s="200" t="n">
        <v>25.23</v>
      </c>
      <c r="I152" s="199">
        <f>G152-F152</f>
        <v/>
      </c>
      <c r="J152" s="199">
        <f>H152-F152</f>
        <v/>
      </c>
      <c r="K152" s="199">
        <f>+H152-G152</f>
        <v/>
      </c>
      <c r="L152" s="49">
        <f>I152/F152</f>
        <v/>
      </c>
      <c r="M152" s="30" t="n">
        <v>895.61</v>
      </c>
      <c r="N152" s="30" t="n">
        <v>1040.81</v>
      </c>
      <c r="O152" s="49">
        <f>(M152-N152)/N152</f>
        <v/>
      </c>
      <c r="P152" s="199">
        <f>N152*0.9056*0.85</f>
        <v/>
      </c>
      <c r="Q152" s="199">
        <f>N152*1.15</f>
        <v/>
      </c>
      <c r="R152" s="199">
        <f>IF(M152&lt;N152*0.9056*0.85,N152*0.9056*0.85,IF(M152&gt;N152*1.15,N152*1.15,M152))</f>
        <v/>
      </c>
      <c r="S152" s="199">
        <f>+F152*M152</f>
        <v/>
      </c>
      <c r="T152" s="169">
        <f>S152+R152*I152</f>
        <v/>
      </c>
      <c r="U152" s="197">
        <f>S152+R152*J152</f>
        <v/>
      </c>
      <c r="V152" s="196">
        <f>U152-S152</f>
        <v/>
      </c>
      <c r="W152" s="197">
        <f>+U152-T152</f>
        <v/>
      </c>
      <c r="X152" s="201">
        <f>+U152-T152</f>
        <v/>
      </c>
      <c r="Y152" s="74" t="n"/>
    </row>
    <row r="153" ht="78" customFormat="1" customHeight="1" s="1">
      <c r="A153" s="28" t="n">
        <v>136</v>
      </c>
      <c r="B153" s="29" t="inlineStr">
        <is>
          <t>011503005001</t>
        </is>
      </c>
      <c r="C153" s="29" t="inlineStr">
        <is>
          <t>金属靠墙扶手</t>
        </is>
      </c>
      <c r="D153" s="29" t="inlineStr">
        <is>
          <t>1.楼梯靠墙扶手
2.Φ60x2不锈钢管靠墙扶手
3.做法参照国标15J403-1</t>
        </is>
      </c>
      <c r="E153" s="30" t="inlineStr">
        <is>
          <t>m</t>
        </is>
      </c>
      <c r="F153" s="30" t="n">
        <v>175.552</v>
      </c>
      <c r="G153" s="199" t="n">
        <v>187.84</v>
      </c>
      <c r="H153" s="200" t="n">
        <v>187.84</v>
      </c>
      <c r="I153" s="199">
        <f>G153-F153</f>
        <v/>
      </c>
      <c r="J153" s="199">
        <f>H153-F153</f>
        <v/>
      </c>
      <c r="K153" s="199">
        <f>+H153-G153</f>
        <v/>
      </c>
      <c r="L153" s="49">
        <f>I153/F153</f>
        <v/>
      </c>
      <c r="M153" s="30" t="n">
        <v>473.06</v>
      </c>
      <c r="N153" s="30" t="n">
        <v>331.37</v>
      </c>
      <c r="O153" s="49">
        <f>(M153-N153)/N153</f>
        <v/>
      </c>
      <c r="P153" s="199">
        <f>N153*0.9056*0.85</f>
        <v/>
      </c>
      <c r="Q153" s="199">
        <f>N153*1.15</f>
        <v/>
      </c>
      <c r="R153" s="199">
        <f>IF(M153&lt;N153*0.9056*0.85,N153*0.9056*0.85,IF(M153&gt;N153*1.15,N153*1.15,M153))</f>
        <v/>
      </c>
      <c r="S153" s="199">
        <f>+F153*M153</f>
        <v/>
      </c>
      <c r="T153" s="169">
        <f>S153+R153*I153</f>
        <v/>
      </c>
      <c r="U153" s="197">
        <f>S153+R153*J153</f>
        <v/>
      </c>
      <c r="V153" s="196">
        <f>U153-S153</f>
        <v/>
      </c>
      <c r="W153" s="197">
        <f>+U153-T153</f>
        <v/>
      </c>
      <c r="X153" s="201">
        <f>+U153-T153</f>
        <v/>
      </c>
      <c r="Y153" s="91" t="n"/>
    </row>
    <row r="154" ht="41.25" customFormat="1" customHeight="1" s="1">
      <c r="A154" s="28" t="n">
        <v>137</v>
      </c>
      <c r="B154" s="29" t="inlineStr">
        <is>
          <t>011503005003</t>
        </is>
      </c>
      <c r="C154" s="29" t="inlineStr">
        <is>
          <t>金属靠墙扶手</t>
        </is>
      </c>
      <c r="D154" s="29" t="inlineStr">
        <is>
          <t>1.卫生间无障碍扶手
2.Φ40x1.5不锈钢管靠墙扶手</t>
        </is>
      </c>
      <c r="E154" s="30" t="inlineStr">
        <is>
          <t>m</t>
        </is>
      </c>
      <c r="F154" s="30" t="n">
        <v>6.7</v>
      </c>
      <c r="G154" s="199" t="n">
        <v>6.7</v>
      </c>
      <c r="H154" s="200" t="n">
        <v>6.7</v>
      </c>
      <c r="I154" s="199">
        <f>G154-F154</f>
        <v/>
      </c>
      <c r="J154" s="199">
        <f>H154-F154</f>
        <v/>
      </c>
      <c r="K154" s="199">
        <f>+H154-G154</f>
        <v/>
      </c>
      <c r="L154" s="49">
        <f>I154/F154</f>
        <v/>
      </c>
      <c r="M154" s="30" t="n">
        <v>468.51</v>
      </c>
      <c r="N154" s="30" t="n">
        <v>272</v>
      </c>
      <c r="O154" s="49">
        <f>(M154-N154)/N154</f>
        <v/>
      </c>
      <c r="P154" s="199">
        <f>N154*0.9056*0.85</f>
        <v/>
      </c>
      <c r="Q154" s="199">
        <f>N154*1.15</f>
        <v/>
      </c>
      <c r="R154" s="199">
        <f>IF(M154&lt;N154*0.9056*0.85,N154*0.9056*0.85,IF(M154&gt;N154*1.15,N154*1.15,M154))</f>
        <v/>
      </c>
      <c r="S154" s="199">
        <f>+F154*M154</f>
        <v/>
      </c>
      <c r="T154" s="169">
        <f>S154+R154*I154</f>
        <v/>
      </c>
      <c r="U154" s="197">
        <f>S154+R154*J154</f>
        <v/>
      </c>
      <c r="V154" s="196">
        <f>U154-S154</f>
        <v/>
      </c>
      <c r="W154" s="197">
        <f>+U154-T154</f>
        <v/>
      </c>
      <c r="X154" s="201">
        <f>+U154-T154</f>
        <v/>
      </c>
      <c r="Y154" s="74" t="n"/>
    </row>
    <row r="155" ht="41.25" customFormat="1" customHeight="1" s="1">
      <c r="A155" s="28" t="n">
        <v>138</v>
      </c>
      <c r="B155" s="29" t="inlineStr">
        <is>
          <t>011210005001</t>
        </is>
      </c>
      <c r="C155" s="29" t="inlineStr">
        <is>
          <t>成品隔断</t>
        </is>
      </c>
      <c r="D155" s="29" t="inlineStr">
        <is>
          <t>1.卫生间成品抗培特饰面隔断
2.其他详见图纸</t>
        </is>
      </c>
      <c r="E155" s="30" t="inlineStr">
        <is>
          <t>m2</t>
        </is>
      </c>
      <c r="F155" s="30" t="n">
        <v>516.3150000000001</v>
      </c>
      <c r="G155" s="199" t="n">
        <v>516.3200000000001</v>
      </c>
      <c r="H155" s="200" t="n">
        <v>516.3200000000001</v>
      </c>
      <c r="I155" s="199">
        <f>G155-F155</f>
        <v/>
      </c>
      <c r="J155" s="199">
        <f>H155-F155</f>
        <v/>
      </c>
      <c r="K155" s="199">
        <f>+H155-G155</f>
        <v/>
      </c>
      <c r="L155" s="49">
        <f>I155/F155</f>
        <v/>
      </c>
      <c r="M155" s="30" t="n">
        <v>205.48</v>
      </c>
      <c r="N155" s="30" t="n">
        <v>308.59</v>
      </c>
      <c r="O155" s="49">
        <f>(M155-N155)/N155</f>
        <v/>
      </c>
      <c r="P155" s="199">
        <f>N155*0.9056*0.85</f>
        <v/>
      </c>
      <c r="Q155" s="199">
        <f>N155*1.15</f>
        <v/>
      </c>
      <c r="R155" s="199">
        <f>IF(M155&lt;N155*0.9056*0.85,N155*0.9056*0.85,IF(M155&gt;N155*1.15,N155*1.15,M155))</f>
        <v/>
      </c>
      <c r="S155" s="199">
        <f>+F155*M155</f>
        <v/>
      </c>
      <c r="T155" s="169">
        <f>S155+R155*I155</f>
        <v/>
      </c>
      <c r="U155" s="197">
        <f>S155+R155*J155</f>
        <v/>
      </c>
      <c r="V155" s="196">
        <f>U155-S155</f>
        <v/>
      </c>
      <c r="W155" s="197">
        <f>+U155-T155</f>
        <v/>
      </c>
      <c r="X155" s="201">
        <f>+U155-T155</f>
        <v/>
      </c>
      <c r="Y155" s="74" t="n"/>
    </row>
    <row r="156" ht="79.5" customFormat="1" customHeight="1" s="1">
      <c r="A156" s="28" t="n">
        <v>139</v>
      </c>
      <c r="B156" s="29" t="inlineStr">
        <is>
          <t>011505001002</t>
        </is>
      </c>
      <c r="C156" s="29" t="inlineStr">
        <is>
          <t>洗漱台</t>
        </is>
      </c>
      <c r="D156" s="29" t="inlineStr">
        <is>
          <t>1.20mm厚国产金沙黑洗漱台（洗手台）L40*4镀锌角钢底架
2.台面开水龙头孔
3.台面开洗手盆孔
4.石材水磨斜边</t>
        </is>
      </c>
      <c r="E156" s="30" t="inlineStr">
        <is>
          <t>m2</t>
        </is>
      </c>
      <c r="F156" s="30" t="n">
        <v>42.81</v>
      </c>
      <c r="G156" s="199" t="n">
        <v>42.81</v>
      </c>
      <c r="H156" s="200" t="n">
        <v>42.81</v>
      </c>
      <c r="I156" s="199">
        <f>G156-F156</f>
        <v/>
      </c>
      <c r="J156" s="199">
        <f>H156-F156</f>
        <v/>
      </c>
      <c r="K156" s="199">
        <f>+H156-G156</f>
        <v/>
      </c>
      <c r="L156" s="49">
        <f>I156/F156</f>
        <v/>
      </c>
      <c r="M156" s="30" t="n">
        <v>801.02</v>
      </c>
      <c r="N156" s="30" t="n">
        <v>639.0599999999999</v>
      </c>
      <c r="O156" s="49">
        <f>(M156-N156)/N156</f>
        <v/>
      </c>
      <c r="P156" s="199">
        <f>N156*0.9056*0.85</f>
        <v/>
      </c>
      <c r="Q156" s="199">
        <f>N156*1.15</f>
        <v/>
      </c>
      <c r="R156" s="199">
        <f>IF(M156&lt;N156*0.9056*0.85,N156*0.9056*0.85,IF(M156&gt;N156*1.15,N156*1.15,M156))</f>
        <v/>
      </c>
      <c r="S156" s="199">
        <f>+F156*M156</f>
        <v/>
      </c>
      <c r="T156" s="169">
        <f>S156+R156*I156</f>
        <v/>
      </c>
      <c r="U156" s="197">
        <f>S156+R156*J156</f>
        <v/>
      </c>
      <c r="V156" s="196">
        <f>U156-S156</f>
        <v/>
      </c>
      <c r="W156" s="197">
        <f>+U156-T156</f>
        <v/>
      </c>
      <c r="X156" s="201">
        <f>+U156-T156</f>
        <v/>
      </c>
      <c r="Y156" s="74" t="n"/>
    </row>
    <row r="157" ht="41.25" customFormat="1" customHeight="1" s="1">
      <c r="A157" s="28" t="n">
        <v>140</v>
      </c>
      <c r="B157" s="29" t="inlineStr">
        <is>
          <t>011505010001</t>
        </is>
      </c>
      <c r="C157" s="29" t="inlineStr">
        <is>
          <t>镜面玻璃</t>
        </is>
      </c>
      <c r="D157" s="29" t="inlineStr">
        <is>
          <t>1.卫生间镜
2.6mm车边银镜
3.具体做法详见图纸</t>
        </is>
      </c>
      <c r="E157" s="30" t="inlineStr">
        <is>
          <t>m2</t>
        </is>
      </c>
      <c r="F157" s="30" t="n">
        <v>42.24</v>
      </c>
      <c r="G157" s="199" t="n">
        <v>42.24</v>
      </c>
      <c r="H157" s="200" t="n">
        <v>42.24</v>
      </c>
      <c r="I157" s="199">
        <f>G157-F157</f>
        <v/>
      </c>
      <c r="J157" s="199">
        <f>H157-F157</f>
        <v/>
      </c>
      <c r="K157" s="199">
        <f>+H157-G157</f>
        <v/>
      </c>
      <c r="L157" s="49">
        <f>I157/F157</f>
        <v/>
      </c>
      <c r="M157" s="30" t="n">
        <v>328.86</v>
      </c>
      <c r="N157" s="30" t="n">
        <v>295.82</v>
      </c>
      <c r="O157" s="49">
        <f>(M157-N157)/N157</f>
        <v/>
      </c>
      <c r="P157" s="199">
        <f>N157*0.9056*0.85</f>
        <v/>
      </c>
      <c r="Q157" s="199">
        <f>N157*1.15</f>
        <v/>
      </c>
      <c r="R157" s="199">
        <f>IF(M157&lt;N157*0.9056*0.85,N157*0.9056*0.85,IF(M157&gt;N157*1.15,N157*1.15,M157))</f>
        <v/>
      </c>
      <c r="S157" s="199">
        <f>+F157*M157</f>
        <v/>
      </c>
      <c r="T157" s="169">
        <f>S157+R157*I157</f>
        <v/>
      </c>
      <c r="U157" s="197">
        <f>S157+R157*J157</f>
        <v/>
      </c>
      <c r="V157" s="196">
        <f>U157-S157</f>
        <v/>
      </c>
      <c r="W157" s="197">
        <f>+U157-T157</f>
        <v/>
      </c>
      <c r="X157" s="201">
        <f>+U157-T157</f>
        <v/>
      </c>
      <c r="Y157" s="74" t="n"/>
    </row>
    <row r="158" ht="66.75" customFormat="1" customHeight="1" s="1">
      <c r="A158" s="28" t="n">
        <v>141</v>
      </c>
      <c r="B158" s="29" t="inlineStr">
        <is>
          <t>011501001003</t>
        </is>
      </c>
      <c r="C158" s="29" t="inlineStr">
        <is>
          <t>直播台</t>
        </is>
      </c>
      <c r="D158" s="29" t="inlineStr">
        <is>
          <t>1.直播台
2.H=800
3.4MM阻燃夹板底面刮离子灰喷光面漆
4.做法详见设计图纸</t>
        </is>
      </c>
      <c r="E158" s="30" t="inlineStr">
        <is>
          <t>m</t>
        </is>
      </c>
      <c r="F158" s="30" t="n">
        <v>2.77</v>
      </c>
      <c r="G158" s="199" t="n">
        <v>2.77</v>
      </c>
      <c r="H158" s="200" t="n">
        <v>2.77</v>
      </c>
      <c r="I158" s="199">
        <f>G158-F158</f>
        <v/>
      </c>
      <c r="J158" s="199">
        <f>H158-F158</f>
        <v/>
      </c>
      <c r="K158" s="199">
        <f>+H158-G158</f>
        <v/>
      </c>
      <c r="L158" s="49">
        <f>I158/F158</f>
        <v/>
      </c>
      <c r="M158" s="30" t="n">
        <v>1630</v>
      </c>
      <c r="N158" s="30" t="n">
        <v>841.97</v>
      </c>
      <c r="O158" s="49">
        <f>(M158-N158)/N158</f>
        <v/>
      </c>
      <c r="P158" s="199">
        <f>N158*0.9056*0.85</f>
        <v/>
      </c>
      <c r="Q158" s="199">
        <f>N158*1.15</f>
        <v/>
      </c>
      <c r="R158" s="199">
        <f>IF(M158&lt;N158*0.9056*0.85,N158*0.9056*0.85,IF(M158&gt;N158*1.15,N158*1.15,M158))</f>
        <v/>
      </c>
      <c r="S158" s="199">
        <f>+F158*M158</f>
        <v/>
      </c>
      <c r="T158" s="169">
        <f>S158+R158*I158</f>
        <v/>
      </c>
      <c r="U158" s="197">
        <f>S158+R158*J158</f>
        <v/>
      </c>
      <c r="V158" s="196">
        <f>U158-S158</f>
        <v/>
      </c>
      <c r="W158" s="197">
        <f>+U158-T158</f>
        <v/>
      </c>
      <c r="X158" s="201">
        <f>+U158-T158</f>
        <v/>
      </c>
      <c r="Y158" s="74" t="n"/>
    </row>
    <row r="159" ht="41.25" customFormat="1" customHeight="1" s="1">
      <c r="A159" s="28" t="n">
        <v>142</v>
      </c>
      <c r="B159" s="29" t="inlineStr">
        <is>
          <t>011501001005</t>
        </is>
      </c>
      <c r="C159" s="29" t="inlineStr">
        <is>
          <t>洗手柜</t>
        </is>
      </c>
      <c r="D159" s="29" t="inlineStr">
        <is>
          <t>1.4mm蓝色免漆板洗手柜
2.H=650
3.做法详见设计图纸</t>
        </is>
      </c>
      <c r="E159" s="30" t="inlineStr">
        <is>
          <t>m</t>
        </is>
      </c>
      <c r="F159" s="30" t="n">
        <v>12.61</v>
      </c>
      <c r="G159" s="199" t="n">
        <v>12.61</v>
      </c>
      <c r="H159" s="200" t="n">
        <v>12.61</v>
      </c>
      <c r="I159" s="199">
        <f>G159-F159</f>
        <v/>
      </c>
      <c r="J159" s="199">
        <f>H159-F159</f>
        <v/>
      </c>
      <c r="K159" s="199">
        <f>+H159-G159</f>
        <v/>
      </c>
      <c r="L159" s="49">
        <f>I159/F159</f>
        <v/>
      </c>
      <c r="M159" s="30" t="n">
        <v>1030</v>
      </c>
      <c r="N159" s="30" t="n">
        <v>991.97</v>
      </c>
      <c r="O159" s="49">
        <f>(M159-N159)/N159</f>
        <v/>
      </c>
      <c r="P159" s="199">
        <f>N159*0.9056*0.85</f>
        <v/>
      </c>
      <c r="Q159" s="199">
        <f>N159*1.15</f>
        <v/>
      </c>
      <c r="R159" s="199">
        <f>IF(M159&lt;N159*0.9056*0.85,N159*0.9056*0.85,IF(M159&gt;N159*1.15,N159*1.15,M159))</f>
        <v/>
      </c>
      <c r="S159" s="199">
        <f>+F159*M159</f>
        <v/>
      </c>
      <c r="T159" s="169">
        <f>S159+R159*I159</f>
        <v/>
      </c>
      <c r="U159" s="197">
        <f>S159+R159*J159</f>
        <v/>
      </c>
      <c r="V159" s="196">
        <f>U159-S159</f>
        <v/>
      </c>
      <c r="W159" s="197">
        <f>+U159-T159</f>
        <v/>
      </c>
      <c r="X159" s="201">
        <f>+U159-T159</f>
        <v/>
      </c>
      <c r="Y159" s="74" t="n"/>
    </row>
    <row r="160" ht="41.25" customFormat="1" customHeight="1" s="1">
      <c r="A160" s="28" t="n">
        <v>143</v>
      </c>
      <c r="B160" s="29" t="inlineStr">
        <is>
          <t>011501001008</t>
        </is>
      </c>
      <c r="C160" s="29" t="inlineStr">
        <is>
          <t>电脑桌</t>
        </is>
      </c>
      <c r="D160" s="29" t="inlineStr">
        <is>
          <t>1.4mm白橡木免漆板电脑桌
2.H=700
3.做法详见设计图纸</t>
        </is>
      </c>
      <c r="E160" s="30" t="inlineStr">
        <is>
          <t>m</t>
        </is>
      </c>
      <c r="F160" s="30" t="n">
        <v>3</v>
      </c>
      <c r="G160" s="199" t="n">
        <v>3</v>
      </c>
      <c r="H160" s="200" t="n">
        <v>3</v>
      </c>
      <c r="I160" s="199">
        <f>G160-F160</f>
        <v/>
      </c>
      <c r="J160" s="199">
        <f>H160-F160</f>
        <v/>
      </c>
      <c r="K160" s="199">
        <f>+H160-G160</f>
        <v/>
      </c>
      <c r="L160" s="49">
        <f>I160/F160</f>
        <v/>
      </c>
      <c r="M160" s="30" t="n">
        <v>1470</v>
      </c>
      <c r="N160" s="30" t="n">
        <v>841.97</v>
      </c>
      <c r="O160" s="49">
        <f>(M160-N160)/N160</f>
        <v/>
      </c>
      <c r="P160" s="199">
        <f>N160*0.9056*0.85</f>
        <v/>
      </c>
      <c r="Q160" s="199">
        <f>N160*1.15</f>
        <v/>
      </c>
      <c r="R160" s="199">
        <f>IF(M160&lt;N160*0.9056*0.85,N160*0.9056*0.85,IF(M160&gt;N160*1.15,N160*1.15,M160))</f>
        <v/>
      </c>
      <c r="S160" s="199">
        <f>+F160*M160</f>
        <v/>
      </c>
      <c r="T160" s="169">
        <f>S160+R160*I160</f>
        <v/>
      </c>
      <c r="U160" s="197">
        <f>S160+R160*J160</f>
        <v/>
      </c>
      <c r="V160" s="196">
        <f>U160-S160</f>
        <v/>
      </c>
      <c r="W160" s="197">
        <f>+U160-T160</f>
        <v/>
      </c>
      <c r="X160" s="201">
        <f>+U160-T160</f>
        <v/>
      </c>
      <c r="Y160" s="74" t="n"/>
    </row>
    <row r="161" ht="41.25" customFormat="1" customHeight="1" s="1">
      <c r="A161" s="28" t="n">
        <v>144</v>
      </c>
      <c r="B161" s="29" t="inlineStr">
        <is>
          <t>011501001007</t>
        </is>
      </c>
      <c r="C161" s="29" t="inlineStr">
        <is>
          <t>讲台</t>
        </is>
      </c>
      <c r="D161" s="29" t="inlineStr">
        <is>
          <t>1.4mm蓝色免漆板讲台
2.H=650
3.做法详见设计图纸</t>
        </is>
      </c>
      <c r="E161" s="30" t="inlineStr">
        <is>
          <t>m</t>
        </is>
      </c>
      <c r="F161" s="30" t="n">
        <v>5.27</v>
      </c>
      <c r="G161" s="199" t="n">
        <v>5.27</v>
      </c>
      <c r="H161" s="200" t="n">
        <v>5.27</v>
      </c>
      <c r="I161" s="199">
        <f>G161-F161</f>
        <v/>
      </c>
      <c r="J161" s="199">
        <f>H161-F161</f>
        <v/>
      </c>
      <c r="K161" s="199">
        <f>+H161-G161</f>
        <v/>
      </c>
      <c r="L161" s="49">
        <f>I161/F161</f>
        <v/>
      </c>
      <c r="M161" s="30" t="n">
        <v>1670</v>
      </c>
      <c r="N161" s="30" t="n">
        <v>1026.97</v>
      </c>
      <c r="O161" s="49">
        <f>(M161-N161)/N161</f>
        <v/>
      </c>
      <c r="P161" s="199">
        <f>N161*0.9056*0.85</f>
        <v/>
      </c>
      <c r="Q161" s="199">
        <f>N161*1.15</f>
        <v/>
      </c>
      <c r="R161" s="199">
        <f>IF(M161&lt;N161*0.9056*0.85,N161*0.9056*0.85,IF(M161&gt;N161*1.15,N161*1.15,M161))</f>
        <v/>
      </c>
      <c r="S161" s="199">
        <f>+F161*M161</f>
        <v/>
      </c>
      <c r="T161" s="169">
        <f>S161+R161*I161</f>
        <v/>
      </c>
      <c r="U161" s="197">
        <f>S161+R161*J161</f>
        <v/>
      </c>
      <c r="V161" s="196">
        <f>U161-S161</f>
        <v/>
      </c>
      <c r="W161" s="197">
        <f>+U161-T161</f>
        <v/>
      </c>
      <c r="X161" s="201">
        <f>+U161-T161</f>
        <v/>
      </c>
      <c r="Y161" s="74" t="n"/>
    </row>
    <row r="162" ht="28.5" customFormat="1" customHeight="1" s="1">
      <c r="A162" s="28" t="n">
        <v>145</v>
      </c>
      <c r="B162" s="29" t="inlineStr">
        <is>
          <t>011501001006</t>
        </is>
      </c>
      <c r="C162" s="29" t="inlineStr">
        <is>
          <t>4MM白橡木免漆板书架</t>
        </is>
      </c>
      <c r="D162" s="29" t="inlineStr">
        <is>
          <t>1.4MM白橡木免漆板书架
2.做法详见设计图纸</t>
        </is>
      </c>
      <c r="E162" s="30" t="inlineStr">
        <is>
          <t>m2</t>
        </is>
      </c>
      <c r="F162" s="30" t="n">
        <v>61.49</v>
      </c>
      <c r="G162" s="199" t="n">
        <v>61.49</v>
      </c>
      <c r="H162" s="200" t="n">
        <v>61.49</v>
      </c>
      <c r="I162" s="199">
        <f>G162-F162</f>
        <v/>
      </c>
      <c r="J162" s="199">
        <f>H162-F162</f>
        <v/>
      </c>
      <c r="K162" s="199">
        <f>+H162-G162</f>
        <v/>
      </c>
      <c r="L162" s="49">
        <f>I162/F162</f>
        <v/>
      </c>
      <c r="M162" s="30" t="n">
        <v>1390</v>
      </c>
      <c r="N162" s="30" t="n">
        <v>761.97</v>
      </c>
      <c r="O162" s="49">
        <f>(M162-N162)/N162</f>
        <v/>
      </c>
      <c r="P162" s="199">
        <f>N162*0.9056*0.85</f>
        <v/>
      </c>
      <c r="Q162" s="199">
        <f>N162*1.15</f>
        <v/>
      </c>
      <c r="R162" s="199">
        <f>IF(M162&lt;N162*0.9056*0.85,N162*0.9056*0.85,IF(M162&gt;N162*1.15,N162*1.15,M162))</f>
        <v/>
      </c>
      <c r="S162" s="199">
        <f>+F162*M162</f>
        <v/>
      </c>
      <c r="T162" s="169">
        <f>S162+R162*I162</f>
        <v/>
      </c>
      <c r="U162" s="197">
        <f>S162+R162*J162</f>
        <v/>
      </c>
      <c r="V162" s="196">
        <f>U162-S162</f>
        <v/>
      </c>
      <c r="W162" s="197">
        <f>+U162-T162</f>
        <v/>
      </c>
      <c r="X162" s="201">
        <f>+U162-T162</f>
        <v/>
      </c>
      <c r="Y162" s="74" t="n"/>
    </row>
    <row r="163" ht="54" customFormat="1" customHeight="1" s="1">
      <c r="A163" s="28" t="n">
        <v>146</v>
      </c>
      <c r="B163" s="29" t="inlineStr">
        <is>
          <t>011508001001</t>
        </is>
      </c>
      <c r="C163" s="29" t="inlineStr">
        <is>
          <t>装饰构件</t>
        </is>
      </c>
      <c r="D163" s="29" t="inlineStr">
        <is>
          <t>1.01装饰构件
2.白色发泡陶瓷构件
3.规格:2m
4.做法详见设计图纸</t>
        </is>
      </c>
      <c r="E163" s="30" t="inlineStr">
        <is>
          <t>个</t>
        </is>
      </c>
      <c r="F163" s="30" t="n">
        <v>1</v>
      </c>
      <c r="G163" s="199" t="n">
        <v>8</v>
      </c>
      <c r="H163" s="203" t="n">
        <v>8</v>
      </c>
      <c r="I163" s="199">
        <f>G163-F163</f>
        <v/>
      </c>
      <c r="J163" s="199">
        <f>H163-F163</f>
        <v/>
      </c>
      <c r="K163" s="199">
        <f>+H163-G163</f>
        <v/>
      </c>
      <c r="L163" s="49">
        <f>I163/F163</f>
        <v/>
      </c>
      <c r="M163" s="30" t="n">
        <v>148</v>
      </c>
      <c r="N163" s="30" t="n">
        <v>1235.9</v>
      </c>
      <c r="O163" s="49">
        <f>(M163-N163)/N163</f>
        <v/>
      </c>
      <c r="P163" s="199">
        <f>N163*0.9056*0.85</f>
        <v/>
      </c>
      <c r="Q163" s="199">
        <f>N163*1.15</f>
        <v/>
      </c>
      <c r="R163" s="199">
        <f>IF(M163&lt;N163*0.9056*0.85,N163*0.9056*0.85,IF(M163&gt;N163*1.15,N163*1.15,M163))</f>
        <v/>
      </c>
      <c r="S163" s="199">
        <f>+F163*M163</f>
        <v/>
      </c>
      <c r="T163" s="169">
        <f>S163+R163*I163</f>
        <v/>
      </c>
      <c r="U163" s="197">
        <f>S163+R163*J163</f>
        <v/>
      </c>
      <c r="V163" s="196">
        <f>U163-S163</f>
        <v/>
      </c>
      <c r="W163" s="197">
        <f>+U163-T163</f>
        <v/>
      </c>
      <c r="X163" s="201">
        <f>+U163-T163</f>
        <v/>
      </c>
      <c r="Y163" s="74" t="n"/>
    </row>
    <row r="164" ht="54" customFormat="1" customHeight="1" s="1">
      <c r="A164" s="28" t="n">
        <v>147</v>
      </c>
      <c r="B164" s="29" t="inlineStr">
        <is>
          <t>011508001002</t>
        </is>
      </c>
      <c r="C164" s="29" t="inlineStr">
        <is>
          <t>装饰构件</t>
        </is>
      </c>
      <c r="D164" s="29" t="inlineStr">
        <is>
          <t>1.02装饰构件
2.白色发泡陶瓷构件
3.规格:1.6m
4.做法详见设计图纸</t>
        </is>
      </c>
      <c r="E164" s="30" t="inlineStr">
        <is>
          <t>个</t>
        </is>
      </c>
      <c r="F164" s="30" t="n">
        <v>2</v>
      </c>
      <c r="G164" s="199" t="n">
        <v>2</v>
      </c>
      <c r="H164" s="203" t="n">
        <v>2</v>
      </c>
      <c r="I164" s="199">
        <f>G164-F164</f>
        <v/>
      </c>
      <c r="J164" s="199">
        <f>H164-F164</f>
        <v/>
      </c>
      <c r="K164" s="199">
        <f>+H164-G164</f>
        <v/>
      </c>
      <c r="L164" s="49">
        <f>I164/F164</f>
        <v/>
      </c>
      <c r="M164" s="30" t="n">
        <v>110</v>
      </c>
      <c r="N164" s="30" t="n">
        <v>885.9</v>
      </c>
      <c r="O164" s="49">
        <f>(M164-N164)/N164</f>
        <v/>
      </c>
      <c r="P164" s="199">
        <f>N164*0.9056*0.85</f>
        <v/>
      </c>
      <c r="Q164" s="199">
        <f>N164*1.15</f>
        <v/>
      </c>
      <c r="R164" s="199">
        <f>IF(M164&lt;N164*0.9056*0.85,N164*0.9056*0.85,IF(M164&gt;N164*1.15,N164*1.15,M164))</f>
        <v/>
      </c>
      <c r="S164" s="199">
        <f>+F164*M164</f>
        <v/>
      </c>
      <c r="T164" s="169">
        <f>S164+R164*I164</f>
        <v/>
      </c>
      <c r="U164" s="197">
        <f>S164+R164*J164</f>
        <v/>
      </c>
      <c r="V164" s="196">
        <f>U164-S164</f>
        <v/>
      </c>
      <c r="W164" s="197">
        <f>+U164-T164</f>
        <v/>
      </c>
      <c r="X164" s="201">
        <f>+U164-T164</f>
        <v/>
      </c>
      <c r="Y164" s="74" t="n"/>
    </row>
    <row r="165" ht="41.25" customFormat="1" customHeight="1" s="1">
      <c r="A165" s="28" t="n">
        <v>148</v>
      </c>
      <c r="B165" s="29" t="inlineStr">
        <is>
          <t>011508001003</t>
        </is>
      </c>
      <c r="C165" s="29" t="inlineStr">
        <is>
          <t>成品塔钟</t>
        </is>
      </c>
      <c r="D165" s="29" t="inlineStr">
        <is>
          <t>1.成品塔钟
2.规格:R=2m
3.做法详见设计图纸</t>
        </is>
      </c>
      <c r="E165" s="30" t="inlineStr">
        <is>
          <t>个</t>
        </is>
      </c>
      <c r="F165" s="30" t="n">
        <v>2</v>
      </c>
      <c r="G165" s="199" t="n">
        <v>2</v>
      </c>
      <c r="H165" s="203" t="n">
        <v>2</v>
      </c>
      <c r="I165" s="199">
        <f>G165-F165</f>
        <v/>
      </c>
      <c r="J165" s="199">
        <f>H165-F165</f>
        <v/>
      </c>
      <c r="K165" s="199">
        <f>+H165-G165</f>
        <v/>
      </c>
      <c r="L165" s="49">
        <f>I165/F165</f>
        <v/>
      </c>
      <c r="M165" s="30" t="n">
        <v>98676.85000000001</v>
      </c>
      <c r="N165" s="30" t="n">
        <v>68323.99000000001</v>
      </c>
      <c r="O165" s="49">
        <f>(M165-N165)/N165</f>
        <v/>
      </c>
      <c r="P165" s="199">
        <f>N165*0.9056*0.85</f>
        <v/>
      </c>
      <c r="Q165" s="199">
        <f>N165*1.15</f>
        <v/>
      </c>
      <c r="R165" s="199">
        <f>IF(M165&lt;N165*0.9056*0.85,N165*0.9056*0.85,IF(M165&gt;N165*1.15,N165*1.15,M165))</f>
        <v/>
      </c>
      <c r="S165" s="199">
        <f>+F165*M165</f>
        <v/>
      </c>
      <c r="T165" s="169">
        <f>S165+R165*I165</f>
        <v/>
      </c>
      <c r="U165" s="197">
        <f>S165+R165*J165</f>
        <v/>
      </c>
      <c r="V165" s="196">
        <f>U165-S165</f>
        <v/>
      </c>
      <c r="W165" s="197">
        <f>+U165-T165</f>
        <v/>
      </c>
      <c r="X165" s="201">
        <f>+U165-T165</f>
        <v/>
      </c>
      <c r="Y165" s="74" t="n"/>
    </row>
    <row r="166" ht="28.5" customFormat="1" customHeight="1" s="2">
      <c r="A166" s="37" t="n">
        <v>149</v>
      </c>
      <c r="B166" s="38" t="inlineStr">
        <is>
          <t>01B001</t>
        </is>
      </c>
      <c r="C166" s="38" t="inlineStr">
        <is>
          <t>白蚁防治</t>
        </is>
      </c>
      <c r="D166" s="38" t="inlineStr">
        <is>
          <t>1.白蚁防治</t>
        </is>
      </c>
      <c r="E166" s="39" t="inlineStr">
        <is>
          <t>m2</t>
        </is>
      </c>
      <c r="F166" s="39" t="n">
        <v>8993.09</v>
      </c>
      <c r="G166" s="206" t="n">
        <v>10082.69</v>
      </c>
      <c r="H166" s="200" t="n">
        <v>8993.09</v>
      </c>
      <c r="I166" s="206">
        <f>G166-F166</f>
        <v/>
      </c>
      <c r="J166" s="206">
        <f>H166-F166</f>
        <v/>
      </c>
      <c r="K166" s="206">
        <f>+H166-G166</f>
        <v/>
      </c>
      <c r="L166" s="51">
        <f>I166/F166</f>
        <v/>
      </c>
      <c r="M166" s="39" t="n">
        <v>2</v>
      </c>
      <c r="N166" s="39" t="n">
        <v>3</v>
      </c>
      <c r="O166" s="51">
        <f>(M166-N166)/N166</f>
        <v/>
      </c>
      <c r="P166" s="206">
        <f>N166*0.9056*0.85</f>
        <v/>
      </c>
      <c r="Q166" s="206">
        <f>N166*1.15</f>
        <v/>
      </c>
      <c r="R166" s="206">
        <f>IF(M166&lt;N166*0.9056*0.85,N166*0.9056*0.85,IF(M166&gt;N166*1.15,N166*1.15,M166))</f>
        <v/>
      </c>
      <c r="S166" s="206">
        <f>+F166*M166</f>
        <v/>
      </c>
      <c r="T166" s="207">
        <f>S166+R166*I166</f>
        <v/>
      </c>
      <c r="U166" s="197">
        <f>S166+R166*J166</f>
        <v/>
      </c>
      <c r="V166" s="196">
        <f>U166-S166</f>
        <v/>
      </c>
      <c r="W166" s="197">
        <f>+U166-T166</f>
        <v/>
      </c>
      <c r="X166" s="201">
        <f>+U166-T166</f>
        <v/>
      </c>
      <c r="Y166" s="77" t="n"/>
    </row>
    <row r="167" ht="25" customFormat="1" customHeight="1" s="5">
      <c r="A167" s="93" t="n"/>
      <c r="B167" s="94" t="n"/>
      <c r="C167" s="95" t="inlineStr">
        <is>
          <t>分部分项合计</t>
        </is>
      </c>
      <c r="D167" s="94" t="n"/>
      <c r="E167" s="96" t="n"/>
      <c r="F167" s="96" t="n"/>
      <c r="G167" s="172" t="n"/>
      <c r="H167" s="31" t="n"/>
      <c r="I167" s="173" t="n"/>
      <c r="J167" s="173" t="n"/>
      <c r="K167" s="173" t="n"/>
      <c r="L167" s="106" t="n"/>
      <c r="M167" s="174" t="n"/>
      <c r="N167" s="96" t="n"/>
      <c r="O167" s="106" t="n"/>
      <c r="P167" s="173" t="n"/>
      <c r="Q167" s="173" t="n"/>
      <c r="R167" s="173" t="n"/>
      <c r="S167" s="175">
        <f>+S148+S141+S117+S101+S94+S79+S65+S61+S29+S19+S12+S6</f>
        <v/>
      </c>
      <c r="T167" s="175">
        <f>+T148+T141+T117+T101+T94+T79+T61+T65+T29+T19+T12+T6</f>
        <v/>
      </c>
      <c r="U167" s="212">
        <f>+U148+U141+U117+U101+U94+U79+U61+U65+U29+U19+U12+U6</f>
        <v/>
      </c>
      <c r="V167" s="175">
        <f>U167-S167</f>
        <v/>
      </c>
      <c r="W167" s="213">
        <f>+U167-T167</f>
        <v/>
      </c>
      <c r="X167" s="214">
        <f>+U167-T167</f>
        <v/>
      </c>
      <c r="Y167" s="118" t="n"/>
    </row>
    <row r="168" ht="20" customFormat="1" customHeight="1" s="5">
      <c r="A168" s="93" t="n"/>
      <c r="B168" s="94" t="n"/>
      <c r="C168" s="95" t="inlineStr">
        <is>
          <t>措施合计</t>
        </is>
      </c>
      <c r="D168" s="94" t="n"/>
      <c r="E168" s="96" t="n"/>
      <c r="F168" s="96" t="n"/>
      <c r="G168" s="172" t="n"/>
      <c r="H168" s="31" t="n"/>
      <c r="I168" s="173" t="n"/>
      <c r="J168" s="173" t="n"/>
      <c r="K168" s="173" t="n"/>
      <c r="L168" s="106" t="n"/>
      <c r="M168" s="174" t="n"/>
      <c r="N168" s="96" t="n"/>
      <c r="O168" s="106" t="n"/>
      <c r="P168" s="173" t="n"/>
      <c r="Q168" s="173" t="n"/>
      <c r="R168" s="173" t="n"/>
      <c r="S168" s="175">
        <f>SUM(S170:S213)</f>
        <v/>
      </c>
      <c r="T168" s="175">
        <f>SUM(T170:T213)</f>
        <v/>
      </c>
      <c r="U168" s="212">
        <f>SUM(U170:U213)</f>
        <v/>
      </c>
      <c r="V168" s="175">
        <f>U168-S168</f>
        <v/>
      </c>
      <c r="W168" s="213">
        <f>+U168-T168</f>
        <v/>
      </c>
      <c r="X168" s="214">
        <f>+U168-T168</f>
        <v/>
      </c>
      <c r="Y168" s="118" t="n"/>
    </row>
    <row r="169" ht="26" customFormat="1" customHeight="1" s="6">
      <c r="A169" s="98" t="n">
        <v>1</v>
      </c>
      <c r="B169" s="99" t="n"/>
      <c r="C169" s="100" t="inlineStr">
        <is>
          <t>安全文明施工措施费</t>
        </is>
      </c>
      <c r="D169" s="101" t="n"/>
      <c r="E169" s="102" t="n"/>
      <c r="F169" s="102" t="n"/>
      <c r="G169" s="176" t="n"/>
      <c r="H169" s="31" t="n"/>
      <c r="I169" s="177" t="n"/>
      <c r="J169" s="177" t="n"/>
      <c r="K169" s="177" t="n"/>
      <c r="L169" s="109" t="n"/>
      <c r="M169" s="178" t="n"/>
      <c r="N169" s="102" t="n"/>
      <c r="O169" s="109" t="n"/>
      <c r="P169" s="177" t="n"/>
      <c r="Q169" s="177" t="n"/>
      <c r="R169" s="177" t="n"/>
      <c r="S169" s="169" t="n"/>
      <c r="T169" s="169" t="n"/>
      <c r="U169" s="215" t="n"/>
      <c r="V169" s="169" t="n"/>
      <c r="W169" s="216" t="n"/>
      <c r="X169" s="217" t="n"/>
      <c r="Y169" s="119" t="n"/>
    </row>
    <row r="170" ht="23" customFormat="1" customHeight="1" s="6">
      <c r="A170" s="98" t="inlineStr">
        <is>
          <t>1.1</t>
        </is>
      </c>
      <c r="B170" s="104" t="inlineStr">
        <is>
          <t>01B001</t>
        </is>
      </c>
      <c r="C170" s="24" t="inlineStr">
        <is>
          <t>绿色施工安全防护措施费</t>
        </is>
      </c>
      <c r="D170" s="101" t="n"/>
      <c r="E170" s="102" t="n"/>
      <c r="F170" s="102" t="n"/>
      <c r="G170" s="176" t="n"/>
      <c r="H170" s="31" t="n"/>
      <c r="I170" s="177" t="n"/>
      <c r="J170" s="177" t="n"/>
      <c r="K170" s="177" t="n"/>
      <c r="L170" s="109" t="n"/>
      <c r="M170" s="178" t="n"/>
      <c r="N170" s="102" t="n"/>
      <c r="O170" s="109" t="n"/>
      <c r="P170" s="177" t="n"/>
      <c r="Q170" s="177" t="n"/>
      <c r="R170" s="177" t="n"/>
      <c r="S170" s="169" t="n">
        <v>703317.3100000001</v>
      </c>
      <c r="T170" s="169" t="n">
        <v>703317.3100000001</v>
      </c>
      <c r="U170" s="215" t="n">
        <v>703317.3100000001</v>
      </c>
      <c r="V170" s="196">
        <f>U170-S170</f>
        <v/>
      </c>
      <c r="W170" s="197">
        <f>+U170-T170</f>
        <v/>
      </c>
      <c r="X170" s="217" t="n"/>
      <c r="Y170" s="119" t="n"/>
    </row>
    <row r="171" ht="41.25" customFormat="1" customHeight="1" s="1">
      <c r="A171" s="28" t="n">
        <v>150</v>
      </c>
      <c r="B171" s="29" t="inlineStr">
        <is>
          <t>粤011701008003</t>
        </is>
      </c>
      <c r="C171" s="29" t="inlineStr">
        <is>
          <t>综合钢脚手架</t>
        </is>
      </c>
      <c r="D171" s="29" t="inlineStr">
        <is>
          <t>1.搭设高度:综合钢脚手架搭拆高度(m以内)39
2.建筑用综合脚手架使用费</t>
        </is>
      </c>
      <c r="E171" s="30" t="inlineStr">
        <is>
          <t>m2</t>
        </is>
      </c>
      <c r="F171" s="30" t="n">
        <v>639.8</v>
      </c>
      <c r="G171" s="199" t="n">
        <v>645.1</v>
      </c>
      <c r="H171" s="200" t="n">
        <v>645.1</v>
      </c>
      <c r="I171" s="199">
        <f>G171-F171</f>
        <v/>
      </c>
      <c r="J171" s="199">
        <f>H171-F171</f>
        <v/>
      </c>
      <c r="K171" s="199">
        <f>+H171-G171</f>
        <v/>
      </c>
      <c r="L171" s="49">
        <f>I171/F171</f>
        <v/>
      </c>
      <c r="M171" s="30" t="n">
        <v>69.7</v>
      </c>
      <c r="N171" s="199" t="n">
        <v>75.62</v>
      </c>
      <c r="O171" s="49">
        <f>(M171-N171)/N171</f>
        <v/>
      </c>
      <c r="P171" s="199">
        <f>N171*0.9056*0.85</f>
        <v/>
      </c>
      <c r="Q171" s="199">
        <f>N171*1.15</f>
        <v/>
      </c>
      <c r="R171" s="199">
        <f>IF(M171&lt;N171*0.9056*0.85,N171*0.9056*0.85,IF(M171&gt;N171*1.15,N171*1.15,M171))</f>
        <v/>
      </c>
      <c r="S171" s="199">
        <f>+F171*M171</f>
        <v/>
      </c>
      <c r="T171" s="169">
        <f>S171+R171*I171</f>
        <v/>
      </c>
      <c r="U171" s="197">
        <f>S171+R171*J171</f>
        <v/>
      </c>
      <c r="V171" s="196">
        <f>U171-S171</f>
        <v/>
      </c>
      <c r="W171" s="197">
        <f>+U171-T171</f>
        <v/>
      </c>
      <c r="X171" s="201">
        <f>+U171-T171</f>
        <v/>
      </c>
      <c r="Y171" s="74" t="n"/>
    </row>
    <row r="172" ht="41.25" customFormat="1" customHeight="1" s="1">
      <c r="A172" s="28" t="n">
        <v>151</v>
      </c>
      <c r="B172" s="29" t="inlineStr">
        <is>
          <t>粤011701008005</t>
        </is>
      </c>
      <c r="C172" s="29" t="inlineStr">
        <is>
          <t>综合钢脚手架</t>
        </is>
      </c>
      <c r="D172" s="29" t="inlineStr">
        <is>
          <t>1.搭设高度:综合钢脚手架搭拆高度(m以内)25.1
2.建筑用综合脚手架使用费</t>
        </is>
      </c>
      <c r="E172" s="30" t="inlineStr">
        <is>
          <t>m2</t>
        </is>
      </c>
      <c r="F172" s="30" t="n">
        <v>8201.799999999999</v>
      </c>
      <c r="G172" s="199" t="n">
        <v>8699.790000000001</v>
      </c>
      <c r="H172" s="200" t="n">
        <v>8699.790000000001</v>
      </c>
      <c r="I172" s="199">
        <f>G172-F172</f>
        <v/>
      </c>
      <c r="J172" s="199">
        <f>H172-F172</f>
        <v/>
      </c>
      <c r="K172" s="199">
        <f>+H172-G172</f>
        <v/>
      </c>
      <c r="L172" s="49">
        <f>I172/F172</f>
        <v/>
      </c>
      <c r="M172" s="30" t="n">
        <v>65.34999999999999</v>
      </c>
      <c r="N172" s="199" t="n">
        <v>70.8</v>
      </c>
      <c r="O172" s="49">
        <f>(M172-N172)/N172</f>
        <v/>
      </c>
      <c r="P172" s="199">
        <f>N172*0.9056*0.85</f>
        <v/>
      </c>
      <c r="Q172" s="199">
        <f>N172*1.15</f>
        <v/>
      </c>
      <c r="R172" s="199">
        <f>IF(M172&lt;N172*0.9056*0.85,N172*0.9056*0.85,IF(M172&gt;N172*1.15,N172*1.15,M172))</f>
        <v/>
      </c>
      <c r="S172" s="199">
        <f>+F172*M172</f>
        <v/>
      </c>
      <c r="T172" s="169">
        <f>S172+R172*I172</f>
        <v/>
      </c>
      <c r="U172" s="197">
        <f>S172+R172*J172</f>
        <v/>
      </c>
      <c r="V172" s="196">
        <f>U172-S172</f>
        <v/>
      </c>
      <c r="W172" s="197">
        <f>+U172-T172</f>
        <v/>
      </c>
      <c r="X172" s="201">
        <f>+U172-T172</f>
        <v/>
      </c>
      <c r="Y172" s="74" t="n"/>
    </row>
    <row r="173" ht="41.25" customFormat="1" customHeight="1" s="1">
      <c r="A173" s="28" t="n">
        <v>152</v>
      </c>
      <c r="B173" s="29" t="inlineStr">
        <is>
          <t>粤011701008004</t>
        </is>
      </c>
      <c r="C173" s="29" t="inlineStr">
        <is>
          <t>综合钢脚手架</t>
        </is>
      </c>
      <c r="D173" s="29" t="inlineStr">
        <is>
          <t>1.搭设高度:综合钢脚手架搭拆高度(m以内)9.6
2.建筑用综合脚手架使用费</t>
        </is>
      </c>
      <c r="E173" s="30" t="inlineStr">
        <is>
          <t>m2</t>
        </is>
      </c>
      <c r="F173" s="30" t="n">
        <v>704.64</v>
      </c>
      <c r="G173" s="199" t="n">
        <v>836.14</v>
      </c>
      <c r="H173" s="200" t="n">
        <v>836.14</v>
      </c>
      <c r="I173" s="199">
        <f>G173-F173</f>
        <v/>
      </c>
      <c r="J173" s="199">
        <f>H173-F173</f>
        <v/>
      </c>
      <c r="K173" s="199">
        <f>+H173-G173</f>
        <v/>
      </c>
      <c r="L173" s="49">
        <f>I173/F173</f>
        <v/>
      </c>
      <c r="M173" s="30" t="n">
        <v>50.23</v>
      </c>
      <c r="N173" s="199" t="n">
        <v>54.32</v>
      </c>
      <c r="O173" s="49">
        <f>(M173-N173)/N173</f>
        <v/>
      </c>
      <c r="P173" s="199">
        <f>N173*0.9056*0.85</f>
        <v/>
      </c>
      <c r="Q173" s="199">
        <f>N173*1.15</f>
        <v/>
      </c>
      <c r="R173" s="199">
        <f>IF(M173&lt;N173*0.9056*0.85,N173*0.9056*0.85,IF(M173&gt;N173*1.15,N173*1.15,M173))</f>
        <v/>
      </c>
      <c r="S173" s="199">
        <f>+F173*M173</f>
        <v/>
      </c>
      <c r="T173" s="169">
        <f>S173+R173*I173</f>
        <v/>
      </c>
      <c r="U173" s="197">
        <f>S173+R173*J173</f>
        <v/>
      </c>
      <c r="V173" s="196">
        <f>U173-S173</f>
        <v/>
      </c>
      <c r="W173" s="197">
        <f>+U173-T173</f>
        <v/>
      </c>
      <c r="X173" s="201">
        <f>+U173-T173</f>
        <v/>
      </c>
      <c r="Y173" s="74" t="n"/>
    </row>
    <row r="174" ht="28.5" customFormat="1" customHeight="1" s="1">
      <c r="A174" s="28" t="n">
        <v>153</v>
      </c>
      <c r="B174" s="29" t="inlineStr">
        <is>
          <t>MBZC001</t>
        </is>
      </c>
      <c r="C174" s="29" t="inlineStr">
        <is>
          <t>模板的支架</t>
        </is>
      </c>
      <c r="D174" s="29" t="inlineStr">
        <is>
          <t>1.模板钢支撑</t>
        </is>
      </c>
      <c r="E174" s="30" t="inlineStr">
        <is>
          <t>t</t>
        </is>
      </c>
      <c r="F174" s="30" t="n">
        <v>24.003</v>
      </c>
      <c r="G174" s="199" t="n">
        <v>24</v>
      </c>
      <c r="H174" s="200" t="n">
        <v>24</v>
      </c>
      <c r="I174" s="199">
        <f>G174-F174</f>
        <v/>
      </c>
      <c r="J174" s="199">
        <f>H174-F174</f>
        <v/>
      </c>
      <c r="K174" s="199">
        <f>+H174-G174</f>
        <v/>
      </c>
      <c r="L174" s="49">
        <f>I174/F174</f>
        <v/>
      </c>
      <c r="M174" s="30" t="n">
        <v>6313.66</v>
      </c>
      <c r="N174" s="199" t="n">
        <v>6000</v>
      </c>
      <c r="O174" s="49">
        <f>(M174-N174)/N174</f>
        <v/>
      </c>
      <c r="P174" s="199">
        <f>N174*0.9056*0.85</f>
        <v/>
      </c>
      <c r="Q174" s="199">
        <f>N174*1.15</f>
        <v/>
      </c>
      <c r="R174" s="199">
        <f>IF(M174&lt;N174*0.9056*0.85,N174*0.9056*0.85,IF(M174&gt;N174*1.15,N174*1.15,M174))</f>
        <v/>
      </c>
      <c r="S174" s="199">
        <f>+F174*M174</f>
        <v/>
      </c>
      <c r="T174" s="169">
        <f>S174+R174*I174</f>
        <v/>
      </c>
      <c r="U174" s="197">
        <f>S174+R174*J174</f>
        <v/>
      </c>
      <c r="V174" s="196">
        <f>U174-S174</f>
        <v/>
      </c>
      <c r="W174" s="197">
        <f>+U174-T174</f>
        <v/>
      </c>
      <c r="X174" s="201">
        <f>+U174-T174</f>
        <v/>
      </c>
      <c r="Y174" s="74" t="n"/>
    </row>
    <row r="175" ht="28.5" customFormat="1" customHeight="1" s="1">
      <c r="A175" s="28" t="n"/>
      <c r="B175" s="29" t="n"/>
      <c r="C175" s="29" t="inlineStr">
        <is>
          <t>措施其他项目</t>
        </is>
      </c>
      <c r="D175" s="29" t="n"/>
      <c r="E175" s="30" t="n"/>
      <c r="F175" s="199" t="n"/>
      <c r="G175" s="199" t="n"/>
      <c r="H175" s="31" t="n"/>
      <c r="I175" s="199" t="n"/>
      <c r="J175" s="199" t="n"/>
      <c r="K175" s="199" t="n"/>
      <c r="L175" s="49" t="n"/>
      <c r="M175" s="30" t="n"/>
      <c r="N175" s="30" t="n"/>
      <c r="O175" s="49" t="n"/>
      <c r="P175" s="199" t="n"/>
      <c r="Q175" s="199" t="n"/>
      <c r="R175" s="199" t="n"/>
      <c r="S175" s="199" t="n"/>
      <c r="T175" s="196" t="n"/>
      <c r="U175" s="197" t="n"/>
      <c r="V175" s="196" t="n"/>
      <c r="W175" s="197" t="n"/>
      <c r="X175" s="198" t="n"/>
      <c r="Y175" s="74" t="n"/>
      <c r="Z175" s="71" t="n"/>
    </row>
    <row r="176" ht="28.5" customFormat="1" customHeight="1" s="1">
      <c r="A176" s="28" t="n">
        <v>154</v>
      </c>
      <c r="B176" s="29" t="inlineStr">
        <is>
          <t>粤011701011002</t>
        </is>
      </c>
      <c r="C176" s="29" t="inlineStr">
        <is>
          <t>里脚手架</t>
        </is>
      </c>
      <c r="D176" s="29" t="inlineStr">
        <is>
          <t>1.里脚手架(钢管)民用建筑实际高度﹤3.6m</t>
        </is>
      </c>
      <c r="E176" s="30" t="inlineStr">
        <is>
          <t>m2</t>
        </is>
      </c>
      <c r="F176" s="30" t="n">
        <v>7803.84</v>
      </c>
      <c r="G176" s="199" t="n">
        <v>6989.45</v>
      </c>
      <c r="H176" s="200" t="n">
        <v>6989.45</v>
      </c>
      <c r="I176" s="199">
        <f>G176-F176</f>
        <v/>
      </c>
      <c r="J176" s="199">
        <f>H176-F176</f>
        <v/>
      </c>
      <c r="K176" s="199">
        <f>+H176-G176</f>
        <v/>
      </c>
      <c r="L176" s="49">
        <f>I176/F176</f>
        <v/>
      </c>
      <c r="M176" s="30" t="n">
        <v>14.69</v>
      </c>
      <c r="N176" s="30" t="n">
        <v>16.25</v>
      </c>
      <c r="O176" s="49">
        <f>(M176-N176)/N176</f>
        <v/>
      </c>
      <c r="P176" s="199">
        <f>N176*0.9056*0.85</f>
        <v/>
      </c>
      <c r="Q176" s="199">
        <f>N176*1.15</f>
        <v/>
      </c>
      <c r="R176" s="199">
        <f>IF(M176&lt;N176*0.9056*0.85,N176*0.9056*0.85,IF(M176&gt;N176*1.15,N176*1.15,M176))</f>
        <v/>
      </c>
      <c r="S176" s="199">
        <f>+F176*M176</f>
        <v/>
      </c>
      <c r="T176" s="169">
        <f>S176+R176*I176</f>
        <v/>
      </c>
      <c r="U176" s="197">
        <f>S176+R176*J176</f>
        <v/>
      </c>
      <c r="V176" s="196">
        <f>U176-S176</f>
        <v/>
      </c>
      <c r="W176" s="197">
        <f>+U176-T176</f>
        <v/>
      </c>
      <c r="X176" s="201">
        <f>+U176-T176</f>
        <v/>
      </c>
      <c r="Y176" s="74" t="n"/>
    </row>
    <row r="177" ht="28.5" customFormat="1" customHeight="1" s="1">
      <c r="A177" s="28" t="n">
        <v>155</v>
      </c>
      <c r="B177" s="29" t="inlineStr">
        <is>
          <t>粤011701011003</t>
        </is>
      </c>
      <c r="C177" s="29" t="inlineStr">
        <is>
          <t>里脚手架</t>
        </is>
      </c>
      <c r="D177" s="29" t="inlineStr">
        <is>
          <t>1.里脚手架(钢管)民用建筑实际高度4.2m</t>
        </is>
      </c>
      <c r="E177" s="30" t="inlineStr">
        <is>
          <t>m2</t>
        </is>
      </c>
      <c r="F177" s="30" t="n">
        <v>742.8099999999999</v>
      </c>
      <c r="G177" s="199" t="n">
        <v>224.14</v>
      </c>
      <c r="H177" s="200" t="n">
        <v>224.14</v>
      </c>
      <c r="I177" s="199">
        <f>G177-F177</f>
        <v/>
      </c>
      <c r="J177" s="199">
        <f>H177-F177</f>
        <v/>
      </c>
      <c r="K177" s="199">
        <f>+H177-G177</f>
        <v/>
      </c>
      <c r="L177" s="49">
        <f>I177/F177</f>
        <v/>
      </c>
      <c r="M177" s="30" t="n">
        <v>19.66</v>
      </c>
      <c r="N177" s="30" t="n">
        <v>21.74</v>
      </c>
      <c r="O177" s="49">
        <f>(M177-N177)/N177</f>
        <v/>
      </c>
      <c r="P177" s="199">
        <f>N177*0.9056*0.85</f>
        <v/>
      </c>
      <c r="Q177" s="199">
        <f>N177*1.15</f>
        <v/>
      </c>
      <c r="R177" s="199">
        <f>IF(M177&lt;N177*0.9056*0.85,N177*0.9056*0.85,IF(M177&gt;N177*1.15,N177*1.15,M177))</f>
        <v/>
      </c>
      <c r="S177" s="199">
        <f>+F177*M177</f>
        <v/>
      </c>
      <c r="T177" s="169">
        <f>S177+R177*I177</f>
        <v/>
      </c>
      <c r="U177" s="197">
        <f>S177+R177*J177</f>
        <v/>
      </c>
      <c r="V177" s="196">
        <f>U177-S177</f>
        <v/>
      </c>
      <c r="W177" s="197">
        <f>+U177-T177</f>
        <v/>
      </c>
      <c r="X177" s="201">
        <f>+U177-T177</f>
        <v/>
      </c>
      <c r="Y177" s="74" t="n"/>
    </row>
    <row r="178" ht="28.5" customFormat="1" customHeight="1" s="1">
      <c r="A178" s="28" t="n">
        <v>156</v>
      </c>
      <c r="B178" s="29" t="inlineStr">
        <is>
          <t>粤011701011004</t>
        </is>
      </c>
      <c r="C178" s="29" t="inlineStr">
        <is>
          <t>里脚手架</t>
        </is>
      </c>
      <c r="D178" s="29" t="inlineStr">
        <is>
          <t>1.里脚手架(钢管)民用建筑实际高度7.8m</t>
        </is>
      </c>
      <c r="E178" s="30" t="inlineStr">
        <is>
          <t>m2</t>
        </is>
      </c>
      <c r="F178" s="30" t="n">
        <v>107.7</v>
      </c>
      <c r="G178" s="199" t="n">
        <v>7.65</v>
      </c>
      <c r="H178" s="200" t="n">
        <v>7.65</v>
      </c>
      <c r="I178" s="199">
        <f>G178-F178</f>
        <v/>
      </c>
      <c r="J178" s="199">
        <f>H178-F178</f>
        <v/>
      </c>
      <c r="K178" s="199">
        <f>+H178-G178</f>
        <v/>
      </c>
      <c r="L178" s="49">
        <f>I178/F178</f>
        <v/>
      </c>
      <c r="M178" s="30" t="n">
        <v>34.57</v>
      </c>
      <c r="N178" s="30" t="n">
        <v>38.2</v>
      </c>
      <c r="O178" s="49">
        <f>(M178-N178)/N178</f>
        <v/>
      </c>
      <c r="P178" s="199">
        <f>N178*0.9056*0.85</f>
        <v/>
      </c>
      <c r="Q178" s="199">
        <f>N178*1.15</f>
        <v/>
      </c>
      <c r="R178" s="199">
        <f>IF(M178&lt;N178*0.9056*0.85,N178*0.9056*0.85,IF(M178&gt;N178*1.15,N178*1.15,M178))</f>
        <v/>
      </c>
      <c r="S178" s="199">
        <f>+F178*M178</f>
        <v/>
      </c>
      <c r="T178" s="169">
        <f>S178+R178*I178</f>
        <v/>
      </c>
      <c r="U178" s="197">
        <f>S178+R178*J178</f>
        <v/>
      </c>
      <c r="V178" s="196">
        <f>U178-S178</f>
        <v/>
      </c>
      <c r="W178" s="197">
        <f>+U178-T178</f>
        <v/>
      </c>
      <c r="X178" s="201">
        <f>+U178-T178</f>
        <v/>
      </c>
      <c r="Y178" s="74" t="n"/>
    </row>
    <row r="179" ht="28.5" customFormat="1" customHeight="1" s="1">
      <c r="A179" s="28" t="n">
        <v>157</v>
      </c>
      <c r="B179" s="29" t="inlineStr">
        <is>
          <t>粤011701011005</t>
        </is>
      </c>
      <c r="C179" s="29" t="inlineStr">
        <is>
          <t>里脚手架</t>
        </is>
      </c>
      <c r="D179" s="29" t="inlineStr">
        <is>
          <t>1.里脚手架(钢管)民用建筑实际高度11.4m</t>
        </is>
      </c>
      <c r="E179" s="30" t="inlineStr">
        <is>
          <t>m2</t>
        </is>
      </c>
      <c r="F179" s="30" t="n">
        <v>198.87</v>
      </c>
      <c r="G179" s="199" t="n">
        <v>74.61</v>
      </c>
      <c r="H179" s="200" t="n">
        <v>74.61</v>
      </c>
      <c r="I179" s="199">
        <f>G179-F179</f>
        <v/>
      </c>
      <c r="J179" s="199">
        <f>H179-F179</f>
        <v/>
      </c>
      <c r="K179" s="199">
        <f>+H179-G179</f>
        <v/>
      </c>
      <c r="L179" s="49">
        <f>I179/F179</f>
        <v/>
      </c>
      <c r="M179" s="30" t="n">
        <v>49.49</v>
      </c>
      <c r="N179" s="30" t="n">
        <v>54.67</v>
      </c>
      <c r="O179" s="49">
        <f>(M179-N179)/N179</f>
        <v/>
      </c>
      <c r="P179" s="199">
        <f>N179*0.9056*0.85</f>
        <v/>
      </c>
      <c r="Q179" s="199">
        <f>N179*1.15</f>
        <v/>
      </c>
      <c r="R179" s="199">
        <f>IF(M179&lt;N179*0.9056*0.85,N179*0.9056*0.85,IF(M179&gt;N179*1.15,N179*1.15,M179))</f>
        <v/>
      </c>
      <c r="S179" s="199">
        <f>+F179*M179</f>
        <v/>
      </c>
      <c r="T179" s="169">
        <f>S179+R179*I179</f>
        <v/>
      </c>
      <c r="U179" s="197">
        <f>S179+R179*J179</f>
        <v/>
      </c>
      <c r="V179" s="196">
        <f>U179-S179</f>
        <v/>
      </c>
      <c r="W179" s="197">
        <f>+U179-T179</f>
        <v/>
      </c>
      <c r="X179" s="201">
        <f>+U179-T179</f>
        <v/>
      </c>
      <c r="Y179" s="74" t="n"/>
    </row>
    <row r="180" ht="28.5" customFormat="1" customHeight="1" s="1">
      <c r="A180" s="28" t="n">
        <v>158</v>
      </c>
      <c r="B180" s="29" t="inlineStr">
        <is>
          <t>粤011701010001</t>
        </is>
      </c>
      <c r="C180" s="29" t="inlineStr">
        <is>
          <t>满堂脚手架</t>
        </is>
      </c>
      <c r="D180" s="29" t="inlineStr">
        <is>
          <t>1.满堂脚手架(钢管)基本层4.2m</t>
        </is>
      </c>
      <c r="E180" s="30" t="inlineStr">
        <is>
          <t>m2</t>
        </is>
      </c>
      <c r="F180" s="30" t="n">
        <v>1485.61</v>
      </c>
      <c r="G180" s="199" t="n">
        <v>1344.77</v>
      </c>
      <c r="H180" s="200" t="n">
        <v>1344.77</v>
      </c>
      <c r="I180" s="199">
        <f>G180-F180</f>
        <v/>
      </c>
      <c r="J180" s="199">
        <f>H180-F180</f>
        <v/>
      </c>
      <c r="K180" s="199">
        <f>+H180-G180</f>
        <v/>
      </c>
      <c r="L180" s="49">
        <f>I180/F180</f>
        <v/>
      </c>
      <c r="M180" s="30" t="n">
        <v>12.36</v>
      </c>
      <c r="N180" s="30" t="n">
        <v>13.43</v>
      </c>
      <c r="O180" s="49">
        <f>(M180-N180)/N180</f>
        <v/>
      </c>
      <c r="P180" s="199">
        <f>N180*0.9056*0.85</f>
        <v/>
      </c>
      <c r="Q180" s="199">
        <f>N180*1.15</f>
        <v/>
      </c>
      <c r="R180" s="199">
        <f>IF(M180&lt;N180*0.9056*0.85,N180*0.9056*0.85,IF(M180&gt;N180*1.15,N180*1.15,M180))</f>
        <v/>
      </c>
      <c r="S180" s="199">
        <f>+F180*M180</f>
        <v/>
      </c>
      <c r="T180" s="169">
        <f>S180+R180*I180</f>
        <v/>
      </c>
      <c r="U180" s="197">
        <f>S180+R180*J180</f>
        <v/>
      </c>
      <c r="V180" s="196">
        <f>U180-S180</f>
        <v/>
      </c>
      <c r="W180" s="197">
        <f>+U180-T180</f>
        <v/>
      </c>
      <c r="X180" s="201">
        <f>+U180-T180</f>
        <v/>
      </c>
      <c r="Y180" s="74" t="n"/>
    </row>
    <row r="181" ht="28.5" customFormat="1" customHeight="1" s="1">
      <c r="A181" s="28" t="n">
        <v>159</v>
      </c>
      <c r="B181" s="29" t="inlineStr">
        <is>
          <t>粤011701010002</t>
        </is>
      </c>
      <c r="C181" s="29" t="inlineStr">
        <is>
          <t>满堂脚手架</t>
        </is>
      </c>
      <c r="D181" s="29" t="inlineStr">
        <is>
          <t>1.满堂脚手架(钢管)基本层7.8m</t>
        </is>
      </c>
      <c r="E181" s="30" t="inlineStr">
        <is>
          <t>m2</t>
        </is>
      </c>
      <c r="F181" s="30" t="n">
        <v>215.39</v>
      </c>
      <c r="G181" s="199" t="n">
        <v>149.55</v>
      </c>
      <c r="H181" s="200" t="n">
        <v>149.55</v>
      </c>
      <c r="I181" s="199">
        <f>G181-F181</f>
        <v/>
      </c>
      <c r="J181" s="199">
        <f>H181-F181</f>
        <v/>
      </c>
      <c r="K181" s="199">
        <f>+H181-G181</f>
        <v/>
      </c>
      <c r="L181" s="49">
        <f>I181/F181</f>
        <v/>
      </c>
      <c r="M181" s="30" t="n">
        <v>20.41</v>
      </c>
      <c r="N181" s="30" t="n">
        <v>22.27</v>
      </c>
      <c r="O181" s="49">
        <f>(M181-N181)/N181</f>
        <v/>
      </c>
      <c r="P181" s="199">
        <f>N181*0.9056*0.85</f>
        <v/>
      </c>
      <c r="Q181" s="199">
        <f>N181*1.15</f>
        <v/>
      </c>
      <c r="R181" s="199">
        <f>IF(M181&lt;N181*0.9056*0.85,N181*0.9056*0.85,IF(M181&gt;N181*1.15,N181*1.15,M181))</f>
        <v/>
      </c>
      <c r="S181" s="199">
        <f>+F181*M181</f>
        <v/>
      </c>
      <c r="T181" s="169">
        <f>S181+R181*I181</f>
        <v/>
      </c>
      <c r="U181" s="197">
        <f>S181+R181*J181</f>
        <v/>
      </c>
      <c r="V181" s="196">
        <f>U181-S181</f>
        <v/>
      </c>
      <c r="W181" s="197">
        <f>+U181-T181</f>
        <v/>
      </c>
      <c r="X181" s="201">
        <f>+U181-T181</f>
        <v/>
      </c>
      <c r="Y181" s="74" t="n"/>
    </row>
    <row r="182" ht="28.5" customFormat="1" customHeight="1" s="1">
      <c r="A182" s="28" t="n">
        <v>160</v>
      </c>
      <c r="B182" s="29" t="inlineStr">
        <is>
          <t>粤011701010003</t>
        </is>
      </c>
      <c r="C182" s="29" t="inlineStr">
        <is>
          <t>满堂脚手架</t>
        </is>
      </c>
      <c r="D182" s="29" t="inlineStr">
        <is>
          <t>1.满堂脚手架(钢管)基本层11.4m</t>
        </is>
      </c>
      <c r="E182" s="30" t="inlineStr">
        <is>
          <t>m2</t>
        </is>
      </c>
      <c r="F182" s="30" t="n">
        <v>397.73</v>
      </c>
      <c r="G182" s="199" t="n">
        <v>361.79</v>
      </c>
      <c r="H182" s="200" t="n">
        <v>361.79</v>
      </c>
      <c r="I182" s="199">
        <f>G182-F182</f>
        <v/>
      </c>
      <c r="J182" s="199">
        <f>H182-F182</f>
        <v/>
      </c>
      <c r="K182" s="199">
        <f>+H182-G182</f>
        <v/>
      </c>
      <c r="L182" s="49">
        <f>I182/F182</f>
        <v/>
      </c>
      <c r="M182" s="30" t="n">
        <v>32.47</v>
      </c>
      <c r="N182" s="30" t="n">
        <v>35.54</v>
      </c>
      <c r="O182" s="49">
        <f>(M182-N182)/N182</f>
        <v/>
      </c>
      <c r="P182" s="199">
        <f>N182*0.9056*0.85</f>
        <v/>
      </c>
      <c r="Q182" s="199">
        <f>N182*1.15</f>
        <v/>
      </c>
      <c r="R182" s="199">
        <f>IF(M182&lt;N182*0.9056*0.85,N182*0.9056*0.85,IF(M182&gt;N182*1.15,N182*1.15,M182))</f>
        <v/>
      </c>
      <c r="S182" s="199">
        <f>+F182*M182</f>
        <v/>
      </c>
      <c r="T182" s="169">
        <f>S182+R182*I182</f>
        <v/>
      </c>
      <c r="U182" s="197">
        <f>S182+R182*J182</f>
        <v/>
      </c>
      <c r="V182" s="196">
        <f>U182-S182</f>
        <v/>
      </c>
      <c r="W182" s="197">
        <f>+U182-T182</f>
        <v/>
      </c>
      <c r="X182" s="201">
        <f>+U182-T182</f>
        <v/>
      </c>
      <c r="Y182" s="74" t="n"/>
    </row>
    <row r="183" ht="28.5" customFormat="1" customHeight="1" s="1">
      <c r="A183" s="28" t="n">
        <v>161</v>
      </c>
      <c r="B183" s="29" t="inlineStr">
        <is>
          <t>粤011701015001</t>
        </is>
      </c>
      <c r="C183" s="29" t="inlineStr">
        <is>
          <t>电梯井脚手架</t>
        </is>
      </c>
      <c r="D183" s="29" t="inlineStr">
        <is>
          <t>1.电梯井脚手架(钢管)高度(m以内)30</t>
        </is>
      </c>
      <c r="E183" s="30" t="inlineStr">
        <is>
          <t>座</t>
        </is>
      </c>
      <c r="F183" s="30" t="n">
        <v>1</v>
      </c>
      <c r="G183" s="199" t="n">
        <v>1</v>
      </c>
      <c r="H183" s="203" t="n">
        <v>1</v>
      </c>
      <c r="I183" s="199">
        <f>G183-F183</f>
        <v/>
      </c>
      <c r="J183" s="199">
        <f>H183-F183</f>
        <v/>
      </c>
      <c r="K183" s="199">
        <f>+H183-G183</f>
        <v/>
      </c>
      <c r="L183" s="49">
        <f>I183/F183</f>
        <v/>
      </c>
      <c r="M183" s="30" t="n">
        <v>2876.01</v>
      </c>
      <c r="N183" s="30" t="n">
        <v>3126.05</v>
      </c>
      <c r="O183" s="49">
        <f>(M183-N183)/N183</f>
        <v/>
      </c>
      <c r="P183" s="199">
        <f>N183*0.9056*0.85</f>
        <v/>
      </c>
      <c r="Q183" s="199">
        <f>N183*1.15</f>
        <v/>
      </c>
      <c r="R183" s="199">
        <f>IF(M183&lt;N183*0.9056*0.85,N183*0.9056*0.85,IF(M183&gt;N183*1.15,N183*1.15,M183))</f>
        <v/>
      </c>
      <c r="S183" s="199">
        <f>+F183*M183</f>
        <v/>
      </c>
      <c r="T183" s="169">
        <f>S183+R183*I183</f>
        <v/>
      </c>
      <c r="U183" s="197">
        <f>S183+R183*J183</f>
        <v/>
      </c>
      <c r="V183" s="196">
        <f>U183-S183</f>
        <v/>
      </c>
      <c r="W183" s="197">
        <f>+U183-T183</f>
        <v/>
      </c>
      <c r="X183" s="201">
        <f>+U183-T183</f>
        <v/>
      </c>
      <c r="Y183" s="74" t="n"/>
    </row>
    <row r="184" ht="28.5" customFormat="1" customHeight="1" s="1">
      <c r="A184" s="28" t="n">
        <v>162</v>
      </c>
      <c r="B184" s="29" t="inlineStr">
        <is>
          <t>粤011701009001</t>
        </is>
      </c>
      <c r="C184" s="29" t="inlineStr">
        <is>
          <t>单排钢脚手架</t>
        </is>
      </c>
      <c r="D184" s="29" t="inlineStr">
        <is>
          <t>1.搭设高度:高度(m以内)10
2.建筑用单排脚手架使用费</t>
        </is>
      </c>
      <c r="E184" s="30" t="inlineStr">
        <is>
          <t>m2</t>
        </is>
      </c>
      <c r="F184" s="30" t="n">
        <v>119.5</v>
      </c>
      <c r="G184" s="199" t="n">
        <v>119.5</v>
      </c>
      <c r="H184" s="200" t="n">
        <v>119.5</v>
      </c>
      <c r="I184" s="199">
        <f>G184-F184</f>
        <v/>
      </c>
      <c r="J184" s="199">
        <f>H184-F184</f>
        <v/>
      </c>
      <c r="K184" s="199">
        <f>+H184-G184</f>
        <v/>
      </c>
      <c r="L184" s="49">
        <f>I184/F184</f>
        <v/>
      </c>
      <c r="M184" s="30" t="n">
        <v>8.300000000000001</v>
      </c>
      <c r="N184" s="30" t="n">
        <v>18.05</v>
      </c>
      <c r="O184" s="49">
        <f>(M184-N184)/N184</f>
        <v/>
      </c>
      <c r="P184" s="199">
        <f>N184*0.9056*0.85</f>
        <v/>
      </c>
      <c r="Q184" s="199">
        <f>N184*1.15</f>
        <v/>
      </c>
      <c r="R184" s="199">
        <f>IF(M184&lt;N184*0.9056*0.85,N184*0.9056*0.85,IF(M184&gt;N184*1.15,N184*1.15,M184))</f>
        <v/>
      </c>
      <c r="S184" s="199">
        <f>+F184*M184</f>
        <v/>
      </c>
      <c r="T184" s="169">
        <f>S184+R184*I184</f>
        <v/>
      </c>
      <c r="U184" s="197">
        <f>S184+R184*J184</f>
        <v/>
      </c>
      <c r="V184" s="196">
        <f>U184-S184</f>
        <v/>
      </c>
      <c r="W184" s="197">
        <f>+U184-T184</f>
        <v/>
      </c>
      <c r="X184" s="201">
        <f>+U184-T184</f>
        <v/>
      </c>
      <c r="Y184" s="74" t="n"/>
    </row>
    <row r="185" ht="18" customFormat="1" customHeight="1" s="1">
      <c r="A185" s="28" t="n">
        <v>163</v>
      </c>
      <c r="B185" s="29" t="inlineStr">
        <is>
          <t>011702001007</t>
        </is>
      </c>
      <c r="C185" s="29" t="inlineStr">
        <is>
          <t>基础</t>
        </is>
      </c>
      <c r="D185" s="29" t="inlineStr">
        <is>
          <t>1.基础垫层模板</t>
        </is>
      </c>
      <c r="E185" s="30" t="inlineStr">
        <is>
          <t>m2</t>
        </is>
      </c>
      <c r="F185" s="30" t="n">
        <v>194.52</v>
      </c>
      <c r="G185" s="199" t="n">
        <v>325.82</v>
      </c>
      <c r="H185" s="200" t="n">
        <v>310.3</v>
      </c>
      <c r="I185" s="199">
        <f>G185-F185</f>
        <v/>
      </c>
      <c r="J185" s="199">
        <f>H185-F185</f>
        <v/>
      </c>
      <c r="K185" s="199">
        <f>+H185-G185</f>
        <v/>
      </c>
      <c r="L185" s="49">
        <f>I185/F185</f>
        <v/>
      </c>
      <c r="M185" s="30" t="n">
        <v>31.42</v>
      </c>
      <c r="N185" s="30" t="n">
        <v>34.37</v>
      </c>
      <c r="O185" s="49">
        <f>(M185-N185)/N185</f>
        <v/>
      </c>
      <c r="P185" s="199">
        <f>N185*0.9056*0.85</f>
        <v/>
      </c>
      <c r="Q185" s="199">
        <f>N185*1.15</f>
        <v/>
      </c>
      <c r="R185" s="199">
        <f>IF(M185&lt;N185*0.9056*0.85,N185*0.9056*0.85,IF(M185&gt;N185*1.15,N185*1.15,M185))</f>
        <v/>
      </c>
      <c r="S185" s="199">
        <f>+F185*M185</f>
        <v/>
      </c>
      <c r="T185" s="169">
        <f>S185+R185*I185</f>
        <v/>
      </c>
      <c r="U185" s="197">
        <f>S185+R185*J185</f>
        <v/>
      </c>
      <c r="V185" s="196">
        <f>U185-S185</f>
        <v/>
      </c>
      <c r="W185" s="197">
        <f>+U185-T185</f>
        <v/>
      </c>
      <c r="X185" s="201">
        <f>+U185-T185</f>
        <v/>
      </c>
      <c r="Y185" s="74" t="n"/>
    </row>
    <row r="186" ht="28.5" customFormat="1" customHeight="1" s="1">
      <c r="A186" s="28" t="n">
        <v>164</v>
      </c>
      <c r="B186" s="29" t="inlineStr">
        <is>
          <t>011702001005</t>
        </is>
      </c>
      <c r="C186" s="29" t="inlineStr">
        <is>
          <t>基础</t>
        </is>
      </c>
      <c r="D186" s="29" t="inlineStr">
        <is>
          <t>1.基础类型:桩承台模板</t>
        </is>
      </c>
      <c r="E186" s="30" t="inlineStr">
        <is>
          <t>m2</t>
        </is>
      </c>
      <c r="F186" s="30" t="n">
        <v>449.65</v>
      </c>
      <c r="G186" s="199" t="n">
        <v>0</v>
      </c>
      <c r="H186" s="200" t="n">
        <v>0</v>
      </c>
      <c r="I186" s="199">
        <f>G186-F186</f>
        <v/>
      </c>
      <c r="J186" s="199">
        <f>H186-F186</f>
        <v/>
      </c>
      <c r="K186" s="199">
        <f>+H186-G186</f>
        <v/>
      </c>
      <c r="L186" s="49">
        <f>I186/F186</f>
        <v/>
      </c>
      <c r="M186" s="30" t="n">
        <v>47.62</v>
      </c>
      <c r="N186" s="30" t="n">
        <v>54.22</v>
      </c>
      <c r="O186" s="49">
        <f>(M186-N186)/N186</f>
        <v/>
      </c>
      <c r="P186" s="199">
        <f>N186*0.9056*0.85</f>
        <v/>
      </c>
      <c r="Q186" s="199">
        <f>N186*1.15</f>
        <v/>
      </c>
      <c r="R186" s="199">
        <f>IF(M186&lt;N186*0.9056*0.85,N186*0.9056*0.85,IF(M186&gt;N186*1.15,N186*1.15,M186))</f>
        <v/>
      </c>
      <c r="S186" s="199">
        <f>+F186*M186</f>
        <v/>
      </c>
      <c r="T186" s="169">
        <f>S186+R186*I186</f>
        <v/>
      </c>
      <c r="U186" s="197">
        <f>S186+R186*J186</f>
        <v/>
      </c>
      <c r="V186" s="196">
        <f>U186-S186</f>
        <v/>
      </c>
      <c r="W186" s="197">
        <f>+U186-T186</f>
        <v/>
      </c>
      <c r="X186" s="201">
        <f>+U186-T186</f>
        <v/>
      </c>
      <c r="Y186" s="74" t="n"/>
    </row>
    <row r="187" ht="18" customFormat="1" customHeight="1" s="1">
      <c r="A187" s="28" t="n">
        <v>165</v>
      </c>
      <c r="B187" s="29" t="inlineStr">
        <is>
          <t>011702001006</t>
        </is>
      </c>
      <c r="C187" s="29" t="inlineStr">
        <is>
          <t>基础</t>
        </is>
      </c>
      <c r="D187" s="29" t="inlineStr">
        <is>
          <t>1.基础类型:满堂基础模板</t>
        </is>
      </c>
      <c r="E187" s="30" t="inlineStr">
        <is>
          <t>m2</t>
        </is>
      </c>
      <c r="F187" s="30" t="n">
        <v>24.83</v>
      </c>
      <c r="G187" s="199" t="n">
        <v>35.11</v>
      </c>
      <c r="H187" s="200" t="n">
        <v>33.44</v>
      </c>
      <c r="I187" s="199">
        <f>G187-F187</f>
        <v/>
      </c>
      <c r="J187" s="199">
        <f>H187-F187</f>
        <v/>
      </c>
      <c r="K187" s="199">
        <f>+H187-G187</f>
        <v/>
      </c>
      <c r="L187" s="49">
        <f>I187/F187</f>
        <v/>
      </c>
      <c r="M187" s="30" t="n">
        <v>51.46</v>
      </c>
      <c r="N187" s="30" t="n">
        <v>58.36</v>
      </c>
      <c r="O187" s="49">
        <f>(M187-N187)/N187</f>
        <v/>
      </c>
      <c r="P187" s="199">
        <f>N187*0.9056*0.85</f>
        <v/>
      </c>
      <c r="Q187" s="199">
        <f>N187*1.15</f>
        <v/>
      </c>
      <c r="R187" s="199">
        <f>IF(M187&lt;N187*0.9056*0.85,N187*0.9056*0.85,IF(M187&gt;N187*1.15,N187*1.15,M187))</f>
        <v/>
      </c>
      <c r="S187" s="199">
        <f>+F187*M187</f>
        <v/>
      </c>
      <c r="T187" s="169">
        <f>S187+R187*I187</f>
        <v/>
      </c>
      <c r="U187" s="197">
        <f>S187+R187*J187</f>
        <v/>
      </c>
      <c r="V187" s="196">
        <f>U187-S187</f>
        <v/>
      </c>
      <c r="W187" s="197">
        <f>+U187-T187</f>
        <v/>
      </c>
      <c r="X187" s="201">
        <f>+U187-T187</f>
        <v/>
      </c>
      <c r="Y187" s="74" t="n"/>
    </row>
    <row r="188" ht="28.5" customFormat="1" customHeight="1" s="1">
      <c r="A188" s="28" t="n">
        <v>166</v>
      </c>
      <c r="B188" s="29" t="inlineStr">
        <is>
          <t>011702002002</t>
        </is>
      </c>
      <c r="C188" s="29" t="inlineStr">
        <is>
          <t>矩形柱</t>
        </is>
      </c>
      <c r="D188" s="29" t="inlineStr">
        <is>
          <t>1.矩形柱模板(周长m)支模高度4.5m1.8外</t>
        </is>
      </c>
      <c r="E188" s="30" t="inlineStr">
        <is>
          <t>m2</t>
        </is>
      </c>
      <c r="F188" s="30" t="n">
        <v>754.35</v>
      </c>
      <c r="G188" s="199" t="n">
        <v>459.38</v>
      </c>
      <c r="H188" s="200" t="n">
        <v>459.38</v>
      </c>
      <c r="I188" s="199">
        <f>G188-F188</f>
        <v/>
      </c>
      <c r="J188" s="199">
        <f>H188-F188</f>
        <v/>
      </c>
      <c r="K188" s="199">
        <f>+H188-G188</f>
        <v/>
      </c>
      <c r="L188" s="49">
        <f>I188/F188</f>
        <v/>
      </c>
      <c r="M188" s="30" t="n">
        <v>62.37</v>
      </c>
      <c r="N188" s="30" t="n">
        <v>67.88</v>
      </c>
      <c r="O188" s="49">
        <f>(M188-N188)/N188</f>
        <v/>
      </c>
      <c r="P188" s="199">
        <f>N188*0.9056*0.85</f>
        <v/>
      </c>
      <c r="Q188" s="199">
        <f>N188*1.15</f>
        <v/>
      </c>
      <c r="R188" s="199">
        <f>IF(M188&lt;N188*0.9056*0.85,N188*0.9056*0.85,IF(M188&gt;N188*1.15,N188*1.15,M188))</f>
        <v/>
      </c>
      <c r="S188" s="199">
        <f>+F188*M188</f>
        <v/>
      </c>
      <c r="T188" s="169">
        <f>S188+R188*I188</f>
        <v/>
      </c>
      <c r="U188" s="197">
        <f>S188+R188*J188</f>
        <v/>
      </c>
      <c r="V188" s="196">
        <f>U188-S188</f>
        <v/>
      </c>
      <c r="W188" s="197">
        <f>+U188-T188</f>
        <v/>
      </c>
      <c r="X188" s="201">
        <f>+U188-T188</f>
        <v/>
      </c>
      <c r="Y188" s="74" t="n"/>
    </row>
    <row r="189" ht="28.5" customFormat="1" customHeight="1" s="1">
      <c r="A189" s="28" t="n">
        <v>167</v>
      </c>
      <c r="B189" s="29" t="inlineStr">
        <is>
          <t>011702002008</t>
        </is>
      </c>
      <c r="C189" s="29" t="inlineStr">
        <is>
          <t>矩形柱</t>
        </is>
      </c>
      <c r="D189" s="29" t="inlineStr">
        <is>
          <t>1.矩形柱模板(周长m)支模高度3.6m内1.8外</t>
        </is>
      </c>
      <c r="E189" s="30" t="inlineStr">
        <is>
          <t>m2</t>
        </is>
      </c>
      <c r="F189" s="30" t="n">
        <v>2599.236</v>
      </c>
      <c r="G189" s="199" t="n">
        <v>1914.88</v>
      </c>
      <c r="H189" s="200" t="n">
        <v>1823.69</v>
      </c>
      <c r="I189" s="199">
        <f>G189-F189</f>
        <v/>
      </c>
      <c r="J189" s="199">
        <f>H189-F189</f>
        <v/>
      </c>
      <c r="K189" s="199">
        <f>+H189-G189</f>
        <v/>
      </c>
      <c r="L189" s="49">
        <f>I189/F189</f>
        <v/>
      </c>
      <c r="M189" s="30" t="n">
        <v>58.27</v>
      </c>
      <c r="N189" s="30" t="n">
        <v>63.57</v>
      </c>
      <c r="O189" s="49">
        <f>(M189-N189)/N189</f>
        <v/>
      </c>
      <c r="P189" s="199">
        <f>N189*0.9056*0.85</f>
        <v/>
      </c>
      <c r="Q189" s="199">
        <f>N189*1.15</f>
        <v/>
      </c>
      <c r="R189" s="199">
        <f>IF(M189&lt;N189*0.9056*0.85,N189*0.9056*0.85,IF(M189&gt;N189*1.15,N189*1.15,M189))</f>
        <v/>
      </c>
      <c r="S189" s="199">
        <f>+F189*M189</f>
        <v/>
      </c>
      <c r="T189" s="169">
        <f>S189+R189*I189</f>
        <v/>
      </c>
      <c r="U189" s="197">
        <f>S189+R189*J189</f>
        <v/>
      </c>
      <c r="V189" s="196">
        <f>U189-S189</f>
        <v/>
      </c>
      <c r="W189" s="197">
        <f>+U189-T189</f>
        <v/>
      </c>
      <c r="X189" s="201">
        <f>+U189-T189</f>
        <v/>
      </c>
      <c r="Y189" s="74" t="n"/>
    </row>
    <row r="190" ht="28.5" customFormat="1" customHeight="1" s="1">
      <c r="A190" s="28" t="n">
        <v>168</v>
      </c>
      <c r="B190" s="29" t="inlineStr">
        <is>
          <t>011702002006</t>
        </is>
      </c>
      <c r="C190" s="29" t="inlineStr">
        <is>
          <t>矩形柱</t>
        </is>
      </c>
      <c r="D190" s="29" t="inlineStr">
        <is>
          <t>1.矩形柱模板(周长m)支模高度3.6m内1.8内</t>
        </is>
      </c>
      <c r="E190" s="30" t="inlineStr">
        <is>
          <t>m2</t>
        </is>
      </c>
      <c r="F190" s="30" t="n">
        <v>17.184</v>
      </c>
      <c r="G190" s="199" t="n">
        <v>682.21</v>
      </c>
      <c r="H190" s="200" t="n">
        <v>649.72</v>
      </c>
      <c r="I190" s="199">
        <f>G190-F190</f>
        <v/>
      </c>
      <c r="J190" s="199">
        <f>H190-F190</f>
        <v/>
      </c>
      <c r="K190" s="199">
        <f>+H190-G190</f>
        <v/>
      </c>
      <c r="L190" s="49">
        <f>I190/F190</f>
        <v/>
      </c>
      <c r="M190" s="30" t="n">
        <v>53.08</v>
      </c>
      <c r="N190" s="30" t="n">
        <v>57.93</v>
      </c>
      <c r="O190" s="49">
        <f>(M190-N190)/N190</f>
        <v/>
      </c>
      <c r="P190" s="199">
        <f>N190*0.9056*0.85</f>
        <v/>
      </c>
      <c r="Q190" s="199">
        <f>N190*1.15</f>
        <v/>
      </c>
      <c r="R190" s="199">
        <f>IF(M190&lt;N190*0.9056*0.85,N190*0.9056*0.85,IF(M190&gt;N190*1.15,N190*1.15,M190))</f>
        <v/>
      </c>
      <c r="S190" s="199">
        <f>+F190*M190</f>
        <v/>
      </c>
      <c r="T190" s="169">
        <f>S190+R190*I190</f>
        <v/>
      </c>
      <c r="U190" s="197">
        <f>S190+R190*J190</f>
        <v/>
      </c>
      <c r="V190" s="196">
        <f>U190-S190</f>
        <v/>
      </c>
      <c r="W190" s="197">
        <f>+U190-T190</f>
        <v/>
      </c>
      <c r="X190" s="201">
        <f>+U190-T190</f>
        <v/>
      </c>
      <c r="Y190" s="74" t="n"/>
    </row>
    <row r="191" ht="28.5" customFormat="1" customHeight="1" s="1">
      <c r="A191" s="28" t="n">
        <v>169</v>
      </c>
      <c r="B191" s="29" t="inlineStr">
        <is>
          <t>011702004003</t>
        </is>
      </c>
      <c r="C191" s="29" t="inlineStr">
        <is>
          <t>异形柱</t>
        </is>
      </c>
      <c r="D191" s="29" t="inlineStr">
        <is>
          <t>1.异形柱模板支模高度3.6m内实际支模高度(m):4.2</t>
        </is>
      </c>
      <c r="E191" s="30" t="inlineStr">
        <is>
          <t>m2</t>
        </is>
      </c>
      <c r="F191" s="30" t="n">
        <v>105.36</v>
      </c>
      <c r="G191" s="199" t="n">
        <v>60.86</v>
      </c>
      <c r="H191" s="200" t="n">
        <v>60.86</v>
      </c>
      <c r="I191" s="199">
        <f>G191-F191</f>
        <v/>
      </c>
      <c r="J191" s="199">
        <f>H191-F191</f>
        <v/>
      </c>
      <c r="K191" s="199">
        <f>+H191-G191</f>
        <v/>
      </c>
      <c r="L191" s="49">
        <f>I191/F191</f>
        <v/>
      </c>
      <c r="M191" s="30" t="n">
        <v>78.64</v>
      </c>
      <c r="N191" s="30" t="n">
        <v>89.79000000000001</v>
      </c>
      <c r="O191" s="49">
        <f>(M191-N191)/N191</f>
        <v/>
      </c>
      <c r="P191" s="199">
        <f>N191*0.9056*0.85</f>
        <v/>
      </c>
      <c r="Q191" s="199">
        <f>N191*1.15</f>
        <v/>
      </c>
      <c r="R191" s="199">
        <f>IF(M191&lt;N191*0.9056*0.85,N191*0.9056*0.85,IF(M191&gt;N191*1.15,N191*1.15,M191))</f>
        <v/>
      </c>
      <c r="S191" s="199">
        <f>+F191*M191</f>
        <v/>
      </c>
      <c r="T191" s="169">
        <f>S191+R191*I191</f>
        <v/>
      </c>
      <c r="U191" s="197">
        <f>S191+R191*J191</f>
        <v/>
      </c>
      <c r="V191" s="196">
        <f>U191-S191</f>
        <v/>
      </c>
      <c r="W191" s="197">
        <f>+U191-T191</f>
        <v/>
      </c>
      <c r="X191" s="201">
        <f>+U191-T191</f>
        <v/>
      </c>
      <c r="Y191" s="74" t="n"/>
    </row>
    <row r="192" ht="28.5" customFormat="1" customHeight="1" s="1">
      <c r="A192" s="28" t="n">
        <v>170</v>
      </c>
      <c r="B192" s="29" t="inlineStr">
        <is>
          <t>011702004002</t>
        </is>
      </c>
      <c r="C192" s="29" t="inlineStr">
        <is>
          <t>异形柱</t>
        </is>
      </c>
      <c r="D192" s="29" t="inlineStr">
        <is>
          <t>1.异形柱模板支模高度3.6m内</t>
        </is>
      </c>
      <c r="E192" s="30" t="inlineStr">
        <is>
          <t>m2</t>
        </is>
      </c>
      <c r="F192" s="30" t="n">
        <v>160.18</v>
      </c>
      <c r="G192" s="199" t="n">
        <v>147.26</v>
      </c>
      <c r="H192" s="200" t="n">
        <v>147.26</v>
      </c>
      <c r="I192" s="199">
        <f>G192-F192</f>
        <v/>
      </c>
      <c r="J192" s="199">
        <f>H192-F192</f>
        <v/>
      </c>
      <c r="K192" s="199">
        <f>+H192-G192</f>
        <v/>
      </c>
      <c r="L192" s="49">
        <f>I192/F192</f>
        <v/>
      </c>
      <c r="M192" s="30" t="n">
        <v>74.53</v>
      </c>
      <c r="N192" s="30" t="n">
        <v>85.23</v>
      </c>
      <c r="O192" s="49">
        <f>(M192-N192)/N192</f>
        <v/>
      </c>
      <c r="P192" s="199">
        <f>N192*0.9056*0.85</f>
        <v/>
      </c>
      <c r="Q192" s="199">
        <f>N192*1.15</f>
        <v/>
      </c>
      <c r="R192" s="199">
        <f>IF(M192&lt;N192*0.9056*0.85,N192*0.9056*0.85,IF(M192&gt;N192*1.15,N192*1.15,M192))</f>
        <v/>
      </c>
      <c r="S192" s="199">
        <f>+F192*M192</f>
        <v/>
      </c>
      <c r="T192" s="169">
        <f>S192+R192*I192</f>
        <v/>
      </c>
      <c r="U192" s="197">
        <f>S192+R192*J192</f>
        <v/>
      </c>
      <c r="V192" s="196">
        <f>U192-S192</f>
        <v/>
      </c>
      <c r="W192" s="197">
        <f>+U192-T192</f>
        <v/>
      </c>
      <c r="X192" s="201">
        <f>+U192-T192</f>
        <v/>
      </c>
      <c r="Y192" s="74" t="n"/>
    </row>
    <row r="193" ht="28.5" customFormat="1" customHeight="1" s="1">
      <c r="A193" s="28" t="n">
        <v>171</v>
      </c>
      <c r="B193" s="29" t="inlineStr">
        <is>
          <t>011702003003</t>
        </is>
      </c>
      <c r="C193" s="29" t="inlineStr">
        <is>
          <t>构造柱</t>
        </is>
      </c>
      <c r="D193" s="29" t="inlineStr">
        <is>
          <t>1.构造柱模板(周长m)支模高度3.6m内1.2内</t>
        </is>
      </c>
      <c r="E193" s="30" t="inlineStr">
        <is>
          <t>m2</t>
        </is>
      </c>
      <c r="F193" s="30" t="n">
        <v>1955.16</v>
      </c>
      <c r="G193" s="199" t="n">
        <v>1955.16</v>
      </c>
      <c r="H193" s="200" t="n">
        <v>1689.13</v>
      </c>
      <c r="I193" s="199">
        <f>G193-F193</f>
        <v/>
      </c>
      <c r="J193" s="199">
        <f>H193-F193</f>
        <v/>
      </c>
      <c r="K193" s="199">
        <f>+H193-G193</f>
        <v/>
      </c>
      <c r="L193" s="49">
        <f>I193/F193</f>
        <v/>
      </c>
      <c r="M193" s="30" t="n">
        <v>66.62</v>
      </c>
      <c r="N193" s="30" t="n">
        <v>78.81</v>
      </c>
      <c r="O193" s="49">
        <f>(M193-N193)/N193</f>
        <v/>
      </c>
      <c r="P193" s="199">
        <f>N193*0.9056*0.85</f>
        <v/>
      </c>
      <c r="Q193" s="199">
        <f>N193*1.15</f>
        <v/>
      </c>
      <c r="R193" s="199">
        <f>IF(M193&lt;N193*0.9056*0.85,N193*0.9056*0.85,IF(M193&gt;N193*1.15,N193*1.15,M193))</f>
        <v/>
      </c>
      <c r="S193" s="199">
        <f>+F193*M193</f>
        <v/>
      </c>
      <c r="T193" s="169">
        <f>S193+R193*I193</f>
        <v/>
      </c>
      <c r="U193" s="197">
        <f>S193+R193*J193</f>
        <v/>
      </c>
      <c r="V193" s="196">
        <f>U193-S193</f>
        <v/>
      </c>
      <c r="W193" s="197">
        <f>+U193-T193</f>
        <v/>
      </c>
      <c r="X193" s="201">
        <f>+U193-T193</f>
        <v/>
      </c>
      <c r="Y193" s="74" t="n"/>
    </row>
    <row r="194" ht="28.5" customFormat="1" customHeight="1" s="1">
      <c r="A194" s="28" t="n">
        <v>172</v>
      </c>
      <c r="B194" s="29" t="inlineStr">
        <is>
          <t>011702003004</t>
        </is>
      </c>
      <c r="C194" s="29" t="inlineStr">
        <is>
          <t>构造柱</t>
        </is>
      </c>
      <c r="D194" s="29" t="inlineStr">
        <is>
          <t>1.构造柱模板(周长m)支模高度4.5m内1.2内</t>
        </is>
      </c>
      <c r="E194" s="30" t="inlineStr">
        <is>
          <t>m2</t>
        </is>
      </c>
      <c r="F194" s="30" t="n">
        <v>343.48</v>
      </c>
      <c r="G194" s="199" t="n">
        <v>343.48</v>
      </c>
      <c r="H194" s="200" t="n">
        <v>293.8</v>
      </c>
      <c r="I194" s="199">
        <f>G194-F194</f>
        <v/>
      </c>
      <c r="J194" s="199">
        <f>H194-F194</f>
        <v/>
      </c>
      <c r="K194" s="199">
        <f>+H194-G194</f>
        <v/>
      </c>
      <c r="L194" s="49">
        <f>I194/F194</f>
        <v/>
      </c>
      <c r="M194" s="30" t="n">
        <v>70.72</v>
      </c>
      <c r="N194" s="30" t="n">
        <v>83.12</v>
      </c>
      <c r="O194" s="49">
        <f>(M194-N194)/N194</f>
        <v/>
      </c>
      <c r="P194" s="199">
        <f>N194*0.9056*0.85</f>
        <v/>
      </c>
      <c r="Q194" s="199">
        <f>N194*1.15</f>
        <v/>
      </c>
      <c r="R194" s="199">
        <f>IF(M194&lt;N194*0.9056*0.85,N194*0.9056*0.85,IF(M194&gt;N194*1.15,N194*1.15,M194))</f>
        <v/>
      </c>
      <c r="S194" s="199">
        <f>+F194*M194</f>
        <v/>
      </c>
      <c r="T194" s="169">
        <f>S194+R194*I194</f>
        <v/>
      </c>
      <c r="U194" s="197">
        <f>S194+R194*J194</f>
        <v/>
      </c>
      <c r="V194" s="196">
        <f>U194-S194</f>
        <v/>
      </c>
      <c r="W194" s="197">
        <f>+U194-T194</f>
        <v/>
      </c>
      <c r="X194" s="201">
        <f>+U194-T194</f>
        <v/>
      </c>
      <c r="Y194" s="74" t="n"/>
    </row>
    <row r="195" ht="28.5" customFormat="1" customHeight="1" s="1">
      <c r="A195" s="28" t="n">
        <v>173</v>
      </c>
      <c r="B195" s="29" t="inlineStr">
        <is>
          <t>011702011002</t>
        </is>
      </c>
      <c r="C195" s="29" t="inlineStr">
        <is>
          <t>直形墙</t>
        </is>
      </c>
      <c r="D195" s="29" t="inlineStr">
        <is>
          <t>1.直形墙模板墙厚(cm以内)40支模高度3.6m内</t>
        </is>
      </c>
      <c r="E195" s="30" t="inlineStr">
        <is>
          <t>m2</t>
        </is>
      </c>
      <c r="F195" s="30" t="n">
        <v>1956.61</v>
      </c>
      <c r="G195" s="199" t="n">
        <v>2114.52</v>
      </c>
      <c r="H195" s="200" t="n">
        <v>2013.47</v>
      </c>
      <c r="I195" s="199">
        <f>G195-F195</f>
        <v/>
      </c>
      <c r="J195" s="199">
        <f>H195-F195</f>
        <v/>
      </c>
      <c r="K195" s="199">
        <f>+H195-G195</f>
        <v/>
      </c>
      <c r="L195" s="49">
        <f>I195/F195</f>
        <v/>
      </c>
      <c r="M195" s="30" t="n">
        <v>43.27</v>
      </c>
      <c r="N195" s="30" t="n">
        <v>45.5</v>
      </c>
      <c r="O195" s="49">
        <f>(M195-N195)/N195</f>
        <v/>
      </c>
      <c r="P195" s="199">
        <f>N195*0.9056*0.85</f>
        <v/>
      </c>
      <c r="Q195" s="199">
        <f>N195*1.15</f>
        <v/>
      </c>
      <c r="R195" s="199">
        <f>IF(M195&lt;N195*0.9056*0.85,N195*0.9056*0.85,IF(M195&gt;N195*1.15,N195*1.15,M195))</f>
        <v/>
      </c>
      <c r="S195" s="199">
        <f>+F195*M195</f>
        <v/>
      </c>
      <c r="T195" s="169">
        <f>S195+R195*I195</f>
        <v/>
      </c>
      <c r="U195" s="197">
        <f>S195+R195*J195</f>
        <v/>
      </c>
      <c r="V195" s="196">
        <f>U195-S195</f>
        <v/>
      </c>
      <c r="W195" s="197">
        <f>+U195-T195</f>
        <v/>
      </c>
      <c r="X195" s="201">
        <f>+U195-T195</f>
        <v/>
      </c>
      <c r="Y195" s="74" t="n"/>
    </row>
    <row r="196" ht="28.5" customFormat="1" customHeight="1" s="1">
      <c r="A196" s="28" t="n">
        <v>174</v>
      </c>
      <c r="B196" s="29" t="inlineStr">
        <is>
          <t>011702011003</t>
        </is>
      </c>
      <c r="C196" s="29" t="inlineStr">
        <is>
          <t>直形墙</t>
        </is>
      </c>
      <c r="D196" s="29" t="inlineStr">
        <is>
          <t>1.直形墙模板墙厚(cm以内)40支模高度4.2m</t>
        </is>
      </c>
      <c r="E196" s="30" t="inlineStr">
        <is>
          <t>m2</t>
        </is>
      </c>
      <c r="F196" s="30" t="n">
        <v>421.32</v>
      </c>
      <c r="G196" s="199" t="n">
        <v>418.14</v>
      </c>
      <c r="H196" s="200" t="n">
        <v>398.23</v>
      </c>
      <c r="I196" s="199">
        <f>G196-F196</f>
        <v/>
      </c>
      <c r="J196" s="199">
        <f>H196-F196</f>
        <v/>
      </c>
      <c r="K196" s="199">
        <f>+H196-G196</f>
        <v/>
      </c>
      <c r="L196" s="49">
        <f>I196/F196</f>
        <v/>
      </c>
      <c r="M196" s="30" t="n">
        <v>45.51</v>
      </c>
      <c r="N196" s="30" t="n">
        <v>47.89</v>
      </c>
      <c r="O196" s="49">
        <f>(M196-N196)/N196</f>
        <v/>
      </c>
      <c r="P196" s="199">
        <f>N196*0.9056*0.85</f>
        <v/>
      </c>
      <c r="Q196" s="199">
        <f>N196*1.15</f>
        <v/>
      </c>
      <c r="R196" s="199">
        <f>IF(M196&lt;N196*0.9056*0.85,N196*0.9056*0.85,IF(M196&gt;N196*1.15,N196*1.15,M196))</f>
        <v/>
      </c>
      <c r="S196" s="199">
        <f>+F196*M196</f>
        <v/>
      </c>
      <c r="T196" s="169">
        <f>S196+R196*I196</f>
        <v/>
      </c>
      <c r="U196" s="197">
        <f>S196+R196*J196</f>
        <v/>
      </c>
      <c r="V196" s="196">
        <f>U196-S196</f>
        <v/>
      </c>
      <c r="W196" s="197">
        <f>+U196-T196</f>
        <v/>
      </c>
      <c r="X196" s="201">
        <f>+U196-T196</f>
        <v/>
      </c>
      <c r="Y196" s="74" t="n"/>
    </row>
    <row r="197" ht="28.5" customFormat="1" customHeight="1" s="1">
      <c r="A197" s="28" t="n">
        <v>175</v>
      </c>
      <c r="B197" s="29" t="inlineStr">
        <is>
          <t>011702014004</t>
        </is>
      </c>
      <c r="C197" s="29" t="inlineStr">
        <is>
          <t>有梁板</t>
        </is>
      </c>
      <c r="D197" s="29" t="inlineStr">
        <is>
          <t>1.有梁板模板支模高度4.2m内</t>
        </is>
      </c>
      <c r="E197" s="30" t="inlineStr">
        <is>
          <t>m2</t>
        </is>
      </c>
      <c r="F197" s="30" t="n">
        <v>1188.2744</v>
      </c>
      <c r="G197" s="199" t="n">
        <v>1340.7</v>
      </c>
      <c r="H197" s="200" t="n">
        <v>1276.86</v>
      </c>
      <c r="I197" s="199">
        <f>G197-F197</f>
        <v/>
      </c>
      <c r="J197" s="199">
        <f>H197-F197</f>
        <v/>
      </c>
      <c r="K197" s="199">
        <f>+H197-G197</f>
        <v/>
      </c>
      <c r="L197" s="49">
        <f>I197/F197</f>
        <v/>
      </c>
      <c r="M197" s="30" t="n">
        <v>67.34</v>
      </c>
      <c r="N197" s="30" t="n">
        <v>87.18000000000001</v>
      </c>
      <c r="O197" s="49">
        <f>(M197-N197)/N197</f>
        <v/>
      </c>
      <c r="P197" s="199">
        <f>N197*0.9056*0.85</f>
        <v/>
      </c>
      <c r="Q197" s="199">
        <f>N197*1.15</f>
        <v/>
      </c>
      <c r="R197" s="199">
        <f>IF(M197&lt;N197*0.9056*0.85,N197*0.9056*0.85,IF(M197&gt;N197*1.15,N197*1.15,M197))</f>
        <v/>
      </c>
      <c r="S197" s="199">
        <f>+F197*M197</f>
        <v/>
      </c>
      <c r="T197" s="169">
        <f>S197+R197*I197</f>
        <v/>
      </c>
      <c r="U197" s="197">
        <f>S197+R197*J197</f>
        <v/>
      </c>
      <c r="V197" s="196">
        <f>U197-S197</f>
        <v/>
      </c>
      <c r="W197" s="197">
        <f>+U197-T197</f>
        <v/>
      </c>
      <c r="X197" s="201">
        <f>+U197-T197</f>
        <v/>
      </c>
      <c r="Y197" s="74" t="n"/>
    </row>
    <row r="198" ht="28.5" customFormat="1" customHeight="1" s="1">
      <c r="A198" s="28" t="n">
        <v>176</v>
      </c>
      <c r="B198" s="29" t="inlineStr">
        <is>
          <t>011702014005</t>
        </is>
      </c>
      <c r="C198" s="29" t="inlineStr">
        <is>
          <t>有梁板</t>
        </is>
      </c>
      <c r="D198" s="29" t="inlineStr">
        <is>
          <t>1.有梁板模板支模高度3.6m内</t>
        </is>
      </c>
      <c r="E198" s="30" t="inlineStr">
        <is>
          <t>m2</t>
        </is>
      </c>
      <c r="F198" s="30" t="n">
        <v>6368.315</v>
      </c>
      <c r="G198" s="199" t="n">
        <v>6572.67</v>
      </c>
      <c r="H198" s="200">
        <f>8032.06-H199</f>
        <v/>
      </c>
      <c r="I198" s="199">
        <f>G198-F198</f>
        <v/>
      </c>
      <c r="J198" s="199">
        <f>H198-F198</f>
        <v/>
      </c>
      <c r="K198" s="199">
        <f>+H198-G198</f>
        <v/>
      </c>
      <c r="L198" s="49">
        <f>I198/F198</f>
        <v/>
      </c>
      <c r="M198" s="30" t="n">
        <v>59.25</v>
      </c>
      <c r="N198" s="30" t="n">
        <v>63.21</v>
      </c>
      <c r="O198" s="49">
        <f>(M198-N198)/N198</f>
        <v/>
      </c>
      <c r="P198" s="199">
        <f>N198*0.9056*0.85</f>
        <v/>
      </c>
      <c r="Q198" s="199">
        <f>N198*1.15</f>
        <v/>
      </c>
      <c r="R198" s="199">
        <f>IF(M198&lt;N198*0.9056*0.85,N198*0.9056*0.85,IF(M198&gt;N198*1.15,N198*1.15,M198))</f>
        <v/>
      </c>
      <c r="S198" s="199">
        <f>+F198*M198</f>
        <v/>
      </c>
      <c r="T198" s="169">
        <f>S198+R198*I198</f>
        <v/>
      </c>
      <c r="U198" s="197">
        <f>S198+R198*J198</f>
        <v/>
      </c>
      <c r="V198" s="196">
        <f>U198-S198</f>
        <v/>
      </c>
      <c r="W198" s="197">
        <f>+U198-T198</f>
        <v/>
      </c>
      <c r="X198" s="201">
        <f>+U198-T198</f>
        <v/>
      </c>
      <c r="Y198" s="74" t="n"/>
    </row>
    <row r="199" ht="28.5" customFormat="1" customHeight="1" s="1">
      <c r="A199" s="28" t="n">
        <v>177</v>
      </c>
      <c r="B199" s="29" t="inlineStr">
        <is>
          <t>011702014006</t>
        </is>
      </c>
      <c r="C199" s="29" t="inlineStr">
        <is>
          <t>有梁板（斜板）</t>
        </is>
      </c>
      <c r="D199" s="29" t="inlineStr">
        <is>
          <t>1.有梁板模板支模高度3.6m内</t>
        </is>
      </c>
      <c r="E199" s="30" t="inlineStr">
        <is>
          <t>m2</t>
        </is>
      </c>
      <c r="F199" s="30" t="n">
        <v>1772.374</v>
      </c>
      <c r="G199" s="199" t="n">
        <v>1860.99</v>
      </c>
      <c r="H199" s="200" t="n">
        <v>1860.99</v>
      </c>
      <c r="I199" s="199">
        <f>G199-F199</f>
        <v/>
      </c>
      <c r="J199" s="199">
        <f>H199-F199</f>
        <v/>
      </c>
      <c r="K199" s="199">
        <f>+H199-G199</f>
        <v/>
      </c>
      <c r="L199" s="49">
        <f>I199/F199</f>
        <v/>
      </c>
      <c r="M199" s="30" t="n">
        <v>59.25</v>
      </c>
      <c r="N199" s="30" t="n">
        <v>72.38</v>
      </c>
      <c r="O199" s="49">
        <f>(M199-N199)/N199</f>
        <v/>
      </c>
      <c r="P199" s="199">
        <f>N199*0.9056*0.85</f>
        <v/>
      </c>
      <c r="Q199" s="199">
        <f>N199*1.15</f>
        <v/>
      </c>
      <c r="R199" s="199">
        <f>IF(M199&lt;N199*0.9056*0.85,N199*0.9056*0.85,IF(M199&gt;N199*1.15,N199*1.15,M199))</f>
        <v/>
      </c>
      <c r="S199" s="199">
        <f>+F199*M199</f>
        <v/>
      </c>
      <c r="T199" s="169">
        <f>S199+R199*I199</f>
        <v/>
      </c>
      <c r="U199" s="197">
        <f>S199+R199*J199</f>
        <v/>
      </c>
      <c r="V199" s="196">
        <f>U199-S199</f>
        <v/>
      </c>
      <c r="W199" s="197">
        <f>+U199-T199</f>
        <v/>
      </c>
      <c r="X199" s="201">
        <f>+U199-T199</f>
        <v/>
      </c>
      <c r="Y199" s="74" t="n"/>
    </row>
    <row r="200" ht="28.5" customFormat="1" customHeight="1" s="1">
      <c r="A200" s="28" t="n">
        <v>178</v>
      </c>
      <c r="B200" s="29" t="inlineStr">
        <is>
          <t>011702006003</t>
        </is>
      </c>
      <c r="C200" s="29" t="inlineStr">
        <is>
          <t>矩形梁</t>
        </is>
      </c>
      <c r="D200" s="29" t="inlineStr">
        <is>
          <t>1.单梁、连续梁模板(梁宽cm)25以内支模高度4.2m内</t>
        </is>
      </c>
      <c r="E200" s="30" t="inlineStr">
        <is>
          <t>m2</t>
        </is>
      </c>
      <c r="F200" s="30" t="n">
        <v>1534.1</v>
      </c>
      <c r="G200" s="199" t="n">
        <v>1554.47</v>
      </c>
      <c r="H200" s="200" t="n">
        <v>1480.28</v>
      </c>
      <c r="I200" s="199">
        <f>G200-F200</f>
        <v/>
      </c>
      <c r="J200" s="199">
        <f>H200-F200</f>
        <v/>
      </c>
      <c r="K200" s="199">
        <f>+H200-G200</f>
        <v/>
      </c>
      <c r="L200" s="49">
        <f>I200/F200</f>
        <v/>
      </c>
      <c r="M200" s="30" t="n">
        <v>69.20999999999999</v>
      </c>
      <c r="N200" s="30" t="n">
        <v>86.95999999999999</v>
      </c>
      <c r="O200" s="49">
        <f>(M200-N200)/N200</f>
        <v/>
      </c>
      <c r="P200" s="199">
        <f>N200*0.9056*0.85</f>
        <v/>
      </c>
      <c r="Q200" s="199">
        <f>N200*1.15</f>
        <v/>
      </c>
      <c r="R200" s="199">
        <f>IF(M200&lt;N200*0.9056*0.85,N200*0.9056*0.85,IF(M200&gt;N200*1.15,N200*1.15,M200))</f>
        <v/>
      </c>
      <c r="S200" s="199">
        <f>+F200*M200</f>
        <v/>
      </c>
      <c r="T200" s="169">
        <f>S200+R200*I200</f>
        <v/>
      </c>
      <c r="U200" s="197">
        <f>S200+R200*J200</f>
        <v/>
      </c>
      <c r="V200" s="196">
        <f>U200-S200</f>
        <v/>
      </c>
      <c r="W200" s="197">
        <f>+U200-T200</f>
        <v/>
      </c>
      <c r="X200" s="201">
        <f>+U200-T200</f>
        <v/>
      </c>
      <c r="Y200" s="74" t="n"/>
    </row>
    <row r="201" ht="28.5" customFormat="1" customHeight="1" s="1">
      <c r="A201" s="28" t="n">
        <v>179</v>
      </c>
      <c r="B201" s="29" t="inlineStr">
        <is>
          <t>011702006006</t>
        </is>
      </c>
      <c r="C201" s="29" t="inlineStr">
        <is>
          <t>矩形梁</t>
        </is>
      </c>
      <c r="D201" s="29" t="inlineStr">
        <is>
          <t>1.单梁、连续梁模板(梁宽cm)25以外支模高度4.2m内</t>
        </is>
      </c>
      <c r="E201" s="30" t="inlineStr">
        <is>
          <t>m2</t>
        </is>
      </c>
      <c r="F201" s="30" t="n">
        <v>31.648</v>
      </c>
      <c r="G201" s="199" t="n">
        <v>31.17</v>
      </c>
      <c r="H201" s="200" t="n">
        <v>29.68</v>
      </c>
      <c r="I201" s="199">
        <f>G201-F201</f>
        <v/>
      </c>
      <c r="J201" s="199">
        <f>H201-F201</f>
        <v/>
      </c>
      <c r="K201" s="199">
        <f>+H201-G201</f>
        <v/>
      </c>
      <c r="L201" s="49">
        <f>I201/F201</f>
        <v/>
      </c>
      <c r="M201" s="30" t="n">
        <v>75.31999999999999</v>
      </c>
      <c r="N201" s="30" t="n">
        <v>79.58</v>
      </c>
      <c r="O201" s="49">
        <f>(M201-N201)/N201</f>
        <v/>
      </c>
      <c r="P201" s="199">
        <f>N201*0.9056*0.85</f>
        <v/>
      </c>
      <c r="Q201" s="199">
        <f>N201*1.15</f>
        <v/>
      </c>
      <c r="R201" s="199">
        <f>IF(M201&lt;N201*0.9056*0.85,N201*0.9056*0.85,IF(M201&gt;N201*1.15,N201*1.15,M201))</f>
        <v/>
      </c>
      <c r="S201" s="199">
        <f>+F201*M201</f>
        <v/>
      </c>
      <c r="T201" s="169">
        <f>S201+R201*I201</f>
        <v/>
      </c>
      <c r="U201" s="197">
        <f>S201+R201*J201</f>
        <v/>
      </c>
      <c r="V201" s="196">
        <f>U201-S201</f>
        <v/>
      </c>
      <c r="W201" s="197">
        <f>+U201-T201</f>
        <v/>
      </c>
      <c r="X201" s="201">
        <f>+U201-T201</f>
        <v/>
      </c>
      <c r="Y201" s="74" t="n"/>
    </row>
    <row r="202" ht="28.5" customFormat="1" customHeight="1" s="1">
      <c r="A202" s="28" t="n">
        <v>180</v>
      </c>
      <c r="B202" s="29" t="inlineStr">
        <is>
          <t>011702006007</t>
        </is>
      </c>
      <c r="C202" s="29" t="inlineStr">
        <is>
          <t>矩形梁</t>
        </is>
      </c>
      <c r="D202" s="29" t="inlineStr">
        <is>
          <t>1.单梁、连续梁模板(梁宽cm)25以内支模高度3.6m内</t>
        </is>
      </c>
      <c r="E202" s="30" t="inlineStr">
        <is>
          <t>m2</t>
        </is>
      </c>
      <c r="F202" s="30" t="n">
        <v>7386.904</v>
      </c>
      <c r="G202" s="199" t="n">
        <v>8480.66</v>
      </c>
      <c r="H202" s="200" t="n">
        <v>8076.15</v>
      </c>
      <c r="I202" s="199">
        <f>G202-F202</f>
        <v/>
      </c>
      <c r="J202" s="199">
        <f>H202-F202</f>
        <v/>
      </c>
      <c r="K202" s="199">
        <f>+H202-G202</f>
        <v/>
      </c>
      <c r="L202" s="49">
        <f>I202/F202</f>
        <v/>
      </c>
      <c r="M202" s="30" t="n">
        <v>61.79</v>
      </c>
      <c r="N202" s="30" t="n">
        <v>65.84</v>
      </c>
      <c r="O202" s="49">
        <f>(M202-N202)/N202</f>
        <v/>
      </c>
      <c r="P202" s="199">
        <f>N202*0.9056*0.85</f>
        <v/>
      </c>
      <c r="Q202" s="199">
        <f>N202*1.15</f>
        <v/>
      </c>
      <c r="R202" s="199">
        <f>IF(M202&lt;N202*0.9056*0.85,N202*0.9056*0.85,IF(M202&gt;N202*1.15,N202*1.15,M202))</f>
        <v/>
      </c>
      <c r="S202" s="199">
        <f>+F202*M202</f>
        <v/>
      </c>
      <c r="T202" s="169">
        <f>S202+R202*I202</f>
        <v/>
      </c>
      <c r="U202" s="197">
        <f>S202+R202*J202</f>
        <v/>
      </c>
      <c r="V202" s="196">
        <f>U202-S202</f>
        <v/>
      </c>
      <c r="W202" s="197">
        <f>+U202-T202</f>
        <v/>
      </c>
      <c r="X202" s="201">
        <f>+U202-T202</f>
        <v/>
      </c>
      <c r="Y202" s="74" t="n"/>
    </row>
    <row r="203" ht="28.5" customFormat="1" customHeight="1" s="1">
      <c r="A203" s="28" t="n">
        <v>181</v>
      </c>
      <c r="B203" s="29" t="inlineStr">
        <is>
          <t>011702006005</t>
        </is>
      </c>
      <c r="C203" s="29" t="inlineStr">
        <is>
          <t>矩形梁</t>
        </is>
      </c>
      <c r="D203" s="29" t="inlineStr">
        <is>
          <t>1.单梁、连续梁模板(梁宽cm)25以外支模高度3.6m内</t>
        </is>
      </c>
      <c r="E203" s="30" t="inlineStr">
        <is>
          <t>m2</t>
        </is>
      </c>
      <c r="F203" s="30" t="n">
        <v>523.652</v>
      </c>
      <c r="G203" s="199" t="n">
        <v>550.6</v>
      </c>
      <c r="H203" s="200" t="n">
        <v>524.38</v>
      </c>
      <c r="I203" s="199">
        <f>G203-F203</f>
        <v/>
      </c>
      <c r="J203" s="199">
        <f>H203-F203</f>
        <v/>
      </c>
      <c r="K203" s="199">
        <f>+H203-G203</f>
        <v/>
      </c>
      <c r="L203" s="49">
        <f>I203/F203</f>
        <v/>
      </c>
      <c r="M203" s="30" t="n">
        <v>67.90000000000001</v>
      </c>
      <c r="N203" s="30" t="n">
        <v>72.20999999999999</v>
      </c>
      <c r="O203" s="49">
        <f>(M203-N203)/N203</f>
        <v/>
      </c>
      <c r="P203" s="199">
        <f>N203*0.9056*0.85</f>
        <v/>
      </c>
      <c r="Q203" s="199">
        <f>N203*1.15</f>
        <v/>
      </c>
      <c r="R203" s="199">
        <f>IF(M203&lt;N203*0.9056*0.85,N203*0.9056*0.85,IF(M203&gt;N203*1.15,N203*1.15,M203))</f>
        <v/>
      </c>
      <c r="S203" s="199">
        <f>+F203*M203</f>
        <v/>
      </c>
      <c r="T203" s="169">
        <f>S203+R203*I203</f>
        <v/>
      </c>
      <c r="U203" s="197">
        <f>S203+R203*J203</f>
        <v/>
      </c>
      <c r="V203" s="196">
        <f>U203-S203</f>
        <v/>
      </c>
      <c r="W203" s="197">
        <f>+U203-T203</f>
        <v/>
      </c>
      <c r="X203" s="201">
        <f>+U203-T203</f>
        <v/>
      </c>
      <c r="Y203" s="74" t="n"/>
    </row>
    <row r="204" ht="28.5" customFormat="1" customHeight="1" s="1">
      <c r="A204" s="28" t="n">
        <v>182</v>
      </c>
      <c r="B204" s="29" t="inlineStr">
        <is>
          <t>011702006008</t>
        </is>
      </c>
      <c r="C204" s="29" t="inlineStr">
        <is>
          <t>矩形梁（斜梁）</t>
        </is>
      </c>
      <c r="D204" s="29" t="inlineStr">
        <is>
          <t>1.单梁、连续梁模板(梁宽cm)25以内支模高度3.6m内</t>
        </is>
      </c>
      <c r="E204" s="30" t="inlineStr">
        <is>
          <t>m2</t>
        </is>
      </c>
      <c r="F204" s="30" t="n">
        <v>1014.696</v>
      </c>
      <c r="G204" s="199" t="n">
        <v>488.32</v>
      </c>
      <c r="H204" s="200" t="n">
        <v>465.07</v>
      </c>
      <c r="I204" s="199">
        <f>G204-F204</f>
        <v/>
      </c>
      <c r="J204" s="199">
        <f>H204-F204</f>
        <v/>
      </c>
      <c r="K204" s="199">
        <f>+H204-G204</f>
        <v/>
      </c>
      <c r="L204" s="49">
        <f>I204/F204</f>
        <v/>
      </c>
      <c r="M204" s="30" t="n">
        <v>61.79</v>
      </c>
      <c r="N204" s="30" t="n">
        <v>76.23</v>
      </c>
      <c r="O204" s="49">
        <f>(M204-N204)/N204</f>
        <v/>
      </c>
      <c r="P204" s="199">
        <f>N204*0.9056*0.85</f>
        <v/>
      </c>
      <c r="Q204" s="199">
        <f>N204*1.15</f>
        <v/>
      </c>
      <c r="R204" s="199">
        <f>IF(M204&lt;N204*0.9056*0.85,N204*0.9056*0.85,IF(M204&gt;N204*1.15,N204*1.15,M204))</f>
        <v/>
      </c>
      <c r="S204" s="199">
        <f>+F204*M204</f>
        <v/>
      </c>
      <c r="T204" s="169">
        <f>S204+R204*I204</f>
        <v/>
      </c>
      <c r="U204" s="197">
        <f>S204+R204*J204</f>
        <v/>
      </c>
      <c r="V204" s="196">
        <f>U204-S204</f>
        <v/>
      </c>
      <c r="W204" s="197">
        <f>+U204-T204</f>
        <v/>
      </c>
      <c r="X204" s="201">
        <f>+U204-T204</f>
        <v/>
      </c>
      <c r="Y204" s="74" t="n"/>
    </row>
    <row r="205" ht="28.5" customFormat="1" customHeight="1" s="1">
      <c r="A205" s="28" t="n">
        <v>183</v>
      </c>
      <c r="B205" s="29" t="inlineStr">
        <is>
          <t>011702023002</t>
        </is>
      </c>
      <c r="C205" s="29" t="inlineStr">
        <is>
          <t>雨篷、悬挑板、阳台板</t>
        </is>
      </c>
      <c r="D205" s="29" t="inlineStr">
        <is>
          <t>1.雨篷、悬挑板、阳台板</t>
        </is>
      </c>
      <c r="E205" s="30" t="inlineStr">
        <is>
          <t>m2</t>
        </is>
      </c>
      <c r="F205" s="30" t="n">
        <v>1556.026</v>
      </c>
      <c r="G205" s="199" t="n">
        <v>1035.73</v>
      </c>
      <c r="H205" s="200" t="n">
        <v>1035.73</v>
      </c>
      <c r="I205" s="199">
        <f>G205-F205</f>
        <v/>
      </c>
      <c r="J205" s="199">
        <f>H205-F205</f>
        <v/>
      </c>
      <c r="K205" s="199">
        <f>+H205-G205</f>
        <v/>
      </c>
      <c r="L205" s="49">
        <f>I205/F205</f>
        <v/>
      </c>
      <c r="M205" s="30" t="n">
        <v>69.34999999999999</v>
      </c>
      <c r="N205" s="30" t="n">
        <v>74.27</v>
      </c>
      <c r="O205" s="49">
        <f>(M205-N205)/N205</f>
        <v/>
      </c>
      <c r="P205" s="199">
        <f>N205*0.9056*0.85</f>
        <v/>
      </c>
      <c r="Q205" s="199">
        <f>N205*1.15</f>
        <v/>
      </c>
      <c r="R205" s="199">
        <f>IF(M205&lt;N205*0.9056*0.85,N205*0.9056*0.85,IF(M205&gt;N205*1.15,N205*1.15,M205))</f>
        <v/>
      </c>
      <c r="S205" s="199">
        <f>+F205*M205</f>
        <v/>
      </c>
      <c r="T205" s="169">
        <f>S205+R205*I205</f>
        <v/>
      </c>
      <c r="U205" s="197">
        <f>S205+R205*J205</f>
        <v/>
      </c>
      <c r="V205" s="196">
        <f>U205-S205</f>
        <v/>
      </c>
      <c r="W205" s="197">
        <f>+U205-T205</f>
        <v/>
      </c>
      <c r="X205" s="201">
        <f>+U205-T205</f>
        <v/>
      </c>
      <c r="Y205" s="74" t="n"/>
    </row>
    <row r="206" ht="28.5" customFormat="1" customHeight="1" s="1">
      <c r="A206" s="28" t="n">
        <v>184</v>
      </c>
      <c r="B206" s="29" t="inlineStr">
        <is>
          <t>011702021002</t>
        </is>
      </c>
      <c r="C206" s="29" t="inlineStr">
        <is>
          <t>栏板、反檐</t>
        </is>
      </c>
      <c r="D206" s="29" t="inlineStr">
        <is>
          <t>1.栏板、反檐模板</t>
        </is>
      </c>
      <c r="E206" s="30" t="inlineStr">
        <is>
          <t>m2</t>
        </is>
      </c>
      <c r="F206" s="30" t="n">
        <v>357.9</v>
      </c>
      <c r="G206" s="199" t="n">
        <v>1595.69</v>
      </c>
      <c r="H206" s="200" t="n">
        <v>1595.69</v>
      </c>
      <c r="I206" s="199">
        <f>G206-F206</f>
        <v/>
      </c>
      <c r="J206" s="199">
        <f>H206-F206</f>
        <v/>
      </c>
      <c r="K206" s="199">
        <f>+H206-G206</f>
        <v/>
      </c>
      <c r="L206" s="49">
        <f>I206/F206</f>
        <v/>
      </c>
      <c r="M206" s="30" t="n">
        <v>64.39</v>
      </c>
      <c r="N206" s="30" t="n">
        <v>69.66</v>
      </c>
      <c r="O206" s="49">
        <f>(M206-N206)/N206</f>
        <v/>
      </c>
      <c r="P206" s="199">
        <f>N206*0.9056*0.85</f>
        <v/>
      </c>
      <c r="Q206" s="199">
        <f>N206*1.15</f>
        <v/>
      </c>
      <c r="R206" s="199">
        <f>IF(M206&lt;N206*0.9056*0.85,N206*0.9056*0.85,IF(M206&gt;N206*1.15,N206*1.15,M206))</f>
        <v/>
      </c>
      <c r="S206" s="199">
        <f>+F206*M206</f>
        <v/>
      </c>
      <c r="T206" s="169">
        <f>S206+R206*I206</f>
        <v/>
      </c>
      <c r="U206" s="197">
        <f>S206+R206*J206</f>
        <v/>
      </c>
      <c r="V206" s="196">
        <f>U206-S206</f>
        <v/>
      </c>
      <c r="W206" s="197">
        <f>+U206-T206</f>
        <v/>
      </c>
      <c r="X206" s="201">
        <f>+U206-T206</f>
        <v/>
      </c>
      <c r="Y206" s="74" t="n"/>
    </row>
    <row r="207" ht="28.5" customFormat="1" customHeight="1" s="1">
      <c r="A207" s="28" t="n">
        <v>185</v>
      </c>
      <c r="B207" s="29" t="inlineStr">
        <is>
          <t>011702008001</t>
        </is>
      </c>
      <c r="C207" s="29" t="inlineStr">
        <is>
          <t>圈梁</t>
        </is>
      </c>
      <c r="D207" s="29" t="inlineStr">
        <is>
          <t>1.圈梁模板支模高度3.6m内</t>
        </is>
      </c>
      <c r="E207" s="30" t="inlineStr">
        <is>
          <t>m2</t>
        </is>
      </c>
      <c r="F207" s="30" t="n">
        <v>426</v>
      </c>
      <c r="G207" s="199" t="n">
        <v>426</v>
      </c>
      <c r="H207" s="200" t="n">
        <v>226.27</v>
      </c>
      <c r="I207" s="199">
        <f>G207-F207</f>
        <v/>
      </c>
      <c r="J207" s="199">
        <f>H207-F207</f>
        <v/>
      </c>
      <c r="K207" s="199">
        <f>+H207-G207</f>
        <v/>
      </c>
      <c r="L207" s="49">
        <f>I207/F207</f>
        <v/>
      </c>
      <c r="M207" s="30" t="n">
        <v>48.71</v>
      </c>
      <c r="N207" s="30" t="n">
        <v>69.5</v>
      </c>
      <c r="O207" s="49">
        <f>(M207-N207)/N207</f>
        <v/>
      </c>
      <c r="P207" s="199">
        <f>N207*0.9056*0.85</f>
        <v/>
      </c>
      <c r="Q207" s="199">
        <f>N207*1.15</f>
        <v/>
      </c>
      <c r="R207" s="199">
        <f>IF(M207&lt;N207*0.9056*0.85,N207*0.9056*0.85,IF(M207&gt;N207*1.15,N207*1.15,M207))</f>
        <v/>
      </c>
      <c r="S207" s="199">
        <f>+F207*M207</f>
        <v/>
      </c>
      <c r="T207" s="169">
        <f>S207+R207*I207</f>
        <v/>
      </c>
      <c r="U207" s="197">
        <f>S207+R207*J207</f>
        <v/>
      </c>
      <c r="V207" s="196">
        <f>U207-S207</f>
        <v/>
      </c>
      <c r="W207" s="197">
        <f>+U207-T207</f>
        <v/>
      </c>
      <c r="X207" s="201">
        <f>+U207-T207</f>
        <v/>
      </c>
      <c r="Y207" s="74" t="n"/>
    </row>
    <row r="208" ht="18" customFormat="1" customHeight="1" s="1">
      <c r="A208" s="28" t="n">
        <v>186</v>
      </c>
      <c r="B208" s="29" t="inlineStr">
        <is>
          <t>011702008004</t>
        </is>
      </c>
      <c r="C208" s="29" t="inlineStr">
        <is>
          <t>过梁</t>
        </is>
      </c>
      <c r="D208" s="29" t="inlineStr">
        <is>
          <t>1.过梁模板支模高度3.6m内</t>
        </is>
      </c>
      <c r="E208" s="30" t="inlineStr">
        <is>
          <t>m2</t>
        </is>
      </c>
      <c r="F208" s="30" t="n">
        <v>151.22</v>
      </c>
      <c r="G208" s="199" t="n">
        <v>151.22</v>
      </c>
      <c r="H208" s="200" t="n">
        <v>103.99</v>
      </c>
      <c r="I208" s="199">
        <f>G208-F208</f>
        <v/>
      </c>
      <c r="J208" s="199">
        <f>H208-F208</f>
        <v/>
      </c>
      <c r="K208" s="199">
        <f>+H208-G208</f>
        <v/>
      </c>
      <c r="L208" s="49">
        <f>I208/F208</f>
        <v/>
      </c>
      <c r="M208" s="30" t="n">
        <v>48.71</v>
      </c>
      <c r="N208" s="30" t="n">
        <v>69.5</v>
      </c>
      <c r="O208" s="49">
        <f>(M208-N208)/N208</f>
        <v/>
      </c>
      <c r="P208" s="199">
        <f>N208*0.9056*0.85</f>
        <v/>
      </c>
      <c r="Q208" s="199">
        <f>N208*1.15</f>
        <v/>
      </c>
      <c r="R208" s="199">
        <f>IF(M208&lt;N208*0.9056*0.85,N208*0.9056*0.85,IF(M208&gt;N208*1.15,N208*1.15,M208))</f>
        <v/>
      </c>
      <c r="S208" s="199">
        <f>+F208*M208</f>
        <v/>
      </c>
      <c r="T208" s="169">
        <f>S208+R208*I208</f>
        <v/>
      </c>
      <c r="U208" s="197">
        <f>S208+R208*J208</f>
        <v/>
      </c>
      <c r="V208" s="196">
        <f>U208-S208</f>
        <v/>
      </c>
      <c r="W208" s="197">
        <f>+U208-T208</f>
        <v/>
      </c>
      <c r="X208" s="201">
        <f>+U208-T208</f>
        <v/>
      </c>
      <c r="Y208" s="74" t="n"/>
    </row>
    <row r="209" ht="28.5" customFormat="1" customHeight="1" s="1">
      <c r="A209" s="28" t="n">
        <v>187</v>
      </c>
      <c r="B209" s="29" t="inlineStr">
        <is>
          <t>011702008003</t>
        </is>
      </c>
      <c r="C209" s="29" t="inlineStr">
        <is>
          <t>反坎</t>
        </is>
      </c>
      <c r="D209" s="29" t="inlineStr">
        <is>
          <t>1.反坎模板支模高度3.6m内</t>
        </is>
      </c>
      <c r="E209" s="30" t="inlineStr">
        <is>
          <t>m2</t>
        </is>
      </c>
      <c r="F209" s="30" t="n">
        <v>181.06</v>
      </c>
      <c r="G209" s="199" t="n">
        <v>308.44</v>
      </c>
      <c r="H209" s="200" t="n">
        <v>308.44</v>
      </c>
      <c r="I209" s="199">
        <f>G209-F209</f>
        <v/>
      </c>
      <c r="J209" s="199">
        <f>H209-F209</f>
        <v/>
      </c>
      <c r="K209" s="199">
        <f>+H209-G209</f>
        <v/>
      </c>
      <c r="L209" s="49">
        <f>I209/F209</f>
        <v/>
      </c>
      <c r="M209" s="30" t="n">
        <v>64.39</v>
      </c>
      <c r="N209" s="30" t="n">
        <v>69.5</v>
      </c>
      <c r="O209" s="49">
        <f>(M209-N209)/N209</f>
        <v/>
      </c>
      <c r="P209" s="199">
        <f>N209*0.9056*0.85</f>
        <v/>
      </c>
      <c r="Q209" s="199">
        <f>N209*1.15</f>
        <v/>
      </c>
      <c r="R209" s="199">
        <f>IF(M209&lt;N209*0.9056*0.85,N209*0.9056*0.85,IF(M209&gt;N209*1.15,N209*1.15,M209))</f>
        <v/>
      </c>
      <c r="S209" s="199">
        <f>+F209*M209</f>
        <v/>
      </c>
      <c r="T209" s="169">
        <f>S209+R209*I209</f>
        <v/>
      </c>
      <c r="U209" s="197">
        <f>S209+R209*J209</f>
        <v/>
      </c>
      <c r="V209" s="196">
        <f>U209-S209</f>
        <v/>
      </c>
      <c r="W209" s="197">
        <f>+U209-T209</f>
        <v/>
      </c>
      <c r="X209" s="201">
        <f>+U209-T209</f>
        <v/>
      </c>
      <c r="Y209" s="74" t="n"/>
    </row>
    <row r="210" ht="28.5" customFormat="1" customHeight="1" s="1">
      <c r="A210" s="28" t="n">
        <v>188</v>
      </c>
      <c r="B210" s="29" t="inlineStr">
        <is>
          <t>011702024001</t>
        </is>
      </c>
      <c r="C210" s="29" t="inlineStr">
        <is>
          <t>楼梯</t>
        </is>
      </c>
      <c r="D210" s="29" t="inlineStr">
        <is>
          <t>1.楼梯模板直形</t>
        </is>
      </c>
      <c r="E210" s="30" t="inlineStr">
        <is>
          <t>m2</t>
        </is>
      </c>
      <c r="F210" s="30" t="n">
        <v>579.55</v>
      </c>
      <c r="G210" s="199" t="n">
        <v>540.67</v>
      </c>
      <c r="H210" s="200" t="n">
        <v>514.92</v>
      </c>
      <c r="I210" s="199">
        <f>G210-F210</f>
        <v/>
      </c>
      <c r="J210" s="199">
        <f>H210-F210</f>
        <v/>
      </c>
      <c r="K210" s="199">
        <f>+H210-G210</f>
        <v/>
      </c>
      <c r="L210" s="49">
        <f>I210/F210</f>
        <v/>
      </c>
      <c r="M210" s="30" t="n">
        <v>174.23</v>
      </c>
      <c r="N210" s="30" t="n">
        <v>190.32</v>
      </c>
      <c r="O210" s="49">
        <f>(M210-N210)/N210</f>
        <v/>
      </c>
      <c r="P210" s="199">
        <f>N210*0.9056*0.85</f>
        <v/>
      </c>
      <c r="Q210" s="199">
        <f>N210*1.15</f>
        <v/>
      </c>
      <c r="R210" s="199">
        <f>IF(M210&lt;N210*0.9056*0.85,N210*0.9056*0.85,IF(M210&gt;N210*1.15,N210*1.15,M210))</f>
        <v/>
      </c>
      <c r="S210" s="199">
        <f>+F210*M210</f>
        <v/>
      </c>
      <c r="T210" s="169">
        <f>S210+R210*I210</f>
        <v/>
      </c>
      <c r="U210" s="197">
        <f>S210+R210*J210</f>
        <v/>
      </c>
      <c r="V210" s="196">
        <f>U210-S210</f>
        <v/>
      </c>
      <c r="W210" s="197">
        <f>+U210-T210</f>
        <v/>
      </c>
      <c r="X210" s="201">
        <f>+U210-T210</f>
        <v/>
      </c>
      <c r="Y210" s="74" t="n"/>
    </row>
    <row r="211" ht="66.75" customFormat="1" customHeight="1" s="2">
      <c r="A211" s="37" t="n">
        <v>189</v>
      </c>
      <c r="B211" s="38" t="inlineStr">
        <is>
          <t>010401001002</t>
        </is>
      </c>
      <c r="C211" s="38" t="inlineStr">
        <is>
          <t>砖基础</t>
        </is>
      </c>
      <c r="D211" s="38" t="inlineStr">
        <is>
          <t>1.砖胎膜
2.砖品种、规格、强度等级:Mu15蒸压灰砂砖
3.砂浆强度等级:WMM5专用砌筑砂浆</t>
        </is>
      </c>
      <c r="E211" s="39" t="inlineStr">
        <is>
          <t>m3</t>
        </is>
      </c>
      <c r="F211" s="39" t="n">
        <v>130.7376</v>
      </c>
      <c r="G211" s="206" t="n">
        <v>361.58</v>
      </c>
      <c r="H211" s="200" t="n">
        <v>361.58</v>
      </c>
      <c r="I211" s="206">
        <f>G211-F211</f>
        <v/>
      </c>
      <c r="J211" s="206">
        <f>H211-F211</f>
        <v/>
      </c>
      <c r="K211" s="206">
        <f>+H211-G211</f>
        <v/>
      </c>
      <c r="L211" s="51">
        <f>I211/F211</f>
        <v/>
      </c>
      <c r="M211" s="39" t="n">
        <v>527.28</v>
      </c>
      <c r="N211" s="39" t="n">
        <v>641.05</v>
      </c>
      <c r="O211" s="51">
        <f>(M211-N211)/N211</f>
        <v/>
      </c>
      <c r="P211" s="206">
        <f>N211*0.9056*0.85</f>
        <v/>
      </c>
      <c r="Q211" s="206">
        <f>N211*1.15</f>
        <v/>
      </c>
      <c r="R211" s="206">
        <f>IF(M211&lt;N211*0.9056*0.85,N211*0.9056*0.85,IF(M211&gt;N211*1.15,N211*1.15,M211))</f>
        <v/>
      </c>
      <c r="S211" s="206">
        <f>+F211*M211</f>
        <v/>
      </c>
      <c r="T211" s="207">
        <f>S211+R211*I211</f>
        <v/>
      </c>
      <c r="U211" s="197">
        <f>S211+R211*J211</f>
        <v/>
      </c>
      <c r="V211" s="196">
        <f>U211-S211</f>
        <v/>
      </c>
      <c r="W211" s="197">
        <f>+U211-T211</f>
        <v/>
      </c>
      <c r="X211" s="201">
        <f>+U211-T211</f>
        <v/>
      </c>
      <c r="Y211" s="77" t="n"/>
    </row>
    <row r="212" ht="28.5" customFormat="1" customHeight="1" s="2">
      <c r="A212" s="37" t="n">
        <v>190</v>
      </c>
      <c r="B212" s="38" t="inlineStr">
        <is>
          <t>011703001001</t>
        </is>
      </c>
      <c r="C212" s="38" t="inlineStr">
        <is>
          <t>垂直运输</t>
        </is>
      </c>
      <c r="D212" s="38" t="inlineStr">
        <is>
          <t>1.建筑物20m以上的垂直运输30m以内</t>
        </is>
      </c>
      <c r="E212" s="39" t="inlineStr">
        <is>
          <t>m2</t>
        </is>
      </c>
      <c r="F212" s="39" t="n">
        <v>8993.09</v>
      </c>
      <c r="G212" s="206" t="n">
        <v>10082.59</v>
      </c>
      <c r="H212" s="200" t="n">
        <v>9367.66</v>
      </c>
      <c r="I212" s="206">
        <f>G212-F212</f>
        <v/>
      </c>
      <c r="J212" s="206">
        <f>H212-F212</f>
        <v/>
      </c>
      <c r="K212" s="206">
        <f>+H212-G212</f>
        <v/>
      </c>
      <c r="L212" s="51">
        <f>I212/F212</f>
        <v/>
      </c>
      <c r="M212" s="39" t="n">
        <v>35.03</v>
      </c>
      <c r="N212" s="39" t="n">
        <v>37.72</v>
      </c>
      <c r="O212" s="51">
        <f>(M212-N212)/N212</f>
        <v/>
      </c>
      <c r="P212" s="206">
        <f>N212*0.9056*0.85</f>
        <v/>
      </c>
      <c r="Q212" s="206">
        <f>N212*1.15</f>
        <v/>
      </c>
      <c r="R212" s="206">
        <f>IF(M212&lt;N212*0.9056*0.85,N212*0.9056*0.85,IF(M212&gt;N212*1.15,N212*1.15,M212))</f>
        <v/>
      </c>
      <c r="S212" s="206">
        <f>+F212*M212</f>
        <v/>
      </c>
      <c r="T212" s="207">
        <f>S212+R212*I212</f>
        <v/>
      </c>
      <c r="U212" s="197">
        <f>S212+R212*J212</f>
        <v/>
      </c>
      <c r="V212" s="196">
        <f>U212-S212</f>
        <v/>
      </c>
      <c r="W212" s="197">
        <f>+U212-T212</f>
        <v/>
      </c>
      <c r="X212" s="201">
        <f>+U212-T212</f>
        <v/>
      </c>
      <c r="Y212" s="77" t="n"/>
    </row>
    <row r="213" ht="28.5" customFormat="1" customHeight="1" s="1">
      <c r="A213" s="28" t="n">
        <v>191</v>
      </c>
      <c r="B213" s="29" t="inlineStr">
        <is>
          <t>011704001001</t>
        </is>
      </c>
      <c r="C213" s="29" t="inlineStr">
        <is>
          <t>超高施工增加</t>
        </is>
      </c>
      <c r="D213" s="29" t="inlineStr">
        <is>
          <t>1.建筑物超高增加人工、机械降效率高度30m以内</t>
        </is>
      </c>
      <c r="E213" s="30" t="inlineStr">
        <is>
          <t>项</t>
        </is>
      </c>
      <c r="F213" s="30" t="n">
        <v>1</v>
      </c>
      <c r="G213" s="199" t="n">
        <v>1</v>
      </c>
      <c r="H213" s="203" t="n">
        <v>1</v>
      </c>
      <c r="I213" s="199">
        <f>G213-F213</f>
        <v/>
      </c>
      <c r="J213" s="199">
        <f>H213-F213</f>
        <v/>
      </c>
      <c r="K213" s="199">
        <f>+H213-G213</f>
        <v/>
      </c>
      <c r="L213" s="49">
        <f>I213/F213</f>
        <v/>
      </c>
      <c r="M213" s="30" t="n">
        <v>47756.39</v>
      </c>
      <c r="N213" s="30" t="n">
        <v>88431.92</v>
      </c>
      <c r="O213" s="49">
        <f>(M213-N213)/N213</f>
        <v/>
      </c>
      <c r="P213" s="199">
        <f>N213*0.9056*0.85</f>
        <v/>
      </c>
      <c r="Q213" s="199">
        <f>N213*1.15</f>
        <v/>
      </c>
      <c r="R213" s="199">
        <f>IF(M213&lt;N213*0.9056*0.85,N213*0.9056*0.85,IF(M213&gt;N213*1.15,N213*1.15,M213))</f>
        <v/>
      </c>
      <c r="S213" s="199">
        <f>+F213*M213</f>
        <v/>
      </c>
      <c r="T213" s="169">
        <f>S213+R213*I213</f>
        <v/>
      </c>
      <c r="U213" s="197">
        <f>S213+R213*J213</f>
        <v/>
      </c>
      <c r="V213" s="196">
        <f>U213-S213</f>
        <v/>
      </c>
      <c r="W213" s="197">
        <f>+U213-T213</f>
        <v/>
      </c>
      <c r="X213" s="201">
        <f>+U213-T213</f>
        <v/>
      </c>
      <c r="Y213" s="74" t="n"/>
    </row>
    <row r="214" ht="23" customFormat="1" customHeight="1" s="7">
      <c r="A214" s="120" t="inlineStr">
        <is>
          <t>三</t>
        </is>
      </c>
      <c r="B214" s="121" t="n"/>
      <c r="C214" s="122" t="inlineStr">
        <is>
          <t>不含税造价</t>
        </is>
      </c>
      <c r="D214" s="101" t="n"/>
      <c r="E214" s="122" t="n"/>
      <c r="F214" s="122" t="n"/>
      <c r="G214" s="175" t="n"/>
      <c r="H214" s="31" t="n"/>
      <c r="I214" s="122" t="n"/>
      <c r="J214" s="122" t="n"/>
      <c r="K214" s="122" t="n"/>
      <c r="L214" s="132" t="n"/>
      <c r="M214" s="122" t="n"/>
      <c r="N214" s="122" t="n"/>
      <c r="O214" s="132" t="n"/>
      <c r="P214" s="175" t="n"/>
      <c r="Q214" s="175" t="n"/>
      <c r="R214" s="175" t="n"/>
      <c r="S214" s="175">
        <f>+S167+S168</f>
        <v/>
      </c>
      <c r="T214" s="175">
        <f>+T167+T168</f>
        <v/>
      </c>
      <c r="U214" s="212">
        <f>+U167+U168</f>
        <v/>
      </c>
      <c r="V214" s="175">
        <f>U214-S214</f>
        <v/>
      </c>
      <c r="W214" s="197">
        <f>+U214-T214</f>
        <v/>
      </c>
      <c r="X214" s="201">
        <f>+U214-T214</f>
        <v/>
      </c>
      <c r="Y214" s="179" t="n"/>
      <c r="Z214" s="139" t="n"/>
      <c r="AA214" s="1" t="n"/>
    </row>
    <row r="215" ht="23" customFormat="1" customHeight="1" s="7">
      <c r="A215" s="120" t="inlineStr">
        <is>
          <t>四</t>
        </is>
      </c>
      <c r="B215" s="121" t="n"/>
      <c r="C215" s="122" t="inlineStr">
        <is>
          <t>税金（9%）</t>
        </is>
      </c>
      <c r="D215" s="101" t="n"/>
      <c r="E215" s="122" t="n"/>
      <c r="F215" s="122" t="n"/>
      <c r="G215" s="175" t="n"/>
      <c r="H215" s="31" t="n"/>
      <c r="I215" s="122" t="n"/>
      <c r="J215" s="122" t="n"/>
      <c r="K215" s="122" t="n"/>
      <c r="L215" s="132" t="n"/>
      <c r="M215" s="122" t="n"/>
      <c r="N215" s="122" t="n"/>
      <c r="O215" s="132" t="n"/>
      <c r="P215" s="175" t="n"/>
      <c r="Q215" s="175" t="n"/>
      <c r="R215" s="175" t="n"/>
      <c r="S215" s="175">
        <f>S214*0.09</f>
        <v/>
      </c>
      <c r="T215" s="175">
        <f>T214*0.09</f>
        <v/>
      </c>
      <c r="U215" s="212">
        <f>U214*0.09</f>
        <v/>
      </c>
      <c r="V215" s="175">
        <f>U215-S215</f>
        <v/>
      </c>
      <c r="W215" s="197">
        <f>+U215-T215</f>
        <v/>
      </c>
      <c r="X215" s="201">
        <f>+U215-T215</f>
        <v/>
      </c>
      <c r="Y215" s="179" t="n"/>
      <c r="Z215" s="139" t="n"/>
    </row>
    <row r="216" ht="21" customFormat="1" customHeight="1" s="8">
      <c r="A216" s="123" t="inlineStr">
        <is>
          <t>五</t>
        </is>
      </c>
      <c r="B216" s="124" t="n"/>
      <c r="C216" s="124" t="inlineStr">
        <is>
          <t>含税造价</t>
        </is>
      </c>
      <c r="D216" s="125" t="n"/>
      <c r="E216" s="124" t="n"/>
      <c r="F216" s="180" t="n"/>
      <c r="G216" s="181" t="n"/>
      <c r="H216" s="128" t="n"/>
      <c r="I216" s="180" t="n"/>
      <c r="J216" s="180" t="n"/>
      <c r="K216" s="180" t="n"/>
      <c r="L216" s="133" t="n"/>
      <c r="M216" s="180" t="n"/>
      <c r="N216" s="180" t="n"/>
      <c r="O216" s="133" t="n"/>
      <c r="P216" s="181" t="n"/>
      <c r="Q216" s="181" t="n"/>
      <c r="R216" s="181" t="n"/>
      <c r="S216" s="181">
        <f>S214+S215</f>
        <v/>
      </c>
      <c r="T216" s="218">
        <f>T214+T215</f>
        <v/>
      </c>
      <c r="U216" s="219">
        <f>U214+U215</f>
        <v/>
      </c>
      <c r="V216" s="182">
        <f>U216-S216</f>
        <v/>
      </c>
      <c r="W216" s="197">
        <f>+U216-T216</f>
        <v/>
      </c>
      <c r="X216" s="201">
        <f>+U216-T216</f>
        <v/>
      </c>
      <c r="Y216" s="183" t="n"/>
      <c r="Z216" s="141" t="n"/>
    </row>
    <row r="217" ht="12" customFormat="1" customHeight="1" s="1">
      <c r="F217" s="9" t="n"/>
      <c r="G217" s="9" t="n"/>
      <c r="H217" s="12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184" t="n"/>
      <c r="V217" s="165" t="n"/>
      <c r="W217" s="184" t="n"/>
      <c r="X217" s="185" t="n"/>
      <c r="Y217" s="9" t="n"/>
    </row>
    <row r="218" ht="12" customFormat="1" customHeight="1" s="1">
      <c r="F218" s="9" t="n"/>
      <c r="G218" s="9" t="n"/>
      <c r="H218" s="12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184" t="n"/>
      <c r="V218" s="165" t="n"/>
      <c r="W218" s="184" t="n"/>
      <c r="X218" s="185" t="n"/>
      <c r="Y218" s="9" t="n"/>
    </row>
    <row r="219" ht="12" customFormat="1" customHeight="1" s="1">
      <c r="F219" s="9" t="n"/>
      <c r="G219" s="9" t="n"/>
      <c r="H219" s="12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184" t="n"/>
      <c r="V219" s="165" t="n"/>
      <c r="W219" s="184" t="n"/>
      <c r="X219" s="185" t="n"/>
      <c r="Y219" s="9" t="n"/>
    </row>
    <row r="220" ht="12" customFormat="1" customHeight="1" s="1">
      <c r="F220" s="9" t="n"/>
      <c r="G220" s="9" t="n"/>
      <c r="H220" s="12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184" t="n"/>
      <c r="V220" s="165" t="n"/>
      <c r="W220" s="184" t="n"/>
      <c r="X220" s="185" t="n"/>
      <c r="Y220" s="9" t="n"/>
    </row>
    <row r="221" ht="12" customFormat="1" customHeight="1" s="1">
      <c r="F221" s="9" t="n"/>
      <c r="G221" s="9" t="n"/>
      <c r="H221" s="12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184" t="n"/>
      <c r="V221" s="165" t="n"/>
      <c r="W221" s="184" t="n"/>
      <c r="X221" s="185" t="n"/>
      <c r="Y221" s="9" t="n"/>
    </row>
    <row r="222" ht="12" customFormat="1" customHeight="1" s="1">
      <c r="F222" s="9" t="n"/>
      <c r="G222" s="9" t="n"/>
      <c r="H222" s="12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184" t="n"/>
      <c r="V222" s="165" t="n"/>
      <c r="W222" s="184" t="n"/>
      <c r="X222" s="185" t="n"/>
      <c r="Y222" s="9" t="n"/>
    </row>
    <row r="223" ht="12" customFormat="1" customHeight="1" s="1">
      <c r="F223" s="9" t="n"/>
      <c r="G223" s="9" t="n"/>
      <c r="H223" s="12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184" t="n"/>
      <c r="V223" s="165" t="n"/>
      <c r="W223" s="184" t="n"/>
      <c r="X223" s="137">
        <f>X216/T216</f>
        <v/>
      </c>
      <c r="Y223" s="9" t="n"/>
    </row>
    <row r="224" ht="12" customFormat="1" customHeight="1" s="1">
      <c r="F224" s="9" t="n"/>
      <c r="G224" s="9" t="n"/>
      <c r="H224" s="12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184" t="n"/>
      <c r="V224" s="165" t="n"/>
      <c r="W224" s="184" t="n"/>
      <c r="X224" s="185" t="n"/>
      <c r="Y224" s="9" t="n"/>
    </row>
    <row r="225" ht="12" customFormat="1" customHeight="1" s="1">
      <c r="F225" s="9" t="n"/>
      <c r="G225" s="9" t="n"/>
      <c r="H225" s="12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184" t="n"/>
      <c r="V225" s="165" t="n"/>
      <c r="W225" s="184" t="n"/>
      <c r="X225" s="185" t="n"/>
      <c r="Y225" s="9" t="n"/>
    </row>
    <row r="226" ht="12" customFormat="1" customHeight="1" s="1">
      <c r="F226" s="9" t="n"/>
      <c r="G226" s="9" t="n"/>
      <c r="H226" s="12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184" t="n"/>
      <c r="V226" s="165" t="n"/>
      <c r="W226" s="184" t="n"/>
      <c r="X226" s="185" t="n"/>
      <c r="Y226" s="9" t="n"/>
    </row>
    <row r="227" ht="12" customFormat="1" customHeight="1" s="1">
      <c r="F227" s="9" t="n"/>
      <c r="G227" s="9" t="n"/>
      <c r="H227" s="12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184" t="n"/>
      <c r="V227" s="165" t="n"/>
      <c r="W227" s="184" t="n"/>
      <c r="X227" s="185" t="n"/>
      <c r="Y227" s="9" t="n"/>
    </row>
    <row r="228" ht="12" customFormat="1" customHeight="1" s="1">
      <c r="F228" s="9" t="n"/>
      <c r="G228" s="9" t="n"/>
      <c r="H228" s="12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184" t="n"/>
      <c r="V228" s="165" t="n"/>
      <c r="W228" s="184" t="n"/>
      <c r="X228" s="185" t="n"/>
      <c r="Y228" s="9" t="n"/>
    </row>
    <row r="229" ht="12" customFormat="1" customHeight="1" s="1">
      <c r="F229" s="9" t="n"/>
      <c r="G229" s="9" t="n"/>
      <c r="H229" s="12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184" t="n"/>
      <c r="V229" s="165" t="n"/>
      <c r="W229" s="184" t="n"/>
      <c r="X229" s="185" t="n"/>
      <c r="Y229" s="9" t="n"/>
    </row>
    <row r="230" ht="12" customFormat="1" customHeight="1" s="1">
      <c r="F230" s="9" t="n"/>
      <c r="G230" s="9" t="n"/>
      <c r="H230" s="12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184" t="n"/>
      <c r="V230" s="165" t="n"/>
      <c r="W230" s="184" t="n"/>
      <c r="X230" s="185" t="n"/>
      <c r="Y230" s="9" t="n"/>
    </row>
    <row r="231" ht="12" customFormat="1" customHeight="1" s="1">
      <c r="F231" s="9" t="n"/>
      <c r="G231" s="9" t="n"/>
      <c r="H231" s="12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184" t="n"/>
      <c r="V231" s="165" t="n"/>
      <c r="W231" s="184" t="n"/>
      <c r="X231" s="185" t="n"/>
      <c r="Y231" s="9" t="n"/>
    </row>
    <row r="232" ht="12" customFormat="1" customHeight="1" s="1">
      <c r="F232" s="9" t="n"/>
      <c r="G232" s="9" t="n"/>
      <c r="H232" s="12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184" t="n"/>
      <c r="V232" s="165" t="n"/>
      <c r="W232" s="184" t="n"/>
      <c r="X232" s="185" t="n"/>
      <c r="Y232" s="9" t="n"/>
    </row>
    <row r="233" ht="12" customFormat="1" customHeight="1" s="1">
      <c r="F233" s="9" t="n"/>
      <c r="G233" s="9" t="n"/>
      <c r="H233" s="12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184" t="n"/>
      <c r="V233" s="165" t="n"/>
      <c r="W233" s="184" t="n"/>
      <c r="X233" s="185" t="n"/>
      <c r="Y233" s="9" t="n"/>
    </row>
    <row r="234" ht="12" customFormat="1" customHeight="1" s="1">
      <c r="F234" s="9" t="n"/>
      <c r="G234" s="9" t="n"/>
      <c r="H234" s="12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184" t="n"/>
      <c r="V234" s="165" t="n"/>
      <c r="W234" s="184" t="n"/>
      <c r="X234" s="185" t="n"/>
      <c r="Y234" s="9" t="n"/>
    </row>
    <row r="235" ht="12" customFormat="1" customHeight="1" s="1">
      <c r="F235" s="9" t="n"/>
      <c r="G235" s="9" t="n"/>
      <c r="H235" s="12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184" t="n"/>
      <c r="V235" s="165" t="n"/>
      <c r="W235" s="184" t="n"/>
      <c r="X235" s="185" t="n"/>
      <c r="Y235" s="9" t="n"/>
    </row>
    <row r="236" ht="12" customFormat="1" customHeight="1" s="1">
      <c r="F236" s="9" t="n"/>
      <c r="G236" s="9" t="n"/>
      <c r="H236" s="12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184" t="n"/>
      <c r="V236" s="165" t="n"/>
      <c r="W236" s="184" t="n"/>
      <c r="X236" s="185" t="n"/>
      <c r="Y236" s="9" t="n"/>
    </row>
    <row r="237" ht="12" customFormat="1" customHeight="1" s="1">
      <c r="F237" s="9" t="n"/>
      <c r="G237" s="9" t="n"/>
      <c r="H237" s="12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184" t="n"/>
      <c r="V237" s="165" t="n"/>
      <c r="W237" s="184" t="n"/>
      <c r="X237" s="185" t="n"/>
      <c r="Y237" s="9" t="n"/>
    </row>
    <row r="238" ht="12" customFormat="1" customHeight="1" s="1">
      <c r="F238" s="9" t="n"/>
      <c r="G238" s="9" t="n"/>
      <c r="H238" s="12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184" t="n"/>
      <c r="V238" s="165" t="n"/>
      <c r="W238" s="184" t="n"/>
      <c r="X238" s="185" t="n"/>
      <c r="Y238" s="9" t="n"/>
    </row>
    <row r="239" ht="12" customFormat="1" customHeight="1" s="1">
      <c r="F239" s="9" t="n"/>
      <c r="G239" s="9" t="n"/>
      <c r="H239" s="12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184" t="n"/>
      <c r="V239" s="165" t="n"/>
      <c r="W239" s="184" t="n"/>
      <c r="X239" s="185" t="n"/>
      <c r="Y239" s="9" t="n"/>
    </row>
    <row r="240" ht="12" customFormat="1" customHeight="1" s="1">
      <c r="F240" s="9" t="n"/>
      <c r="G240" s="9" t="n"/>
      <c r="H240" s="12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184" t="n"/>
      <c r="V240" s="165" t="n"/>
      <c r="W240" s="184" t="n"/>
      <c r="X240" s="185" t="n"/>
      <c r="Y240" s="9" t="n"/>
    </row>
    <row r="241" ht="12" customFormat="1" customHeight="1" s="1">
      <c r="F241" s="9" t="n"/>
      <c r="G241" s="9" t="n"/>
      <c r="H241" s="12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184" t="n"/>
      <c r="V241" s="165" t="n"/>
      <c r="W241" s="184" t="n"/>
      <c r="X241" s="185" t="n"/>
      <c r="Y241" s="9" t="n"/>
    </row>
    <row r="242" ht="12" customFormat="1" customHeight="1" s="1">
      <c r="F242" s="9" t="n"/>
      <c r="G242" s="9" t="n"/>
      <c r="H242" s="12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184" t="n"/>
      <c r="V242" s="165" t="n"/>
      <c r="W242" s="184" t="n"/>
      <c r="X242" s="185" t="n"/>
      <c r="Y242" s="9" t="n"/>
    </row>
    <row r="243" ht="12" customFormat="1" customHeight="1" s="1">
      <c r="F243" s="9" t="n"/>
      <c r="G243" s="9" t="n"/>
      <c r="H243" s="12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184" t="n"/>
      <c r="V243" s="165" t="n"/>
      <c r="W243" s="184" t="n"/>
      <c r="X243" s="185" t="n"/>
      <c r="Y243" s="9" t="n"/>
    </row>
    <row r="244" ht="12" customFormat="1" customHeight="1" s="1">
      <c r="F244" s="9" t="n"/>
      <c r="G244" s="9" t="n"/>
      <c r="H244" s="12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184" t="n"/>
      <c r="V244" s="165" t="n"/>
      <c r="W244" s="184" t="n"/>
      <c r="X244" s="185" t="n"/>
      <c r="Y244" s="9" t="n"/>
    </row>
    <row r="245" ht="12" customFormat="1" customHeight="1" s="1">
      <c r="F245" s="9" t="n"/>
      <c r="G245" s="9" t="n"/>
      <c r="H245" s="130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184" t="n"/>
      <c r="V245" s="165" t="n"/>
      <c r="W245" s="184" t="n"/>
      <c r="X245" s="185" t="n"/>
      <c r="Y245" s="9" t="n"/>
    </row>
    <row r="246" ht="12" customFormat="1" customHeight="1" s="1">
      <c r="F246" s="9" t="n"/>
      <c r="G246" s="9" t="n"/>
      <c r="H246" s="130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184" t="n"/>
      <c r="V246" s="165" t="n"/>
      <c r="W246" s="184" t="n"/>
      <c r="X246" s="185" t="n"/>
      <c r="Y246" s="9" t="n"/>
    </row>
    <row r="247" customFormat="1" s="1">
      <c r="F247" s="9" t="n"/>
      <c r="G247" s="9" t="n"/>
      <c r="H247" s="220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184" t="n"/>
      <c r="V247" s="165" t="n"/>
      <c r="W247" s="184" t="n"/>
      <c r="X247" s="185" t="n"/>
      <c r="Y247" s="9" t="n"/>
    </row>
  </sheetData>
  <mergeCells count="24">
    <mergeCell ref="Y7:Y11"/>
    <mergeCell ref="C216:D216"/>
    <mergeCell ref="X3:X4"/>
    <mergeCell ref="Z3:Z4"/>
    <mergeCell ref="C215:D215"/>
    <mergeCell ref="C3:C5"/>
    <mergeCell ref="E3:E5"/>
    <mergeCell ref="M3:R3"/>
    <mergeCell ref="W3:W4"/>
    <mergeCell ref="B3:B5"/>
    <mergeCell ref="C214:D214"/>
    <mergeCell ref="E2:F2"/>
    <mergeCell ref="AA3:AA4"/>
    <mergeCell ref="F3:L3"/>
    <mergeCell ref="A1:Y1"/>
    <mergeCell ref="C169:D169"/>
    <mergeCell ref="M2:Y2"/>
    <mergeCell ref="V3:V4"/>
    <mergeCell ref="C170:D170"/>
    <mergeCell ref="A3:A5"/>
    <mergeCell ref="S3:U3"/>
    <mergeCell ref="D3:D5"/>
    <mergeCell ref="A2:D2"/>
    <mergeCell ref="Y3:Y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08"/>
  <sheetViews>
    <sheetView workbookViewId="0">
      <selection activeCell="A1" sqref="A1"/>
    </sheetView>
  </sheetViews>
  <sheetFormatPr baseColWidth="8" defaultRowHeight="15"/>
  <cols>
    <col width="4.33333333333333" customWidth="1" style="166" min="1" max="1"/>
    <col width="16.1666666666667" customWidth="1" style="166" min="2" max="2"/>
    <col width="16.8444444444444" customWidth="1" style="166" min="3" max="3"/>
    <col width="29.5555555555556" customWidth="1" style="166" min="4" max="4"/>
    <col width="6.22222222222222" customWidth="1" style="166" min="5" max="5"/>
    <col width="11.7555555555556" customWidth="1" style="166" min="6" max="6"/>
    <col width="11.7555555555556" customWidth="1" style="166" min="8" max="8"/>
    <col width="12.3222222222222" customWidth="1" style="166" min="10" max="10"/>
    <col width="18.2777777777778" customWidth="1" style="166" min="11" max="11"/>
    <col width="18.2777777777778" customWidth="1" style="166" min="13" max="13"/>
    <col width="11.2777777777778" customWidth="1" style="166" min="14" max="14"/>
    <col width="11.2777777777778" customWidth="1" style="166" min="16" max="16"/>
    <col width="15.7555555555556" customWidth="1" style="166" min="17" max="17"/>
    <col width="15.1666666666667" customWidth="1" style="166" min="18" max="18"/>
    <col width="11.2777777777778" customWidth="1" style="166" min="19" max="19"/>
    <col width="17.3333333333333" customWidth="1" style="166" min="20" max="20"/>
    <col width="17.6666666666667" customWidth="1" style="166" min="21" max="21"/>
    <col width="17.6333333333333" customWidth="1" style="166" min="22" max="22"/>
    <col width="17.1666666666667" customWidth="1" style="166" min="23" max="23"/>
    <col width="19.6111111111111" customWidth="1" style="166" min="24" max="24"/>
    <col width="18.6222222222222" customWidth="1" style="166" min="25" max="25"/>
    <col width="15.3333333333333" customWidth="1" style="166" min="26" max="26"/>
    <col width="15" customWidth="1" style="166" min="27" max="27"/>
    <col width="14.1666666666667" customWidth="1" style="166" min="28" max="28"/>
    <col width="10.5" customWidth="1" style="166" min="29" max="29"/>
    <col width="13" customWidth="1" style="166" min="30" max="30"/>
    <col width="10.5" customWidth="1" style="166" min="31" max="31"/>
  </cols>
  <sheetData>
    <row r="1">
      <c r="A1" s="244" t="inlineStr">
        <is>
          <t>工程量清单偏差或漏项对比表</t>
        </is>
      </c>
    </row>
    <row r="2">
      <c r="A2" s="245" t="inlineStr">
        <is>
          <t>工程名称：综合楼 + 教学楼</t>
        </is>
      </c>
    </row>
    <row r="3">
      <c r="A3" s="221" t="inlineStr">
        <is>
          <t>序号</t>
        </is>
      </c>
      <c r="B3" s="221" t="inlineStr">
        <is>
          <t>业态</t>
        </is>
      </c>
      <c r="C3" s="221" t="inlineStr">
        <is>
          <t>项目编码</t>
        </is>
      </c>
      <c r="D3" s="221" t="inlineStr">
        <is>
          <t>项目名称</t>
        </is>
      </c>
      <c r="E3" s="221" t="inlineStr">
        <is>
          <t>项目特征描述</t>
        </is>
      </c>
      <c r="F3" s="221" t="inlineStr">
        <is>
          <t>计量单位</t>
        </is>
      </c>
      <c r="G3" s="221" t="inlineStr">
        <is>
          <t>工程量_合同工程量_A</t>
        </is>
      </c>
      <c r="H3" s="221" t="inlineStr">
        <is>
          <t>工程量_送审工程量_B</t>
        </is>
      </c>
      <c r="I3" s="221" t="inlineStr">
        <is>
          <t>工程量_审核工程量_C</t>
        </is>
      </c>
      <c r="J3" s="221" t="inlineStr">
        <is>
          <t>工程量_施工单位复核工程量</t>
        </is>
      </c>
      <c r="K3" s="221" t="inlineStr">
        <is>
          <t>工程量_送审增减工程量（±）_D=B-A</t>
        </is>
      </c>
      <c r="L3" s="221" t="inlineStr">
        <is>
          <t>工程量_增减工程量（±）_D=C-A</t>
        </is>
      </c>
      <c r="M3" s="221" t="inlineStr">
        <is>
          <t>工程量_核增减工程量（±）_E=C-B</t>
        </is>
      </c>
      <c r="N3" s="221" t="inlineStr">
        <is>
          <t>工程量_增减工程量比例（%）_E=D/A</t>
        </is>
      </c>
      <c r="O3" s="221" t="inlineStr">
        <is>
          <t>单价（元）_投标单价（元）_P0</t>
        </is>
      </c>
      <c r="P3" s="221" t="inlineStr">
        <is>
          <t>单价（元）_预算备案单价（元）_P1</t>
        </is>
      </c>
      <c r="Q3" s="221" t="inlineStr">
        <is>
          <t>单价（元）_单价偏差率（%）_H=(P1-P0)/P1</t>
        </is>
      </c>
      <c r="R3" s="221" t="inlineStr">
        <is>
          <t>单价（元）_P1*L*(1-15%)_打印时隐藏</t>
        </is>
      </c>
      <c r="S3" s="221" t="inlineStr">
        <is>
          <t>单价（元）_P1*(1+15%)_打印时隐藏</t>
        </is>
      </c>
      <c r="T3" s="221" t="inlineStr">
        <is>
          <t>单价（元）_增减部分单价（元）_I</t>
        </is>
      </c>
      <c r="U3" s="221" t="inlineStr">
        <is>
          <t>合价（元）_合同合价（元）_J</t>
        </is>
      </c>
      <c r="V3" s="221" t="inlineStr">
        <is>
          <t>合价（元）_结算合价（元）_K</t>
        </is>
      </c>
      <c r="W3" s="221" t="inlineStr">
        <is>
          <t>合价（元）_审核合价（元）_L</t>
        </is>
      </c>
      <c r="X3" s="221" t="inlineStr">
        <is>
          <t>送审增减部分金额（元）_M=K-J</t>
        </is>
      </c>
      <c r="Y3" s="221" t="inlineStr">
        <is>
          <t>审核增减部分金额（元）_N</t>
        </is>
      </c>
      <c r="Z3" s="221" t="inlineStr">
        <is>
          <t>核增减金额（元）_O</t>
        </is>
      </c>
      <c r="AA3" s="221" t="inlineStr">
        <is>
          <t>备注</t>
        </is>
      </c>
      <c r="AB3" s="221" t="n"/>
      <c r="AC3" s="221" t="n"/>
      <c r="AD3" s="221" t="n"/>
      <c r="AE3" s="221" t="n"/>
      <c r="AF3" s="221" t="n"/>
      <c r="AG3" s="221" t="n"/>
      <c r="AH3" s="221" t="n"/>
      <c r="AI3" s="221" t="n"/>
      <c r="AJ3" s="221" t="n"/>
    </row>
    <row r="4" ht="28.5" customHeight="1" s="166">
      <c r="A4" s="222" t="n"/>
      <c r="B4" s="222" t="inlineStr">
        <is>
          <t>综合楼</t>
        </is>
      </c>
      <c r="C4" s="222" t="n"/>
      <c r="D4" s="222" t="inlineStr">
        <is>
          <t>土石方工程</t>
        </is>
      </c>
      <c r="E4" s="222" t="n"/>
      <c r="F4" s="222" t="n"/>
      <c r="G4" s="222" t="n"/>
      <c r="H4" s="222" t="n"/>
      <c r="I4" s="223" t="n"/>
      <c r="J4" s="223" t="n"/>
      <c r="K4" s="222" t="n"/>
      <c r="L4" s="223" t="n"/>
      <c r="M4" s="223" t="n"/>
      <c r="N4" s="224" t="n"/>
      <c r="O4" s="222" t="n"/>
      <c r="P4" s="222" t="n"/>
      <c r="Q4" s="224" t="n"/>
      <c r="R4" s="223" t="n"/>
      <c r="S4" s="223" t="n"/>
      <c r="T4" s="223" t="n"/>
      <c r="U4" s="223" t="n">
        <v>139151.88</v>
      </c>
      <c r="V4" s="223" t="n">
        <v>139151.88</v>
      </c>
      <c r="W4" s="223">
        <f>+SUM(W7:W12)</f>
        <v/>
      </c>
      <c r="X4" s="223">
        <f>V6-U6</f>
        <v/>
      </c>
      <c r="Y4" s="223" t="n"/>
      <c r="Z4" s="223" t="n"/>
      <c r="AA4" s="222" t="n"/>
      <c r="AB4" s="222" t="n"/>
      <c r="AC4" s="222" t="n"/>
      <c r="AD4" s="222" t="n"/>
      <c r="AE4" s="222" t="n"/>
      <c r="AF4" s="222" t="n"/>
      <c r="AG4" s="222" t="n"/>
      <c r="AH4" s="222" t="n"/>
      <c r="AI4" s="222" t="n"/>
      <c r="AJ4" s="222" t="n"/>
    </row>
    <row r="5" ht="18" customHeight="1" s="166">
      <c r="A5" s="222" t="n"/>
      <c r="B5" s="222" t="inlineStr">
        <is>
          <t>综合楼</t>
        </is>
      </c>
      <c r="C5" s="222" t="inlineStr">
        <is>
          <t>010101001001</t>
        </is>
      </c>
      <c r="D5" s="222" t="inlineStr">
        <is>
          <t>平整场地</t>
        </is>
      </c>
      <c r="E5" s="222" t="inlineStr">
        <is>
          <t>1.平整场地</t>
        </is>
      </c>
      <c r="F5" s="222" t="inlineStr">
        <is>
          <t>m2</t>
        </is>
      </c>
      <c r="G5" s="223" t="n">
        <v>2090.01</v>
      </c>
      <c r="H5" s="223" t="n">
        <v>2090.01</v>
      </c>
      <c r="I5" s="223" t="n">
        <v>2090.01</v>
      </c>
      <c r="J5" s="223" t="n"/>
      <c r="K5" s="223">
        <f>H7-G7</f>
        <v/>
      </c>
      <c r="L5" s="223">
        <f>I7-G7</f>
        <v/>
      </c>
      <c r="M5" s="223">
        <f>I7-H7</f>
        <v/>
      </c>
      <c r="N5" s="224">
        <f>K7/G7</f>
        <v/>
      </c>
      <c r="O5" s="222" t="n">
        <v>2.32</v>
      </c>
      <c r="P5" s="222" t="n">
        <v>2.49</v>
      </c>
      <c r="Q5" s="224">
        <f>(O7-P7)/P7</f>
        <v/>
      </c>
      <c r="R5" s="223">
        <f>P7*0.9056*0.85</f>
        <v/>
      </c>
      <c r="S5" s="223">
        <f>P7*1.15</f>
        <v/>
      </c>
      <c r="T5" s="223">
        <f>IF(O7&lt;P7*0.9056*0.85,P7*0.9056*0.85,IF(O7&gt;P7*1.15,P7*1.15,O7))</f>
        <v/>
      </c>
      <c r="U5" s="223" t="n">
        <v>4848.83</v>
      </c>
      <c r="V5" s="223" t="n">
        <v>4848.83</v>
      </c>
      <c r="W5" s="223">
        <f>U7+T7*L7</f>
        <v/>
      </c>
      <c r="X5" s="223">
        <f>V7-U7</f>
        <v/>
      </c>
      <c r="Y5" s="223">
        <f>W7-U7</f>
        <v/>
      </c>
      <c r="Z5" s="223">
        <f>W7-V7</f>
        <v/>
      </c>
      <c r="AA5" s="222" t="inlineStr">
        <is>
          <t>包干</t>
        </is>
      </c>
      <c r="AB5" s="222" t="n"/>
      <c r="AC5" s="222" t="n"/>
      <c r="AD5" s="222" t="n"/>
      <c r="AE5" s="222" t="n"/>
      <c r="AF5" s="222" t="n"/>
      <c r="AG5" s="222" t="n"/>
      <c r="AH5" s="222" t="n"/>
      <c r="AI5" s="222" t="n"/>
      <c r="AJ5" s="222" t="n"/>
    </row>
    <row r="6" ht="42" customHeight="1" s="166">
      <c r="A6" s="222" t="n"/>
      <c r="B6" s="222" t="inlineStr">
        <is>
          <t>综合楼</t>
        </is>
      </c>
      <c r="C6" s="222" t="inlineStr">
        <is>
          <t>010101002001</t>
        </is>
      </c>
      <c r="D6" s="222" t="inlineStr">
        <is>
          <t>挖一般土方</t>
        </is>
      </c>
      <c r="E6" s="222" t="inlineStr">
        <is>
          <t>1.土壤类别:综合考虑
2.挖土深度:综合考虑
3.综合考虑桩间土开挖等因素</t>
        </is>
      </c>
      <c r="F6" s="222" t="inlineStr">
        <is>
          <t>m3</t>
        </is>
      </c>
      <c r="G6" s="223" t="n">
        <v>1585.62</v>
      </c>
      <c r="H6" s="223" t="n">
        <v>1585.62</v>
      </c>
      <c r="I6" s="223" t="n">
        <v>1585.62</v>
      </c>
      <c r="J6" s="223" t="n"/>
      <c r="K6" s="223">
        <f>H8-G8</f>
        <v/>
      </c>
      <c r="L6" s="223">
        <f>I8-G8</f>
        <v/>
      </c>
      <c r="M6" s="223">
        <f>I8-H8</f>
        <v/>
      </c>
      <c r="N6" s="224">
        <f>K8/G8</f>
        <v/>
      </c>
      <c r="O6" s="222" t="n">
        <v>5.77</v>
      </c>
      <c r="P6" s="222" t="n">
        <v>6.22</v>
      </c>
      <c r="Q6" s="224">
        <f>(O8-P8)/P8</f>
        <v/>
      </c>
      <c r="R6" s="223">
        <f>P8*0.9056*0.85</f>
        <v/>
      </c>
      <c r="S6" s="223">
        <f>P8*1.15</f>
        <v/>
      </c>
      <c r="T6" s="223">
        <f>IF(O8&lt;P8*0.9056*0.85,P8*0.9056*0.85,IF(O8&gt;P8*1.15,P8*1.15,O8))</f>
        <v/>
      </c>
      <c r="U6" s="223" t="n">
        <v>9149</v>
      </c>
      <c r="V6" s="223" t="n">
        <v>9149</v>
      </c>
      <c r="W6" s="223">
        <f>U8+T8*L8</f>
        <v/>
      </c>
      <c r="X6" s="223">
        <f>V8-U8</f>
        <v/>
      </c>
      <c r="Y6" s="223">
        <f>W8-U8</f>
        <v/>
      </c>
      <c r="Z6" s="223">
        <f>W8-V8</f>
        <v/>
      </c>
      <c r="AA6" s="222" t="n"/>
      <c r="AB6" s="222" t="n"/>
      <c r="AC6" s="222" t="n"/>
      <c r="AD6" s="222" t="n"/>
      <c r="AE6" s="222" t="n"/>
      <c r="AF6" s="222" t="n"/>
      <c r="AG6" s="222" t="n"/>
      <c r="AH6" s="222" t="n"/>
      <c r="AI6" s="222" t="n"/>
      <c r="AJ6" s="222" t="n"/>
    </row>
    <row r="7" ht="43" customHeight="1" s="166">
      <c r="A7" s="222" t="n"/>
      <c r="B7" s="222" t="inlineStr">
        <is>
          <t>综合楼</t>
        </is>
      </c>
      <c r="C7" s="222" t="inlineStr">
        <is>
          <t>010101003001</t>
        </is>
      </c>
      <c r="D7" s="222" t="inlineStr">
        <is>
          <t>挖沟槽土方</t>
        </is>
      </c>
      <c r="E7" s="222" t="inlineStr">
        <is>
          <t>1.土壤类别:综合考虑
2.挖土深度:综合考虑</t>
        </is>
      </c>
      <c r="F7" s="222" t="inlineStr">
        <is>
          <t>m3</t>
        </is>
      </c>
      <c r="G7" s="223" t="n">
        <v>350.37</v>
      </c>
      <c r="H7" s="223" t="n">
        <v>350.37</v>
      </c>
      <c r="I7" s="223" t="n">
        <v>350.37</v>
      </c>
      <c r="J7" s="223" t="n"/>
      <c r="K7" s="223">
        <f>H9-G9</f>
        <v/>
      </c>
      <c r="L7" s="223">
        <f>I9-G9</f>
        <v/>
      </c>
      <c r="M7" s="223">
        <f>I9-H9</f>
        <v/>
      </c>
      <c r="N7" s="224">
        <f>K9/G9</f>
        <v/>
      </c>
      <c r="O7" s="222" t="n">
        <v>9.859999999999999</v>
      </c>
      <c r="P7" s="222" t="n">
        <v>9.32</v>
      </c>
      <c r="Q7" s="224">
        <f>(O9-P9)/P9</f>
        <v/>
      </c>
      <c r="R7" s="223">
        <f>P9*0.9056*0.85</f>
        <v/>
      </c>
      <c r="S7" s="223">
        <f>P9*1.15</f>
        <v/>
      </c>
      <c r="T7" s="223">
        <f>IF(O9&lt;P9*0.9056*0.85,P9*0.9056*0.85,IF(O9&gt;P9*1.15,P9*1.15,O9))</f>
        <v/>
      </c>
      <c r="U7" s="223" t="n">
        <v>3454.64</v>
      </c>
      <c r="V7" s="223" t="n">
        <v>3454.64</v>
      </c>
      <c r="W7" s="223">
        <f>U9+T9*L9</f>
        <v/>
      </c>
      <c r="X7" s="223">
        <f>V9-U9</f>
        <v/>
      </c>
      <c r="Y7" s="223">
        <f>W9-U9</f>
        <v/>
      </c>
      <c r="Z7" s="223">
        <f>W9-V9</f>
        <v/>
      </c>
      <c r="AA7" s="222" t="n"/>
      <c r="AB7" s="222" t="n"/>
      <c r="AC7" s="222" t="n"/>
      <c r="AD7" s="222" t="n"/>
      <c r="AE7" s="222" t="n"/>
      <c r="AF7" s="222" t="n"/>
      <c r="AG7" s="222" t="n"/>
      <c r="AH7" s="222" t="n"/>
      <c r="AI7" s="222" t="n"/>
      <c r="AJ7" s="222" t="n"/>
    </row>
    <row r="8" ht="43" customHeight="1" s="166">
      <c r="A8" s="222" t="n"/>
      <c r="B8" s="222" t="inlineStr">
        <is>
          <t>综合楼</t>
        </is>
      </c>
      <c r="C8" s="222" t="inlineStr">
        <is>
          <t>010101004001</t>
        </is>
      </c>
      <c r="D8" s="222" t="inlineStr">
        <is>
          <t>挖基坑土方</t>
        </is>
      </c>
      <c r="E8" s="222" t="inlineStr">
        <is>
          <t>1.土壤类别:综合考虑
2.挖土深度:综合考虑</t>
        </is>
      </c>
      <c r="F8" s="222" t="inlineStr">
        <is>
          <t>m3</t>
        </is>
      </c>
      <c r="G8" s="223" t="n">
        <v>752.53</v>
      </c>
      <c r="H8" s="223" t="n">
        <v>752.53</v>
      </c>
      <c r="I8" s="223" t="n">
        <v>752.53</v>
      </c>
      <c r="J8" s="223" t="n"/>
      <c r="K8" s="223">
        <f>H10-G10</f>
        <v/>
      </c>
      <c r="L8" s="223">
        <f>I10-G10</f>
        <v/>
      </c>
      <c r="M8" s="223">
        <f>I10-H10</f>
        <v/>
      </c>
      <c r="N8" s="224">
        <f>K10/G10</f>
        <v/>
      </c>
      <c r="O8" s="222" t="n">
        <v>8.25</v>
      </c>
      <c r="P8" s="222" t="n">
        <v>9.449999999999999</v>
      </c>
      <c r="Q8" s="224">
        <f>(O10-P10)/P10</f>
        <v/>
      </c>
      <c r="R8" s="223">
        <f>P10*0.9056*0.85</f>
        <v/>
      </c>
      <c r="S8" s="223">
        <f>P10*1.15</f>
        <v/>
      </c>
      <c r="T8" s="223">
        <f>IF(O10&lt;P10*0.9056*0.85,P10*0.9056*0.85,IF(O10&gt;P10*1.15,P10*1.15,O10))</f>
        <v/>
      </c>
      <c r="U8" s="223" t="n">
        <v>6208.41</v>
      </c>
      <c r="V8" s="223" t="n">
        <v>6208.41</v>
      </c>
      <c r="W8" s="223">
        <f>U10+T10*L10</f>
        <v/>
      </c>
      <c r="X8" s="223">
        <f>V10-U10</f>
        <v/>
      </c>
      <c r="Y8" s="223">
        <f>W10-U10</f>
        <v/>
      </c>
      <c r="Z8" s="223">
        <f>W10-V10</f>
        <v/>
      </c>
      <c r="AA8" s="222" t="n"/>
      <c r="AB8" s="222" t="n"/>
      <c r="AC8" s="222" t="n"/>
      <c r="AD8" s="222" t="n"/>
      <c r="AE8" s="222" t="n"/>
      <c r="AF8" s="222" t="n"/>
      <c r="AG8" s="222" t="n"/>
      <c r="AH8" s="222" t="n"/>
      <c r="AI8" s="222" t="n"/>
      <c r="AJ8" s="222" t="n"/>
    </row>
    <row r="9" ht="41.25" customHeight="1" s="166">
      <c r="A9" s="222" t="n"/>
      <c r="B9" s="222" t="inlineStr">
        <is>
          <t>综合楼</t>
        </is>
      </c>
      <c r="C9" s="222" t="inlineStr">
        <is>
          <t>010103001001</t>
        </is>
      </c>
      <c r="D9" s="222" t="inlineStr">
        <is>
          <t>回填方</t>
        </is>
      </c>
      <c r="E9" s="222" t="inlineStr">
        <is>
          <t>1.填方材料品种:原土
2.密实度要求:按设计及规范要求</t>
        </is>
      </c>
      <c r="F9" s="222" t="inlineStr">
        <is>
          <t>m3</t>
        </is>
      </c>
      <c r="G9" s="223" t="n">
        <v>764.17</v>
      </c>
      <c r="H9" s="223" t="n">
        <v>764.17</v>
      </c>
      <c r="I9" s="223" t="n">
        <v>764.17</v>
      </c>
      <c r="J9" s="223" t="n"/>
      <c r="K9" s="223">
        <f>H11-G11</f>
        <v/>
      </c>
      <c r="L9" s="223">
        <f>I11-G11</f>
        <v/>
      </c>
      <c r="M9" s="223">
        <f>I11-H11</f>
        <v/>
      </c>
      <c r="N9" s="224">
        <f>K11/G11</f>
        <v/>
      </c>
      <c r="O9" s="222" t="n">
        <v>17.92</v>
      </c>
      <c r="P9" s="222" t="n">
        <v>19.89</v>
      </c>
      <c r="Q9" s="224">
        <f>(O11-P11)/P11</f>
        <v/>
      </c>
      <c r="R9" s="223">
        <f>P11*0.9056*0.85</f>
        <v/>
      </c>
      <c r="S9" s="223">
        <f>P11*1.15</f>
        <v/>
      </c>
      <c r="T9" s="223">
        <f>IF(O11&lt;P11*0.9056*0.85,P11*0.9056*0.85,IF(O11&gt;P11*1.15,P11*1.15,O11))</f>
        <v/>
      </c>
      <c r="U9" s="223" t="n">
        <v>13694</v>
      </c>
      <c r="V9" s="223" t="n">
        <v>13694</v>
      </c>
      <c r="W9" s="223">
        <f>U11+T11*L11</f>
        <v/>
      </c>
      <c r="X9" s="223">
        <f>V11-U11</f>
        <v/>
      </c>
      <c r="Y9" s="223">
        <f>W11-U11</f>
        <v/>
      </c>
      <c r="Z9" s="223">
        <f>W11-V11</f>
        <v/>
      </c>
      <c r="AA9" s="222" t="n"/>
      <c r="AB9" s="222" t="n"/>
      <c r="AC9" s="222" t="n"/>
      <c r="AD9" s="222" t="n"/>
      <c r="AE9" s="222" t="n"/>
      <c r="AF9" s="222" t="n"/>
      <c r="AG9" s="222" t="n"/>
      <c r="AH9" s="222" t="n"/>
      <c r="AI9" s="222" t="n"/>
      <c r="AJ9" s="222" t="n"/>
    </row>
    <row r="10" ht="41.25" customHeight="1" s="166">
      <c r="A10" s="222" t="n"/>
      <c r="B10" s="222" t="inlineStr">
        <is>
          <t>综合楼</t>
        </is>
      </c>
      <c r="C10" s="222" t="inlineStr">
        <is>
          <t>010103002001</t>
        </is>
      </c>
      <c r="D10" s="222" t="inlineStr">
        <is>
          <t>余方弃置</t>
        </is>
      </c>
      <c r="E10" s="222" t="inlineStr">
        <is>
          <t>1.土方弃置
2.运距:智能渣土车运输运距综合考虑</t>
        </is>
      </c>
      <c r="F10" s="222" t="inlineStr">
        <is>
          <t>m3</t>
        </is>
      </c>
      <c r="G10" s="223" t="n">
        <v>1809.72</v>
      </c>
      <c r="H10" s="223" t="n">
        <v>1809.72</v>
      </c>
      <c r="I10" s="223" t="n">
        <v>1809.72</v>
      </c>
      <c r="J10" s="223" t="n"/>
      <c r="K10" s="223">
        <f>H12-G12</f>
        <v/>
      </c>
      <c r="L10" s="223">
        <f>I12-G12</f>
        <v/>
      </c>
      <c r="M10" s="223">
        <f>I12-H12</f>
        <v/>
      </c>
      <c r="N10" s="224">
        <f>K12/G12</f>
        <v/>
      </c>
      <c r="O10" s="222" t="n">
        <v>56.25</v>
      </c>
      <c r="P10" s="222" t="n">
        <v>59.2</v>
      </c>
      <c r="Q10" s="224">
        <f>(O12-P12)/P12</f>
        <v/>
      </c>
      <c r="R10" s="223">
        <f>P12*0.9056*0.85</f>
        <v/>
      </c>
      <c r="S10" s="223">
        <f>P12*1.15</f>
        <v/>
      </c>
      <c r="T10" s="223">
        <f>IF(O12&lt;P12*0.9056*0.85,P12*0.9056*0.85,IF(O12&gt;P12*1.15,P12*1.15,O12))</f>
        <v/>
      </c>
      <c r="U10" s="223" t="n">
        <v>101797</v>
      </c>
      <c r="V10" s="223" t="n">
        <v>101797</v>
      </c>
      <c r="W10" s="223">
        <f>U12+T12*L12</f>
        <v/>
      </c>
      <c r="X10" s="223">
        <f>V12-U12</f>
        <v/>
      </c>
      <c r="Y10" s="223">
        <f>W12-U12</f>
        <v/>
      </c>
      <c r="Z10" s="223">
        <f>W12-V12</f>
        <v/>
      </c>
      <c r="AA10" s="222" t="n"/>
      <c r="AB10" s="222" t="n"/>
      <c r="AC10" s="222" t="n"/>
      <c r="AD10" s="222" t="n"/>
      <c r="AE10" s="222" t="n"/>
      <c r="AF10" s="222" t="n"/>
      <c r="AG10" s="222" t="n"/>
      <c r="AH10" s="222" t="n"/>
      <c r="AI10" s="222" t="n"/>
      <c r="AJ10" s="222" t="n"/>
    </row>
    <row r="11" ht="28.5" customHeight="1" s="166">
      <c r="A11" s="222" t="n"/>
      <c r="B11" s="222" t="inlineStr">
        <is>
          <t>综合楼</t>
        </is>
      </c>
      <c r="C11" s="222" t="n"/>
      <c r="D11" s="222" t="inlineStr">
        <is>
          <t>桩基工程</t>
        </is>
      </c>
      <c r="E11" s="222" t="n"/>
      <c r="F11" s="222" t="n"/>
      <c r="G11" s="223" t="n"/>
      <c r="H11" s="223" t="n"/>
      <c r="I11" s="223" t="n"/>
      <c r="J11" s="223" t="n"/>
      <c r="K11" s="223" t="n"/>
      <c r="L11" s="223" t="n"/>
      <c r="M11" s="223" t="n"/>
      <c r="N11" s="224" t="n"/>
      <c r="O11" s="222" t="n"/>
      <c r="P11" s="222" t="n"/>
      <c r="Q11" s="224" t="n"/>
      <c r="R11" s="223" t="n"/>
      <c r="S11" s="223" t="n"/>
      <c r="T11" s="223" t="n"/>
      <c r="U11" s="223" t="n">
        <v>1069070.38</v>
      </c>
      <c r="V11" s="223" t="n">
        <v>1137925.24</v>
      </c>
      <c r="W11" s="223">
        <f>+SUM(W14:W19)</f>
        <v/>
      </c>
      <c r="X11" s="223">
        <f>V13-U13</f>
        <v/>
      </c>
      <c r="Y11" s="223">
        <f>W13-U13</f>
        <v/>
      </c>
      <c r="Z11" s="223">
        <f>W13-V13</f>
        <v/>
      </c>
      <c r="AA11" s="222" t="n"/>
      <c r="AB11" s="222" t="n"/>
      <c r="AC11" s="222" t="n"/>
      <c r="AD11" s="222" t="n"/>
      <c r="AE11" s="222" t="n"/>
      <c r="AF11" s="222" t="n"/>
      <c r="AG11" s="222" t="n"/>
      <c r="AH11" s="222" t="n"/>
      <c r="AI11" s="222" t="n"/>
      <c r="AJ11" s="222" t="n"/>
    </row>
    <row r="12" ht="107" customHeight="1" s="166">
      <c r="A12" s="222" t="n"/>
      <c r="B12" s="222" t="inlineStr">
        <is>
          <t>综合楼</t>
        </is>
      </c>
      <c r="C12" s="222" t="inlineStr">
        <is>
          <t>010301002001</t>
        </is>
      </c>
      <c r="D12" s="222" t="inlineStr">
        <is>
          <t>预制钢筋混凝土管桩</t>
        </is>
      </c>
      <c r="E12" s="222" t="inlineStr">
        <is>
          <t>1.桩外径、壁厚:Φ400PHC80预应力管桩AB型壁厚95mm（综合考虑抗拔桩）
2.沉桩方法:静压
3.混凝土强度等级:C40\C30
4.填充材料种类:微膨胀混凝土
5.接桩
6.预埋钢板</t>
        </is>
      </c>
      <c r="F12" s="222" t="inlineStr">
        <is>
          <t>m</t>
        </is>
      </c>
      <c r="G12" s="223" t="n">
        <v>3420</v>
      </c>
      <c r="H12" s="223" t="n">
        <v>3847.9</v>
      </c>
      <c r="I12" s="223" t="n">
        <v>3536.74</v>
      </c>
      <c r="J12" s="223" t="n"/>
      <c r="K12" s="223">
        <f>H14-G14</f>
        <v/>
      </c>
      <c r="L12" s="223">
        <f>I14-G14</f>
        <v/>
      </c>
      <c r="M12" s="223">
        <f>I14-H14</f>
        <v/>
      </c>
      <c r="N12" s="224">
        <f>K14/G14</f>
        <v/>
      </c>
      <c r="O12" s="222" t="n">
        <v>276.89</v>
      </c>
      <c r="P12" s="222" t="n">
        <v>320.16</v>
      </c>
      <c r="Q12" s="224">
        <f>(O14-P14)/P14</f>
        <v/>
      </c>
      <c r="R12" s="223">
        <f>P14*0.9056*0.85</f>
        <v/>
      </c>
      <c r="S12" s="223">
        <f>P14*1.15</f>
        <v/>
      </c>
      <c r="T12" s="223">
        <f>IF(O14&lt;P14*0.9056*0.85,P14*0.9056*0.85,IF(O14&gt;P14*1.15,P14*1.15,O14))</f>
        <v/>
      </c>
      <c r="U12" s="223" t="n">
        <v>946963.8</v>
      </c>
      <c r="V12" s="223" t="n">
        <v>1065445.03</v>
      </c>
      <c r="W12" s="223">
        <f>U14+T14*L14</f>
        <v/>
      </c>
      <c r="X12" s="223">
        <f>V14-U14</f>
        <v/>
      </c>
      <c r="Y12" s="223">
        <f>W14-U14</f>
        <v/>
      </c>
      <c r="Z12" s="223">
        <f>W14-V14</f>
        <v/>
      </c>
      <c r="AA12" s="222" t="n"/>
      <c r="AB12" s="222" t="n"/>
      <c r="AC12" s="222" t="n"/>
      <c r="AD12" s="222" t="n"/>
      <c r="AE12" s="222" t="n"/>
      <c r="AF12" s="222" t="n"/>
      <c r="AG12" s="222" t="n"/>
      <c r="AH12" s="222" t="n"/>
      <c r="AI12" s="222" t="n"/>
      <c r="AJ12" s="222" t="n"/>
    </row>
    <row r="13" ht="98" customHeight="1" s="166">
      <c r="A13" s="222" t="n"/>
      <c r="B13" s="222" t="inlineStr">
        <is>
          <t>综合楼</t>
        </is>
      </c>
      <c r="C13" s="222" t="inlineStr">
        <is>
          <t>010301002002</t>
        </is>
      </c>
      <c r="D13" s="222" t="inlineStr">
        <is>
          <t>预制钢筋混凝土管桩（试验桩）</t>
        </is>
      </c>
      <c r="E13" s="222" t="inlineStr">
        <is>
          <t>1.桩外径、壁厚:Φ400PHC80预应力管桩AB型壁厚95mm
2.沉桩方法:静压
3.混凝土强度等级:C40\C30
4.填充材料种类:微膨胀混凝土
5.接桩
6.预埋钢板</t>
        </is>
      </c>
      <c r="F13" s="222" t="inlineStr">
        <is>
          <t>m</t>
        </is>
      </c>
      <c r="G13" s="223" t="n">
        <v>100</v>
      </c>
      <c r="H13" s="223" t="n">
        <v>0</v>
      </c>
      <c r="I13" s="223" t="n">
        <v>0</v>
      </c>
      <c r="J13" s="223" t="n"/>
      <c r="K13" s="223">
        <f>H15-G15</f>
        <v/>
      </c>
      <c r="L13" s="223">
        <f>I15-G15</f>
        <v/>
      </c>
      <c r="M13" s="223">
        <f>I15-H15</f>
        <v/>
      </c>
      <c r="N13" s="224">
        <f>K15/G15</f>
        <v/>
      </c>
      <c r="O13" s="222" t="n">
        <v>315.52</v>
      </c>
      <c r="P13" s="222" t="n">
        <v>357.1</v>
      </c>
      <c r="Q13" s="224">
        <f>(O15-P15)/P15</f>
        <v/>
      </c>
      <c r="R13" s="223">
        <f>P15*0.9056*0.85</f>
        <v/>
      </c>
      <c r="S13" s="223">
        <f>P15*1.15</f>
        <v/>
      </c>
      <c r="T13" s="223">
        <f>IF(O15&lt;P15*0.9056*0.85,P15*0.9056*0.85,IF(O15&gt;P15*1.15,P15*1.15,O15))</f>
        <v/>
      </c>
      <c r="U13" s="223" t="n">
        <v>31552</v>
      </c>
      <c r="V13" s="223" t="n">
        <v>0</v>
      </c>
      <c r="W13" s="223">
        <f>U15+T15*L15</f>
        <v/>
      </c>
      <c r="X13" s="223">
        <f>V15-U15</f>
        <v/>
      </c>
      <c r="Y13" s="223">
        <f>W15-U15</f>
        <v/>
      </c>
      <c r="Z13" s="223">
        <f>W15-V15</f>
        <v/>
      </c>
      <c r="AA13" s="222" t="n"/>
      <c r="AB13" s="222" t="n"/>
      <c r="AC13" s="222" t="n"/>
      <c r="AD13" s="222" t="n"/>
      <c r="AE13" s="222" t="n"/>
      <c r="AF13" s="222" t="n"/>
      <c r="AG13" s="222" t="n"/>
      <c r="AH13" s="222" t="n"/>
      <c r="AI13" s="222" t="n"/>
      <c r="AJ13" s="222" t="n"/>
    </row>
    <row r="14" ht="58" customHeight="1" s="166">
      <c r="A14" s="222" t="n"/>
      <c r="B14" s="222" t="inlineStr">
        <is>
          <t>综合楼</t>
        </is>
      </c>
      <c r="C14" s="222" t="inlineStr">
        <is>
          <t>010301002004</t>
        </is>
      </c>
      <c r="D14" s="222" t="inlineStr">
        <is>
          <t>预制钢筋混凝土管桩（送桩）</t>
        </is>
      </c>
      <c r="E14" s="222" t="inlineStr">
        <is>
          <t>1.桩外径、壁厚:Φ400PHC80预应力管桩AB型壁厚95mm</t>
        </is>
      </c>
      <c r="F14" s="222" t="inlineStr">
        <is>
          <t>m</t>
        </is>
      </c>
      <c r="G14" s="223" t="n">
        <v>264</v>
      </c>
      <c r="H14" s="223" t="n">
        <v>122.3</v>
      </c>
      <c r="I14" s="223" t="n">
        <v>122.3</v>
      </c>
      <c r="J14" s="223" t="n"/>
      <c r="K14" s="223">
        <f>H16-G16</f>
        <v/>
      </c>
      <c r="L14" s="223">
        <f>I16-G16</f>
        <v/>
      </c>
      <c r="M14" s="223">
        <f>I16-H16</f>
        <v/>
      </c>
      <c r="N14" s="224">
        <f>K16/G16</f>
        <v/>
      </c>
      <c r="O14" s="222" t="n">
        <v>56.37</v>
      </c>
      <c r="P14" s="222" t="n">
        <v>58.71</v>
      </c>
      <c r="Q14" s="224">
        <f>(O16-P16)/P16</f>
        <v/>
      </c>
      <c r="R14" s="223">
        <f>P16*0.9056*0.85</f>
        <v/>
      </c>
      <c r="S14" s="223">
        <f>P16*1.15</f>
        <v/>
      </c>
      <c r="T14" s="223">
        <f>IF(O16&lt;P16*0.9056*0.85,P16*0.9056*0.85,IF(O16&gt;P16*1.15,P16*1.15,O16))</f>
        <v/>
      </c>
      <c r="U14" s="223" t="n">
        <v>14881.68</v>
      </c>
      <c r="V14" s="223" t="n">
        <v>6894.05</v>
      </c>
      <c r="W14" s="223">
        <f>U16+T16*L16</f>
        <v/>
      </c>
      <c r="X14" s="223">
        <f>V16-U16</f>
        <v/>
      </c>
      <c r="Y14" s="223">
        <f>W16-U16</f>
        <v/>
      </c>
      <c r="Z14" s="223">
        <f>W16-V16</f>
        <v/>
      </c>
      <c r="AA14" s="222" t="n"/>
      <c r="AB14" s="222" t="n"/>
      <c r="AC14" s="222" t="n"/>
      <c r="AD14" s="222" t="n"/>
      <c r="AE14" s="222" t="n"/>
      <c r="AF14" s="222" t="n"/>
      <c r="AG14" s="222" t="n"/>
      <c r="AH14" s="222" t="n"/>
      <c r="AI14" s="222" t="n"/>
      <c r="AJ14" s="222" t="n"/>
    </row>
    <row r="15" ht="66" customHeight="1" s="166">
      <c r="A15" s="222" t="n"/>
      <c r="B15" s="222" t="inlineStr">
        <is>
          <t>综合楼</t>
        </is>
      </c>
      <c r="C15" s="222" t="inlineStr">
        <is>
          <t>010301004001</t>
        </is>
      </c>
      <c r="D15" s="222" t="inlineStr">
        <is>
          <t>截(凿)桩头</t>
        </is>
      </c>
      <c r="E15" s="222" t="inlineStr">
        <is>
          <t>1.桩类型:管桩
2.桩头截面、高度:桩径D为400
3.场外运输:综合考虑</t>
        </is>
      </c>
      <c r="F15" s="222" t="inlineStr">
        <is>
          <t>根</t>
        </is>
      </c>
      <c r="G15" s="223" t="n">
        <v>176</v>
      </c>
      <c r="H15" s="223" t="n">
        <v>176</v>
      </c>
      <c r="I15" s="225" t="n">
        <v>176</v>
      </c>
      <c r="J15" s="225" t="n"/>
      <c r="K15" s="223">
        <f>H17-G17</f>
        <v/>
      </c>
      <c r="L15" s="223">
        <f>I17-G17</f>
        <v/>
      </c>
      <c r="M15" s="223">
        <f>I17-H17</f>
        <v/>
      </c>
      <c r="N15" s="224">
        <f>K17/G17</f>
        <v/>
      </c>
      <c r="O15" s="222" t="n">
        <v>78.16</v>
      </c>
      <c r="P15" s="222" t="n">
        <v>95.36</v>
      </c>
      <c r="Q15" s="224">
        <f>(O17-P17)/P17</f>
        <v/>
      </c>
      <c r="R15" s="223">
        <f>P17*0.9056*0.85</f>
        <v/>
      </c>
      <c r="S15" s="223">
        <f>P17*1.15</f>
        <v/>
      </c>
      <c r="T15" s="223">
        <f>IF(O17&lt;P17*0.9056*0.85,P17*0.9056*0.85,IF(O17&gt;P17*1.15,P17*1.15,O17))</f>
        <v/>
      </c>
      <c r="U15" s="223" t="n">
        <v>13756.16</v>
      </c>
      <c r="V15" s="223" t="n">
        <v>13756.16</v>
      </c>
      <c r="W15" s="223">
        <f>U17+T17*L17</f>
        <v/>
      </c>
      <c r="X15" s="223">
        <f>V17-U17</f>
        <v/>
      </c>
      <c r="Y15" s="223">
        <f>W17-U17</f>
        <v/>
      </c>
      <c r="Z15" s="223">
        <f>W17-V17</f>
        <v/>
      </c>
      <c r="AA15" s="222" t="n"/>
      <c r="AB15" s="222" t="n"/>
      <c r="AC15" s="222" t="n"/>
      <c r="AD15" s="222" t="n"/>
      <c r="AE15" s="222" t="n"/>
      <c r="AF15" s="222" t="n"/>
      <c r="AG15" s="222" t="n"/>
      <c r="AH15" s="222" t="n"/>
      <c r="AI15" s="222" t="n"/>
      <c r="AJ15" s="222" t="n"/>
    </row>
    <row r="16" ht="41.25" customHeight="1" s="166">
      <c r="A16" s="222" t="n"/>
      <c r="B16" s="222" t="inlineStr">
        <is>
          <t>综合楼</t>
        </is>
      </c>
      <c r="C16" s="222" t="inlineStr">
        <is>
          <t>粤010301005001</t>
        </is>
      </c>
      <c r="D16" s="222" t="inlineStr">
        <is>
          <t>桩尖</t>
        </is>
      </c>
      <c r="E16" s="222" t="inlineStr">
        <is>
          <t>1.钢桩尖制作
2.桩径:400
3.具体做法详见图纸</t>
        </is>
      </c>
      <c r="F16" s="222" t="inlineStr">
        <is>
          <t>个</t>
        </is>
      </c>
      <c r="G16" s="223" t="n">
        <v>176</v>
      </c>
      <c r="H16" s="223" t="n">
        <v>176</v>
      </c>
      <c r="I16" s="225" t="n">
        <v>176</v>
      </c>
      <c r="J16" s="225" t="n"/>
      <c r="K16" s="223">
        <f>H18-G18</f>
        <v/>
      </c>
      <c r="L16" s="223">
        <f>I18-G18</f>
        <v/>
      </c>
      <c r="M16" s="223">
        <f>I18-H18</f>
        <v/>
      </c>
      <c r="N16" s="224">
        <f>K18/G18</f>
        <v/>
      </c>
      <c r="O16" s="222" t="n">
        <v>268.05</v>
      </c>
      <c r="P16" s="222" t="n">
        <v>259.06</v>
      </c>
      <c r="Q16" s="224">
        <f>(O18-P18)/P18</f>
        <v/>
      </c>
      <c r="R16" s="223">
        <f>P18*0.9056*0.85</f>
        <v/>
      </c>
      <c r="S16" s="223">
        <f>P18*1.15</f>
        <v/>
      </c>
      <c r="T16" s="223">
        <f>IF(O18&lt;P18*0.9056*0.85,P18*0.9056*0.85,IF(O18&gt;P18*1.15,P18*1.15,O18))</f>
        <v/>
      </c>
      <c r="U16" s="223" t="n">
        <v>47176.8</v>
      </c>
      <c r="V16" s="223" t="n">
        <v>47176.8</v>
      </c>
      <c r="W16" s="223">
        <f>U18+T18*L18</f>
        <v/>
      </c>
      <c r="X16" s="223">
        <f>V18-U18</f>
        <v/>
      </c>
      <c r="Y16" s="223">
        <f>W18-U18</f>
        <v/>
      </c>
      <c r="Z16" s="223">
        <f>W18-V18</f>
        <v/>
      </c>
      <c r="AA16" s="222" t="n"/>
      <c r="AB16" s="222" t="n"/>
      <c r="AC16" s="222" t="n"/>
      <c r="AD16" s="222" t="n"/>
      <c r="AE16" s="222" t="n"/>
      <c r="AF16" s="222" t="n"/>
      <c r="AG16" s="222" t="n"/>
      <c r="AH16" s="222" t="n"/>
      <c r="AI16" s="222" t="n"/>
      <c r="AJ16" s="222" t="n"/>
    </row>
    <row r="17" ht="28.5" customHeight="1" s="166">
      <c r="A17" s="222" t="n"/>
      <c r="B17" s="222" t="inlineStr">
        <is>
          <t>综合楼</t>
        </is>
      </c>
      <c r="C17" s="222" t="inlineStr">
        <is>
          <t>010515001001</t>
        </is>
      </c>
      <c r="D17" s="222" t="inlineStr">
        <is>
          <t>现浇构件钢筋</t>
        </is>
      </c>
      <c r="E17" s="222" t="inlineStr">
        <is>
          <t>1.桩头插筋</t>
        </is>
      </c>
      <c r="F17" s="222" t="inlineStr">
        <is>
          <t>t</t>
        </is>
      </c>
      <c r="G17" s="223" t="n">
        <v>2.76</v>
      </c>
      <c r="H17" s="223" t="n">
        <v>0.87</v>
      </c>
      <c r="I17" s="226" t="n">
        <v>0.87</v>
      </c>
      <c r="J17" s="226" t="n"/>
      <c r="K17" s="223">
        <f>H19-G19</f>
        <v/>
      </c>
      <c r="L17" s="223">
        <f>I19-G19</f>
        <v/>
      </c>
      <c r="M17" s="223">
        <f>I19-H19</f>
        <v/>
      </c>
      <c r="N17" s="224">
        <f>K19/G19</f>
        <v/>
      </c>
      <c r="O17" s="222" t="n">
        <v>5341.14</v>
      </c>
      <c r="P17" s="222" t="n">
        <v>6492.43</v>
      </c>
      <c r="Q17" s="224">
        <f>(O19-P19)/P19</f>
        <v/>
      </c>
      <c r="R17" s="223">
        <f>P19*0.9056*0.85</f>
        <v/>
      </c>
      <c r="S17" s="223">
        <f>P19*1.15</f>
        <v/>
      </c>
      <c r="T17" s="223">
        <f>IF(O19&lt;P19*0.9056*0.85,P19*0.9056*0.85,IF(O19&gt;P19*1.15,P19*1.15,O19))</f>
        <v/>
      </c>
      <c r="U17" s="223" t="n">
        <v>14739.94</v>
      </c>
      <c r="V17" s="223" t="n">
        <v>4653.2</v>
      </c>
      <c r="W17" s="223">
        <f>U19+T19*L19</f>
        <v/>
      </c>
      <c r="X17" s="223">
        <f>V19-U19</f>
        <v/>
      </c>
      <c r="Y17" s="223">
        <f>W19-U19</f>
        <v/>
      </c>
      <c r="Z17" s="223">
        <f>W19-V19</f>
        <v/>
      </c>
      <c r="AA17" s="222" t="n"/>
      <c r="AB17" s="222" t="n"/>
      <c r="AC17" s="222" t="n"/>
      <c r="AD17" s="222" t="n"/>
      <c r="AE17" s="222" t="n"/>
      <c r="AF17" s="222" t="n"/>
      <c r="AG17" s="222" t="n"/>
      <c r="AH17" s="222" t="n"/>
      <c r="AI17" s="222" t="n"/>
      <c r="AJ17" s="222" t="n"/>
    </row>
    <row r="18" ht="28.5" customHeight="1" s="166">
      <c r="A18" s="222" t="n"/>
      <c r="B18" s="222" t="inlineStr">
        <is>
          <t>综合楼</t>
        </is>
      </c>
      <c r="C18" s="222" t="n"/>
      <c r="D18" s="222" t="inlineStr">
        <is>
          <t>砌筑工程</t>
        </is>
      </c>
      <c r="E18" s="222" t="n"/>
      <c r="F18" s="222" t="n"/>
      <c r="G18" s="223" t="n"/>
      <c r="H18" s="223" t="n"/>
      <c r="I18" s="223" t="n"/>
      <c r="J18" s="223" t="n"/>
      <c r="K18" s="223" t="n"/>
      <c r="L18" s="223" t="n"/>
      <c r="M18" s="223" t="n"/>
      <c r="N18" s="224" t="n"/>
      <c r="O18" s="222" t="n"/>
      <c r="P18" s="222" t="n"/>
      <c r="Q18" s="224" t="n"/>
      <c r="R18" s="223" t="n"/>
      <c r="S18" s="223" t="n"/>
      <c r="T18" s="223" t="n"/>
      <c r="U18" s="223" t="n">
        <v>563645.6899999999</v>
      </c>
      <c r="V18" s="223" t="n">
        <v>835049.33</v>
      </c>
      <c r="W18" s="223">
        <f>+SUM(W21:W29)</f>
        <v/>
      </c>
      <c r="X18" s="223">
        <f>V20-U20</f>
        <v/>
      </c>
      <c r="Y18" s="223">
        <f>W20-U20</f>
        <v/>
      </c>
      <c r="Z18" s="223">
        <f>W20-V20</f>
        <v/>
      </c>
      <c r="AA18" s="222" t="n"/>
      <c r="AB18" s="222" t="n"/>
      <c r="AC18" s="222" t="n"/>
      <c r="AD18" s="222" t="n"/>
      <c r="AE18" s="222" t="n"/>
      <c r="AF18" s="222" t="n"/>
      <c r="AG18" s="222" t="n"/>
      <c r="AH18" s="222" t="n"/>
      <c r="AI18" s="222" t="n"/>
      <c r="AJ18" s="222" t="n"/>
    </row>
    <row r="19" ht="66.75" customHeight="1" s="166">
      <c r="A19" s="222" t="n"/>
      <c r="B19" s="222" t="inlineStr">
        <is>
          <t>综合楼</t>
        </is>
      </c>
      <c r="C19" s="222" t="inlineStr">
        <is>
          <t>010103001002</t>
        </is>
      </c>
      <c r="D19" s="222" t="inlineStr">
        <is>
          <t>回填方</t>
        </is>
      </c>
      <c r="E19" s="222" t="inlineStr">
        <is>
          <t>1.卫生间回填
2.20厚WSM15找平层
3.陶粒混凝土(水泥:陶粒=1:8)回填兼找坡
4.20厚M20水泥砂浆找平层</t>
        </is>
      </c>
      <c r="F19" s="222" t="inlineStr">
        <is>
          <t>m3</t>
        </is>
      </c>
      <c r="G19" s="223" t="n">
        <v>27.86</v>
      </c>
      <c r="H19" s="223" t="n">
        <v>266.77</v>
      </c>
      <c r="I19" s="223" t="n">
        <v>266.77</v>
      </c>
      <c r="J19" s="223" t="n"/>
      <c r="K19" s="223">
        <f>H21-G21</f>
        <v/>
      </c>
      <c r="L19" s="223">
        <f>I21-G21</f>
        <v/>
      </c>
      <c r="M19" s="223">
        <f>I21-H21</f>
        <v/>
      </c>
      <c r="N19" s="224">
        <f>K21/G21</f>
        <v/>
      </c>
      <c r="O19" s="222" t="n">
        <v>793.8099999999999</v>
      </c>
      <c r="P19" s="222" t="n">
        <v>770.77</v>
      </c>
      <c r="Q19" s="224">
        <f>(O21-P21)/P21</f>
        <v/>
      </c>
      <c r="R19" s="223">
        <f>P21*0.9056*0.85</f>
        <v/>
      </c>
      <c r="S19" s="223">
        <f>P21*1.15</f>
        <v/>
      </c>
      <c r="T19" s="223">
        <f>IF(O21&lt;P21*0.9056*0.85,P21*0.9056*0.85,IF(O21&gt;P21*1.15,P21*1.15,O21))</f>
        <v/>
      </c>
      <c r="U19" s="223" t="n">
        <v>22116.18</v>
      </c>
      <c r="V19" s="223" t="n">
        <v>211762.63</v>
      </c>
      <c r="W19" s="223" t="n">
        <v>211762.63</v>
      </c>
      <c r="X19" s="223">
        <f>V21-U21</f>
        <v/>
      </c>
      <c r="Y19" s="223">
        <f>W21-U21</f>
        <v/>
      </c>
      <c r="Z19" s="223">
        <f>W21-V21</f>
        <v/>
      </c>
      <c r="AA19" s="222" t="n"/>
      <c r="AB19" s="222" t="n"/>
      <c r="AC19" s="222" t="n"/>
      <c r="AD19" s="222" t="n"/>
      <c r="AE19" s="222" t="n"/>
      <c r="AF19" s="222" t="n"/>
      <c r="AG19" s="222" t="n"/>
      <c r="AH19" s="222" t="n"/>
      <c r="AI19" s="222" t="n"/>
      <c r="AJ19" s="222" t="n"/>
    </row>
    <row r="20" ht="76" customHeight="1" s="166">
      <c r="A20" s="222" t="n"/>
      <c r="B20" s="222" t="inlineStr">
        <is>
          <t>综合楼</t>
        </is>
      </c>
      <c r="C20" s="222" t="inlineStr">
        <is>
          <t>010402001001</t>
        </is>
      </c>
      <c r="D20" s="222" t="inlineStr">
        <is>
          <t>砌块墙</t>
        </is>
      </c>
      <c r="E20" s="222" t="inlineStr">
        <is>
          <t>1.砌块品种、规格、强度等级:A5.0蒸压加气混凝土砌块
2.墙体类型:外墙
3.厚度:200
4.砂浆强度等级、配合比:DMM5专用砌筑砂浆</t>
        </is>
      </c>
      <c r="F20" s="222" t="inlineStr">
        <is>
          <t>m3</t>
        </is>
      </c>
      <c r="G20" s="223" t="n">
        <v>384.69</v>
      </c>
      <c r="H20" s="223" t="n">
        <v>399.19</v>
      </c>
      <c r="I20" s="223">
        <f>268.41</f>
        <v/>
      </c>
      <c r="J20" s="223" t="n"/>
      <c r="K20" s="223">
        <f>H22-G22</f>
        <v/>
      </c>
      <c r="L20" s="223">
        <f>I22-G22</f>
        <v/>
      </c>
      <c r="M20" s="223">
        <f>I22-H22</f>
        <v/>
      </c>
      <c r="N20" s="224">
        <f>K22/G22</f>
        <v/>
      </c>
      <c r="O20" s="222" t="n">
        <v>589.41</v>
      </c>
      <c r="P20" s="222" t="n">
        <v>676.12</v>
      </c>
      <c r="Q20" s="224">
        <f>(O22-P22)/P22</f>
        <v/>
      </c>
      <c r="R20" s="223">
        <f>P22*0.9056*0.85</f>
        <v/>
      </c>
      <c r="S20" s="223">
        <f>P22*1.15</f>
        <v/>
      </c>
      <c r="T20" s="223">
        <f>IF(O22&lt;P22*0.9056*0.85,P22*0.9056*0.85,IF(O22&gt;P22*1.15,P22*1.15,O22))</f>
        <v/>
      </c>
      <c r="U20" s="223" t="n">
        <v>226742.37</v>
      </c>
      <c r="V20" s="223" t="n">
        <v>235288.82</v>
      </c>
      <c r="W20" s="223">
        <f>U22+T22*L22</f>
        <v/>
      </c>
      <c r="X20" s="223">
        <f>V22-U22</f>
        <v/>
      </c>
      <c r="Y20" s="223">
        <f>W22-U22</f>
        <v/>
      </c>
      <c r="Z20" s="223">
        <f>W22-V22</f>
        <v/>
      </c>
      <c r="AA20" s="222" t="n"/>
      <c r="AB20" s="222" t="n"/>
      <c r="AC20" s="222" t="n"/>
      <c r="AD20" s="222" t="n"/>
      <c r="AE20" s="222" t="n"/>
      <c r="AF20" s="222" t="n"/>
      <c r="AG20" s="222" t="n"/>
      <c r="AH20" s="222" t="n"/>
      <c r="AI20" s="222" t="n"/>
      <c r="AJ20" s="222" t="n"/>
    </row>
    <row r="21" ht="76" customHeight="1" s="166">
      <c r="A21" s="222" t="n"/>
      <c r="B21" s="222" t="inlineStr">
        <is>
          <t>综合楼</t>
        </is>
      </c>
      <c r="C21" s="222" t="inlineStr">
        <is>
          <t>010402001002</t>
        </is>
      </c>
      <c r="D21" s="222" t="inlineStr">
        <is>
          <t>砌块墙</t>
        </is>
      </c>
      <c r="E21" s="222" t="inlineStr">
        <is>
          <t>1.砌块品种、规格、强度等级:A5.0蒸压加气混凝土砌块
2.墙体类型:内墙
3.厚度:200
4.砂浆强度等级、配合比:DMM5专用砌筑砂浆</t>
        </is>
      </c>
      <c r="F21" s="222" t="inlineStr">
        <is>
          <t>m3</t>
        </is>
      </c>
      <c r="G21" s="223" t="n">
        <v>331.51</v>
      </c>
      <c r="H21" s="223" t="n">
        <v>440.98</v>
      </c>
      <c r="I21" s="223" t="n">
        <v>424.16</v>
      </c>
      <c r="J21" s="223" t="n"/>
      <c r="K21" s="223">
        <f>H23-G23</f>
        <v/>
      </c>
      <c r="L21" s="223">
        <f>I23-G23</f>
        <v/>
      </c>
      <c r="M21" s="223">
        <f>I23-H23</f>
        <v/>
      </c>
      <c r="N21" s="224">
        <f>K23/G23</f>
        <v/>
      </c>
      <c r="O21" s="222" t="n">
        <v>576.98</v>
      </c>
      <c r="P21" s="222" t="n">
        <v>661.47</v>
      </c>
      <c r="Q21" s="224">
        <f>(O23-P23)/P23</f>
        <v/>
      </c>
      <c r="R21" s="223">
        <f>P23*0.9056*0.85</f>
        <v/>
      </c>
      <c r="S21" s="223">
        <f>P23*1.15</f>
        <v/>
      </c>
      <c r="T21" s="223">
        <f>IF(O23&lt;P23*0.9056*0.85,P23*0.9056*0.85,IF(O23&gt;P23*1.15,P23*1.15,O23))</f>
        <v/>
      </c>
      <c r="U21" s="223" t="n">
        <v>191272.56</v>
      </c>
      <c r="V21" s="223" t="n">
        <v>254438.2</v>
      </c>
      <c r="W21" s="223">
        <f>U23+T23*L23</f>
        <v/>
      </c>
      <c r="X21" s="223">
        <f>V23-U23</f>
        <v/>
      </c>
      <c r="Y21" s="223">
        <f>W23-U23</f>
        <v/>
      </c>
      <c r="Z21" s="223">
        <f>W23-V23</f>
        <v/>
      </c>
      <c r="AA21" s="222" t="n"/>
      <c r="AB21" s="222" t="n"/>
      <c r="AC21" s="222" t="n"/>
      <c r="AD21" s="222" t="n"/>
      <c r="AE21" s="222" t="n"/>
      <c r="AF21" s="222" t="n"/>
      <c r="AG21" s="222" t="n"/>
      <c r="AH21" s="222" t="n"/>
      <c r="AI21" s="222" t="n"/>
      <c r="AJ21" s="222" t="n"/>
    </row>
    <row r="22" ht="76" customHeight="1" s="166">
      <c r="A22" s="222" t="n"/>
      <c r="B22" s="222" t="inlineStr">
        <is>
          <t>综合楼</t>
        </is>
      </c>
      <c r="C22" s="222" t="inlineStr">
        <is>
          <t>010402001004</t>
        </is>
      </c>
      <c r="D22" s="222" t="inlineStr">
        <is>
          <t>砌块墙</t>
        </is>
      </c>
      <c r="E22" s="222" t="inlineStr">
        <is>
          <t>1.砌块品种、规格、强度等级:A5.0蒸压加气混凝土砌块
2.墙体类型:内墙
3.厚度:100
4.砂浆强度等级、配合比:DMM5专用砌筑砂浆</t>
        </is>
      </c>
      <c r="F22" s="222" t="inlineStr">
        <is>
          <t>m3</t>
        </is>
      </c>
      <c r="G22" s="223" t="n">
        <v>1.09</v>
      </c>
      <c r="H22" s="223" t="n">
        <v>2.59</v>
      </c>
      <c r="I22" s="223" t="n">
        <v>0</v>
      </c>
      <c r="J22" s="223" t="n"/>
      <c r="K22" s="223">
        <f>H24-G24</f>
        <v/>
      </c>
      <c r="L22" s="223">
        <f>I24-G24</f>
        <v/>
      </c>
      <c r="M22" s="223">
        <f>I24-H24</f>
        <v/>
      </c>
      <c r="N22" s="224">
        <f>K24/G24</f>
        <v/>
      </c>
      <c r="O22" s="222" t="n">
        <v>599.51</v>
      </c>
      <c r="P22" s="222" t="n">
        <v>686.9</v>
      </c>
      <c r="Q22" s="224">
        <f>(O24-P24)/P24</f>
        <v/>
      </c>
      <c r="R22" s="223">
        <f>P24*0.9056*0.85</f>
        <v/>
      </c>
      <c r="S22" s="223">
        <f>P24*1.15</f>
        <v/>
      </c>
      <c r="T22" s="223">
        <f>IF(O24&lt;P24*0.9056*0.85,P24*0.9056*0.85,IF(O24&gt;P24*1.15,P24*1.15,O24))</f>
        <v/>
      </c>
      <c r="U22" s="223" t="n">
        <v>655.5</v>
      </c>
      <c r="V22" s="223" t="n">
        <v>1554.77</v>
      </c>
      <c r="W22" s="223">
        <f>U24+T24*L24</f>
        <v/>
      </c>
      <c r="X22" s="223">
        <f>V24-U24</f>
        <v/>
      </c>
      <c r="Y22" s="223">
        <f>W24-U24</f>
        <v/>
      </c>
      <c r="Z22" s="223">
        <f>W24-V24</f>
        <v/>
      </c>
      <c r="AA22" s="222" t="n"/>
      <c r="AB22" s="222" t="n"/>
      <c r="AC22" s="222" t="n"/>
      <c r="AD22" s="222" t="n"/>
      <c r="AE22" s="222" t="n"/>
      <c r="AF22" s="222" t="n"/>
      <c r="AG22" s="222" t="n"/>
      <c r="AH22" s="222" t="n"/>
      <c r="AI22" s="222" t="n"/>
      <c r="AJ22" s="222" t="n"/>
    </row>
    <row r="23" ht="76" customHeight="1" s="166">
      <c r="A23" s="222" t="n"/>
      <c r="B23" s="222" t="inlineStr">
        <is>
          <t>综合楼</t>
        </is>
      </c>
      <c r="C23" s="222" t="inlineStr">
        <is>
          <t>010402001005</t>
        </is>
      </c>
      <c r="D23" s="222" t="inlineStr">
        <is>
          <t>砌块墙</t>
        </is>
      </c>
      <c r="E23" s="222" t="inlineStr">
        <is>
          <t>1.砌块品种、规格、强度等级:A5.0蒸压加气混凝土砌块
2.墙体类型:装饰墙
3.厚度:100
4.砂浆强度等级、配合比:DMM5专用砌筑砂浆</t>
        </is>
      </c>
      <c r="F23" s="222" t="inlineStr">
        <is>
          <t>m3</t>
        </is>
      </c>
      <c r="G23" s="223" t="n">
        <v>147.47</v>
      </c>
      <c r="H23" s="223" t="n">
        <v>148.91</v>
      </c>
      <c r="I23" s="223">
        <f>72.8+74.08</f>
        <v/>
      </c>
      <c r="J23" s="223" t="n"/>
      <c r="K23" s="223">
        <f>H25-G25</f>
        <v/>
      </c>
      <c r="L23" s="223">
        <f>I25-G25</f>
        <v/>
      </c>
      <c r="M23" s="223">
        <f>I25-H25</f>
        <v/>
      </c>
      <c r="N23" s="224">
        <f>K25/G25</f>
        <v/>
      </c>
      <c r="O23" s="222" t="n">
        <v>599.53</v>
      </c>
      <c r="P23" s="222" t="n">
        <v>686.9</v>
      </c>
      <c r="Q23" s="224">
        <f>(O25-P25)/P25</f>
        <v/>
      </c>
      <c r="R23" s="223">
        <f>P25*0.9056*0.85</f>
        <v/>
      </c>
      <c r="S23" s="223">
        <f>P25*1.15</f>
        <v/>
      </c>
      <c r="T23" s="223">
        <f>IF(O25&lt;P25*0.9056*0.85,P25*0.9056*0.85,IF(O25&gt;P25*1.15,P25*1.15,O25))</f>
        <v/>
      </c>
      <c r="U23" s="223" t="n">
        <v>88409.92999999999</v>
      </c>
      <c r="V23" s="223" t="n">
        <v>89273.91</v>
      </c>
      <c r="W23" s="223">
        <f>U25+T25*L25</f>
        <v/>
      </c>
      <c r="X23" s="223">
        <f>V25-U25</f>
        <v/>
      </c>
      <c r="Y23" s="223">
        <f>W25-U25</f>
        <v/>
      </c>
      <c r="Z23" s="223">
        <f>W25-V25</f>
        <v/>
      </c>
      <c r="AA23" s="222" t="n"/>
      <c r="AB23" s="222" t="n"/>
      <c r="AC23" s="222" t="n"/>
      <c r="AD23" s="222" t="n"/>
      <c r="AE23" s="222" t="n"/>
      <c r="AF23" s="222" t="n"/>
      <c r="AG23" s="222" t="n"/>
      <c r="AH23" s="222" t="n"/>
      <c r="AI23" s="222" t="n"/>
      <c r="AJ23" s="222" t="n"/>
    </row>
    <row r="24" ht="78" customHeight="1" s="166">
      <c r="A24" s="222" t="n"/>
      <c r="B24" s="222" t="inlineStr">
        <is>
          <t>综合楼</t>
        </is>
      </c>
      <c r="C24" s="222" t="inlineStr">
        <is>
          <t>010402001006</t>
        </is>
      </c>
      <c r="D24" s="222" t="inlineStr">
        <is>
          <t>砌块墙</t>
        </is>
      </c>
      <c r="E24" s="222" t="inlineStr">
        <is>
          <t>1.砌块品种、规格、强度等级:A5.0蒸压加气混凝土砌块
2.墙体类型:装饰墙
3.厚度:200
4.砂浆强度等级、配合比:DMM5专用砌筑砂浆</t>
        </is>
      </c>
      <c r="F24" s="222" t="inlineStr">
        <is>
          <t>m3</t>
        </is>
      </c>
      <c r="G24" s="223" t="n">
        <v>33.46</v>
      </c>
      <c r="H24" s="223" t="n">
        <v>35.46</v>
      </c>
      <c r="I24" s="223">
        <f>4.1+25.86+0.57+0.11</f>
        <v/>
      </c>
      <c r="J24" s="223" t="n"/>
      <c r="K24" s="223">
        <f>H26-G26</f>
        <v/>
      </c>
      <c r="L24" s="223">
        <f>I26-G26</f>
        <v/>
      </c>
      <c r="M24" s="223">
        <f>I26-H26</f>
        <v/>
      </c>
      <c r="N24" s="224">
        <f>K26/G26</f>
        <v/>
      </c>
      <c r="O24" s="222" t="n">
        <v>589.41</v>
      </c>
      <c r="P24" s="222" t="n">
        <v>661.47</v>
      </c>
      <c r="Q24" s="224">
        <f>(O26-P26)/P26</f>
        <v/>
      </c>
      <c r="R24" s="223">
        <f>P26*0.9056*0.85</f>
        <v/>
      </c>
      <c r="S24" s="223">
        <f>P26*1.15</f>
        <v/>
      </c>
      <c r="T24" s="223">
        <f>IF(O26&lt;P26*0.9056*0.85,P26*0.9056*0.85,IF(O26&gt;P26*1.15,P26*1.15,O26))</f>
        <v/>
      </c>
      <c r="U24" s="223" t="n">
        <v>19722.31</v>
      </c>
      <c r="V24" s="223" t="n">
        <v>20901.13</v>
      </c>
      <c r="W24" s="223">
        <f>U26+T26*L26</f>
        <v/>
      </c>
      <c r="X24" s="223">
        <f>V26-U26</f>
        <v/>
      </c>
      <c r="Y24" s="223">
        <f>W26-U26</f>
        <v/>
      </c>
      <c r="Z24" s="223">
        <f>W26-V26</f>
        <v/>
      </c>
      <c r="AA24" s="222" t="n"/>
      <c r="AB24" s="222" t="n"/>
      <c r="AC24" s="222" t="n"/>
      <c r="AD24" s="222" t="n"/>
      <c r="AE24" s="222" t="n"/>
      <c r="AF24" s="222" t="n"/>
      <c r="AG24" s="222" t="n"/>
      <c r="AH24" s="222" t="n"/>
      <c r="AI24" s="222" t="n"/>
      <c r="AJ24" s="222" t="n"/>
    </row>
    <row r="25" ht="77" customHeight="1" s="166">
      <c r="A25" s="222" t="n"/>
      <c r="B25" s="222" t="inlineStr">
        <is>
          <t>综合楼</t>
        </is>
      </c>
      <c r="C25" s="222" t="inlineStr">
        <is>
          <t>010402001007</t>
        </is>
      </c>
      <c r="D25" s="222" t="inlineStr">
        <is>
          <t>砌块墙</t>
        </is>
      </c>
      <c r="E25" s="222" t="inlineStr">
        <is>
          <t>1.砌块品种、规格、强度等级:MU15混凝土实心砖
2.墙体类型:女儿墙、栏板
3.厚度:200
4.砂浆强度等级、配合比:DMM10专用砌筑砂浆</t>
        </is>
      </c>
      <c r="F25" s="222" t="inlineStr">
        <is>
          <t>m3</t>
        </is>
      </c>
      <c r="G25" s="223" t="n">
        <v>17.53</v>
      </c>
      <c r="H25" s="223" t="n">
        <v>18.74</v>
      </c>
      <c r="I25" s="223">
        <f>11.3+7.01</f>
        <v/>
      </c>
      <c r="J25" s="223" t="n"/>
      <c r="K25" s="223">
        <f>H27-G27</f>
        <v/>
      </c>
      <c r="L25" s="223">
        <f>I27-G27</f>
        <v/>
      </c>
      <c r="M25" s="223">
        <f>I27-H27</f>
        <v/>
      </c>
      <c r="N25" s="224">
        <f>K27/G27</f>
        <v/>
      </c>
      <c r="O25" s="222" t="n">
        <v>591.21</v>
      </c>
      <c r="P25" s="222" t="n">
        <v>677</v>
      </c>
      <c r="Q25" s="224">
        <f>(O27-P27)/P27</f>
        <v/>
      </c>
      <c r="R25" s="223">
        <f>P27*0.9056*0.85</f>
        <v/>
      </c>
      <c r="S25" s="223">
        <f>P27*1.15</f>
        <v/>
      </c>
      <c r="T25" s="223">
        <f>IF(O27&lt;P27*0.9056*0.85,P27*0.9056*0.85,IF(O27&gt;P27*1.15,P27*1.15,O27))</f>
        <v/>
      </c>
      <c r="U25" s="223" t="n">
        <v>10362.08</v>
      </c>
      <c r="V25" s="223" t="n">
        <v>11081.76</v>
      </c>
      <c r="W25" s="223">
        <f>U27+T27*L27</f>
        <v/>
      </c>
      <c r="X25" s="223">
        <f>V27-U27</f>
        <v/>
      </c>
      <c r="Y25" s="223">
        <f>W27-U27</f>
        <v/>
      </c>
      <c r="Z25" s="223">
        <f>W27-V27</f>
        <v/>
      </c>
      <c r="AA25" s="222" t="n"/>
      <c r="AB25" s="222" t="n"/>
      <c r="AC25" s="222" t="n"/>
      <c r="AD25" s="222" t="n"/>
      <c r="AE25" s="222" t="n"/>
      <c r="AF25" s="222" t="n"/>
      <c r="AG25" s="222" t="n"/>
      <c r="AH25" s="222" t="n"/>
      <c r="AI25" s="222" t="n"/>
      <c r="AJ25" s="222" t="n"/>
    </row>
    <row r="26" ht="41.25" customHeight="1" s="166">
      <c r="A26" s="222" t="n"/>
      <c r="B26" s="222" t="inlineStr">
        <is>
          <t>综合楼</t>
        </is>
      </c>
      <c r="C26" s="222" t="inlineStr">
        <is>
          <t>010401012001</t>
        </is>
      </c>
      <c r="D26" s="222" t="inlineStr">
        <is>
          <t>零星砌砖</t>
        </is>
      </c>
      <c r="E26" s="222" t="inlineStr">
        <is>
          <t>1.砖砌台阶
2.砂浆强度等级、配合比:WMM5专用砌筑砂浆</t>
        </is>
      </c>
      <c r="F26" s="222" t="inlineStr">
        <is>
          <t>m2</t>
        </is>
      </c>
      <c r="G26" s="223" t="n">
        <v>6.24</v>
      </c>
      <c r="H26" s="223" t="n">
        <v>10.57</v>
      </c>
      <c r="I26" s="223" t="n">
        <v>10.57</v>
      </c>
      <c r="J26" s="223" t="n"/>
      <c r="K26" s="223">
        <f>H28-G28</f>
        <v/>
      </c>
      <c r="L26" s="223">
        <f>I28-G28</f>
        <v/>
      </c>
      <c r="M26" s="223">
        <f>I28-H28</f>
        <v/>
      </c>
      <c r="N26" s="224">
        <f>K28/G28</f>
        <v/>
      </c>
      <c r="O26" s="222" t="n">
        <v>159.23</v>
      </c>
      <c r="P26" s="222" t="n">
        <v>189.88</v>
      </c>
      <c r="Q26" s="224">
        <f>(O28-P28)/P28</f>
        <v/>
      </c>
      <c r="R26" s="223">
        <f>P28*0.9056*0.85</f>
        <v/>
      </c>
      <c r="S26" s="223">
        <f>P28*1.15</f>
        <v/>
      </c>
      <c r="T26" s="223">
        <f>IF(O28&lt;P28*0.9056*0.85,P28*0.9056*0.85,IF(O28&gt;P28*1.15,P28*1.15,O28))</f>
        <v/>
      </c>
      <c r="U26" s="223" t="n">
        <v>993.6</v>
      </c>
      <c r="V26" s="223" t="n">
        <v>1683.7</v>
      </c>
      <c r="W26" s="223">
        <f>U28+T28*L28</f>
        <v/>
      </c>
      <c r="X26" s="223">
        <f>V28-U28</f>
        <v/>
      </c>
      <c r="Y26" s="223">
        <f>W28-U28</f>
        <v/>
      </c>
      <c r="Z26" s="223">
        <f>W28-V28</f>
        <v/>
      </c>
      <c r="AA26" s="222" t="n"/>
      <c r="AB26" s="222" t="n"/>
      <c r="AC26" s="222" t="n"/>
      <c r="AD26" s="222" t="n"/>
      <c r="AE26" s="222" t="n"/>
      <c r="AF26" s="222" t="n"/>
      <c r="AG26" s="222" t="n"/>
      <c r="AH26" s="222" t="n"/>
      <c r="AI26" s="222" t="n"/>
      <c r="AJ26" s="222" t="n"/>
    </row>
    <row r="27" ht="41.25" customHeight="1" s="166">
      <c r="A27" s="222" t="n"/>
      <c r="B27" s="222" t="inlineStr">
        <is>
          <t>综合楼</t>
        </is>
      </c>
      <c r="C27" s="222" t="inlineStr">
        <is>
          <t>010401012003</t>
        </is>
      </c>
      <c r="D27" s="222" t="inlineStr">
        <is>
          <t>零星砌砖</t>
        </is>
      </c>
      <c r="E27" s="222" t="inlineStr">
        <is>
          <t>1.台阶侧边、砖砌小步级
2.砂浆强度等级、配合比:WMM5专用砌筑砂浆</t>
        </is>
      </c>
      <c r="F27" s="222" t="inlineStr">
        <is>
          <t>m3</t>
        </is>
      </c>
      <c r="G27" s="223" t="n">
        <v>4.66</v>
      </c>
      <c r="H27" s="223" t="n">
        <v>12.54</v>
      </c>
      <c r="I27" s="223">
        <f>7.75+4.79</f>
        <v/>
      </c>
      <c r="J27" s="223" t="n"/>
      <c r="K27" s="223">
        <f>H29-G29</f>
        <v/>
      </c>
      <c r="L27" s="223">
        <f>I29-G29</f>
        <v/>
      </c>
      <c r="M27" s="223">
        <f>I29-H29</f>
        <v/>
      </c>
      <c r="N27" s="224">
        <f>K29/G29</f>
        <v/>
      </c>
      <c r="O27" s="222" t="n">
        <v>722.99</v>
      </c>
      <c r="P27" s="222" t="n">
        <v>864.65</v>
      </c>
      <c r="Q27" s="224">
        <f>(O29-P29)/P29</f>
        <v/>
      </c>
      <c r="R27" s="223">
        <f>P29*0.9056*0.85</f>
        <v/>
      </c>
      <c r="S27" s="223">
        <f>P29*1.15</f>
        <v/>
      </c>
      <c r="T27" s="223">
        <f>IF(O29&lt;P29*0.9056*0.85,P29*0.9056*0.85,IF(O29&gt;P29*1.15,P29*1.15,O29))</f>
        <v/>
      </c>
      <c r="U27" s="223" t="n">
        <v>3371.16</v>
      </c>
      <c r="V27" s="223" t="n">
        <v>9064.41</v>
      </c>
      <c r="W27" s="223" t="n">
        <v>9064.41</v>
      </c>
      <c r="X27" s="223">
        <f>V29-U29</f>
        <v/>
      </c>
      <c r="Y27" s="223">
        <f>W29-U29</f>
        <v/>
      </c>
      <c r="Z27" s="223">
        <f>W29-V29</f>
        <v/>
      </c>
      <c r="AA27" s="222" t="n"/>
      <c r="AB27" s="222" t="n"/>
      <c r="AC27" s="222" t="n"/>
      <c r="AD27" s="222" t="n"/>
      <c r="AE27" s="222" t="n"/>
      <c r="AF27" s="222" t="n"/>
      <c r="AG27" s="222" t="n"/>
      <c r="AH27" s="222" t="n"/>
      <c r="AI27" s="222" t="n"/>
      <c r="AJ27" s="222" t="n"/>
    </row>
    <row r="28" ht="28.5" customHeight="1" s="166">
      <c r="A28" s="222" t="n"/>
      <c r="B28" s="222" t="inlineStr">
        <is>
          <t>综合楼</t>
        </is>
      </c>
      <c r="C28" s="222" t="n"/>
      <c r="D28" s="222" t="inlineStr">
        <is>
          <t>混凝土及钢筋混凝土工程</t>
        </is>
      </c>
      <c r="E28" s="222" t="n"/>
      <c r="F28" s="222" t="n"/>
      <c r="G28" s="223" t="n"/>
      <c r="H28" s="223" t="n"/>
      <c r="I28" s="223" t="n"/>
      <c r="J28" s="223" t="n"/>
      <c r="K28" s="223" t="n"/>
      <c r="L28" s="223" t="n"/>
      <c r="M28" s="223" t="n"/>
      <c r="N28" s="224" t="n"/>
      <c r="O28" s="222" t="n"/>
      <c r="P28" s="222" t="n"/>
      <c r="Q28" s="224" t="n"/>
      <c r="R28" s="223" t="n"/>
      <c r="S28" s="223" t="n"/>
      <c r="T28" s="223" t="n"/>
      <c r="U28" s="223" t="n">
        <v>4004682.77</v>
      </c>
      <c r="V28" s="223" t="n">
        <v>3988491.76</v>
      </c>
      <c r="W28" s="223">
        <f>+SUM(W31:W56)</f>
        <v/>
      </c>
      <c r="X28" s="223">
        <f>V30-U30</f>
        <v/>
      </c>
      <c r="Y28" s="223">
        <f>W30-U30</f>
        <v/>
      </c>
      <c r="Z28" s="223">
        <f>W30-V30</f>
        <v/>
      </c>
      <c r="AA28" s="222" t="n"/>
      <c r="AB28" s="222" t="n"/>
      <c r="AC28" s="222" t="n"/>
      <c r="AD28" s="222" t="n"/>
      <c r="AE28" s="222" t="n"/>
      <c r="AF28" s="222" t="n"/>
      <c r="AG28" s="222" t="n"/>
      <c r="AH28" s="222" t="n"/>
      <c r="AI28" s="222" t="n"/>
      <c r="AJ28" s="222" t="n"/>
    </row>
    <row r="29" ht="54" customHeight="1" s="166">
      <c r="A29" s="222" t="n"/>
      <c r="B29" s="222" t="inlineStr">
        <is>
          <t>综合楼</t>
        </is>
      </c>
      <c r="C29" s="222" t="inlineStr">
        <is>
          <t>010501001001</t>
        </is>
      </c>
      <c r="D29" s="222" t="inlineStr">
        <is>
          <t>垫层</t>
        </is>
      </c>
      <c r="E29" s="222" t="inlineStr">
        <is>
          <t>1.垫层
2.混凝土种类:预拌混凝土
3.混凝土强度等级:C15
4.含混凝土泵送费用</t>
        </is>
      </c>
      <c r="F29" s="222" t="inlineStr">
        <is>
          <t>m3</t>
        </is>
      </c>
      <c r="G29" s="223" t="n">
        <v>295.51</v>
      </c>
      <c r="H29" s="223" t="n">
        <v>261.34</v>
      </c>
      <c r="I29" s="223">
        <f>237.87+10.87</f>
        <v/>
      </c>
      <c r="J29" s="223" t="n"/>
      <c r="K29" s="223">
        <f>H31-G31</f>
        <v/>
      </c>
      <c r="L29" s="223">
        <f>I31-G31</f>
        <v/>
      </c>
      <c r="M29" s="223">
        <f>I31-H31</f>
        <v/>
      </c>
      <c r="N29" s="224">
        <f>K31/G31</f>
        <v/>
      </c>
      <c r="O29" s="222" t="n">
        <v>626.1799999999999</v>
      </c>
      <c r="P29" s="222" t="n">
        <v>830</v>
      </c>
      <c r="Q29" s="224">
        <f>(O31-P31)/P31</f>
        <v/>
      </c>
      <c r="R29" s="223">
        <f>P31*0.9056*0.85</f>
        <v/>
      </c>
      <c r="S29" s="223">
        <f>P31*1.15</f>
        <v/>
      </c>
      <c r="T29" s="223">
        <f>IF(O31&lt;P31*0.9056*0.85,P31*0.9056*0.85,IF(O31&gt;P31*1.15,P31*1.15,O31))</f>
        <v/>
      </c>
      <c r="U29" s="223" t="n">
        <v>185040.01</v>
      </c>
      <c r="V29" s="223" t="n">
        <v>163210.83</v>
      </c>
      <c r="W29" s="223">
        <f>U31+T31*L31</f>
        <v/>
      </c>
      <c r="X29" s="223">
        <f>V31-U31</f>
        <v/>
      </c>
      <c r="Y29" s="223">
        <f>W31-U31</f>
        <v/>
      </c>
      <c r="Z29" s="223">
        <f>W31-V31</f>
        <v/>
      </c>
      <c r="AA29" s="222" t="n"/>
      <c r="AB29" s="222" t="inlineStr">
        <is>
          <t>加负一层垫层</t>
        </is>
      </c>
      <c r="AC29" s="222" t="n"/>
      <c r="AD29" s="222" t="n"/>
      <c r="AE29" s="222" t="n"/>
      <c r="AF29" s="222" t="n"/>
      <c r="AG29" s="222" t="n"/>
      <c r="AH29" s="222" t="n"/>
      <c r="AI29" s="222" t="n"/>
      <c r="AJ29" s="222" t="n"/>
    </row>
    <row r="30" ht="54" customHeight="1" s="166">
      <c r="A30" s="222" t="n"/>
      <c r="B30" s="222" t="inlineStr">
        <is>
          <t>综合楼</t>
        </is>
      </c>
      <c r="C30" s="222" t="inlineStr">
        <is>
          <t>010501005001</t>
        </is>
      </c>
      <c r="D30" s="222" t="inlineStr">
        <is>
          <t>桩承台基础</t>
        </is>
      </c>
      <c r="E30" s="222" t="inlineStr">
        <is>
          <t>1.桩承台
2.混凝土种类:预拌混凝土
3.混凝土强度等级:C35P6
4.含混凝土泵送费用</t>
        </is>
      </c>
      <c r="F30" s="222" t="inlineStr">
        <is>
          <t>m3</t>
        </is>
      </c>
      <c r="G30" s="223" t="n">
        <v>181.51</v>
      </c>
      <c r="H30" s="223" t="n">
        <v>233.54</v>
      </c>
      <c r="I30" s="223">
        <f>53.3+176.3</f>
        <v/>
      </c>
      <c r="J30" s="223" t="n"/>
      <c r="K30" s="223">
        <f>H32-G32</f>
        <v/>
      </c>
      <c r="L30" s="223">
        <f>I32-G32</f>
        <v/>
      </c>
      <c r="M30" s="223">
        <f>I32-H32</f>
        <v/>
      </c>
      <c r="N30" s="224">
        <f>K32/G32</f>
        <v/>
      </c>
      <c r="O30" s="222" t="n">
        <v>687.16</v>
      </c>
      <c r="P30" s="222" t="n">
        <v>871.16</v>
      </c>
      <c r="Q30" s="224">
        <f>(O32-P32)/P32</f>
        <v/>
      </c>
      <c r="R30" s="223">
        <f>P32*0.9056*0.85</f>
        <v/>
      </c>
      <c r="S30" s="223">
        <f>P32*1.15</f>
        <v/>
      </c>
      <c r="T30" s="223">
        <f>IF(O32&lt;P32*0.9056*0.85,P32*0.9056*0.85,IF(O32&gt;P32*1.15,P32*1.15,O32))</f>
        <v/>
      </c>
      <c r="U30" s="223" t="n">
        <v>124725.04</v>
      </c>
      <c r="V30" s="223" t="n">
        <v>160477.65</v>
      </c>
      <c r="W30" s="223">
        <f>U32+T32*L32</f>
        <v/>
      </c>
      <c r="X30" s="223">
        <f>V32-U32</f>
        <v/>
      </c>
      <c r="Y30" s="223">
        <f>W32-U32</f>
        <v/>
      </c>
      <c r="Z30" s="223">
        <f>W32-V32</f>
        <v/>
      </c>
      <c r="AA30" s="222" t="n"/>
      <c r="AB30" s="222" t="n"/>
      <c r="AC30" s="222" t="n"/>
      <c r="AD30" s="222" t="n"/>
      <c r="AE30" s="222" t="n"/>
      <c r="AF30" s="222" t="n"/>
      <c r="AG30" s="222" t="n"/>
      <c r="AH30" s="222" t="n"/>
      <c r="AI30" s="222" t="n"/>
      <c r="AJ30" s="222" t="n"/>
    </row>
    <row r="31" ht="54" customHeight="1" s="166">
      <c r="A31" s="222" t="n"/>
      <c r="B31" s="222" t="inlineStr">
        <is>
          <t>综合楼</t>
        </is>
      </c>
      <c r="C31" s="222" t="inlineStr">
        <is>
          <t>010503001001</t>
        </is>
      </c>
      <c r="D31" s="222" t="inlineStr">
        <is>
          <t>基础梁</t>
        </is>
      </c>
      <c r="E31" s="222" t="inlineStr">
        <is>
          <t>1.基础梁
2.混凝土种类:预拌混凝土
3.混凝土强度等级:C35P6
4.含混凝土泵送费用</t>
        </is>
      </c>
      <c r="F31" s="222" t="inlineStr">
        <is>
          <t>m3</t>
        </is>
      </c>
      <c r="G31" s="223" t="n">
        <v>113.08</v>
      </c>
      <c r="H31" s="223" t="n">
        <v>114.47</v>
      </c>
      <c r="I31" s="223" t="n">
        <v>110.3</v>
      </c>
      <c r="J31" s="223" t="n"/>
      <c r="K31" s="223">
        <f>H33-G33</f>
        <v/>
      </c>
      <c r="L31" s="223">
        <f>I33-G33</f>
        <v/>
      </c>
      <c r="M31" s="223">
        <f>I33-H33</f>
        <v/>
      </c>
      <c r="N31" s="224">
        <f>K33/G33</f>
        <v/>
      </c>
      <c r="O31" s="222" t="n">
        <v>679.67</v>
      </c>
      <c r="P31" s="222" t="n">
        <v>863.84</v>
      </c>
      <c r="Q31" s="224">
        <f>(O33-P33)/P33</f>
        <v/>
      </c>
      <c r="R31" s="223">
        <f>P33*0.9056*0.85</f>
        <v/>
      </c>
      <c r="S31" s="223">
        <f>P33*1.15</f>
        <v/>
      </c>
      <c r="T31" s="223">
        <f>IF(O33&lt;P33*0.9056*0.85,P33*0.9056*0.85,IF(O33&gt;P33*1.15,P33*1.15,O33))</f>
        <v/>
      </c>
      <c r="U31" s="223" t="n">
        <v>76855.86</v>
      </c>
      <c r="V31" s="223" t="n">
        <v>77801.22</v>
      </c>
      <c r="W31" s="223">
        <f>U33+T33*L33</f>
        <v/>
      </c>
      <c r="X31" s="223">
        <f>V33-U33</f>
        <v/>
      </c>
      <c r="Y31" s="223">
        <f>W33-U33</f>
        <v/>
      </c>
      <c r="Z31" s="223">
        <f>W33-V33</f>
        <v/>
      </c>
      <c r="AA31" s="222" t="n"/>
      <c r="AB31" s="222" t="n"/>
      <c r="AC31" s="222" t="n"/>
      <c r="AD31" s="222" t="n"/>
      <c r="AE31" s="222" t="n"/>
      <c r="AF31" s="222" t="n"/>
      <c r="AG31" s="222" t="n"/>
      <c r="AH31" s="222" t="n"/>
      <c r="AI31" s="222" t="n"/>
      <c r="AJ31" s="222" t="n"/>
    </row>
    <row r="32" ht="54" customHeight="1" s="166">
      <c r="A32" s="222" t="n"/>
      <c r="B32" s="222" t="inlineStr">
        <is>
          <t>综合楼</t>
        </is>
      </c>
      <c r="C32" s="222" t="inlineStr">
        <is>
          <t>010501004001</t>
        </is>
      </c>
      <c r="D32" s="222" t="inlineStr">
        <is>
          <t>满堂基础</t>
        </is>
      </c>
      <c r="E32" s="222" t="inlineStr">
        <is>
          <t>1.满堂基础
2.预拌混凝土
3.混凝土强度等级:C35P6
4.含混凝土泵送费用</t>
        </is>
      </c>
      <c r="F32" s="222" t="inlineStr">
        <is>
          <t>m3</t>
        </is>
      </c>
      <c r="G32" s="223" t="n">
        <v>411.63</v>
      </c>
      <c r="H32" s="223" t="n">
        <v>360.95</v>
      </c>
      <c r="I32" s="223">
        <f>340.67+3.09</f>
        <v/>
      </c>
      <c r="J32" s="223" t="n"/>
      <c r="K32" s="223">
        <f>H34-G34</f>
        <v/>
      </c>
      <c r="L32" s="223">
        <f>I34-G34</f>
        <v/>
      </c>
      <c r="M32" s="223">
        <f>I34-H34</f>
        <v/>
      </c>
      <c r="N32" s="224">
        <f>K34/G34</f>
        <v/>
      </c>
      <c r="O32" s="222" t="n">
        <v>686.38</v>
      </c>
      <c r="P32" s="222" t="n">
        <v>871.16</v>
      </c>
      <c r="Q32" s="224">
        <f>(O34-P34)/P34</f>
        <v/>
      </c>
      <c r="R32" s="223">
        <f>P34*0.9056*0.85</f>
        <v/>
      </c>
      <c r="S32" s="223">
        <f>P34*1.15</f>
        <v/>
      </c>
      <c r="T32" s="223">
        <f>IF(O34&lt;P34*0.9056*0.85,P34*0.9056*0.85,IF(O34&gt;P34*1.15,P34*1.15,O34))</f>
        <v/>
      </c>
      <c r="U32" s="223" t="n">
        <v>282533.23</v>
      </c>
      <c r="V32" s="223" t="n">
        <v>247750.59</v>
      </c>
      <c r="W32" s="223">
        <f>U34+T34*L34</f>
        <v/>
      </c>
      <c r="X32" s="223">
        <f>V34-U34</f>
        <v/>
      </c>
      <c r="Y32" s="223">
        <f>W34-U34</f>
        <v/>
      </c>
      <c r="Z32" s="223">
        <f>W34-V34</f>
        <v/>
      </c>
      <c r="AA32" s="222" t="n"/>
      <c r="AB32" s="222" t="inlineStr">
        <is>
          <t>加首层集水井</t>
        </is>
      </c>
      <c r="AC32" s="222" t="n"/>
      <c r="AD32" s="222" t="n"/>
      <c r="AE32" s="222" t="n"/>
      <c r="AF32" s="222" t="n"/>
      <c r="AG32" s="222" t="n"/>
      <c r="AH32" s="222" t="n"/>
      <c r="AI32" s="222" t="n"/>
      <c r="AJ32" s="222" t="n"/>
    </row>
    <row r="33" ht="70" customHeight="1" s="166">
      <c r="A33" s="222" t="n"/>
      <c r="B33" s="222" t="inlineStr">
        <is>
          <t>综合楼</t>
        </is>
      </c>
      <c r="C33" s="222" t="inlineStr">
        <is>
          <t>010502001005</t>
        </is>
      </c>
      <c r="D33" s="222" t="inlineStr">
        <is>
          <t>矩形柱、异性柱</t>
        </is>
      </c>
      <c r="E33" s="222" t="inlineStr">
        <is>
          <t>1.现浇建筑物混凝土矩形、多边形、异形、圆形柱、钢管柱
2.混凝土种类:预拌混凝土
3.混凝土强度等级:C30
4.含混凝土泵送费用</t>
        </is>
      </c>
      <c r="F33" s="222" t="inlineStr">
        <is>
          <t>m3</t>
        </is>
      </c>
      <c r="G33" s="223" t="n">
        <v>374.97</v>
      </c>
      <c r="H33" s="223" t="n">
        <v>389.37</v>
      </c>
      <c r="I33" s="223">
        <f>340.09+30.12+0.61+14.7</f>
        <v/>
      </c>
      <c r="J33" s="223" t="n"/>
      <c r="K33" s="223">
        <f>H35-G35</f>
        <v/>
      </c>
      <c r="L33" s="223">
        <f>I35-G35</f>
        <v/>
      </c>
      <c r="M33" s="223">
        <f>I35-H35</f>
        <v/>
      </c>
      <c r="N33" s="224">
        <f>K35/G35</f>
        <v/>
      </c>
      <c r="O33" s="222" t="n">
        <v>767.6900000000001</v>
      </c>
      <c r="P33" s="222" t="n">
        <v>959.74</v>
      </c>
      <c r="Q33" s="224">
        <f>(O35-P35)/P35</f>
        <v/>
      </c>
      <c r="R33" s="223">
        <f>P35*0.9056*0.85</f>
        <v/>
      </c>
      <c r="S33" s="223">
        <f>P35*1.15</f>
        <v/>
      </c>
      <c r="T33" s="223">
        <f>IF(O35&lt;P35*0.9056*0.85,P35*0.9056*0.85,IF(O35&gt;P35*1.15,P35*1.15,O35))</f>
        <v/>
      </c>
      <c r="U33" s="223" t="n">
        <v>287859.49</v>
      </c>
      <c r="V33" s="223" t="n">
        <v>298913.06</v>
      </c>
      <c r="W33" s="223">
        <f>U35+T35*L35</f>
        <v/>
      </c>
      <c r="X33" s="223">
        <f>V35-U35</f>
        <v/>
      </c>
      <c r="Y33" s="223">
        <f>W35-U35</f>
        <v/>
      </c>
      <c r="Z33" s="223">
        <f>W35-V35</f>
        <v/>
      </c>
      <c r="AA33" s="222" t="n"/>
      <c r="AB33" s="222" t="n"/>
      <c r="AC33" s="222" t="n"/>
      <c r="AD33" s="222" t="n"/>
      <c r="AE33" s="222" t="n"/>
      <c r="AF33" s="222" t="n"/>
      <c r="AG33" s="222" t="n"/>
      <c r="AH33" s="222" t="n"/>
      <c r="AI33" s="222" t="n"/>
      <c r="AJ33" s="222" t="n"/>
    </row>
    <row r="34" ht="41.25" customHeight="1" s="166">
      <c r="A34" s="222" t="n"/>
      <c r="B34" s="222" t="inlineStr">
        <is>
          <t>综合楼</t>
        </is>
      </c>
      <c r="C34" s="222" t="inlineStr">
        <is>
          <t>010502002001</t>
        </is>
      </c>
      <c r="D34" s="222" t="inlineStr">
        <is>
          <t>构造柱</t>
        </is>
      </c>
      <c r="E34" s="222" t="inlineStr">
        <is>
          <t>1.构造柱
2.混凝土种类:预拌混凝土
3.混凝土强度等级:C25</t>
        </is>
      </c>
      <c r="F34" s="222" t="inlineStr">
        <is>
          <t>m3</t>
        </is>
      </c>
      <c r="G34" s="223" t="n">
        <v>59.54</v>
      </c>
      <c r="H34" s="223" t="n">
        <v>65.14</v>
      </c>
      <c r="I34" s="223" t="n">
        <v>65.14</v>
      </c>
      <c r="J34" s="223" t="n"/>
      <c r="K34" s="223">
        <f>H36-G36</f>
        <v/>
      </c>
      <c r="L34" s="223">
        <f>I36-G36</f>
        <v/>
      </c>
      <c r="M34" s="223">
        <f>I36-H36</f>
        <v/>
      </c>
      <c r="N34" s="224">
        <f>K36/G36</f>
        <v/>
      </c>
      <c r="O34" s="222" t="n">
        <v>820.9400000000001</v>
      </c>
      <c r="P34" s="222" t="n">
        <v>1006.12</v>
      </c>
      <c r="Q34" s="224">
        <f>(O36-P36)/P36</f>
        <v/>
      </c>
      <c r="R34" s="223">
        <f>P36*0.9056*0.85</f>
        <v/>
      </c>
      <c r="S34" s="223">
        <f>P36*1.15</f>
        <v/>
      </c>
      <c r="T34" s="223">
        <f>IF(O36&lt;P36*0.9056*0.85,P36*0.9056*0.85,IF(O36&gt;P36*1.15,P36*1.15,O36))</f>
        <v/>
      </c>
      <c r="U34" s="223" t="n">
        <v>48878.52</v>
      </c>
      <c r="V34" s="223" t="n">
        <v>53476.03</v>
      </c>
      <c r="W34" s="223">
        <f>U36+T36*L36</f>
        <v/>
      </c>
      <c r="X34" s="223">
        <f>V36-U36</f>
        <v/>
      </c>
      <c r="Y34" s="223">
        <f>W36-U36</f>
        <v/>
      </c>
      <c r="Z34" s="223">
        <f>W36-V36</f>
        <v/>
      </c>
      <c r="AA34" s="222" t="n"/>
      <c r="AB34" s="222" t="n"/>
      <c r="AC34" s="222" t="n"/>
      <c r="AD34" s="222" t="n"/>
      <c r="AE34" s="222" t="n"/>
      <c r="AF34" s="222" t="n"/>
      <c r="AG34" s="222" t="n"/>
      <c r="AH34" s="222" t="n"/>
      <c r="AI34" s="222" t="n"/>
      <c r="AJ34" s="222" t="n"/>
    </row>
    <row r="35" ht="54" customHeight="1" s="166">
      <c r="A35" s="222" t="n"/>
      <c r="B35" s="222" t="inlineStr">
        <is>
          <t>综合楼</t>
        </is>
      </c>
      <c r="C35" s="222" t="inlineStr">
        <is>
          <t>010505001002</t>
        </is>
      </c>
      <c r="D35" s="222" t="inlineStr">
        <is>
          <t>有梁板</t>
        </is>
      </c>
      <c r="E35" s="222" t="inlineStr">
        <is>
          <t>1.有梁板
2.混凝土种类:预拌混凝土
3.混凝土强度等级:C30
4.含混凝土泵送费用</t>
        </is>
      </c>
      <c r="F35" s="222" t="inlineStr">
        <is>
          <t>m3</t>
        </is>
      </c>
      <c r="G35" s="223" t="n">
        <v>1100.15</v>
      </c>
      <c r="H35" s="223" t="n">
        <v>1139.02</v>
      </c>
      <c r="I35" s="223">
        <f>549.51+211.22+325.1</f>
        <v/>
      </c>
      <c r="J35" s="223" t="n"/>
      <c r="K35" s="223">
        <f>H37-G37</f>
        <v/>
      </c>
      <c r="L35" s="223">
        <f>I37-G37</f>
        <v/>
      </c>
      <c r="M35" s="223">
        <f>I37-H37</f>
        <v/>
      </c>
      <c r="N35" s="224">
        <f>K37/G37</f>
        <v/>
      </c>
      <c r="O35" s="222" t="n">
        <v>674.8</v>
      </c>
      <c r="P35" s="222" t="n">
        <v>855.35</v>
      </c>
      <c r="Q35" s="224">
        <f>(O37-P37)/P37</f>
        <v/>
      </c>
      <c r="R35" s="223">
        <f>P37*0.9056*0.85</f>
        <v/>
      </c>
      <c r="S35" s="223">
        <f>P37*1.15</f>
        <v/>
      </c>
      <c r="T35" s="223">
        <f>IF(O37&lt;P37*0.9056*0.85,P37*0.9056*0.85,IF(O37&gt;P37*1.15,P37*1.15,O37))</f>
        <v/>
      </c>
      <c r="U35" s="223" t="n">
        <v>742380.21</v>
      </c>
      <c r="V35" s="223" t="n">
        <v>768609.1</v>
      </c>
      <c r="W35" s="223">
        <f>U37+T37*L37</f>
        <v/>
      </c>
      <c r="X35" s="223">
        <f>V37-U37</f>
        <v/>
      </c>
      <c r="Y35" s="223">
        <f>W37-U37</f>
        <v/>
      </c>
      <c r="Z35" s="223">
        <f>W37-V37</f>
        <v/>
      </c>
      <c r="AA35" s="222" t="n"/>
      <c r="AB35" s="222" t="n"/>
      <c r="AC35" s="222" t="n"/>
      <c r="AD35" s="222" t="n"/>
      <c r="AE35" s="222" t="n"/>
      <c r="AF35" s="222" t="n"/>
      <c r="AG35" s="222" t="n"/>
      <c r="AH35" s="222" t="n"/>
      <c r="AI35" s="222" t="n"/>
      <c r="AJ35" s="222" t="n"/>
    </row>
    <row r="36" ht="54" customHeight="1" s="166">
      <c r="A36" s="222" t="n"/>
      <c r="B36" s="222" t="inlineStr">
        <is>
          <t>综合楼</t>
        </is>
      </c>
      <c r="C36" s="222" t="inlineStr">
        <is>
          <t>010505001003</t>
        </is>
      </c>
      <c r="D36" s="222" t="inlineStr">
        <is>
          <t>有梁板（斜板）</t>
        </is>
      </c>
      <c r="E36" s="222" t="inlineStr">
        <is>
          <t>1.有梁板
2.混凝土种类:预拌混凝土
3.混凝土强度等级:C30
4.含混凝土泵送费用</t>
        </is>
      </c>
      <c r="F36" s="222" t="inlineStr">
        <is>
          <t>m3</t>
        </is>
      </c>
      <c r="G36" s="223" t="n">
        <v>36.14</v>
      </c>
      <c r="H36" s="223" t="n">
        <v>27.25</v>
      </c>
      <c r="I36" s="223">
        <f>2.75+23.2</f>
        <v/>
      </c>
      <c r="J36" s="223" t="n"/>
      <c r="K36" s="223">
        <f>H38-G38</f>
        <v/>
      </c>
      <c r="L36" s="223">
        <f>I38-G38</f>
        <v/>
      </c>
      <c r="M36" s="223">
        <f>I38-H38</f>
        <v/>
      </c>
      <c r="N36" s="224">
        <f>K38/G38</f>
        <v/>
      </c>
      <c r="O36" s="222" t="n">
        <v>674.8</v>
      </c>
      <c r="P36" s="222" t="n">
        <v>869.35</v>
      </c>
      <c r="Q36" s="224">
        <f>(O38-P38)/P38</f>
        <v/>
      </c>
      <c r="R36" s="223">
        <f>P38*0.9056*0.85</f>
        <v/>
      </c>
      <c r="S36" s="223">
        <f>P38*1.15</f>
        <v/>
      </c>
      <c r="T36" s="223">
        <f>IF(O38&lt;P38*0.9056*0.85,P38*0.9056*0.85,IF(O38&gt;P38*1.15,P38*1.15,O38))</f>
        <v/>
      </c>
      <c r="U36" s="223" t="n">
        <v>24386.26</v>
      </c>
      <c r="V36" s="223" t="n">
        <v>18387.39</v>
      </c>
      <c r="W36" s="223">
        <f>U38+T38*L38</f>
        <v/>
      </c>
      <c r="X36" s="223">
        <f>V38-U38</f>
        <v/>
      </c>
      <c r="Y36" s="223">
        <f>W38-U38</f>
        <v/>
      </c>
      <c r="Z36" s="223">
        <f>W38-V38</f>
        <v/>
      </c>
      <c r="AA36" s="222" t="n"/>
      <c r="AB36" s="222" t="n"/>
      <c r="AC36" s="222" t="n"/>
      <c r="AD36" s="222" t="n"/>
      <c r="AE36" s="222" t="n"/>
      <c r="AF36" s="222" t="n"/>
      <c r="AG36" s="222" t="n"/>
      <c r="AH36" s="222" t="n"/>
      <c r="AI36" s="222" t="n"/>
      <c r="AJ36" s="222" t="n"/>
    </row>
    <row r="37" ht="54" customHeight="1" s="166">
      <c r="A37" s="222" t="n"/>
      <c r="B37" s="222" t="inlineStr">
        <is>
          <t>综合楼</t>
        </is>
      </c>
      <c r="C37" s="222" t="inlineStr">
        <is>
          <t>010504001003</t>
        </is>
      </c>
      <c r="D37" s="222" t="inlineStr">
        <is>
          <t>直形墙</t>
        </is>
      </c>
      <c r="E37" s="222" t="inlineStr">
        <is>
          <t>1.直行墙
2.混凝土种类:预拌混凝土
3.混凝土强度等级:C30
4.含混凝土泵送费用</t>
        </is>
      </c>
      <c r="F37" s="222" t="inlineStr">
        <is>
          <t>m3</t>
        </is>
      </c>
      <c r="G37" s="223" t="n">
        <v>49.41</v>
      </c>
      <c r="H37" s="223" t="n">
        <v>22.39</v>
      </c>
      <c r="I37" s="223">
        <f>21.29</f>
        <v/>
      </c>
      <c r="J37" s="223" t="n"/>
      <c r="K37" s="223">
        <f>H39-G39</f>
        <v/>
      </c>
      <c r="L37" s="223">
        <f>I39-G39</f>
        <v/>
      </c>
      <c r="M37" s="223">
        <f>I39-H39</f>
        <v/>
      </c>
      <c r="N37" s="224">
        <f>K39/G39</f>
        <v/>
      </c>
      <c r="O37" s="222" t="n">
        <v>699.01</v>
      </c>
      <c r="P37" s="222" t="n">
        <v>882.4400000000001</v>
      </c>
      <c r="Q37" s="224">
        <f>(O39-P39)/P39</f>
        <v/>
      </c>
      <c r="R37" s="223">
        <f>P39*0.9056*0.85</f>
        <v/>
      </c>
      <c r="S37" s="223">
        <f>P39*1.15</f>
        <v/>
      </c>
      <c r="T37" s="223">
        <f>IF(O39&lt;P39*0.9056*0.85,P39*0.9056*0.85,IF(O39&gt;P39*1.15,P39*1.15,O39))</f>
        <v/>
      </c>
      <c r="U37" s="223" t="n">
        <v>34535.99</v>
      </c>
      <c r="V37" s="223" t="n">
        <v>15647.96</v>
      </c>
      <c r="W37" s="223">
        <f>U39+T39*L39</f>
        <v/>
      </c>
      <c r="X37" s="223">
        <f>V39-U39</f>
        <v/>
      </c>
      <c r="Y37" s="223">
        <f>W39-U39</f>
        <v/>
      </c>
      <c r="Z37" s="223">
        <f>W39-V39</f>
        <v/>
      </c>
      <c r="AA37" s="222" t="n"/>
      <c r="AB37" s="222" t="n"/>
      <c r="AC37" s="222" t="n"/>
      <c r="AD37" s="222" t="n"/>
      <c r="AE37" s="222" t="n"/>
      <c r="AF37" s="222" t="n"/>
      <c r="AG37" s="222" t="n"/>
      <c r="AH37" s="222" t="n"/>
      <c r="AI37" s="222" t="n"/>
      <c r="AJ37" s="222" t="n"/>
    </row>
    <row r="38" ht="41.25" customHeight="1" s="166">
      <c r="A38" s="222" t="n"/>
      <c r="B38" s="222" t="inlineStr">
        <is>
          <t>综合楼</t>
        </is>
      </c>
      <c r="C38" s="222" t="inlineStr">
        <is>
          <t>010506001002</t>
        </is>
      </c>
      <c r="D38" s="222" t="inlineStr">
        <is>
          <t>直形楼梯</t>
        </is>
      </c>
      <c r="E38" s="222" t="inlineStr">
        <is>
          <t>1.混凝土种类:预拌混凝土
2.混凝土强度等级:C30
3.含混凝土泵送费用</t>
        </is>
      </c>
      <c r="F38" s="222" t="inlineStr">
        <is>
          <t>m3</t>
        </is>
      </c>
      <c r="G38" s="223" t="n">
        <v>145.46</v>
      </c>
      <c r="H38" s="223" t="n">
        <v>111.17</v>
      </c>
      <c r="I38" s="223" t="n">
        <v>107.54</v>
      </c>
      <c r="J38" s="223" t="n"/>
      <c r="K38" s="223">
        <f>H40-G40</f>
        <v/>
      </c>
      <c r="L38" s="223">
        <f>I40-G40</f>
        <v/>
      </c>
      <c r="M38" s="223">
        <f>I40-H40</f>
        <v/>
      </c>
      <c r="N38" s="224">
        <f>K40/G40</f>
        <v/>
      </c>
      <c r="O38" s="222" t="n">
        <v>726.66</v>
      </c>
      <c r="P38" s="222" t="n">
        <v>913.95</v>
      </c>
      <c r="Q38" s="224">
        <f>(O40-P40)/P40</f>
        <v/>
      </c>
      <c r="R38" s="223">
        <f>P40*0.9056*0.85</f>
        <v/>
      </c>
      <c r="S38" s="223">
        <f>P40*1.15</f>
        <v/>
      </c>
      <c r="T38" s="223">
        <f>IF(O40&lt;P40*0.9056*0.85,P40*0.9056*0.85,IF(O40&gt;P40*1.15,P40*1.15,O40))</f>
        <v/>
      </c>
      <c r="U38" s="223" t="n">
        <v>105702.36</v>
      </c>
      <c r="V38" s="223" t="n">
        <v>80781.2</v>
      </c>
      <c r="W38" s="223">
        <f>U40+T40*L40</f>
        <v/>
      </c>
      <c r="X38" s="223">
        <f>V40-U40</f>
        <v/>
      </c>
      <c r="Y38" s="223">
        <f>W40-U40</f>
        <v/>
      </c>
      <c r="Z38" s="223">
        <f>W40-V40</f>
        <v/>
      </c>
      <c r="AA38" s="222" t="n"/>
      <c r="AB38" s="222" t="n"/>
      <c r="AC38" s="222" t="n"/>
      <c r="AD38" s="222" t="n"/>
      <c r="AE38" s="222" t="n"/>
      <c r="AF38" s="222" t="n"/>
      <c r="AG38" s="222" t="n"/>
      <c r="AH38" s="222" t="n"/>
      <c r="AI38" s="222" t="n"/>
      <c r="AJ38" s="222" t="n"/>
    </row>
    <row r="39" ht="54" customHeight="1" s="166">
      <c r="A39" s="222" t="n"/>
      <c r="B39" s="222" t="inlineStr">
        <is>
          <t>综合楼</t>
        </is>
      </c>
      <c r="C39" s="222" t="inlineStr">
        <is>
          <t>010505008001</t>
        </is>
      </c>
      <c r="D39" s="222" t="inlineStr">
        <is>
          <t>飘板</t>
        </is>
      </c>
      <c r="E39" s="222" t="inlineStr">
        <is>
          <t>1.部位:空调板、装饰飘板
2.混凝土种类:预拌混凝土
3.混凝土强度等级:C30
4.含混凝土泵送费用</t>
        </is>
      </c>
      <c r="F39" s="222" t="inlineStr">
        <is>
          <t>m3</t>
        </is>
      </c>
      <c r="G39" s="223" t="n">
        <v>3.49</v>
      </c>
      <c r="H39" s="223" t="n">
        <v>12.68</v>
      </c>
      <c r="I39" s="223">
        <f>4.33+6.24+1.51</f>
        <v/>
      </c>
      <c r="J39" s="223" t="n"/>
      <c r="K39" s="223">
        <f>H41-G41</f>
        <v/>
      </c>
      <c r="L39" s="223">
        <f>I41-G41</f>
        <v/>
      </c>
      <c r="M39" s="223">
        <f>I41-H41</f>
        <v/>
      </c>
      <c r="N39" s="224">
        <f>K41/G41</f>
        <v/>
      </c>
      <c r="O39" s="222" t="n">
        <v>838.64</v>
      </c>
      <c r="P39" s="222" t="n">
        <v>1035.77</v>
      </c>
      <c r="Q39" s="224">
        <f>(O41-P41)/P41</f>
        <v/>
      </c>
      <c r="R39" s="223">
        <f>P41*0.9056*0.85</f>
        <v/>
      </c>
      <c r="S39" s="223">
        <f>P41*1.15</f>
        <v/>
      </c>
      <c r="T39" s="223">
        <f>IF(O41&lt;P41*0.9056*0.85,P41*0.9056*0.85,IF(O41&gt;P41*1.15,P41*1.15,O41))</f>
        <v/>
      </c>
      <c r="U39" s="223" t="n">
        <v>2923</v>
      </c>
      <c r="V39" s="223" t="n">
        <v>10630.79</v>
      </c>
      <c r="W39" s="223">
        <f>U41+T41*L41</f>
        <v/>
      </c>
      <c r="X39" s="223">
        <f>V41-U41</f>
        <v/>
      </c>
      <c r="Y39" s="223">
        <f>W41-U41</f>
        <v/>
      </c>
      <c r="Z39" s="223">
        <f>W41-V41</f>
        <v/>
      </c>
      <c r="AA39" s="222" t="n"/>
      <c r="AB39" s="222" t="inlineStr">
        <is>
          <t>加首层排水沟，复核单价</t>
        </is>
      </c>
      <c r="AC39" s="222" t="n"/>
      <c r="AD39" s="222" t="n"/>
      <c r="AE39" s="222" t="n"/>
      <c r="AF39" s="222" t="n"/>
      <c r="AG39" s="222" t="n"/>
      <c r="AH39" s="222" t="n"/>
      <c r="AI39" s="222" t="n"/>
      <c r="AJ39" s="222" t="n"/>
    </row>
    <row r="40" ht="54" customHeight="1" s="166">
      <c r="A40" s="222" t="n"/>
      <c r="B40" s="222" t="inlineStr">
        <is>
          <t>综合楼</t>
        </is>
      </c>
      <c r="C40" s="222" t="inlineStr">
        <is>
          <t>010507007002</t>
        </is>
      </c>
      <c r="D40" s="222" t="inlineStr">
        <is>
          <t>其他构件</t>
        </is>
      </c>
      <c r="E40" s="222" t="inlineStr">
        <is>
          <t>1.部位:外墙造型、挑檐
2.混凝土种类:预拌混凝土
3.混凝土强度等级:C30
4.含混凝土泵送费用</t>
        </is>
      </c>
      <c r="F40" s="222" t="inlineStr">
        <is>
          <t>m3</t>
        </is>
      </c>
      <c r="G40" s="223" t="n">
        <v>116.23</v>
      </c>
      <c r="H40" s="223" t="n">
        <v>71.20999999999999</v>
      </c>
      <c r="I40" s="223" t="n">
        <v>69.73999999999999</v>
      </c>
      <c r="J40" s="223" t="n"/>
      <c r="K40" s="223">
        <f>H42-G42</f>
        <v/>
      </c>
      <c r="L40" s="223">
        <f>I42-G42</f>
        <v/>
      </c>
      <c r="M40" s="223">
        <f>I42-H42</f>
        <v/>
      </c>
      <c r="N40" s="224">
        <f>K42/G42</f>
        <v/>
      </c>
      <c r="O40" s="222" t="n">
        <v>994.4400000000001</v>
      </c>
      <c r="P40" s="222" t="n">
        <v>1058.32</v>
      </c>
      <c r="Q40" s="224">
        <f>(O42-P42)/P42</f>
        <v/>
      </c>
      <c r="R40" s="223">
        <f>P42*0.9056*0.85</f>
        <v/>
      </c>
      <c r="S40" s="223">
        <f>P42*1.15</f>
        <v/>
      </c>
      <c r="T40" s="223">
        <f>IF(O42&lt;P42*0.9056*0.85,P42*0.9056*0.85,IF(O42&gt;P42*1.15,P42*1.15,O42))</f>
        <v/>
      </c>
      <c r="U40" s="223" t="n">
        <v>115587.84</v>
      </c>
      <c r="V40" s="223" t="n">
        <v>70817.89</v>
      </c>
      <c r="W40" s="223">
        <f>U42+T42*L42</f>
        <v/>
      </c>
      <c r="X40" s="223">
        <f>V42-U42</f>
        <v/>
      </c>
      <c r="Y40" s="223">
        <f>W42-U42</f>
        <v/>
      </c>
      <c r="Z40" s="223">
        <f>W42-V42</f>
        <v/>
      </c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</row>
    <row r="41" ht="54" customHeight="1" s="166">
      <c r="A41" s="222" t="n"/>
      <c r="B41" s="222" t="inlineStr">
        <is>
          <t>综合楼</t>
        </is>
      </c>
      <c r="C41" s="222" t="inlineStr">
        <is>
          <t>010503004002</t>
        </is>
      </c>
      <c r="D41" s="222" t="inlineStr">
        <is>
          <t>圈梁</t>
        </is>
      </c>
      <c r="E41" s="222" t="inlineStr">
        <is>
          <t>1.部位:圈梁
2.混凝土种类:预拌混凝土
3.混凝土强度等级:C30
4.含混凝土泵送费用</t>
        </is>
      </c>
      <c r="F41" s="222" t="inlineStr">
        <is>
          <t>m3</t>
        </is>
      </c>
      <c r="G41" s="223" t="n">
        <v>4.76</v>
      </c>
      <c r="H41" s="223" t="n">
        <v>15.08</v>
      </c>
      <c r="I41" s="223">
        <f>8.31+4.06+2.68</f>
        <v/>
      </c>
      <c r="J41" s="223" t="n"/>
      <c r="K41" s="223">
        <f>H43-G43</f>
        <v/>
      </c>
      <c r="L41" s="223">
        <f>I43-G43</f>
        <v/>
      </c>
      <c r="M41" s="223">
        <f>I43-H43</f>
        <v/>
      </c>
      <c r="N41" s="224">
        <f>K43/G43</f>
        <v/>
      </c>
      <c r="O41" s="222" t="n">
        <v>766.65</v>
      </c>
      <c r="P41" s="222" t="n">
        <v>957.91</v>
      </c>
      <c r="Q41" s="224">
        <f>(O43-P43)/P43</f>
        <v/>
      </c>
      <c r="R41" s="223">
        <f>P43*0.9056*0.85</f>
        <v/>
      </c>
      <c r="S41" s="223">
        <f>P43*1.15</f>
        <v/>
      </c>
      <c r="T41" s="223">
        <f>IF(O43&lt;P43*0.9056*0.85,P43*0.9056*0.85,IF(O43&gt;P43*1.15,P43*1.15,O43))</f>
        <v/>
      </c>
      <c r="U41" s="223" t="n">
        <v>3650.17</v>
      </c>
      <c r="V41" s="223" t="n">
        <v>11559.47</v>
      </c>
      <c r="W41" s="223">
        <f>U43+T43*L43</f>
        <v/>
      </c>
      <c r="X41" s="223">
        <f>V43-U43</f>
        <v/>
      </c>
      <c r="Y41" s="223">
        <f>W43-U43</f>
        <v/>
      </c>
      <c r="Z41" s="223">
        <f>W43-V43</f>
        <v/>
      </c>
      <c r="AA41" s="222" t="n"/>
      <c r="AB41" s="222" t="n"/>
      <c r="AC41" s="222" t="n"/>
      <c r="AD41" s="222" t="n"/>
      <c r="AE41" s="222" t="n"/>
      <c r="AF41" s="222" t="n"/>
      <c r="AG41" s="222" t="n"/>
      <c r="AH41" s="222" t="n"/>
      <c r="AI41" s="222" t="n"/>
      <c r="AJ41" s="222" t="n"/>
    </row>
    <row r="42" ht="54" customHeight="1" s="166">
      <c r="A42" s="222" t="n"/>
      <c r="B42" s="222" t="inlineStr">
        <is>
          <t>综合楼</t>
        </is>
      </c>
      <c r="C42" s="222" t="inlineStr">
        <is>
          <t>010503004003</t>
        </is>
      </c>
      <c r="D42" s="222" t="inlineStr">
        <is>
          <t>圈梁</t>
        </is>
      </c>
      <c r="E42" s="222" t="inlineStr">
        <is>
          <t>1.部位:圈梁、压顶
2.混凝土种类:预拌混凝土
3.混凝土强度等级:C25
4.含混凝土泵送费用</t>
        </is>
      </c>
      <c r="F42" s="222" t="inlineStr">
        <is>
          <t>m3</t>
        </is>
      </c>
      <c r="G42" s="223" t="n">
        <v>7.63</v>
      </c>
      <c r="H42" s="223" t="n">
        <v>24.62</v>
      </c>
      <c r="I42" s="223">
        <f>24.62</f>
        <v/>
      </c>
      <c r="J42" s="223" t="n"/>
      <c r="K42" s="223">
        <f>H44-G44</f>
        <v/>
      </c>
      <c r="L42" s="223">
        <f>I44-G44</f>
        <v/>
      </c>
      <c r="M42" s="223">
        <f>I44-H44</f>
        <v/>
      </c>
      <c r="N42" s="224">
        <f>K44/G44</f>
        <v/>
      </c>
      <c r="O42" s="222" t="n">
        <v>730.1</v>
      </c>
      <c r="P42" s="222" t="n">
        <v>934.35</v>
      </c>
      <c r="Q42" s="224">
        <f>(O44-P44)/P44</f>
        <v/>
      </c>
      <c r="R42" s="223">
        <f>P44*0.9056*0.85</f>
        <v/>
      </c>
      <c r="S42" s="223">
        <f>P44*1.15</f>
        <v/>
      </c>
      <c r="T42" s="223">
        <f>IF(O44&lt;P44*0.9056*0.85,P44*0.9056*0.85,IF(O44&gt;P44*1.15,P44*1.15,O44))</f>
        <v/>
      </c>
      <c r="U42" s="223" t="n">
        <v>5568.11</v>
      </c>
      <c r="V42" s="223" t="n">
        <v>17975.06</v>
      </c>
      <c r="W42" s="223">
        <f>U44+T44*L44</f>
        <v/>
      </c>
      <c r="X42" s="223">
        <f>V44-U44</f>
        <v/>
      </c>
      <c r="Y42" s="223">
        <f>W44-U44</f>
        <v/>
      </c>
      <c r="Z42" s="223">
        <f>W44-V44</f>
        <v/>
      </c>
      <c r="AA42" s="222" t="n"/>
      <c r="AB42" s="222" t="n"/>
      <c r="AC42" s="222" t="n"/>
      <c r="AD42" s="222" t="n"/>
      <c r="AE42" s="222">
        <f>+AC44+AC36</f>
        <v/>
      </c>
      <c r="AF42" s="222" t="n"/>
      <c r="AG42" s="222" t="n"/>
      <c r="AH42" s="222" t="n"/>
      <c r="AI42" s="222" t="n"/>
      <c r="AJ42" s="222" t="n"/>
    </row>
    <row r="43" ht="41.25" customHeight="1" s="166">
      <c r="A43" s="222" t="n"/>
      <c r="B43" s="222" t="inlineStr">
        <is>
          <t>综合楼</t>
        </is>
      </c>
      <c r="C43" s="222" t="inlineStr">
        <is>
          <t>010503005001</t>
        </is>
      </c>
      <c r="D43" s="222" t="inlineStr">
        <is>
          <t>过梁</t>
        </is>
      </c>
      <c r="E43" s="222" t="inlineStr">
        <is>
          <t>1.过梁
2.混凝土种类:预拌混凝土
3.混凝土强度等级:C25</t>
        </is>
      </c>
      <c r="F43" s="222" t="inlineStr">
        <is>
          <t>m3</t>
        </is>
      </c>
      <c r="G43" s="223" t="n">
        <v>4.46</v>
      </c>
      <c r="H43" s="223" t="n">
        <v>4.46</v>
      </c>
      <c r="I43" s="223">
        <f>1.66</f>
        <v/>
      </c>
      <c r="J43" s="223" t="n"/>
      <c r="K43" s="223">
        <f>H45-G45</f>
        <v/>
      </c>
      <c r="L43" s="223">
        <f>I45-G45</f>
        <v/>
      </c>
      <c r="M43" s="223">
        <f>I45-H45</f>
        <v/>
      </c>
      <c r="N43" s="224">
        <f>K45/G45</f>
        <v/>
      </c>
      <c r="O43" s="222" t="n">
        <v>730.1</v>
      </c>
      <c r="P43" s="222" t="n">
        <v>906.2</v>
      </c>
      <c r="Q43" s="224">
        <f>(O45-P45)/P45</f>
        <v/>
      </c>
      <c r="R43" s="223">
        <f>P45*0.9056*0.85</f>
        <v/>
      </c>
      <c r="S43" s="223">
        <f>P45*1.15</f>
        <v/>
      </c>
      <c r="T43" s="223">
        <f>IF(O45&lt;P45*0.9056*0.85,P45*0.9056*0.85,IF(O45&gt;P45*1.15,P45*1.15,O45))</f>
        <v/>
      </c>
      <c r="U43" s="223" t="n">
        <v>3257.2</v>
      </c>
      <c r="V43" s="223" t="n">
        <v>3257.2</v>
      </c>
      <c r="W43" s="223">
        <f>U45+T45*L45</f>
        <v/>
      </c>
      <c r="X43" s="223">
        <f>V45-U45</f>
        <v/>
      </c>
      <c r="Y43" s="223">
        <f>W45-U45</f>
        <v/>
      </c>
      <c r="Z43" s="223">
        <f>W45-V45</f>
        <v/>
      </c>
      <c r="AA43" s="222" t="n"/>
      <c r="AB43" s="222" t="n"/>
      <c r="AC43" s="222" t="n"/>
      <c r="AD43" s="222" t="n"/>
      <c r="AE43" s="222" t="n"/>
      <c r="AF43" s="222" t="n"/>
      <c r="AG43" s="222" t="n"/>
      <c r="AH43" s="222" t="n"/>
      <c r="AI43" s="222" t="n"/>
      <c r="AJ43" s="222" t="n"/>
    </row>
    <row r="44" ht="54" customHeight="1" s="166">
      <c r="A44" s="222" t="n"/>
      <c r="B44" s="222" t="inlineStr">
        <is>
          <t>综合楼</t>
        </is>
      </c>
      <c r="C44" s="222" t="inlineStr">
        <is>
          <t>010505006001</t>
        </is>
      </c>
      <c r="D44" s="222" t="inlineStr">
        <is>
          <t>栏板、反檐</t>
        </is>
      </c>
      <c r="E44" s="222" t="inlineStr">
        <is>
          <t>1.部位:栏板、反坎
2.混凝土强度等级:C25商品混凝土
3.含混凝土泵送费用</t>
        </is>
      </c>
      <c r="F44" s="222" t="inlineStr">
        <is>
          <t>m3</t>
        </is>
      </c>
      <c r="G44" s="223" t="n">
        <v>4.3</v>
      </c>
      <c r="H44" s="223" t="n">
        <v>0.2</v>
      </c>
      <c r="I44" s="223" t="n">
        <v>0.19</v>
      </c>
      <c r="J44" s="223" t="n"/>
      <c r="K44" s="223">
        <f>H46-G46</f>
        <v/>
      </c>
      <c r="L44" s="223">
        <f>I46-G46</f>
        <v/>
      </c>
      <c r="M44" s="223">
        <f>I46-H46</f>
        <v/>
      </c>
      <c r="N44" s="224">
        <f>K46/G46</f>
        <v/>
      </c>
      <c r="O44" s="222" t="n">
        <v>826.88</v>
      </c>
      <c r="P44" s="222" t="n">
        <v>1019.22</v>
      </c>
      <c r="Q44" s="224">
        <f>(O46-P46)/P46</f>
        <v/>
      </c>
      <c r="R44" s="223">
        <f>P46*0.9056*0.85</f>
        <v/>
      </c>
      <c r="S44" s="223">
        <f>P46*1.15</f>
        <v/>
      </c>
      <c r="T44" s="223">
        <f>IF(O46&lt;P46*0.9056*0.85,P46*0.9056*0.85,IF(O46&gt;P46*1.15,P46*1.15,O46))</f>
        <v/>
      </c>
      <c r="U44" s="223" t="n">
        <v>3557.57</v>
      </c>
      <c r="V44" s="223" t="n">
        <v>166.7</v>
      </c>
      <c r="W44" s="223">
        <f>U46+T46*L46</f>
        <v/>
      </c>
      <c r="X44" s="223">
        <f>V46-U46</f>
        <v/>
      </c>
      <c r="Y44" s="223">
        <f>W46-U46</f>
        <v/>
      </c>
      <c r="Z44" s="223">
        <f>W46-V46</f>
        <v/>
      </c>
      <c r="AA44" s="222" t="n"/>
      <c r="AB44" s="222" t="n"/>
      <c r="AC44" s="222" t="n"/>
      <c r="AD44" s="222" t="n"/>
      <c r="AE44" s="222" t="n"/>
      <c r="AF44" s="222" t="n"/>
      <c r="AG44" s="222" t="n"/>
      <c r="AH44" s="222" t="n"/>
      <c r="AI44" s="222" t="n"/>
      <c r="AJ44" s="222" t="n"/>
    </row>
    <row r="45" ht="41.25" customHeight="1" s="166">
      <c r="A45" s="222" t="n"/>
      <c r="B45" s="222" t="inlineStr">
        <is>
          <t>综合楼</t>
        </is>
      </c>
      <c r="C45" s="222" t="inlineStr">
        <is>
          <t>010401013001</t>
        </is>
      </c>
      <c r="D45" s="222" t="inlineStr">
        <is>
          <t>砖散水、地坪</t>
        </is>
      </c>
      <c r="E45" s="222" t="inlineStr">
        <is>
          <t>1.散水
2.C20素砼垫层60厚
3.150厚3:7灰土</t>
        </is>
      </c>
      <c r="F45" s="222" t="inlineStr">
        <is>
          <t>m2</t>
        </is>
      </c>
      <c r="G45" s="223" t="n">
        <v>142.78</v>
      </c>
      <c r="H45" s="223" t="n">
        <v>142.78</v>
      </c>
      <c r="I45" s="223" t="n">
        <v>0</v>
      </c>
      <c r="J45" s="223" t="n"/>
      <c r="K45" s="223">
        <f>H47-G47</f>
        <v/>
      </c>
      <c r="L45" s="223">
        <f>I47-G47</f>
        <v/>
      </c>
      <c r="M45" s="223">
        <f>I47-H47</f>
        <v/>
      </c>
      <c r="N45" s="224">
        <f>K47/G47</f>
        <v/>
      </c>
      <c r="O45" s="222" t="n">
        <v>80.23999999999999</v>
      </c>
      <c r="P45" s="222" t="n">
        <v>95.34</v>
      </c>
      <c r="Q45" s="224">
        <f>(O47-P47)/P47</f>
        <v/>
      </c>
      <c r="R45" s="223">
        <f>P47*0.9056*0.85</f>
        <v/>
      </c>
      <c r="S45" s="223">
        <f>P47*1.15</f>
        <v/>
      </c>
      <c r="T45" s="223">
        <f>IF(O47&lt;P47*0.9056*0.85,P47*0.9056*0.85,IF(O47&gt;P47*1.15,P47*1.15,O47))</f>
        <v/>
      </c>
      <c r="U45" s="223" t="n">
        <v>11456.35</v>
      </c>
      <c r="V45" s="223" t="n">
        <v>11456.35</v>
      </c>
      <c r="W45" s="223">
        <f>U47+T47*L47</f>
        <v/>
      </c>
      <c r="X45" s="223">
        <f>V47-U47</f>
        <v/>
      </c>
      <c r="Y45" s="223">
        <f>W47-U47</f>
        <v/>
      </c>
      <c r="Z45" s="223">
        <f>W47-V47</f>
        <v/>
      </c>
      <c r="AA45" s="222" t="n"/>
      <c r="AB45" s="222" t="inlineStr">
        <is>
          <t>周边有园建铺装，无需做散水</t>
        </is>
      </c>
      <c r="AC45" s="222" t="n"/>
      <c r="AD45" s="222" t="n"/>
      <c r="AE45" s="222" t="n"/>
      <c r="AF45" s="222" t="n"/>
      <c r="AG45" s="222" t="n"/>
      <c r="AH45" s="222" t="n"/>
      <c r="AI45" s="222" t="n"/>
      <c r="AJ45" s="222" t="n"/>
    </row>
    <row r="46" ht="33" customHeight="1" s="166">
      <c r="A46" s="222" t="n"/>
      <c r="B46" s="222" t="inlineStr">
        <is>
          <t>综合楼</t>
        </is>
      </c>
      <c r="C46" s="222" t="inlineStr">
        <is>
          <t>010515001002</t>
        </is>
      </c>
      <c r="D46" s="222" t="inlineStr">
        <is>
          <t>现浇构件钢筋</t>
        </is>
      </c>
      <c r="E46" s="222" t="inlineStr">
        <is>
          <t>1.钢筋种类、规格:现浇构件带肋钢筋(HRB400)φ10以内</t>
        </is>
      </c>
      <c r="F46" s="222" t="inlineStr">
        <is>
          <t>t</t>
        </is>
      </c>
      <c r="G46" s="223" t="n">
        <v>88.84</v>
      </c>
      <c r="H46" s="223" t="n">
        <v>100.86</v>
      </c>
      <c r="I46" s="226" t="n">
        <v>100.86</v>
      </c>
      <c r="J46" s="226" t="n"/>
      <c r="K46" s="223">
        <f>H48-G48</f>
        <v/>
      </c>
      <c r="L46" s="223">
        <f>I48-G48</f>
        <v/>
      </c>
      <c r="M46" s="223">
        <f>I48-H48</f>
        <v/>
      </c>
      <c r="N46" s="224">
        <f>K48/G48</f>
        <v/>
      </c>
      <c r="O46" s="222" t="n">
        <v>5708.81</v>
      </c>
      <c r="P46" s="222" t="n">
        <v>6995.45</v>
      </c>
      <c r="Q46" s="224">
        <f>(O48-P48)/P48</f>
        <v/>
      </c>
      <c r="R46" s="223">
        <f>P48*0.9056*0.85</f>
        <v/>
      </c>
      <c r="S46" s="223">
        <f>P48*1.15</f>
        <v/>
      </c>
      <c r="T46" s="223">
        <f>IF(O48&lt;P48*0.9056*0.85,P48*0.9056*0.85,IF(O48&gt;P48*1.15,P48*1.15,O48))</f>
        <v/>
      </c>
      <c r="U46" s="223" t="n">
        <v>507176.39</v>
      </c>
      <c r="V46" s="223" t="n">
        <v>575817.64</v>
      </c>
      <c r="W46" s="223">
        <f>U48+T48*L48</f>
        <v/>
      </c>
      <c r="X46" s="223">
        <f>V48-U48</f>
        <v/>
      </c>
      <c r="Y46" s="223">
        <f>W48-U48</f>
        <v/>
      </c>
      <c r="Z46" s="223">
        <f>W48-V48</f>
        <v/>
      </c>
      <c r="AA46" s="222" t="n"/>
      <c r="AB46" s="222" t="n"/>
      <c r="AC46" s="222" t="n"/>
      <c r="AD46" s="222" t="n"/>
      <c r="AE46" s="222" t="n"/>
      <c r="AF46" s="222" t="n"/>
      <c r="AG46" s="222" t="n"/>
      <c r="AH46" s="222" t="n"/>
      <c r="AI46" s="222" t="n"/>
      <c r="AJ46" s="222" t="n"/>
    </row>
    <row r="47" ht="33" customHeight="1" s="166">
      <c r="A47" s="222" t="n"/>
      <c r="B47" s="222" t="inlineStr">
        <is>
          <t>综合楼</t>
        </is>
      </c>
      <c r="C47" s="222" t="inlineStr">
        <is>
          <t>010515001003</t>
        </is>
      </c>
      <c r="D47" s="222" t="inlineStr">
        <is>
          <t>现浇构件钢筋</t>
        </is>
      </c>
      <c r="E47" s="222" t="inlineStr">
        <is>
          <t>1.钢筋种类、规格:现浇构件带肋钢筋(HRB400E)φ10以内</t>
        </is>
      </c>
      <c r="F47" s="222" t="inlineStr">
        <is>
          <t>t</t>
        </is>
      </c>
      <c r="G47" s="223" t="n">
        <v>10.71</v>
      </c>
      <c r="H47" s="223" t="n">
        <v>7.35</v>
      </c>
      <c r="I47" s="226" t="n">
        <v>7.35</v>
      </c>
      <c r="J47" s="226" t="n"/>
      <c r="K47" s="223">
        <f>H49-G49</f>
        <v/>
      </c>
      <c r="L47" s="223">
        <f>I49-G49</f>
        <v/>
      </c>
      <c r="M47" s="223">
        <f>I49-H49</f>
        <v/>
      </c>
      <c r="N47" s="224">
        <f>K49/G49</f>
        <v/>
      </c>
      <c r="O47" s="222" t="n">
        <v>5708.81</v>
      </c>
      <c r="P47" s="222" t="n">
        <v>7085.72</v>
      </c>
      <c r="Q47" s="224">
        <f>(O49-P49)/P49</f>
        <v/>
      </c>
      <c r="R47" s="223">
        <f>P49*0.9056*0.85</f>
        <v/>
      </c>
      <c r="S47" s="223">
        <f>P49*1.15</f>
        <v/>
      </c>
      <c r="T47" s="223">
        <f>IF(O49&lt;P49*0.9056*0.85,P49*0.9056*0.85,IF(O49&gt;P49*1.15,P49*1.15,O49))</f>
        <v/>
      </c>
      <c r="U47" s="223" t="n">
        <v>61118.52</v>
      </c>
      <c r="V47" s="223" t="n">
        <v>41966.95</v>
      </c>
      <c r="W47" s="223">
        <f>U49+T49*L49</f>
        <v/>
      </c>
      <c r="X47" s="223">
        <f>V49-U49</f>
        <v/>
      </c>
      <c r="Y47" s="223">
        <f>W49-U49</f>
        <v/>
      </c>
      <c r="Z47" s="223">
        <f>W49-V49</f>
        <v/>
      </c>
      <c r="AA47" s="222" t="n"/>
      <c r="AB47" s="222" t="n"/>
      <c r="AC47" s="222" t="n"/>
      <c r="AD47" s="222" t="n"/>
      <c r="AE47" s="222" t="n"/>
      <c r="AF47" s="222" t="n"/>
      <c r="AG47" s="222" t="n"/>
      <c r="AH47" s="222" t="n"/>
      <c r="AI47" s="222" t="n"/>
      <c r="AJ47" s="222" t="n"/>
    </row>
    <row r="48" ht="33" customHeight="1" s="166">
      <c r="A48" s="222" t="n"/>
      <c r="B48" s="222" t="inlineStr">
        <is>
          <t>综合楼</t>
        </is>
      </c>
      <c r="C48" s="222" t="inlineStr">
        <is>
          <t>010515001004</t>
        </is>
      </c>
      <c r="D48" s="222" t="inlineStr">
        <is>
          <t>现浇构件钢筋</t>
        </is>
      </c>
      <c r="E48" s="222" t="inlineStr">
        <is>
          <t>1.钢筋种类、规格:现浇构件带肋钢筋(HRB400)φ25以内</t>
        </is>
      </c>
      <c r="F48" s="222" t="inlineStr">
        <is>
          <t>t</t>
        </is>
      </c>
      <c r="G48" s="223" t="n">
        <v>44.38</v>
      </c>
      <c r="H48" s="223" t="n">
        <v>41.66</v>
      </c>
      <c r="I48" s="226" t="n">
        <v>41.66</v>
      </c>
      <c r="J48" s="226" t="n"/>
      <c r="K48" s="223">
        <f>H50-G50</f>
        <v/>
      </c>
      <c r="L48" s="223">
        <f>I50-G50</f>
        <v/>
      </c>
      <c r="M48" s="223">
        <f>I50-H50</f>
        <v/>
      </c>
      <c r="N48" s="224">
        <f>K50/G50</f>
        <v/>
      </c>
      <c r="O48" s="222" t="n">
        <v>5570.86</v>
      </c>
      <c r="P48" s="222" t="n">
        <v>6793.55</v>
      </c>
      <c r="Q48" s="224">
        <f>(O50-P50)/P50</f>
        <v/>
      </c>
      <c r="R48" s="223">
        <f>P50*0.9056*0.85</f>
        <v/>
      </c>
      <c r="S48" s="223">
        <f>P50*1.15</f>
        <v/>
      </c>
      <c r="T48" s="223">
        <f>IF(O50&lt;P50*0.9056*0.85,P50*0.9056*0.85,IF(O50&gt;P50*1.15,P50*1.15,O50))</f>
        <v/>
      </c>
      <c r="U48" s="223" t="n">
        <v>247212.48</v>
      </c>
      <c r="V48" s="223" t="n">
        <v>232074.03</v>
      </c>
      <c r="W48" s="223">
        <f>U50+T50*L50</f>
        <v/>
      </c>
      <c r="X48" s="223">
        <f>V50-U50</f>
        <v/>
      </c>
      <c r="Y48" s="223">
        <f>W50-U50</f>
        <v/>
      </c>
      <c r="Z48" s="223">
        <f>W50-V50</f>
        <v/>
      </c>
      <c r="AA48" s="222" t="n"/>
      <c r="AB48" s="222" t="n"/>
      <c r="AC48" s="222" t="n"/>
      <c r="AD48" s="222" t="n"/>
      <c r="AE48" s="222" t="n"/>
      <c r="AF48" s="222" t="n"/>
      <c r="AG48" s="222" t="n"/>
      <c r="AH48" s="222" t="n"/>
      <c r="AI48" s="222" t="n"/>
      <c r="AJ48" s="222" t="n"/>
    </row>
    <row r="49" ht="35" customHeight="1" s="166">
      <c r="A49" s="222" t="n"/>
      <c r="B49" s="222" t="inlineStr">
        <is>
          <t>综合楼</t>
        </is>
      </c>
      <c r="C49" s="222" t="inlineStr">
        <is>
          <t>010515001005</t>
        </is>
      </c>
      <c r="D49" s="222" t="inlineStr">
        <is>
          <t>现浇构件钢筋</t>
        </is>
      </c>
      <c r="E49" s="222" t="inlineStr">
        <is>
          <t>1.钢筋种类、规格:现浇构件带肋钢筋(HRB400E)φ25以内</t>
        </is>
      </c>
      <c r="F49" s="222" t="inlineStr">
        <is>
          <t>t</t>
        </is>
      </c>
      <c r="G49" s="223" t="n">
        <v>102.11</v>
      </c>
      <c r="H49" s="223" t="n">
        <v>110.02</v>
      </c>
      <c r="I49" s="226" t="n">
        <v>110.02</v>
      </c>
      <c r="J49" s="226" t="n"/>
      <c r="K49" s="223">
        <f>H51-G51</f>
        <v/>
      </c>
      <c r="L49" s="223">
        <f>I51-G51</f>
        <v/>
      </c>
      <c r="M49" s="223">
        <f>I51-H51</f>
        <v/>
      </c>
      <c r="N49" s="224">
        <f>K51/G51</f>
        <v/>
      </c>
      <c r="O49" s="222" t="n">
        <v>5570.86</v>
      </c>
      <c r="P49" s="222" t="n">
        <v>6884.26</v>
      </c>
      <c r="Q49" s="224">
        <f>(O51-P51)/P51</f>
        <v/>
      </c>
      <c r="R49" s="223">
        <f>P51*0.9056*0.85</f>
        <v/>
      </c>
      <c r="S49" s="223">
        <f>P51*1.15</f>
        <v/>
      </c>
      <c r="T49" s="223">
        <f>IF(O51&lt;P51*0.9056*0.85,P51*0.9056*0.85,IF(O51&gt;P51*1.15,P51*1.15,O51))</f>
        <v/>
      </c>
      <c r="U49" s="223" t="n">
        <v>568818.23</v>
      </c>
      <c r="V49" s="223" t="n">
        <v>612880.85</v>
      </c>
      <c r="W49" s="223" t="n">
        <v>612880.85</v>
      </c>
      <c r="X49" s="223">
        <f>V51-U51</f>
        <v/>
      </c>
      <c r="Y49" s="223">
        <f>W51-U51</f>
        <v/>
      </c>
      <c r="Z49" s="223">
        <f>W51-V51</f>
        <v/>
      </c>
      <c r="AA49" s="222" t="n"/>
      <c r="AB49" s="222" t="n"/>
      <c r="AC49" s="222" t="n"/>
      <c r="AD49" s="222" t="n"/>
      <c r="AE49" s="222" t="n"/>
      <c r="AF49" s="222" t="n"/>
      <c r="AG49" s="222" t="n"/>
      <c r="AH49" s="222" t="n"/>
      <c r="AI49" s="222" t="n"/>
      <c r="AJ49" s="222" t="n"/>
    </row>
    <row r="50" ht="33" customHeight="1" s="166">
      <c r="A50" s="222" t="n"/>
      <c r="B50" s="222" t="inlineStr">
        <is>
          <t>综合楼</t>
        </is>
      </c>
      <c r="C50" s="222" t="inlineStr">
        <is>
          <t>010515001006</t>
        </is>
      </c>
      <c r="D50" s="222" t="inlineStr">
        <is>
          <t>现浇构件钢筋</t>
        </is>
      </c>
      <c r="E50" s="222" t="inlineStr">
        <is>
          <t>1.钢筋种类、规格:现浇构件带肋钢筋(HRB400E)φ25以外</t>
        </is>
      </c>
      <c r="F50" s="222" t="inlineStr">
        <is>
          <t>t</t>
        </is>
      </c>
      <c r="G50" s="223" t="n">
        <v>13.81</v>
      </c>
      <c r="H50" s="223" t="n">
        <v>11.02</v>
      </c>
      <c r="I50" s="226" t="n">
        <v>11.015</v>
      </c>
      <c r="J50" s="226" t="n"/>
      <c r="K50" s="223">
        <f>H52-G52</f>
        <v/>
      </c>
      <c r="L50" s="223">
        <f>I52-G52</f>
        <v/>
      </c>
      <c r="M50" s="223">
        <f>I52-H52</f>
        <v/>
      </c>
      <c r="N50" s="224">
        <f>K52/G52</f>
        <v/>
      </c>
      <c r="O50" s="222" t="n">
        <v>5507.01</v>
      </c>
      <c r="P50" s="222" t="n">
        <v>6766.86</v>
      </c>
      <c r="Q50" s="224">
        <f>(O52-P52)/P52</f>
        <v/>
      </c>
      <c r="R50" s="223">
        <f>P52*0.9056*0.85</f>
        <v/>
      </c>
      <c r="S50" s="223">
        <f>P52*1.15</f>
        <v/>
      </c>
      <c r="T50" s="223">
        <f>IF(O52&lt;P52*0.9056*0.85,P52*0.9056*0.85,IF(O52&gt;P52*1.15,P52*1.15,O52))</f>
        <v/>
      </c>
      <c r="U50" s="223" t="n">
        <v>76051.81</v>
      </c>
      <c r="V50" s="223" t="n">
        <v>60671.42</v>
      </c>
      <c r="W50" s="223">
        <f>U52+T52*L52</f>
        <v/>
      </c>
      <c r="X50" s="223">
        <f>V52-U52</f>
        <v/>
      </c>
      <c r="Y50" s="223">
        <f>W52-U52</f>
        <v/>
      </c>
      <c r="Z50" s="223">
        <f>W52-V52</f>
        <v/>
      </c>
      <c r="AA50" s="222" t="n"/>
      <c r="AB50" s="222" t="n"/>
      <c r="AC50" s="222" t="n"/>
      <c r="AD50" s="222" t="n"/>
      <c r="AE50" s="222" t="n"/>
      <c r="AF50" s="222" t="n"/>
      <c r="AG50" s="222" t="n"/>
      <c r="AH50" s="222" t="n"/>
      <c r="AI50" s="222" t="n"/>
      <c r="AJ50" s="222" t="n"/>
    </row>
    <row r="51" ht="34" customHeight="1" s="166">
      <c r="A51" s="222" t="n"/>
      <c r="B51" s="222" t="inlineStr">
        <is>
          <t>综合楼</t>
        </is>
      </c>
      <c r="C51" s="222" t="inlineStr">
        <is>
          <t>010515001007</t>
        </is>
      </c>
      <c r="D51" s="222" t="inlineStr">
        <is>
          <t>现浇构件钢筋</t>
        </is>
      </c>
      <c r="E51" s="222" t="inlineStr">
        <is>
          <t>1.钢筋种类、规格:现浇构件箍筋带肋钢筋(HRB400)φ10以内</t>
        </is>
      </c>
      <c r="F51" s="222" t="inlineStr">
        <is>
          <t>t</t>
        </is>
      </c>
      <c r="G51" s="223" t="n">
        <v>64.06999999999999</v>
      </c>
      <c r="H51" s="223" t="n">
        <v>66.42</v>
      </c>
      <c r="I51" s="226" t="n">
        <v>66.42</v>
      </c>
      <c r="J51" s="226" t="n"/>
      <c r="K51" s="223">
        <f>H53-G53</f>
        <v/>
      </c>
      <c r="L51" s="223">
        <f>I53-G53</f>
        <v/>
      </c>
      <c r="M51" s="223">
        <f>I53-H53</f>
        <v/>
      </c>
      <c r="N51" s="224">
        <f>K53/G53</f>
        <v/>
      </c>
      <c r="O51" s="222" t="n">
        <v>6837.26</v>
      </c>
      <c r="P51" s="222" t="n">
        <v>8255.91</v>
      </c>
      <c r="Q51" s="224">
        <f>(O53-P53)/P53</f>
        <v/>
      </c>
      <c r="R51" s="223">
        <f>P53*0.9056*0.85</f>
        <v/>
      </c>
      <c r="S51" s="223">
        <f>P53*1.15</f>
        <v/>
      </c>
      <c r="T51" s="223">
        <f>IF(O53&lt;P53*0.9056*0.85,P53*0.9056*0.85,IF(O53&gt;P53*1.15,P53*1.15,O53))</f>
        <v/>
      </c>
      <c r="U51" s="223" t="n">
        <v>438076.92</v>
      </c>
      <c r="V51" s="223" t="n">
        <v>454162.38</v>
      </c>
      <c r="W51" s="223">
        <f>U53+T53*L53</f>
        <v/>
      </c>
      <c r="X51" s="223">
        <f>V53-U53</f>
        <v/>
      </c>
      <c r="Y51" s="223">
        <f>W53-U53</f>
        <v/>
      </c>
      <c r="Z51" s="223">
        <f>W53-V53</f>
        <v/>
      </c>
      <c r="AA51" s="222" t="n"/>
      <c r="AB51" s="222" t="n"/>
      <c r="AC51" s="222" t="n"/>
      <c r="AD51" s="222" t="n"/>
      <c r="AE51" s="222" t="n"/>
      <c r="AF51" s="222" t="n"/>
      <c r="AG51" s="222" t="n"/>
      <c r="AH51" s="222" t="n"/>
      <c r="AI51" s="222" t="n"/>
      <c r="AJ51" s="222" t="n"/>
    </row>
    <row r="52" ht="28.5" customHeight="1" s="166">
      <c r="A52" s="222" t="n"/>
      <c r="B52" s="222" t="inlineStr">
        <is>
          <t>综合楼</t>
        </is>
      </c>
      <c r="C52" s="222" t="inlineStr">
        <is>
          <t>010516003001</t>
        </is>
      </c>
      <c r="D52" s="222" t="inlineStr">
        <is>
          <t>钢筋连接</t>
        </is>
      </c>
      <c r="E52" s="222" t="inlineStr">
        <is>
          <t>1.连接方式:电渣压力焊接
2.规格:φ18以内</t>
        </is>
      </c>
      <c r="F52" s="222" t="inlineStr">
        <is>
          <t>个</t>
        </is>
      </c>
      <c r="G52" s="223" t="n">
        <v>1022</v>
      </c>
      <c r="H52" s="223" t="n">
        <v>0</v>
      </c>
      <c r="I52" s="225" t="n">
        <v>0</v>
      </c>
      <c r="J52" s="225" t="n"/>
      <c r="K52" s="223">
        <f>H54-G54</f>
        <v/>
      </c>
      <c r="L52" s="223">
        <f>I54-G54</f>
        <v/>
      </c>
      <c r="M52" s="223">
        <f>I54-H54</f>
        <v/>
      </c>
      <c r="N52" s="224">
        <f>K54/G54</f>
        <v/>
      </c>
      <c r="O52" s="222" t="n">
        <v>7.47</v>
      </c>
      <c r="P52" s="222" t="n">
        <v>8.25</v>
      </c>
      <c r="Q52" s="224">
        <f>(O54-P54)/P54</f>
        <v/>
      </c>
      <c r="R52" s="223">
        <f>P54*0.9056*0.85</f>
        <v/>
      </c>
      <c r="S52" s="223">
        <f>P54*1.15</f>
        <v/>
      </c>
      <c r="T52" s="223">
        <f>IF(O54&lt;P54*0.9056*0.85,P54*0.9056*0.85,IF(O54&gt;P54*1.15,P54*1.15,O54))</f>
        <v/>
      </c>
      <c r="U52" s="223" t="n">
        <v>7634.34</v>
      </c>
      <c r="V52" s="223" t="n">
        <v>0</v>
      </c>
      <c r="W52" s="223">
        <f>U54+T54*L54</f>
        <v/>
      </c>
      <c r="X52" s="223">
        <f>V54-U54</f>
        <v/>
      </c>
      <c r="Y52" s="223">
        <f>W54-U54</f>
        <v/>
      </c>
      <c r="Z52" s="223">
        <f>W54-V54</f>
        <v/>
      </c>
      <c r="AA52" s="222" t="n"/>
      <c r="AB52" s="222" t="n"/>
      <c r="AC52" s="222" t="n"/>
      <c r="AD52" s="222" t="n"/>
      <c r="AE52" s="222" t="n"/>
      <c r="AF52" s="222" t="n"/>
      <c r="AG52" s="222" t="n"/>
      <c r="AH52" s="222" t="n"/>
      <c r="AI52" s="222" t="n"/>
      <c r="AJ52" s="222" t="n"/>
    </row>
    <row r="53" ht="28.5" customHeight="1" s="166">
      <c r="A53" s="222" t="n"/>
      <c r="B53" s="222" t="inlineStr">
        <is>
          <t>综合楼</t>
        </is>
      </c>
      <c r="C53" s="222" t="inlineStr">
        <is>
          <t>010516003002</t>
        </is>
      </c>
      <c r="D53" s="222" t="inlineStr">
        <is>
          <t>钢筋连接</t>
        </is>
      </c>
      <c r="E53" s="222" t="inlineStr">
        <is>
          <t>1.连接方式:电渣压力焊接
2.规格:φ32以内</t>
        </is>
      </c>
      <c r="F53" s="222" t="inlineStr">
        <is>
          <t>个</t>
        </is>
      </c>
      <c r="G53" s="223" t="n">
        <v>1509</v>
      </c>
      <c r="H53" s="223" t="n">
        <v>0</v>
      </c>
      <c r="I53" s="225" t="n">
        <v>0</v>
      </c>
      <c r="J53" s="225" t="n"/>
      <c r="K53" s="223">
        <f>H55-G55</f>
        <v/>
      </c>
      <c r="L53" s="223">
        <f>I55-G55</f>
        <v/>
      </c>
      <c r="M53" s="223">
        <f>I55-H55</f>
        <v/>
      </c>
      <c r="N53" s="224">
        <f>K55/G55</f>
        <v/>
      </c>
      <c r="O53" s="222" t="n">
        <v>9.460000000000001</v>
      </c>
      <c r="P53" s="222" t="n">
        <v>10.44</v>
      </c>
      <c r="Q53" s="224">
        <f>(O55-P55)/P55</f>
        <v/>
      </c>
      <c r="R53" s="223">
        <f>P55*0.9056*0.85</f>
        <v/>
      </c>
      <c r="S53" s="223">
        <f>P55*1.15</f>
        <v/>
      </c>
      <c r="T53" s="223">
        <f>IF(O55&lt;P55*0.9056*0.85,P55*0.9056*0.85,IF(O55&gt;P55*1.15,P55*1.15,O55))</f>
        <v/>
      </c>
      <c r="U53" s="223" t="n">
        <v>14275.14</v>
      </c>
      <c r="V53" s="223" t="n">
        <v>0</v>
      </c>
      <c r="W53" s="223">
        <f>U55+T55*L55</f>
        <v/>
      </c>
      <c r="X53" s="223">
        <f>V55-U55</f>
        <v/>
      </c>
      <c r="Y53" s="223">
        <f>W55-U55</f>
        <v/>
      </c>
      <c r="Z53" s="223">
        <f>W55-V55</f>
        <v/>
      </c>
      <c r="AA53" s="222" t="n"/>
      <c r="AB53" s="222" t="n"/>
      <c r="AC53" s="222" t="n"/>
      <c r="AD53" s="222" t="n"/>
      <c r="AE53" s="222" t="n"/>
      <c r="AF53" s="222" t="n"/>
      <c r="AG53" s="222" t="n"/>
      <c r="AH53" s="222" t="n"/>
      <c r="AI53" s="222" t="n"/>
      <c r="AJ53" s="222" t="n"/>
    </row>
    <row r="54" ht="41.25" customHeight="1" s="166">
      <c r="A54" s="222" t="n"/>
      <c r="B54" s="222" t="inlineStr">
        <is>
          <t>综合楼</t>
        </is>
      </c>
      <c r="C54" s="222" t="inlineStr">
        <is>
          <t>010516003003</t>
        </is>
      </c>
      <c r="D54" s="222" t="inlineStr">
        <is>
          <t>机械连接</t>
        </is>
      </c>
      <c r="E54" s="222" t="inlineStr">
        <is>
          <t>1.连接方式:套筒直螺纹钢筋接头
2.规格:φ32以内</t>
        </is>
      </c>
      <c r="F54" s="222" t="inlineStr">
        <is>
          <t>个</t>
        </is>
      </c>
      <c r="G54" s="223" t="n">
        <v>1525</v>
      </c>
      <c r="H54" s="223" t="n">
        <v>0</v>
      </c>
      <c r="I54" s="225" t="n">
        <v>0</v>
      </c>
      <c r="J54" s="225" t="n"/>
      <c r="K54" s="223">
        <f>H56-G56</f>
        <v/>
      </c>
      <c r="L54" s="223">
        <f>I56-G56</f>
        <v/>
      </c>
      <c r="M54" s="223">
        <f>I56-H56</f>
        <v/>
      </c>
      <c r="N54" s="224">
        <f>K56/G56</f>
        <v/>
      </c>
      <c r="O54" s="222" t="n">
        <v>16.67</v>
      </c>
      <c r="P54" s="222" t="n">
        <v>21.53</v>
      </c>
      <c r="Q54" s="224">
        <f>(O56-P56)/P56</f>
        <v/>
      </c>
      <c r="R54" s="223">
        <f>P56*0.9056*0.85</f>
        <v/>
      </c>
      <c r="S54" s="223">
        <f>P56*1.15</f>
        <v/>
      </c>
      <c r="T54" s="223">
        <f>IF(O56&lt;P56*0.9056*0.85,P56*0.9056*0.85,IF(O56&gt;P56*1.15,P56*1.15,O56))</f>
        <v/>
      </c>
      <c r="U54" s="223" t="n">
        <v>25421.75</v>
      </c>
      <c r="V54" s="223" t="n">
        <v>0</v>
      </c>
      <c r="W54" s="223">
        <f>U56+T56*L56</f>
        <v/>
      </c>
      <c r="X54" s="223">
        <f>V56-U56</f>
        <v/>
      </c>
      <c r="Y54" s="223">
        <f>W56-U56</f>
        <v/>
      </c>
      <c r="Z54" s="223">
        <f>W56-V56</f>
        <v/>
      </c>
      <c r="AA54" s="222" t="n"/>
      <c r="AB54" s="222" t="n"/>
      <c r="AC54" s="222" t="n"/>
      <c r="AD54" s="222" t="n"/>
      <c r="AE54" s="222" t="n"/>
      <c r="AF54" s="222" t="n"/>
      <c r="AG54" s="222" t="n"/>
      <c r="AH54" s="222" t="n"/>
      <c r="AI54" s="222" t="n"/>
      <c r="AJ54" s="222" t="n"/>
    </row>
    <row r="55" ht="28.5" customHeight="1" s="166">
      <c r="A55" s="222" t="n"/>
      <c r="B55" s="222" t="inlineStr">
        <is>
          <t>综合楼</t>
        </is>
      </c>
      <c r="C55" s="222" t="n"/>
      <c r="D55" s="222" t="inlineStr">
        <is>
          <t>金属结构工程</t>
        </is>
      </c>
      <c r="E55" s="222" t="n"/>
      <c r="F55" s="222" t="n"/>
      <c r="G55" s="223" t="n"/>
      <c r="H55" s="223" t="n"/>
      <c r="I55" s="223" t="n"/>
      <c r="J55" s="223" t="n"/>
      <c r="K55" s="223" t="n"/>
      <c r="L55" s="223" t="n"/>
      <c r="M55" s="223" t="n"/>
      <c r="N55" s="224" t="n"/>
      <c r="O55" s="222" t="n"/>
      <c r="P55" s="222" t="n"/>
      <c r="Q55" s="224" t="n"/>
      <c r="R55" s="223" t="n"/>
      <c r="S55" s="223" t="n"/>
      <c r="T55" s="223" t="n"/>
      <c r="U55" s="223" t="n">
        <v>1979944.66</v>
      </c>
      <c r="V55" s="223" t="n">
        <v>1901843.25</v>
      </c>
      <c r="W55" s="223">
        <f>+SUM(W58:W73)</f>
        <v/>
      </c>
      <c r="X55" s="223">
        <f>V57-U57</f>
        <v/>
      </c>
      <c r="Y55" s="223">
        <f>W57-U57</f>
        <v/>
      </c>
      <c r="Z55" s="223">
        <f>W57-V57</f>
        <v/>
      </c>
      <c r="AA55" s="222" t="n"/>
      <c r="AB55" s="222" t="n"/>
      <c r="AC55" s="222" t="n"/>
      <c r="AD55" s="222" t="n"/>
      <c r="AE55" s="222" t="n"/>
      <c r="AF55" s="222" t="n"/>
      <c r="AG55" s="222" t="n"/>
      <c r="AH55" s="222" t="n"/>
      <c r="AI55" s="222" t="n"/>
      <c r="AJ55" s="222" t="n"/>
    </row>
    <row r="56" ht="54" customHeight="1" s="166">
      <c r="A56" s="222" t="n"/>
      <c r="B56" s="222" t="inlineStr">
        <is>
          <t>综合楼</t>
        </is>
      </c>
      <c r="C56" s="222" t="inlineStr">
        <is>
          <t>010607005001</t>
        </is>
      </c>
      <c r="D56" s="222" t="inlineStr">
        <is>
          <t>砌块墙钢丝网加固</t>
        </is>
      </c>
      <c r="E56" s="222" t="inlineStr">
        <is>
          <t>1.镀锌钢丝网
2.材料品种、规格:Φ0.9@12.7*12.7</t>
        </is>
      </c>
      <c r="F56" s="222" t="inlineStr">
        <is>
          <t>m2</t>
        </is>
      </c>
      <c r="G56" s="223" t="n">
        <v>5631.67</v>
      </c>
      <c r="H56" s="223" t="n">
        <v>4161.91</v>
      </c>
      <c r="I56" s="223" t="n">
        <v>4161.91</v>
      </c>
      <c r="J56" s="223" t="n"/>
      <c r="K56" s="223">
        <f>H58-G58</f>
        <v/>
      </c>
      <c r="L56" s="223">
        <f>I58-G58</f>
        <v/>
      </c>
      <c r="M56" s="223">
        <f>I58-H58</f>
        <v/>
      </c>
      <c r="N56" s="224">
        <f>K58/G58</f>
        <v/>
      </c>
      <c r="O56" s="222" t="n">
        <v>6.91</v>
      </c>
      <c r="P56" s="222" t="n">
        <v>16.21</v>
      </c>
      <c r="Q56" s="224">
        <f>(O58-P58)/P58</f>
        <v/>
      </c>
      <c r="R56" s="223">
        <f>P58*0.9056*0.85</f>
        <v/>
      </c>
      <c r="S56" s="223">
        <f>P58*1.15</f>
        <v/>
      </c>
      <c r="T56" s="223">
        <f>IF(O58&lt;P58*0.9056*0.85,P58*0.9056*0.85,IF(O58&gt;P58*1.15,P58*1.15,O58))</f>
        <v/>
      </c>
      <c r="U56" s="223" t="n">
        <v>38914.84</v>
      </c>
      <c r="V56" s="223" t="n">
        <v>20575.48</v>
      </c>
      <c r="W56" s="223">
        <f>U58+T58*L58</f>
        <v/>
      </c>
      <c r="X56" s="223">
        <f>V58-U58</f>
        <v/>
      </c>
      <c r="Y56" s="223">
        <f>W58-U58</f>
        <v/>
      </c>
      <c r="Z56" s="223">
        <f>W58-V58</f>
        <v/>
      </c>
      <c r="AA56" s="222" t="n"/>
      <c r="AB56" s="222" t="n"/>
      <c r="AC56" s="222" t="n"/>
      <c r="AD56" s="222" t="n"/>
      <c r="AE56" s="222" t="n"/>
      <c r="AF56" s="222" t="n"/>
      <c r="AG56" s="222" t="n"/>
      <c r="AH56" s="222" t="n"/>
      <c r="AI56" s="222" t="n"/>
      <c r="AJ56" s="222" t="n"/>
    </row>
    <row r="57" ht="75" customHeight="1" s="166">
      <c r="A57" s="222" t="n"/>
      <c r="B57" s="222" t="inlineStr">
        <is>
          <t>综合楼</t>
        </is>
      </c>
      <c r="C57" s="222" t="inlineStr">
        <is>
          <t>010607005002</t>
        </is>
      </c>
      <c r="D57" s="222" t="inlineStr">
        <is>
          <t>砌块墙钢丝网加固</t>
        </is>
      </c>
      <c r="E57" s="222" t="inlineStr">
        <is>
          <t>1.耐碱玻璃纤维网布</t>
        </is>
      </c>
      <c r="F57" s="222" t="inlineStr">
        <is>
          <t>m2</t>
        </is>
      </c>
      <c r="G57" s="223" t="n">
        <v>781.41</v>
      </c>
      <c r="H57" s="223" t="n">
        <v>788.4</v>
      </c>
      <c r="I57" s="223" t="n">
        <v>784.84</v>
      </c>
      <c r="J57" s="223" t="n"/>
      <c r="K57" s="223">
        <f>H59-G59</f>
        <v/>
      </c>
      <c r="L57" s="223">
        <f>I59-G59</f>
        <v/>
      </c>
      <c r="M57" s="223">
        <f>I59-H59</f>
        <v/>
      </c>
      <c r="N57" s="224">
        <f>K59/G59</f>
        <v/>
      </c>
      <c r="O57" s="222" t="n">
        <v>4.58</v>
      </c>
      <c r="P57" s="222" t="n">
        <v>11.97</v>
      </c>
      <c r="Q57" s="224">
        <f>(O59-P59)/P59</f>
        <v/>
      </c>
      <c r="R57" s="223">
        <f>P59*0.9056*0.85</f>
        <v/>
      </c>
      <c r="S57" s="223">
        <f>P59*1.15</f>
        <v/>
      </c>
      <c r="T57" s="223">
        <f>IF(O59&lt;P59*0.9056*0.85,P59*0.9056*0.85,IF(O59&gt;P59*1.15,P59*1.15,O59))</f>
        <v/>
      </c>
      <c r="U57" s="223" t="n">
        <v>3578.85</v>
      </c>
      <c r="V57" s="223" t="n">
        <v>3643.3</v>
      </c>
      <c r="W57" s="223">
        <f>U59+T59*L59</f>
        <v/>
      </c>
      <c r="X57" s="223">
        <f>V59-U59</f>
        <v/>
      </c>
      <c r="Y57" s="223">
        <f>W59-U59</f>
        <v/>
      </c>
      <c r="Z57" s="223">
        <f>W59-V59</f>
        <v/>
      </c>
      <c r="AA57" s="222" t="n"/>
      <c r="AB57" s="222" t="n"/>
      <c r="AC57" s="222" t="n"/>
      <c r="AD57" s="222" t="n"/>
      <c r="AE57" s="222" t="n"/>
      <c r="AF57" s="222" t="n"/>
      <c r="AG57" s="222" t="n"/>
      <c r="AH57" s="222" t="n"/>
      <c r="AI57" s="222" t="n"/>
      <c r="AJ57" s="222" t="n"/>
    </row>
    <row r="58" ht="66.75" customHeight="1" s="166">
      <c r="A58" s="222" t="n"/>
      <c r="B58" s="222" t="inlineStr">
        <is>
          <t>综合楼</t>
        </is>
      </c>
      <c r="C58" s="222" t="inlineStr">
        <is>
          <t>010603002001</t>
        </is>
      </c>
      <c r="D58" s="222" t="inlineStr">
        <is>
          <t>钢柱</t>
        </is>
      </c>
      <c r="E58" s="222" t="inlineStr">
        <is>
          <t>1.钢结构柱
2.钢材品种、规格:Q235B
3.钢柱制作、安装、除锈
4.综合考虑场内、场外运输
5.其他详见施工设计图</t>
        </is>
      </c>
      <c r="F58" s="222" t="inlineStr">
        <is>
          <t>t</t>
        </is>
      </c>
      <c r="G58" s="223" t="n">
        <v>0.6899999999999999</v>
      </c>
      <c r="H58" s="223" t="n">
        <v>1.85</v>
      </c>
      <c r="I58" s="226">
        <f>4*(20.03-9)*36.55/1000</f>
        <v/>
      </c>
      <c r="J58" s="226" t="n"/>
      <c r="K58" s="223">
        <f>H60-G60</f>
        <v/>
      </c>
      <c r="L58" s="223">
        <f>I60-G60</f>
        <v/>
      </c>
      <c r="M58" s="223">
        <f>I60-H60</f>
        <v/>
      </c>
      <c r="N58" s="224">
        <f>K60/G60</f>
        <v/>
      </c>
      <c r="O58" s="222" t="n">
        <v>8068.1</v>
      </c>
      <c r="P58" s="222" t="n">
        <v>9670.09</v>
      </c>
      <c r="Q58" s="224">
        <f>(O60-P60)/P60</f>
        <v/>
      </c>
      <c r="R58" s="223">
        <f>P60*0.9056*0.85</f>
        <v/>
      </c>
      <c r="S58" s="223">
        <f>P60*1.15</f>
        <v/>
      </c>
      <c r="T58" s="223">
        <f>IF(O60&lt;P60*0.9056*0.85,P60*0.9056*0.85,IF(O60&gt;P60*1.15,P60*1.15,O60))</f>
        <v/>
      </c>
      <c r="U58" s="223" t="n">
        <v>5534.72</v>
      </c>
      <c r="V58" s="223" t="n">
        <v>14887.26</v>
      </c>
      <c r="W58" s="223">
        <f>U60+T60*L60</f>
        <v/>
      </c>
      <c r="X58" s="223">
        <f>V60-U60</f>
        <v/>
      </c>
      <c r="Y58" s="223">
        <f>W60-U60</f>
        <v/>
      </c>
      <c r="Z58" s="223">
        <f>W60-V60</f>
        <v/>
      </c>
      <c r="AA58" s="222" t="n"/>
      <c r="AB58" s="222" t="n"/>
      <c r="AC58" s="222" t="n"/>
      <c r="AD58" s="222" t="n"/>
      <c r="AE58" s="222" t="n"/>
      <c r="AF58" s="222" t="n"/>
      <c r="AG58" s="222" t="n"/>
      <c r="AH58" s="222" t="n"/>
      <c r="AI58" s="222" t="n"/>
      <c r="AJ58" s="222" t="n"/>
    </row>
    <row r="59" ht="54" customHeight="1" s="166">
      <c r="A59" s="222" t="n"/>
      <c r="B59" s="222" t="inlineStr">
        <is>
          <t>综合楼</t>
        </is>
      </c>
      <c r="C59" s="222" t="inlineStr">
        <is>
          <t>010604001001</t>
        </is>
      </c>
      <c r="D59" s="222" t="inlineStr">
        <is>
          <t>钢梁</t>
        </is>
      </c>
      <c r="E59" s="222" t="inlineStr">
        <is>
          <t>1.钢结构梁
2.钢材品种、规格:Q355B
3.钢梁制作、安装、除锈
4.其他详见施工设计图</t>
        </is>
      </c>
      <c r="F59" s="222" t="inlineStr">
        <is>
          <t>t</t>
        </is>
      </c>
      <c r="G59" s="223" t="n">
        <v>12.35</v>
      </c>
      <c r="H59" s="223" t="n">
        <v>19.01</v>
      </c>
      <c r="I59" s="226" t="n">
        <v>19.004</v>
      </c>
      <c r="J59" s="226" t="n"/>
      <c r="K59" s="223">
        <f>H61-G61</f>
        <v/>
      </c>
      <c r="L59" s="223">
        <f>I61-G61</f>
        <v/>
      </c>
      <c r="M59" s="223">
        <f>I61-H61</f>
        <v/>
      </c>
      <c r="N59" s="224">
        <f>K61/G61</f>
        <v/>
      </c>
      <c r="O59" s="222" t="n">
        <v>8895</v>
      </c>
      <c r="P59" s="222" t="n">
        <v>9802.52</v>
      </c>
      <c r="Q59" s="224">
        <f>(O61-P61)/P61</f>
        <v/>
      </c>
      <c r="R59" s="223">
        <f>P61*0.9056*0.85</f>
        <v/>
      </c>
      <c r="S59" s="223">
        <f>P61*1.15</f>
        <v/>
      </c>
      <c r="T59" s="223">
        <f>IF(O61&lt;P61*0.9056*0.85,P61*0.9056*0.85,IF(O61&gt;P61*1.15,P61*1.15,O61))</f>
        <v/>
      </c>
      <c r="U59" s="223" t="n">
        <v>109890.61</v>
      </c>
      <c r="V59" s="223" t="n">
        <v>169073.49</v>
      </c>
      <c r="W59" s="223">
        <f>U61+T61*L61</f>
        <v/>
      </c>
      <c r="X59" s="223">
        <f>V61-U61</f>
        <v/>
      </c>
      <c r="Y59" s="223">
        <f>W61-U61</f>
        <v/>
      </c>
      <c r="Z59" s="223">
        <f>W61-V61</f>
        <v/>
      </c>
      <c r="AA59" s="222" t="n"/>
      <c r="AB59" s="222" t="n"/>
      <c r="AC59" s="222" t="n"/>
      <c r="AD59" s="222" t="n"/>
      <c r="AE59" s="222" t="n"/>
      <c r="AF59" s="222" t="n"/>
      <c r="AG59" s="222" t="n"/>
      <c r="AH59" s="222" t="n"/>
      <c r="AI59" s="222" t="n"/>
      <c r="AJ59" s="222" t="n"/>
    </row>
    <row r="60" ht="54" customHeight="1" s="166">
      <c r="A60" s="222" t="n"/>
      <c r="B60" s="222" t="inlineStr">
        <is>
          <t>综合楼</t>
        </is>
      </c>
      <c r="C60" s="222" t="inlineStr">
        <is>
          <t>010604001002</t>
        </is>
      </c>
      <c r="D60" s="222" t="inlineStr">
        <is>
          <t>钢梁</t>
        </is>
      </c>
      <c r="E60" s="222" t="inlineStr">
        <is>
          <t>1.钢结构梁
2.钢材品种、规格:Q235B
3.钢梁制作、安装、除锈
4.其他详见施工设计图</t>
        </is>
      </c>
      <c r="F60" s="222" t="inlineStr">
        <is>
          <t>t</t>
        </is>
      </c>
      <c r="G60" s="223" t="n">
        <v>38.23</v>
      </c>
      <c r="H60" s="223" t="n">
        <v>11.43</v>
      </c>
      <c r="I60" s="226" t="n">
        <v>11.424</v>
      </c>
      <c r="J60" s="226" t="n"/>
      <c r="K60" s="223">
        <f>H62-G62</f>
        <v/>
      </c>
      <c r="L60" s="223">
        <f>I62-G62</f>
        <v/>
      </c>
      <c r="M60" s="223">
        <f>I62-H62</f>
        <v/>
      </c>
      <c r="N60" s="224">
        <f>K62/G62</f>
        <v/>
      </c>
      <c r="O60" s="222" t="n">
        <v>6839.9</v>
      </c>
      <c r="P60" s="222" t="n">
        <v>9706.68</v>
      </c>
      <c r="Q60" s="224">
        <f>(O62-P62)/P62</f>
        <v/>
      </c>
      <c r="R60" s="223">
        <f>P62*0.9056*0.85</f>
        <v/>
      </c>
      <c r="S60" s="223">
        <f>P62*1.15</f>
        <v/>
      </c>
      <c r="T60" s="223">
        <f>IF(O62&lt;P62*0.9056*0.85,P62*0.9056*0.85,IF(O62&gt;P62*1.15,P62*1.15,O62))</f>
        <v/>
      </c>
      <c r="U60" s="223" t="n">
        <v>261520.16</v>
      </c>
      <c r="V60" s="223" t="n">
        <v>61226.23</v>
      </c>
      <c r="W60" s="223">
        <f>U62+T62*L62</f>
        <v/>
      </c>
      <c r="X60" s="223">
        <f>V62-U62</f>
        <v/>
      </c>
      <c r="Y60" s="223">
        <f>W62-U62</f>
        <v/>
      </c>
      <c r="Z60" s="223">
        <f>W62-V62</f>
        <v/>
      </c>
      <c r="AA60" s="222" t="n"/>
      <c r="AB60" s="222" t="n"/>
      <c r="AC60" s="222" t="n"/>
      <c r="AD60" s="222" t="n"/>
      <c r="AE60" s="222" t="n"/>
      <c r="AF60" s="222" t="n"/>
      <c r="AG60" s="222" t="n"/>
      <c r="AH60" s="222" t="n"/>
      <c r="AI60" s="222" t="n"/>
      <c r="AJ60" s="222" t="n"/>
    </row>
    <row r="61" ht="66.75" customHeight="1" s="166">
      <c r="A61" s="222" t="n"/>
      <c r="B61" s="222" t="inlineStr">
        <is>
          <t>综合楼</t>
        </is>
      </c>
      <c r="C61" s="222" t="inlineStr">
        <is>
          <t>010602003001</t>
        </is>
      </c>
      <c r="D61" s="222" t="inlineStr">
        <is>
          <t>钢桁架</t>
        </is>
      </c>
      <c r="E61" s="222" t="inlineStr">
        <is>
          <t>1.钢桁架
2.钢材品种、规格:Q355B
3.钢桁架制作、安装、除锈
4.综合考虑场内、场外运输
5.其他详见施工设计图</t>
        </is>
      </c>
      <c r="F61" s="222" t="inlineStr">
        <is>
          <t>t</t>
        </is>
      </c>
      <c r="G61" s="223" t="n">
        <v>49.33</v>
      </c>
      <c r="H61" s="223" t="n">
        <v>45.65</v>
      </c>
      <c r="I61" s="226" t="n">
        <v>45.645</v>
      </c>
      <c r="J61" s="226" t="n"/>
      <c r="K61" s="223">
        <f>H63-G63</f>
        <v/>
      </c>
      <c r="L61" s="223">
        <f>I63-G63</f>
        <v/>
      </c>
      <c r="M61" s="223">
        <f>I63-H63</f>
        <v/>
      </c>
      <c r="N61" s="224">
        <f>K63/G63</f>
        <v/>
      </c>
      <c r="O61" s="222" t="n">
        <v>10367.99</v>
      </c>
      <c r="P61" s="222" t="n">
        <v>11465.39</v>
      </c>
      <c r="Q61" s="224">
        <f>(O63-P63)/P63</f>
        <v/>
      </c>
      <c r="R61" s="223">
        <f>P63*0.9056*0.85</f>
        <v/>
      </c>
      <c r="S61" s="223">
        <f>P63*1.15</f>
        <v/>
      </c>
      <c r="T61" s="223">
        <f>IF(O63&lt;P63*0.9056*0.85,P63*0.9056*0.85,IF(O63&gt;P63*1.15,P63*1.15,O63))</f>
        <v/>
      </c>
      <c r="U61" s="223" t="n">
        <v>511438.43</v>
      </c>
      <c r="V61" s="223" t="n">
        <v>473276.97</v>
      </c>
      <c r="W61" s="223">
        <f>U63+T63*L63</f>
        <v/>
      </c>
      <c r="X61" s="223">
        <f>V63-U63</f>
        <v/>
      </c>
      <c r="Y61" s="223">
        <f>W63-U63</f>
        <v/>
      </c>
      <c r="Z61" s="223">
        <f>W63-V63</f>
        <v/>
      </c>
      <c r="AA61" s="222" t="n"/>
      <c r="AB61" s="222" t="n"/>
      <c r="AC61" s="222" t="n"/>
      <c r="AD61" s="222" t="n"/>
      <c r="AE61" s="222" t="n"/>
      <c r="AF61" s="222" t="n"/>
      <c r="AG61" s="222" t="n"/>
      <c r="AH61" s="222" t="n"/>
      <c r="AI61" s="222" t="n"/>
      <c r="AJ61" s="222" t="n"/>
    </row>
    <row r="62" ht="66.75" customHeight="1" s="166">
      <c r="A62" s="222" t="n"/>
      <c r="B62" s="222" t="inlineStr">
        <is>
          <t>综合楼</t>
        </is>
      </c>
      <c r="C62" s="222" t="inlineStr">
        <is>
          <t>010602001001</t>
        </is>
      </c>
      <c r="D62" s="222" t="inlineStr">
        <is>
          <t>钢屋架</t>
        </is>
      </c>
      <c r="E62" s="222" t="inlineStr">
        <is>
          <t>1.钢屋架
2.钢材品种、规格:Q235B
3.钢屋架制作、安装、除锈
4.综合考虑场内、场外运输
5.其他详见施工设计图</t>
        </is>
      </c>
      <c r="F62" s="222" t="inlineStr">
        <is>
          <t>t</t>
        </is>
      </c>
      <c r="G62" s="223" t="n">
        <v>23.92</v>
      </c>
      <c r="H62" s="223" t="n">
        <v>41.4</v>
      </c>
      <c r="I62" s="226" t="n">
        <v>41.4</v>
      </c>
      <c r="J62" s="226" t="n"/>
      <c r="K62" s="223">
        <f>H64-G64</f>
        <v/>
      </c>
      <c r="L62" s="223">
        <f>I64-G64</f>
        <v/>
      </c>
      <c r="M62" s="223">
        <f>I64-H64</f>
        <v/>
      </c>
      <c r="N62" s="224">
        <f>K64/G64</f>
        <v/>
      </c>
      <c r="O62" s="222" t="n">
        <v>7068.28</v>
      </c>
      <c r="P62" s="222" t="n">
        <v>9954.190000000001</v>
      </c>
      <c r="Q62" s="224">
        <f>(O64-P64)/P64</f>
        <v/>
      </c>
      <c r="R62" s="223">
        <f>P64*0.9056*0.85</f>
        <v/>
      </c>
      <c r="S62" s="223">
        <f>P64*1.15</f>
        <v/>
      </c>
      <c r="T62" s="223">
        <f>IF(O64&lt;P64*0.9056*0.85,P64*0.9056*0.85,IF(O64&gt;P64*1.15,P64*1.15,O64))</f>
        <v/>
      </c>
      <c r="U62" s="223" t="n">
        <v>169081.74</v>
      </c>
      <c r="V62" s="223" t="n">
        <v>303046.21</v>
      </c>
      <c r="W62" s="223">
        <f>U64+T64*L64</f>
        <v/>
      </c>
      <c r="X62" s="223">
        <f>V64-U64</f>
        <v/>
      </c>
      <c r="Y62" s="223">
        <f>W64-U64</f>
        <v/>
      </c>
      <c r="Z62" s="223">
        <f>W64-V64</f>
        <v/>
      </c>
      <c r="AA62" s="222" t="n"/>
      <c r="AB62" s="222" t="n"/>
      <c r="AC62" s="222" t="n"/>
      <c r="AD62" s="222" t="n"/>
      <c r="AE62" s="222" t="n"/>
      <c r="AF62" s="222" t="n"/>
      <c r="AG62" s="222" t="n"/>
      <c r="AH62" s="222" t="n"/>
      <c r="AI62" s="222" t="n"/>
      <c r="AJ62" s="222" t="n"/>
    </row>
    <row r="63" ht="66.75" customHeight="1" s="166">
      <c r="A63" s="222" t="n"/>
      <c r="B63" s="222" t="inlineStr">
        <is>
          <t>综合楼</t>
        </is>
      </c>
      <c r="C63" s="222" t="inlineStr">
        <is>
          <t>010602001002</t>
        </is>
      </c>
      <c r="D63" s="222" t="inlineStr">
        <is>
          <t>钢屋架</t>
        </is>
      </c>
      <c r="E63" s="222" t="inlineStr">
        <is>
          <t>1.钢屋架
2.钢材品种、规格:Q355B
3.钢屋架制作、安装、除锈
4.综合考虑场内、场外运输
5.其他详见施工设计图</t>
        </is>
      </c>
      <c r="F63" s="222" t="inlineStr">
        <is>
          <t>t</t>
        </is>
      </c>
      <c r="G63" s="223" t="n">
        <v>9.51</v>
      </c>
      <c r="H63" s="223" t="n">
        <v>10.26</v>
      </c>
      <c r="I63" s="226" t="n">
        <v>10.26</v>
      </c>
      <c r="J63" s="226" t="n"/>
      <c r="K63" s="223">
        <f>H65-G65</f>
        <v/>
      </c>
      <c r="L63" s="223">
        <f>I65-G65</f>
        <v/>
      </c>
      <c r="M63" s="223">
        <f>I65-H65</f>
        <v/>
      </c>
      <c r="N63" s="224">
        <f>K65/G65</f>
        <v/>
      </c>
      <c r="O63" s="222" t="n">
        <v>9123.379999999999</v>
      </c>
      <c r="P63" s="222" t="n">
        <v>10054.19</v>
      </c>
      <c r="Q63" s="224">
        <f>(O65-P65)/P65</f>
        <v/>
      </c>
      <c r="R63" s="223">
        <f>P65*0.9056*0.85</f>
        <v/>
      </c>
      <c r="S63" s="223">
        <f>P65*1.15</f>
        <v/>
      </c>
      <c r="T63" s="223">
        <f>IF(O65&lt;P65*0.9056*0.85,P65*0.9056*0.85,IF(O65&gt;P65*1.15,P65*1.15,O65))</f>
        <v/>
      </c>
      <c r="U63" s="223" t="n">
        <v>86719.55</v>
      </c>
      <c r="V63" s="223" t="n">
        <v>93584.89999999999</v>
      </c>
      <c r="W63" s="223">
        <f>U65+T65*L65</f>
        <v/>
      </c>
      <c r="X63" s="223">
        <f>V65-U65</f>
        <v/>
      </c>
      <c r="Y63" s="223">
        <f>W65-U65</f>
        <v/>
      </c>
      <c r="Z63" s="223">
        <f>W65-V65</f>
        <v/>
      </c>
      <c r="AA63" s="222" t="n"/>
      <c r="AB63" s="222" t="n"/>
      <c r="AC63" s="222" t="n"/>
      <c r="AD63" s="222" t="n"/>
      <c r="AE63" s="222" t="n"/>
      <c r="AF63" s="222" t="n"/>
      <c r="AG63" s="222" t="n"/>
      <c r="AH63" s="222" t="n"/>
      <c r="AI63" s="222" t="n"/>
      <c r="AJ63" s="222" t="n"/>
    </row>
    <row r="64" ht="66.75" customHeight="1" s="166">
      <c r="A64" s="222" t="n"/>
      <c r="B64" s="222" t="inlineStr">
        <is>
          <t>综合楼</t>
        </is>
      </c>
      <c r="C64" s="222" t="inlineStr">
        <is>
          <t>010606007001</t>
        </is>
      </c>
      <c r="D64" s="222" t="inlineStr">
        <is>
          <t>钢马道</t>
        </is>
      </c>
      <c r="E64" s="222" t="inlineStr">
        <is>
          <t>1.钢马道
2.钢材品种、规格:Q235B、
3.钢屋架制作、安装、除锈
4.综合考虑场内、场外运输
5.其他详见施工设计图</t>
        </is>
      </c>
      <c r="F64" s="222" t="inlineStr">
        <is>
          <t>t</t>
        </is>
      </c>
      <c r="G64" s="223" t="n">
        <v>5.92</v>
      </c>
      <c r="H64" s="223" t="n">
        <v>9.02</v>
      </c>
      <c r="I64" s="226" t="n">
        <v>9.02</v>
      </c>
      <c r="J64" s="226" t="n"/>
      <c r="K64" s="223">
        <f>H66-G66</f>
        <v/>
      </c>
      <c r="L64" s="223">
        <f>I66-G66</f>
        <v/>
      </c>
      <c r="M64" s="223">
        <f>I66-H66</f>
        <v/>
      </c>
      <c r="N64" s="224">
        <f>K66/G66</f>
        <v/>
      </c>
      <c r="O64" s="222" t="n">
        <v>7232.27</v>
      </c>
      <c r="P64" s="222" t="n">
        <v>10133.72</v>
      </c>
      <c r="Q64" s="224">
        <f>(O66-P66)/P66</f>
        <v/>
      </c>
      <c r="R64" s="223">
        <f>P66*0.9056*0.85</f>
        <v/>
      </c>
      <c r="S64" s="223">
        <f>P66*1.15</f>
        <v/>
      </c>
      <c r="T64" s="223">
        <f>IF(O66&lt;P66*0.9056*0.85,P66*0.9056*0.85,IF(O66&gt;P66*1.15,P66*1.15,O66))</f>
        <v/>
      </c>
      <c r="U64" s="223" t="n">
        <v>42788.28</v>
      </c>
      <c r="V64" s="223" t="n">
        <v>67004.25</v>
      </c>
      <c r="W64" s="223">
        <f>U66+T66*L66</f>
        <v/>
      </c>
      <c r="X64" s="223">
        <f>V66-U66</f>
        <v/>
      </c>
      <c r="Y64" s="223">
        <f>W66-U66</f>
        <v/>
      </c>
      <c r="Z64" s="223">
        <f>W66-V66</f>
        <v/>
      </c>
      <c r="AA64" s="222" t="n"/>
      <c r="AB64" s="222" t="n"/>
      <c r="AC64" s="222" t="n"/>
      <c r="AD64" s="222" t="n"/>
      <c r="AE64" s="222" t="n"/>
      <c r="AF64" s="222" t="n"/>
      <c r="AG64" s="222" t="n"/>
      <c r="AH64" s="222" t="n"/>
      <c r="AI64" s="222" t="n"/>
      <c r="AJ64" s="222" t="n"/>
    </row>
    <row r="65" ht="28.5" customHeight="1" s="166">
      <c r="A65" s="222" t="n"/>
      <c r="B65" s="222" t="inlineStr">
        <is>
          <t>综合楼</t>
        </is>
      </c>
      <c r="C65" s="222" t="inlineStr">
        <is>
          <t>010516002001</t>
        </is>
      </c>
      <c r="D65" s="222" t="inlineStr">
        <is>
          <t>预埋铁件</t>
        </is>
      </c>
      <c r="E65" s="222" t="inlineStr">
        <is>
          <t>1.钢材种类:预埋铁件
2.其他详见施工设计图</t>
        </is>
      </c>
      <c r="F65" s="222" t="inlineStr">
        <is>
          <t>t</t>
        </is>
      </c>
      <c r="G65" s="223" t="n">
        <v>2.11</v>
      </c>
      <c r="H65" s="223" t="n">
        <v>2.12</v>
      </c>
      <c r="I65" s="226" t="n">
        <v>2.12</v>
      </c>
      <c r="J65" s="226" t="n"/>
      <c r="K65" s="223">
        <f>H67-G67</f>
        <v/>
      </c>
      <c r="L65" s="223">
        <f>I67-G67</f>
        <v/>
      </c>
      <c r="M65" s="223">
        <f>I67-H67</f>
        <v/>
      </c>
      <c r="N65" s="224">
        <f>K67/G67</f>
        <v/>
      </c>
      <c r="O65" s="222" t="n">
        <v>9040.459999999999</v>
      </c>
      <c r="P65" s="222" t="n">
        <v>10467.11</v>
      </c>
      <c r="Q65" s="224">
        <f>(O67-P67)/P67</f>
        <v/>
      </c>
      <c r="R65" s="223">
        <f>P67*0.9056*0.85</f>
        <v/>
      </c>
      <c r="S65" s="223">
        <f>P67*1.15</f>
        <v/>
      </c>
      <c r="T65" s="223">
        <f>IF(O67&lt;P67*0.9056*0.85,P67*0.9056*0.85,IF(O67&gt;P67*1.15,P67*1.15,O67))</f>
        <v/>
      </c>
      <c r="U65" s="223" t="n">
        <v>19099.78</v>
      </c>
      <c r="V65" s="223" t="n">
        <v>19208.27</v>
      </c>
      <c r="W65" s="223">
        <f>U67+T67*L67</f>
        <v/>
      </c>
      <c r="X65" s="223">
        <f>V67-U67</f>
        <v/>
      </c>
      <c r="Y65" s="223">
        <f>W67-U67</f>
        <v/>
      </c>
      <c r="Z65" s="223">
        <f>W67-V67</f>
        <v/>
      </c>
      <c r="AA65" s="222" t="n"/>
      <c r="AB65" s="222" t="n"/>
      <c r="AC65" s="222" t="n"/>
      <c r="AD65" s="222" t="n"/>
      <c r="AE65" s="222" t="n"/>
      <c r="AF65" s="222" t="n"/>
      <c r="AG65" s="222" t="n"/>
      <c r="AH65" s="222" t="n"/>
      <c r="AI65" s="222" t="n"/>
      <c r="AJ65" s="222" t="n"/>
    </row>
    <row r="66" ht="92.25" customHeight="1" s="166">
      <c r="A66" s="222" t="n"/>
      <c r="B66" s="222" t="inlineStr">
        <is>
          <t>综合楼</t>
        </is>
      </c>
      <c r="C66" s="222" t="inlineStr">
        <is>
          <t>010605001001</t>
        </is>
      </c>
      <c r="D66" s="222" t="inlineStr">
        <is>
          <t>钢板楼板</t>
        </is>
      </c>
      <c r="E66" s="222" t="inlineStr">
        <is>
          <t>1.部位：钢板楼板
2.钢材品种、规格：压型钢板YXB65-185-555(B)Q355B（含镀锌层）
3.钢板厚：0.91mm
4.金属结构件场内运输
5.其他详见施工设计图</t>
        </is>
      </c>
      <c r="F66" s="222" t="inlineStr">
        <is>
          <t>m2</t>
        </is>
      </c>
      <c r="G66" s="223" t="n">
        <v>1681.88</v>
      </c>
      <c r="H66" s="223" t="n">
        <v>1695</v>
      </c>
      <c r="I66" s="223">
        <f>317.9+1367.78</f>
        <v/>
      </c>
      <c r="J66" s="223" t="n"/>
      <c r="K66" s="223">
        <f>H68-G68</f>
        <v/>
      </c>
      <c r="L66" s="223">
        <f>I68-G68</f>
        <v/>
      </c>
      <c r="M66" s="223">
        <f>I68-H68</f>
        <v/>
      </c>
      <c r="N66" s="224">
        <f>K68/G68</f>
        <v/>
      </c>
      <c r="O66" s="222" t="n">
        <v>133.37</v>
      </c>
      <c r="P66" s="222" t="n">
        <v>156.01</v>
      </c>
      <c r="Q66" s="224">
        <f>(O68-P68)/P68</f>
        <v/>
      </c>
      <c r="R66" s="223">
        <f>P68*0.9056*0.85</f>
        <v/>
      </c>
      <c r="S66" s="223">
        <f>P68*1.15</f>
        <v/>
      </c>
      <c r="T66" s="223">
        <f>IF(O68&lt;P68*0.9056*0.85,P68*0.9056*0.85,IF(O68&gt;P68*1.15,P68*1.15,O68))</f>
        <v/>
      </c>
      <c r="U66" s="223" t="n">
        <v>224312.34</v>
      </c>
      <c r="V66" s="223" t="n">
        <v>226062.15</v>
      </c>
      <c r="W66" s="223">
        <f>U68+T68*L68</f>
        <v/>
      </c>
      <c r="X66" s="223">
        <f>V68-U68</f>
        <v/>
      </c>
      <c r="Y66" s="223">
        <f>W68-U68</f>
        <v/>
      </c>
      <c r="Z66" s="223">
        <f>W68-V68</f>
        <v/>
      </c>
      <c r="AA66" s="222" t="n"/>
      <c r="AB66" s="222" t="inlineStr">
        <is>
          <t>区分0.75和0.91</t>
        </is>
      </c>
      <c r="AC66" s="222" t="n"/>
      <c r="AD66" s="222" t="n"/>
      <c r="AE66" s="222" t="n"/>
      <c r="AF66" s="222" t="n"/>
      <c r="AG66" s="222" t="n"/>
      <c r="AH66" s="222" t="n"/>
      <c r="AI66" s="222" t="n"/>
      <c r="AJ66" s="222" t="n"/>
    </row>
    <row r="67" ht="46" customHeight="1" s="166">
      <c r="A67" s="222" t="n"/>
      <c r="B67" s="222" t="inlineStr">
        <is>
          <t>综合楼</t>
        </is>
      </c>
      <c r="C67" s="222" t="inlineStr">
        <is>
          <t>010606013001</t>
        </is>
      </c>
      <c r="D67" s="222" t="inlineStr">
        <is>
          <t>零星钢构件</t>
        </is>
      </c>
      <c r="E67" s="222" t="inlineStr">
        <is>
          <t>1.构件名称:栓钉
2.钢材规格:Φ16，L=100mm
3.其他:具体详见图纸</t>
        </is>
      </c>
      <c r="F67" s="222" t="inlineStr">
        <is>
          <t>套</t>
        </is>
      </c>
      <c r="G67" s="223" t="n">
        <v>5586</v>
      </c>
      <c r="H67" s="223" t="n">
        <v>6828</v>
      </c>
      <c r="I67" s="225" t="n">
        <v>6828</v>
      </c>
      <c r="J67" s="225" t="n"/>
      <c r="K67" s="223">
        <f>H69-G69</f>
        <v/>
      </c>
      <c r="L67" s="223">
        <f>I69-G69</f>
        <v/>
      </c>
      <c r="M67" s="223">
        <f>I69-H69</f>
        <v/>
      </c>
      <c r="N67" s="224">
        <f>K69/G69</f>
        <v/>
      </c>
      <c r="O67" s="222" t="n">
        <v>3.34</v>
      </c>
      <c r="P67" s="222" t="n">
        <v>5.64</v>
      </c>
      <c r="Q67" s="224">
        <f>(O69-P69)/P69</f>
        <v/>
      </c>
      <c r="R67" s="223">
        <f>P69*0.9056*0.85</f>
        <v/>
      </c>
      <c r="S67" s="223">
        <f>P69*1.15</f>
        <v/>
      </c>
      <c r="T67" s="223">
        <f>IF(O69&lt;P69*0.9056*0.85,P69*0.9056*0.85,IF(O69&gt;P69*1.15,P69*1.15,O69))</f>
        <v/>
      </c>
      <c r="U67" s="223" t="n">
        <v>18657.24</v>
      </c>
      <c r="V67" s="223" t="n">
        <v>24049.32</v>
      </c>
      <c r="W67" s="223">
        <f>U69+T69*L69</f>
        <v/>
      </c>
      <c r="X67" s="223">
        <f>V69-U69</f>
        <v/>
      </c>
      <c r="Y67" s="223">
        <f>W69-U69</f>
        <v/>
      </c>
      <c r="Z67" s="223">
        <f>W69-V69</f>
        <v/>
      </c>
      <c r="AA67" s="222" t="n"/>
      <c r="AB67" s="222" t="n"/>
      <c r="AC67" s="222" t="n"/>
      <c r="AD67" s="222" t="n"/>
      <c r="AE67" s="222" t="n"/>
      <c r="AF67" s="222" t="n"/>
      <c r="AG67" s="222" t="n"/>
      <c r="AH67" s="222" t="n"/>
      <c r="AI67" s="222" t="n"/>
      <c r="AJ67" s="222" t="n"/>
    </row>
    <row r="68" ht="66.75" customHeight="1" s="166">
      <c r="A68" s="222" t="n"/>
      <c r="B68" s="222" t="inlineStr">
        <is>
          <t>综合楼</t>
        </is>
      </c>
      <c r="C68" s="222" t="inlineStr">
        <is>
          <t>011405001004</t>
        </is>
      </c>
      <c r="D68" s="222" t="inlineStr">
        <is>
          <t>金属面油漆</t>
        </is>
      </c>
      <c r="E68" s="222" t="inlineStr">
        <is>
          <t>部位：钢板楼板
1.膨胀型防火涂料（耐火极限1.0h）
2.聚硅氧烷面漆2遍
3.其他详见施工设计图</t>
        </is>
      </c>
      <c r="F68" s="222" t="inlineStr">
        <is>
          <t>m2</t>
        </is>
      </c>
      <c r="G68" s="223" t="n">
        <v>1681.88</v>
      </c>
      <c r="H68" s="223" t="n">
        <v>1695</v>
      </c>
      <c r="I68" s="223">
        <f>I68</f>
        <v/>
      </c>
      <c r="J68" s="223" t="n"/>
      <c r="K68" s="223">
        <f>H70-G70</f>
        <v/>
      </c>
      <c r="L68" s="223">
        <f>I70-G70</f>
        <v/>
      </c>
      <c r="M68" s="223">
        <f>I70-H70</f>
        <v/>
      </c>
      <c r="N68" s="224">
        <f>K70/G70</f>
        <v/>
      </c>
      <c r="O68" s="222" t="n">
        <v>32.5</v>
      </c>
      <c r="P68" s="222" t="n">
        <v>42.71</v>
      </c>
      <c r="Q68" s="224">
        <f>(O70-P70)/P70</f>
        <v/>
      </c>
      <c r="R68" s="223">
        <f>P70*0.9056*0.85</f>
        <v/>
      </c>
      <c r="S68" s="223">
        <f>P70*1.15</f>
        <v/>
      </c>
      <c r="T68" s="223">
        <f>IF(O70&lt;P70*0.9056*0.85,P70*0.9056*0.85,IF(O70&gt;P70*1.15,P70*1.15,O70))</f>
        <v/>
      </c>
      <c r="U68" s="223" t="n">
        <v>54661.1</v>
      </c>
      <c r="V68" s="223" t="n">
        <v>55092.44</v>
      </c>
      <c r="W68" s="223">
        <f>U70+T70*L70</f>
        <v/>
      </c>
      <c r="X68" s="223">
        <f>V70-U70</f>
        <v/>
      </c>
      <c r="Y68" s="223">
        <f>W70-U70</f>
        <v/>
      </c>
      <c r="Z68" s="223">
        <f>W70-V70</f>
        <v/>
      </c>
      <c r="AA68" s="222" t="n"/>
      <c r="AB68" s="222" t="inlineStr">
        <is>
          <t>金属面油漆</t>
        </is>
      </c>
      <c r="AC68" s="222" t="n">
        <v>1695</v>
      </c>
      <c r="AD68" s="222" t="n"/>
      <c r="AE68" s="222" t="n"/>
      <c r="AF68" s="222" t="n"/>
      <c r="AG68" s="222" t="n"/>
      <c r="AH68" s="222" t="n"/>
      <c r="AI68" s="222" t="n"/>
      <c r="AJ68" s="222" t="n"/>
    </row>
    <row r="69" ht="92.25" customHeight="1" s="166">
      <c r="A69" s="222" t="n"/>
      <c r="B69" s="222" t="inlineStr">
        <is>
          <t>综合楼</t>
        </is>
      </c>
      <c r="C69" s="222" t="inlineStr">
        <is>
          <t>011405001002</t>
        </is>
      </c>
      <c r="D69" s="222" t="inlineStr">
        <is>
          <t>金属面油漆</t>
        </is>
      </c>
      <c r="E69" s="222" t="inlineStr">
        <is>
          <t>部位：钢柱
1.环氧富锌底漆2遍
2.环氧云铁中间漆3遍
3.非膨胀型防火涂料40mm（耐火极限2.5h）
4.聚硅氧烷面漆2遍
5.其他详见施工设计图</t>
        </is>
      </c>
      <c r="F69" s="222" t="inlineStr">
        <is>
          <t>m2</t>
        </is>
      </c>
      <c r="G69" s="223" t="n">
        <v>14.99</v>
      </c>
      <c r="H69" s="223" t="n">
        <v>25.23</v>
      </c>
      <c r="I69" s="223" t="n">
        <v>25.23</v>
      </c>
      <c r="J69" s="223" t="n"/>
      <c r="K69" s="223">
        <f>H71-G71</f>
        <v/>
      </c>
      <c r="L69" s="223">
        <f>I71-G71</f>
        <v/>
      </c>
      <c r="M69" s="223">
        <f>I71-H71</f>
        <v/>
      </c>
      <c r="N69" s="224">
        <f>K71/G71</f>
        <v/>
      </c>
      <c r="O69" s="222" t="n">
        <v>311.94</v>
      </c>
      <c r="P69" s="222" t="n">
        <v>214.23</v>
      </c>
      <c r="Q69" s="224">
        <f>(O71-P71)/P71</f>
        <v/>
      </c>
      <c r="R69" s="223">
        <f>P71*0.9056*0.85</f>
        <v/>
      </c>
      <c r="S69" s="223">
        <f>P71*1.15</f>
        <v/>
      </c>
      <c r="T69" s="223">
        <f>IF(O71&lt;P71*0.9056*0.85,P71*0.9056*0.85,IF(O71&gt;P71*1.15,P71*1.15,O71))</f>
        <v/>
      </c>
      <c r="U69" s="223" t="n">
        <v>4675.98</v>
      </c>
      <c r="V69" s="223" t="n">
        <v>7198.75</v>
      </c>
      <c r="W69" s="223">
        <f>U71+T71*L71</f>
        <v/>
      </c>
      <c r="X69" s="223">
        <f>V71-U71</f>
        <v/>
      </c>
      <c r="Y69" s="223">
        <f>W71-U71</f>
        <v/>
      </c>
      <c r="Z69" s="223">
        <f>W71-V71</f>
        <v/>
      </c>
      <c r="AA69" s="222" t="n"/>
      <c r="AB69" s="222" t="n"/>
      <c r="AC69" s="222" t="n"/>
      <c r="AD69" s="222" t="n"/>
      <c r="AE69" s="222" t="n"/>
      <c r="AF69" s="222" t="n"/>
      <c r="AG69" s="222" t="n"/>
      <c r="AH69" s="222" t="n"/>
      <c r="AI69" s="222" t="n"/>
      <c r="AJ69" s="222" t="n"/>
    </row>
    <row r="70" ht="105" customHeight="1" s="166">
      <c r="A70" s="222" t="n"/>
      <c r="B70" s="222" t="inlineStr">
        <is>
          <t>综合楼</t>
        </is>
      </c>
      <c r="C70" s="222" t="inlineStr">
        <is>
          <t>011405001003</t>
        </is>
      </c>
      <c r="D70" s="222" t="inlineStr">
        <is>
          <t>金属面油漆</t>
        </is>
      </c>
      <c r="E70" s="222" t="inlineStr">
        <is>
          <t>部位：钢梁、钢屋架、钢桁架、钢马道等
1.环氧富锌底漆2遍
2.环氧云铁中间漆3遍
3.膨胀型防火涂料（耐火极限1.5h）
4.聚硅氧烷面漆2遍
5.其他详见施工设计图</t>
        </is>
      </c>
      <c r="F70" s="222" t="inlineStr">
        <is>
          <t>m2</t>
        </is>
      </c>
      <c r="G70" s="223" t="n">
        <v>3436.94</v>
      </c>
      <c r="H70" s="223" t="n">
        <v>2873.67</v>
      </c>
      <c r="I70" s="223" t="n">
        <v>2873.67</v>
      </c>
      <c r="J70" s="223" t="n"/>
      <c r="K70" s="223">
        <f>H72-G72</f>
        <v/>
      </c>
      <c r="L70" s="223">
        <f>I72-G72</f>
        <v/>
      </c>
      <c r="M70" s="223">
        <f>I72-H72</f>
        <v/>
      </c>
      <c r="N70" s="224">
        <f>K72/G72</f>
        <v/>
      </c>
      <c r="O70" s="222" t="n">
        <v>116.14</v>
      </c>
      <c r="P70" s="222" t="n">
        <v>114.29</v>
      </c>
      <c r="Q70" s="224">
        <f>(O72-P72)/P72</f>
        <v/>
      </c>
      <c r="R70" s="223">
        <f>P72*0.9056*0.85</f>
        <v/>
      </c>
      <c r="S70" s="223">
        <f>P72*1.15</f>
        <v/>
      </c>
      <c r="T70" s="223">
        <f>IF(O72&lt;P72*0.9056*0.85,P72*0.9056*0.85,IF(O72&gt;P72*1.15,P72*1.15,O72))</f>
        <v/>
      </c>
      <c r="U70" s="223" t="n">
        <v>399166.21</v>
      </c>
      <c r="V70" s="223" t="n">
        <v>333748.03</v>
      </c>
      <c r="W70" s="223">
        <f>U72+T72*L72</f>
        <v/>
      </c>
      <c r="X70" s="223">
        <f>V72-U72</f>
        <v/>
      </c>
      <c r="Y70" s="223">
        <f>W72-U72</f>
        <v/>
      </c>
      <c r="Z70" s="223">
        <f>W72-V72</f>
        <v/>
      </c>
      <c r="AA70" s="222" t="n"/>
      <c r="AB70" s="222" t="n"/>
      <c r="AC70" s="222" t="n"/>
      <c r="AD70" s="222" t="n"/>
      <c r="AE70" s="222" t="n"/>
      <c r="AF70" s="222" t="n"/>
      <c r="AG70" s="222" t="n"/>
      <c r="AH70" s="222" t="n"/>
      <c r="AI70" s="222" t="n"/>
      <c r="AJ70" s="222" t="n"/>
    </row>
    <row r="71" ht="66.75" customHeight="1" s="166">
      <c r="A71" s="222" t="n"/>
      <c r="B71" s="222" t="inlineStr">
        <is>
          <t>综合楼</t>
        </is>
      </c>
      <c r="C71" s="222" t="inlineStr">
        <is>
          <t>011303001001</t>
        </is>
      </c>
      <c r="D71" s="222" t="inlineStr">
        <is>
          <t>采光窗</t>
        </is>
      </c>
      <c r="E71" s="222" t="inlineStr">
        <is>
          <t>1.low-E中空玻璃（6+12A+6）+0.76PVB+6mm夹胶玻璃采光窗
2.铝合金骨架、铁丝网防护
3.其他详见施工设计图</t>
        </is>
      </c>
      <c r="F71" s="222" t="inlineStr">
        <is>
          <t>m2</t>
        </is>
      </c>
      <c r="G71" s="223" t="n">
        <v>36.82</v>
      </c>
      <c r="H71" s="223" t="n">
        <v>37.24</v>
      </c>
      <c r="I71" s="223" t="n">
        <v>37.24</v>
      </c>
      <c r="J71" s="223" t="n"/>
      <c r="K71" s="223">
        <f>H73-G73</f>
        <v/>
      </c>
      <c r="L71" s="223">
        <f>I73-G73</f>
        <v/>
      </c>
      <c r="M71" s="223">
        <f>I73-H73</f>
        <v/>
      </c>
      <c r="N71" s="224">
        <f>K73/G73</f>
        <v/>
      </c>
      <c r="O71" s="222" t="n">
        <v>812.1900000000001</v>
      </c>
      <c r="P71" s="222" t="n">
        <v>537.8099999999999</v>
      </c>
      <c r="Q71" s="224">
        <f>(O73-P73)/P73</f>
        <v/>
      </c>
      <c r="R71" s="223">
        <f>P73*0.9056*0.85</f>
        <v/>
      </c>
      <c r="S71" s="223">
        <f>P73*1.15</f>
        <v/>
      </c>
      <c r="T71" s="223">
        <f>IF(O73&lt;P73*0.9056*0.85,P73*0.9056*0.85,IF(O73&gt;P73*1.15,P73*1.15,O73))</f>
        <v/>
      </c>
      <c r="U71" s="223" t="n">
        <v>29904.84</v>
      </c>
      <c r="V71" s="223" t="n">
        <v>30166.21</v>
      </c>
      <c r="W71" s="223">
        <f>U73+T73*L73</f>
        <v/>
      </c>
      <c r="X71" s="223">
        <f>V73-U73</f>
        <v/>
      </c>
      <c r="Y71" s="223">
        <f>W73-U73</f>
        <v/>
      </c>
      <c r="Z71" s="223">
        <f>W73-V73</f>
        <v/>
      </c>
      <c r="AA71" s="222" t="n"/>
      <c r="AB71" s="222" t="n"/>
      <c r="AC71" s="222" t="n"/>
      <c r="AD71" s="222" t="n"/>
      <c r="AE71" s="222" t="n"/>
      <c r="AF71" s="222" t="n"/>
      <c r="AG71" s="222" t="n"/>
      <c r="AH71" s="222" t="n"/>
      <c r="AI71" s="222" t="n"/>
      <c r="AJ71" s="222" t="n"/>
    </row>
    <row r="72" ht="28.5" customHeight="1" s="166">
      <c r="A72" s="222" t="n"/>
      <c r="B72" s="222" t="inlineStr">
        <is>
          <t>综合楼</t>
        </is>
      </c>
      <c r="C72" s="222" t="n"/>
      <c r="D72" s="222" t="inlineStr">
        <is>
          <t>门窗工程</t>
        </is>
      </c>
      <c r="E72" s="222" t="n"/>
      <c r="F72" s="222" t="n"/>
      <c r="G72" s="223" t="n"/>
      <c r="H72" s="223" t="n"/>
      <c r="I72" s="223" t="n"/>
      <c r="J72" s="223" t="n"/>
      <c r="K72" s="223" t="n"/>
      <c r="L72" s="223" t="n"/>
      <c r="M72" s="223" t="n"/>
      <c r="N72" s="224" t="n"/>
      <c r="O72" s="222" t="n"/>
      <c r="P72" s="222" t="n"/>
      <c r="Q72" s="224" t="n"/>
      <c r="R72" s="223" t="n"/>
      <c r="S72" s="223" t="n"/>
      <c r="T72" s="223" t="n"/>
      <c r="U72" s="223" t="n">
        <v>954137.67</v>
      </c>
      <c r="V72" s="223" t="n">
        <v>998562.1899999999</v>
      </c>
      <c r="W72" s="223">
        <f>+SUM(W75:W95)</f>
        <v/>
      </c>
      <c r="X72" s="223">
        <f>V74-U74</f>
        <v/>
      </c>
      <c r="Y72" s="223">
        <f>W74-U74</f>
        <v/>
      </c>
      <c r="Z72" s="223">
        <f>W74-V74</f>
        <v/>
      </c>
      <c r="AA72" s="222" t="n"/>
      <c r="AB72" s="222" t="n"/>
      <c r="AC72" s="222" t="n"/>
      <c r="AD72" s="222" t="n"/>
      <c r="AE72" s="222" t="n"/>
      <c r="AF72" s="222" t="n"/>
      <c r="AG72" s="222" t="n"/>
      <c r="AH72" s="222" t="n"/>
      <c r="AI72" s="222" t="n"/>
      <c r="AJ72" s="222" t="n"/>
    </row>
    <row r="73" ht="54" customHeight="1" s="166">
      <c r="A73" s="222" t="n"/>
      <c r="B73" s="222" t="inlineStr">
        <is>
          <t>综合楼</t>
        </is>
      </c>
      <c r="C73" s="222" t="inlineStr">
        <is>
          <t>010802003001</t>
        </is>
      </c>
      <c r="D73" s="222" t="inlineStr">
        <is>
          <t>钢质防火门</t>
        </is>
      </c>
      <c r="E73" s="222" t="inlineStr">
        <is>
          <t>1.门类型:钢质防火门单扇(甲级）
2.闭门器安装
3.其他详见施工设计图</t>
        </is>
      </c>
      <c r="F73" s="222" t="inlineStr">
        <is>
          <t>m2</t>
        </is>
      </c>
      <c r="G73" s="223" t="n">
        <v>2.3</v>
      </c>
      <c r="H73" s="223" t="n">
        <v>3.85</v>
      </c>
      <c r="I73" s="223" t="n">
        <v>3.85</v>
      </c>
      <c r="J73" s="223" t="n"/>
      <c r="K73" s="223">
        <f>H75-G75</f>
        <v/>
      </c>
      <c r="L73" s="223">
        <f>I75-G75</f>
        <v/>
      </c>
      <c r="M73" s="223">
        <f>I75-H75</f>
        <v/>
      </c>
      <c r="N73" s="224">
        <f>K75/G75</f>
        <v/>
      </c>
      <c r="O73" s="222" t="n">
        <v>569.8099999999999</v>
      </c>
      <c r="P73" s="222" t="n">
        <v>650.54</v>
      </c>
      <c r="Q73" s="224">
        <f>(O75-P75)/P75</f>
        <v/>
      </c>
      <c r="R73" s="223">
        <f>P75*0.9056*0.85</f>
        <v/>
      </c>
      <c r="S73" s="223">
        <f>P75*1.15</f>
        <v/>
      </c>
      <c r="T73" s="223">
        <f>IF(O75&lt;P75*0.9056*0.85,P75*0.9056*0.85,IF(O75&gt;P75*1.15,P75*1.15,O75))</f>
        <v/>
      </c>
      <c r="U73" s="223" t="n">
        <v>1310.56</v>
      </c>
      <c r="V73" s="223" t="n">
        <v>2193.77</v>
      </c>
      <c r="W73" s="223">
        <f>U75+T75*L75</f>
        <v/>
      </c>
      <c r="X73" s="223">
        <f>V75-U75</f>
        <v/>
      </c>
      <c r="Y73" s="223">
        <f>W75-U75</f>
        <v/>
      </c>
      <c r="Z73" s="223">
        <f>W75-V75</f>
        <v/>
      </c>
      <c r="AA73" s="222" t="n"/>
      <c r="AB73" s="222" t="n"/>
      <c r="AC73" s="222" t="n"/>
      <c r="AD73" s="222" t="n"/>
      <c r="AE73" s="222" t="n"/>
      <c r="AF73" s="222" t="n"/>
      <c r="AG73" s="222" t="n"/>
      <c r="AH73" s="222" t="n"/>
      <c r="AI73" s="222" t="n"/>
      <c r="AJ73" s="222" t="n"/>
    </row>
    <row r="74" ht="54" customHeight="1" s="166">
      <c r="A74" s="222" t="n"/>
      <c r="B74" s="222" t="inlineStr">
        <is>
          <t>综合楼</t>
        </is>
      </c>
      <c r="C74" s="222" t="inlineStr">
        <is>
          <t>010802003002</t>
        </is>
      </c>
      <c r="D74" s="222" t="inlineStr">
        <is>
          <t>钢质防火门</t>
        </is>
      </c>
      <c r="E74" s="222" t="inlineStr">
        <is>
          <t>1.门类型:钢质防火门单扇(乙级）
2.闭门器安装
3.其他详见施工设计图</t>
        </is>
      </c>
      <c r="F74" s="222" t="inlineStr">
        <is>
          <t>m2</t>
        </is>
      </c>
      <c r="G74" s="223" t="n">
        <v>7.25</v>
      </c>
      <c r="H74" s="223" t="n">
        <v>11.15</v>
      </c>
      <c r="I74" s="223" t="n">
        <v>11.15</v>
      </c>
      <c r="J74" s="223" t="n"/>
      <c r="K74" s="223">
        <f>H76-G76</f>
        <v/>
      </c>
      <c r="L74" s="223">
        <f>I76-G76</f>
        <v/>
      </c>
      <c r="M74" s="223">
        <f>I76-H76</f>
        <v/>
      </c>
      <c r="N74" s="224">
        <f>K76/G76</f>
        <v/>
      </c>
      <c r="O74" s="222" t="n">
        <v>547.91</v>
      </c>
      <c r="P74" s="222" t="n">
        <v>602.37</v>
      </c>
      <c r="Q74" s="224">
        <f>(O76-P76)/P76</f>
        <v/>
      </c>
      <c r="R74" s="223">
        <f>P76*0.9056*0.85</f>
        <v/>
      </c>
      <c r="S74" s="223">
        <f>P76*1.15</f>
        <v/>
      </c>
      <c r="T74" s="223">
        <f>IF(O76&lt;P76*0.9056*0.85,P76*0.9056*0.85,IF(O76&gt;P76*1.15,P76*1.15,O76))</f>
        <v/>
      </c>
      <c r="U74" s="223" t="n">
        <v>3969.61</v>
      </c>
      <c r="V74" s="223" t="n">
        <v>6106.46</v>
      </c>
      <c r="W74" s="223">
        <f>U76+T76*L76</f>
        <v/>
      </c>
      <c r="X74" s="223">
        <f>V76-U76</f>
        <v/>
      </c>
      <c r="Y74" s="223">
        <f>W76-U76</f>
        <v/>
      </c>
      <c r="Z74" s="223">
        <f>W76-V76</f>
        <v/>
      </c>
      <c r="AA74" s="222" t="n"/>
      <c r="AB74" s="222" t="n"/>
      <c r="AC74" s="222" t="n"/>
      <c r="AD74" s="222" t="n"/>
      <c r="AE74" s="222" t="n"/>
      <c r="AF74" s="222" t="n"/>
      <c r="AG74" s="222" t="n"/>
      <c r="AH74" s="222" t="n"/>
      <c r="AI74" s="222" t="n"/>
      <c r="AJ74" s="222" t="n"/>
    </row>
    <row r="75" ht="54" customHeight="1" s="166">
      <c r="A75" s="222" t="n"/>
      <c r="B75" s="222" t="inlineStr">
        <is>
          <t>综合楼</t>
        </is>
      </c>
      <c r="C75" s="222" t="inlineStr">
        <is>
          <t>010802003003</t>
        </is>
      </c>
      <c r="D75" s="222" t="inlineStr">
        <is>
          <t>钢质防火门</t>
        </is>
      </c>
      <c r="E75" s="222" t="inlineStr">
        <is>
          <t>1.门类型:钢质防火门单扇(丙级）
2.闭门器安装
3.其他详见施工设计图</t>
        </is>
      </c>
      <c r="F75" s="222" t="inlineStr">
        <is>
          <t>m2</t>
        </is>
      </c>
      <c r="G75" s="223" t="n">
        <v>9.6</v>
      </c>
      <c r="H75" s="223" t="n">
        <v>17.6</v>
      </c>
      <c r="I75" s="223">
        <f>14.4+3.2</f>
        <v/>
      </c>
      <c r="J75" s="223" t="n"/>
      <c r="K75" s="223">
        <f>H77-G77</f>
        <v/>
      </c>
      <c r="L75" s="223">
        <f>I77-G77</f>
        <v/>
      </c>
      <c r="M75" s="223">
        <f>I77-H77</f>
        <v/>
      </c>
      <c r="N75" s="224">
        <f>K77/G77</f>
        <v/>
      </c>
      <c r="O75" s="222" t="n">
        <v>585.85</v>
      </c>
      <c r="P75" s="222" t="n">
        <v>565.65</v>
      </c>
      <c r="Q75" s="224">
        <f>(O77-P77)/P77</f>
        <v/>
      </c>
      <c r="R75" s="223">
        <f>P77*0.9056*0.85</f>
        <v/>
      </c>
      <c r="S75" s="223">
        <f>P77*1.15</f>
        <v/>
      </c>
      <c r="T75" s="223">
        <f>IF(O77&lt;P77*0.9056*0.85,P77*0.9056*0.85,IF(O77&gt;P77*1.15,P77*1.15,O77))</f>
        <v/>
      </c>
      <c r="U75" s="223" t="n">
        <v>5624.16</v>
      </c>
      <c r="V75" s="223" t="n">
        <v>10310.96</v>
      </c>
      <c r="W75" s="223">
        <f>U77+T77*L77</f>
        <v/>
      </c>
      <c r="X75" s="223">
        <f>V77-U77</f>
        <v/>
      </c>
      <c r="Y75" s="223">
        <f>W77-U77</f>
        <v/>
      </c>
      <c r="Z75" s="223">
        <f>W77-V77</f>
        <v/>
      </c>
      <c r="AA75" s="222" t="n"/>
      <c r="AB75" s="222" t="n"/>
      <c r="AC75" s="222" t="n"/>
      <c r="AD75" s="222" t="n"/>
      <c r="AE75" s="222" t="n"/>
      <c r="AF75" s="222" t="n"/>
      <c r="AG75" s="222" t="n"/>
      <c r="AH75" s="222" t="n"/>
      <c r="AI75" s="222" t="n"/>
      <c r="AJ75" s="222" t="n"/>
    </row>
    <row r="76" ht="54" customHeight="1" s="166">
      <c r="A76" s="222" t="n"/>
      <c r="B76" s="222" t="inlineStr">
        <is>
          <t>综合楼</t>
        </is>
      </c>
      <c r="C76" s="222" t="inlineStr">
        <is>
          <t>010802003004</t>
        </is>
      </c>
      <c r="D76" s="222" t="inlineStr">
        <is>
          <t>钢质防火门</t>
        </is>
      </c>
      <c r="E76" s="222" t="inlineStr">
        <is>
          <t>1.门类型:钢质防火门双扇(甲级）
2.闭门器安装
3.其他详见施工设计图</t>
        </is>
      </c>
      <c r="F76" s="222" t="inlineStr">
        <is>
          <t>m2</t>
        </is>
      </c>
      <c r="G76" s="223" t="n">
        <v>16.4</v>
      </c>
      <c r="H76" s="223" t="n">
        <v>16.4</v>
      </c>
      <c r="I76" s="223" t="n">
        <v>16.4</v>
      </c>
      <c r="J76" s="223" t="n"/>
      <c r="K76" s="223">
        <f>H78-G78</f>
        <v/>
      </c>
      <c r="L76" s="223">
        <f>I78-G78</f>
        <v/>
      </c>
      <c r="M76" s="223">
        <f>I78-H78</f>
        <v/>
      </c>
      <c r="N76" s="224">
        <f>K78/G78</f>
        <v/>
      </c>
      <c r="O76" s="222" t="n">
        <v>585.83</v>
      </c>
      <c r="P76" s="222" t="n">
        <v>686.35</v>
      </c>
      <c r="Q76" s="224">
        <f>(O78-P78)/P78</f>
        <v/>
      </c>
      <c r="R76" s="223">
        <f>P78*0.9056*0.85</f>
        <v/>
      </c>
      <c r="S76" s="223">
        <f>P78*1.15</f>
        <v/>
      </c>
      <c r="T76" s="223">
        <f>IF(O78&lt;P78*0.9056*0.85,P78*0.9056*0.85,IF(O78&gt;P78*1.15,P78*1.15,O78))</f>
        <v/>
      </c>
      <c r="U76" s="223" t="n">
        <v>9607.610000000001</v>
      </c>
      <c r="V76" s="223" t="n">
        <v>9607.610000000001</v>
      </c>
      <c r="W76" s="223">
        <f>U78+T78*L78</f>
        <v/>
      </c>
      <c r="X76" s="223">
        <f>V78-U78</f>
        <v/>
      </c>
      <c r="Y76" s="223">
        <f>W78-U78</f>
        <v/>
      </c>
      <c r="Z76" s="223">
        <f>W78-V78</f>
        <v/>
      </c>
      <c r="AA76" s="222" t="n"/>
      <c r="AB76" s="222" t="n"/>
      <c r="AC76" s="222" t="n"/>
      <c r="AD76" s="222" t="n"/>
      <c r="AE76" s="222" t="n"/>
      <c r="AF76" s="222" t="n"/>
      <c r="AG76" s="222" t="n"/>
      <c r="AH76" s="222" t="n"/>
      <c r="AI76" s="222" t="n"/>
      <c r="AJ76" s="222" t="n"/>
    </row>
    <row r="77" ht="54" customHeight="1" s="166">
      <c r="A77" s="222" t="n"/>
      <c r="B77" s="222" t="inlineStr">
        <is>
          <t>综合楼</t>
        </is>
      </c>
      <c r="C77" s="222" t="inlineStr">
        <is>
          <t>010802003005</t>
        </is>
      </c>
      <c r="D77" s="222" t="inlineStr">
        <is>
          <t>钢质防火门</t>
        </is>
      </c>
      <c r="E77" s="222" t="inlineStr">
        <is>
          <t>1.门类型:钢质防火门双扇(乙级）
2.闭门器安装
3.其他详见施工设计图</t>
        </is>
      </c>
      <c r="F77" s="222" t="inlineStr">
        <is>
          <t>m2</t>
        </is>
      </c>
      <c r="G77" s="223" t="n">
        <v>38.87</v>
      </c>
      <c r="H77" s="223" t="n">
        <v>52.67</v>
      </c>
      <c r="I77" s="223">
        <f>3.68+40.71+8.28</f>
        <v/>
      </c>
      <c r="J77" s="223" t="n"/>
      <c r="K77" s="223">
        <f>H79-G79</f>
        <v/>
      </c>
      <c r="L77" s="223">
        <f>I79-G79</f>
        <v/>
      </c>
      <c r="M77" s="223">
        <f>I79-H79</f>
        <v/>
      </c>
      <c r="N77" s="224">
        <f>K79/G79</f>
        <v/>
      </c>
      <c r="O77" s="222" t="n">
        <v>514.6900000000001</v>
      </c>
      <c r="P77" s="222" t="n">
        <v>636.8</v>
      </c>
      <c r="Q77" s="224">
        <f>(O79-P79)/P79</f>
        <v/>
      </c>
      <c r="R77" s="223">
        <f>P79*0.9056*0.85</f>
        <v/>
      </c>
      <c r="S77" s="223">
        <f>P79*1.15</f>
        <v/>
      </c>
      <c r="T77" s="223">
        <f>IF(O79&lt;P79*0.9056*0.85,P79*0.9056*0.85,IF(O79&gt;P79*1.15,P79*1.15,O79))</f>
        <v/>
      </c>
      <c r="U77" s="223" t="n">
        <v>20006</v>
      </c>
      <c r="V77" s="223" t="n">
        <v>27108.72</v>
      </c>
      <c r="W77" s="223">
        <f>U79+T79*L79</f>
        <v/>
      </c>
      <c r="X77" s="223">
        <f>V79-U79</f>
        <v/>
      </c>
      <c r="Y77" s="223">
        <f>W79-U79</f>
        <v/>
      </c>
      <c r="Z77" s="223">
        <f>W79-V79</f>
        <v/>
      </c>
      <c r="AA77" s="222" t="n"/>
      <c r="AB77" s="222" t="n"/>
      <c r="AC77" s="222" t="n"/>
      <c r="AD77" s="222" t="n"/>
      <c r="AE77" s="222" t="n"/>
      <c r="AF77" s="222" t="n"/>
      <c r="AG77" s="222" t="n"/>
      <c r="AH77" s="222" t="n"/>
      <c r="AI77" s="222" t="n"/>
      <c r="AJ77" s="222" t="n"/>
    </row>
    <row r="78" ht="54" customHeight="1" s="166">
      <c r="A78" s="222" t="n"/>
      <c r="B78" s="222" t="inlineStr">
        <is>
          <t>综合楼</t>
        </is>
      </c>
      <c r="C78" s="222" t="inlineStr">
        <is>
          <t>010802003006</t>
        </is>
      </c>
      <c r="D78" s="222" t="inlineStr">
        <is>
          <t>钢质防火门</t>
        </is>
      </c>
      <c r="E78" s="222" t="inlineStr">
        <is>
          <t>1.门类型:钢质防火门四扇(乙级）
2.闭门器安装
3.其他详见施工设计图</t>
        </is>
      </c>
      <c r="F78" s="222" t="inlineStr">
        <is>
          <t>m2</t>
        </is>
      </c>
      <c r="G78" s="223" t="n">
        <v>8.279999999999999</v>
      </c>
      <c r="H78" s="223" t="n">
        <v>8.279999999999999</v>
      </c>
      <c r="I78" s="223" t="n">
        <v>8.279999999999999</v>
      </c>
      <c r="J78" s="223" t="n"/>
      <c r="K78" s="223">
        <f>H80-G80</f>
        <v/>
      </c>
      <c r="L78" s="223">
        <f>I80-G80</f>
        <v/>
      </c>
      <c r="M78" s="223">
        <f>I80-H80</f>
        <v/>
      </c>
      <c r="N78" s="224">
        <f>K80/G80</f>
        <v/>
      </c>
      <c r="O78" s="222" t="n">
        <v>554.23</v>
      </c>
      <c r="P78" s="222" t="n">
        <v>636.9400000000001</v>
      </c>
      <c r="Q78" s="224">
        <f>(O80-P80)/P80</f>
        <v/>
      </c>
      <c r="R78" s="223">
        <f>P80*0.9056*0.85</f>
        <v/>
      </c>
      <c r="S78" s="223">
        <f>P80*1.15</f>
        <v/>
      </c>
      <c r="T78" s="223">
        <f>IF(O80&lt;P80*0.9056*0.85,P80*0.9056*0.85,IF(O80&gt;P80*1.15,P80*1.15,O80))</f>
        <v/>
      </c>
      <c r="U78" s="223" t="n">
        <v>4589.02</v>
      </c>
      <c r="V78" s="223" t="n">
        <v>4589.02</v>
      </c>
      <c r="W78" s="223">
        <f>U80+T80*L80</f>
        <v/>
      </c>
      <c r="X78" s="223">
        <f>V80-U80</f>
        <v/>
      </c>
      <c r="Y78" s="223">
        <f>W80-U80</f>
        <v/>
      </c>
      <c r="Z78" s="223">
        <f>W80-V80</f>
        <v/>
      </c>
      <c r="AA78" s="222" t="n"/>
      <c r="AB78" s="222" t="n"/>
      <c r="AC78" s="222" t="n"/>
      <c r="AD78" s="222" t="n"/>
      <c r="AE78" s="222" t="n"/>
      <c r="AF78" s="222" t="n"/>
      <c r="AG78" s="222" t="n"/>
      <c r="AH78" s="222" t="n"/>
      <c r="AI78" s="222" t="n"/>
      <c r="AJ78" s="222" t="n"/>
    </row>
    <row r="79" ht="41.25" customHeight="1" s="166">
      <c r="A79" s="222" t="n"/>
      <c r="B79" s="222" t="inlineStr">
        <is>
          <t>综合楼</t>
        </is>
      </c>
      <c r="C79" s="222" t="inlineStr">
        <is>
          <t>010802001001</t>
        </is>
      </c>
      <c r="D79" s="222" t="inlineStr">
        <is>
          <t>金属(塑钢)门</t>
        </is>
      </c>
      <c r="E79" s="222" t="inlineStr">
        <is>
          <t>1.门类型:钢质平开门单扇
2.闭门器安装
3.其他详见施工设计图</t>
        </is>
      </c>
      <c r="F79" s="222" t="inlineStr">
        <is>
          <t>m2</t>
        </is>
      </c>
      <c r="G79" s="223" t="n">
        <v>33.81</v>
      </c>
      <c r="H79" s="223" t="n">
        <v>33.81</v>
      </c>
      <c r="I79" s="223">
        <f>28.98+4.83</f>
        <v/>
      </c>
      <c r="J79" s="223" t="n"/>
      <c r="K79" s="223">
        <f>H81-G81</f>
        <v/>
      </c>
      <c r="L79" s="223">
        <f>I81-G81</f>
        <v/>
      </c>
      <c r="M79" s="223">
        <f>I81-H81</f>
        <v/>
      </c>
      <c r="N79" s="224">
        <f>K81/G81</f>
        <v/>
      </c>
      <c r="O79" s="222" t="n">
        <v>767.13</v>
      </c>
      <c r="P79" s="222" t="n">
        <v>592.75</v>
      </c>
      <c r="Q79" s="224">
        <f>(O81-P81)/P81</f>
        <v/>
      </c>
      <c r="R79" s="223">
        <f>P81*0.9056*0.85</f>
        <v/>
      </c>
      <c r="S79" s="223">
        <f>P81*1.15</f>
        <v/>
      </c>
      <c r="T79" s="223">
        <f>IF(O81&lt;P81*0.9056*0.85,P81*0.9056*0.85,IF(O81&gt;P81*1.15,P81*1.15,O81))</f>
        <v/>
      </c>
      <c r="U79" s="223" t="n">
        <v>25936.67</v>
      </c>
      <c r="V79" s="223" t="n">
        <v>25936.67</v>
      </c>
      <c r="W79" s="223">
        <f>U81+T81*L81</f>
        <v/>
      </c>
      <c r="X79" s="223">
        <f>V81-U81</f>
        <v/>
      </c>
      <c r="Y79" s="223">
        <f>W81-U81</f>
        <v/>
      </c>
      <c r="Z79" s="223">
        <f>W81-V81</f>
        <v/>
      </c>
      <c r="AA79" s="222" t="n"/>
      <c r="AB79" s="222" t="n"/>
      <c r="AC79" s="222" t="n"/>
      <c r="AD79" s="222" t="n"/>
      <c r="AE79" s="222" t="n"/>
      <c r="AF79" s="222" t="n"/>
      <c r="AG79" s="222" t="n"/>
      <c r="AH79" s="222" t="n"/>
      <c r="AI79" s="222" t="n"/>
      <c r="AJ79" s="222" t="n"/>
    </row>
    <row r="80" ht="41.25" customHeight="1" s="166">
      <c r="A80" s="222" t="n"/>
      <c r="B80" s="222" t="inlineStr">
        <is>
          <t>综合楼</t>
        </is>
      </c>
      <c r="C80" s="222" t="inlineStr">
        <is>
          <t>010802001002</t>
        </is>
      </c>
      <c r="D80" s="222" t="inlineStr">
        <is>
          <t>金属(塑钢)门</t>
        </is>
      </c>
      <c r="E80" s="222" t="inlineStr">
        <is>
          <t>1.门类型:钢质平开门双扇
2.闭门器安装
3.其他详见施工设计图</t>
        </is>
      </c>
      <c r="F80" s="222" t="inlineStr">
        <is>
          <t>m2</t>
        </is>
      </c>
      <c r="G80" s="223" t="n">
        <v>77.73999999999999</v>
      </c>
      <c r="H80" s="223" t="n">
        <v>77.73999999999999</v>
      </c>
      <c r="I80" s="223">
        <f>10.35+57.04</f>
        <v/>
      </c>
      <c r="J80" s="223" t="n"/>
      <c r="K80" s="223">
        <f>H82-G82</f>
        <v/>
      </c>
      <c r="L80" s="223">
        <f>I82-G82</f>
        <v/>
      </c>
      <c r="M80" s="223">
        <f>I82-H82</f>
        <v/>
      </c>
      <c r="N80" s="224">
        <f>K82/G82</f>
        <v/>
      </c>
      <c r="O80" s="222" t="n">
        <v>818.97</v>
      </c>
      <c r="P80" s="222" t="n">
        <v>638.3099999999999</v>
      </c>
      <c r="Q80" s="224">
        <f>(O82-P82)/P82</f>
        <v/>
      </c>
      <c r="R80" s="223">
        <f>P82*0.9056*0.85</f>
        <v/>
      </c>
      <c r="S80" s="223">
        <f>P82*1.15</f>
        <v/>
      </c>
      <c r="T80" s="223">
        <f>IF(O82&lt;P82*0.9056*0.85,P82*0.9056*0.85,IF(O82&gt;P82*1.15,P82*1.15,O82))</f>
        <v/>
      </c>
      <c r="U80" s="223" t="n">
        <v>63666.73</v>
      </c>
      <c r="V80" s="223" t="n">
        <v>63666.73</v>
      </c>
      <c r="W80" s="223">
        <f>U82+T82*L82</f>
        <v/>
      </c>
      <c r="X80" s="223">
        <f>V82-U82</f>
        <v/>
      </c>
      <c r="Y80" s="223">
        <f>W82-U82</f>
        <v/>
      </c>
      <c r="Z80" s="223">
        <f>W82-V82</f>
        <v/>
      </c>
      <c r="AA80" s="222" t="n"/>
      <c r="AB80" s="222" t="n"/>
      <c r="AC80" s="222" t="n"/>
      <c r="AD80" s="222" t="n"/>
      <c r="AE80" s="222" t="n"/>
      <c r="AF80" s="222" t="n"/>
      <c r="AG80" s="222" t="n"/>
      <c r="AH80" s="222" t="n"/>
      <c r="AI80" s="222" t="n"/>
      <c r="AJ80" s="222" t="n"/>
    </row>
    <row r="81" ht="41.25" customHeight="1" s="166">
      <c r="A81" s="222" t="n"/>
      <c r="B81" s="222" t="inlineStr">
        <is>
          <t>综合楼</t>
        </is>
      </c>
      <c r="C81" s="222" t="inlineStr">
        <is>
          <t>010802001003</t>
        </is>
      </c>
      <c r="D81" s="222" t="inlineStr">
        <is>
          <t>金属(塑钢)门</t>
        </is>
      </c>
      <c r="E81" s="222" t="inlineStr">
        <is>
          <t>1.门类型:钢质平开门四扇
2.闭门器安装
3.其他详见施工设计图</t>
        </is>
      </c>
      <c r="F81" s="222" t="inlineStr">
        <is>
          <t>m2</t>
        </is>
      </c>
      <c r="G81" s="223" t="n">
        <v>8.279999999999999</v>
      </c>
      <c r="H81" s="223" t="n">
        <v>13.32</v>
      </c>
      <c r="I81" s="223" t="n">
        <v>8.279999999999999</v>
      </c>
      <c r="J81" s="223" t="n"/>
      <c r="K81" s="223">
        <f>H83-G83</f>
        <v/>
      </c>
      <c r="L81" s="223">
        <f>I83-G83</f>
        <v/>
      </c>
      <c r="M81" s="223">
        <f>I83-H83</f>
        <v/>
      </c>
      <c r="N81" s="224">
        <f>K83/G83</f>
        <v/>
      </c>
      <c r="O81" s="222" t="n">
        <v>880.74</v>
      </c>
      <c r="P81" s="222" t="n">
        <v>636.9400000000001</v>
      </c>
      <c r="Q81" s="224">
        <f>(O83-P83)/P83</f>
        <v/>
      </c>
      <c r="R81" s="223">
        <f>P83*0.9056*0.85</f>
        <v/>
      </c>
      <c r="S81" s="223">
        <f>P83*1.15</f>
        <v/>
      </c>
      <c r="T81" s="223">
        <f>IF(O83&lt;P83*0.9056*0.85,P83*0.9056*0.85,IF(O83&gt;P83*1.15,P83*1.15,O83))</f>
        <v/>
      </c>
      <c r="U81" s="223" t="n">
        <v>7292.53</v>
      </c>
      <c r="V81" s="223" t="n">
        <v>10984.23</v>
      </c>
      <c r="W81" s="223">
        <f>U83+T83*L83</f>
        <v/>
      </c>
      <c r="X81" s="223">
        <f>V83-U83</f>
        <v/>
      </c>
      <c r="Y81" s="223">
        <f>W83-U83</f>
        <v/>
      </c>
      <c r="Z81" s="223">
        <f>W83-V83</f>
        <v/>
      </c>
      <c r="AA81" s="222" t="n"/>
      <c r="AB81" s="222" t="n"/>
      <c r="AC81" s="222" t="n"/>
      <c r="AD81" s="222" t="n"/>
      <c r="AE81" s="222" t="n"/>
      <c r="AF81" s="222" t="n"/>
      <c r="AG81" s="222" t="n"/>
      <c r="AH81" s="222" t="n"/>
      <c r="AI81" s="222" t="n"/>
      <c r="AJ81" s="222" t="n"/>
    </row>
    <row r="82" ht="79.5" customHeight="1" s="166">
      <c r="A82" s="222" t="n"/>
      <c r="B82" s="222" t="inlineStr">
        <is>
          <t>综合楼</t>
        </is>
      </c>
      <c r="C82" s="222" t="inlineStr">
        <is>
          <t>010802001004</t>
        </is>
      </c>
      <c r="D82" s="222" t="inlineStr">
        <is>
          <t>金属(塑钢)门</t>
        </is>
      </c>
      <c r="E82" s="222" t="inlineStr">
        <is>
          <t>1.门类型:铝合金门联窗
2.铝材厚度:1.8mm
3.玻璃品种、厚度:Low-E中空玻璃(6+12A+6)
4.门拉手安装
5.其他详见施工设计图</t>
        </is>
      </c>
      <c r="F82" s="222" t="inlineStr">
        <is>
          <t>m2</t>
        </is>
      </c>
      <c r="G82" s="223" t="n">
        <v>95.98</v>
      </c>
      <c r="H82" s="223" t="n">
        <v>95.98</v>
      </c>
      <c r="I82" s="223">
        <f>67.76+27.9</f>
        <v/>
      </c>
      <c r="J82" s="223" t="n"/>
      <c r="K82" s="223">
        <f>H84-G84</f>
        <v/>
      </c>
      <c r="L82" s="223">
        <f>I84-G84</f>
        <v/>
      </c>
      <c r="M82" s="223">
        <f>I84-H84</f>
        <v/>
      </c>
      <c r="N82" s="224">
        <f>K84/G84</f>
        <v/>
      </c>
      <c r="O82" s="222" t="n">
        <v>735.1</v>
      </c>
      <c r="P82" s="222" t="n">
        <v>686.26</v>
      </c>
      <c r="Q82" s="224">
        <f>(O84-P84)/P84</f>
        <v/>
      </c>
      <c r="R82" s="223">
        <f>P84*0.9056*0.85</f>
        <v/>
      </c>
      <c r="S82" s="223">
        <f>P84*1.15</f>
        <v/>
      </c>
      <c r="T82" s="223">
        <f>IF(O84&lt;P84*0.9056*0.85,P84*0.9056*0.85,IF(O84&gt;P84*1.15,P84*1.15,O84))</f>
        <v/>
      </c>
      <c r="U82" s="223" t="n">
        <v>70554.89999999999</v>
      </c>
      <c r="V82" s="223" t="n">
        <v>70554.89999999999</v>
      </c>
      <c r="W82" s="223">
        <f>U84+T84*L84</f>
        <v/>
      </c>
      <c r="X82" s="223">
        <f>V84-U84</f>
        <v/>
      </c>
      <c r="Y82" s="223">
        <f>W84-U84</f>
        <v/>
      </c>
      <c r="Z82" s="223">
        <f>W84-V84</f>
        <v/>
      </c>
      <c r="AA82" s="222" t="n"/>
      <c r="AB82" s="222" t="n"/>
      <c r="AC82" s="222" t="n"/>
      <c r="AD82" s="222" t="n"/>
      <c r="AE82" s="222" t="n"/>
      <c r="AF82" s="222" t="n"/>
      <c r="AG82" s="222" t="n"/>
      <c r="AH82" s="222" t="n"/>
      <c r="AI82" s="222" t="n"/>
      <c r="AJ82" s="222" t="n"/>
    </row>
    <row r="83" ht="117.75" customHeight="1" s="166">
      <c r="A83" s="222" t="n"/>
      <c r="B83" s="222" t="inlineStr">
        <is>
          <t>综合楼</t>
        </is>
      </c>
      <c r="C83" s="222" t="inlineStr">
        <is>
          <t>010807006001</t>
        </is>
      </c>
      <c r="D83" s="222" t="inlineStr">
        <is>
          <t>配餐间售卖窗</t>
        </is>
      </c>
      <c r="E83" s="222" t="inlineStr">
        <is>
          <t>1.配餐间售卖窗
2.立杆：1.0mm304原色磨砂不锈钢
3.横杆：1.0mm304原色哑光不锈钢
4.上部8mm钢化清玻璃
5.下部15mm活动透明亚克力板
6.其他详见施工设计图</t>
        </is>
      </c>
      <c r="F83" s="222" t="inlineStr">
        <is>
          <t>m2</t>
        </is>
      </c>
      <c r="G83" s="223" t="n">
        <v>42.28</v>
      </c>
      <c r="H83" s="223" t="n">
        <v>43.08</v>
      </c>
      <c r="I83" s="223" t="n">
        <v>43.08</v>
      </c>
      <c r="J83" s="223" t="n"/>
      <c r="K83" s="223">
        <f>H85-G85</f>
        <v/>
      </c>
      <c r="L83" s="223">
        <f>I85-G85</f>
        <v/>
      </c>
      <c r="M83" s="223">
        <f>I85-H85</f>
        <v/>
      </c>
      <c r="N83" s="224">
        <f>K85/G85</f>
        <v/>
      </c>
      <c r="O83" s="222" t="n">
        <v>543</v>
      </c>
      <c r="P83" s="222" t="n">
        <v>450</v>
      </c>
      <c r="Q83" s="224">
        <f>(O85-P85)/P85</f>
        <v/>
      </c>
      <c r="R83" s="223">
        <f>P85*0.9056*0.85</f>
        <v/>
      </c>
      <c r="S83" s="223">
        <f>P85*1.15</f>
        <v/>
      </c>
      <c r="T83" s="223">
        <f>IF(O85&lt;P85*0.9056*0.85,P85*0.9056*0.85,IF(O85&gt;P85*1.15,P85*1.15,O85))</f>
        <v/>
      </c>
      <c r="U83" s="223" t="n">
        <v>22958.04</v>
      </c>
      <c r="V83" s="223" t="n">
        <v>23372.04</v>
      </c>
      <c r="W83" s="223">
        <f>U85+T85*L85</f>
        <v/>
      </c>
      <c r="X83" s="223">
        <f>V85-U85</f>
        <v/>
      </c>
      <c r="Y83" s="223">
        <f>W85-U85</f>
        <v/>
      </c>
      <c r="Z83" s="223">
        <f>W85-V85</f>
        <v/>
      </c>
      <c r="AA83" s="222" t="n"/>
      <c r="AB83" s="222" t="inlineStr">
        <is>
          <t>图纸手算</t>
        </is>
      </c>
      <c r="AC83" s="222" t="n"/>
      <c r="AD83" s="222" t="n"/>
      <c r="AE83" s="222" t="n"/>
      <c r="AF83" s="222" t="n"/>
      <c r="AG83" s="222" t="n"/>
      <c r="AH83" s="222" t="n"/>
      <c r="AI83" s="222" t="n"/>
      <c r="AJ83" s="222" t="n"/>
    </row>
    <row r="84" ht="105" customHeight="1" s="166">
      <c r="A84" s="222" t="n"/>
      <c r="B84" s="222" t="inlineStr">
        <is>
          <t>综合楼</t>
        </is>
      </c>
      <c r="C84" s="222" t="inlineStr">
        <is>
          <t>010807001001</t>
        </is>
      </c>
      <c r="D84" s="222" t="inlineStr">
        <is>
          <t>金属(塑钢、断桥)窗</t>
        </is>
      </c>
      <c r="E84" s="222" t="inlineStr">
        <is>
          <t>1.窗类型:外墙铝合金玻璃窗（编号MQ）
2.铝材厚度:1.8mm
3.玻璃品种、厚度:Low-E中空玻璃(6+12A+6)
4.排烟窗、新风防雨百叶做法详见图纸
5.其他详见施工设计图</t>
        </is>
      </c>
      <c r="F84" s="222" t="inlineStr">
        <is>
          <t>m2</t>
        </is>
      </c>
      <c r="G84" s="223" t="n">
        <v>673.01</v>
      </c>
      <c r="H84" s="223" t="n">
        <v>673.25</v>
      </c>
      <c r="I84" s="223" t="n">
        <v>673.25</v>
      </c>
      <c r="J84" s="223" t="n"/>
      <c r="K84" s="223">
        <f>H86-G86</f>
        <v/>
      </c>
      <c r="L84" s="223">
        <f>I86-G86</f>
        <v/>
      </c>
      <c r="M84" s="223">
        <f>I86-H86</f>
        <v/>
      </c>
      <c r="N84" s="224">
        <f>K86/G86</f>
        <v/>
      </c>
      <c r="O84" s="222" t="n">
        <v>803.79</v>
      </c>
      <c r="P84" s="222" t="n">
        <v>591.27</v>
      </c>
      <c r="Q84" s="224">
        <f>(O86-P86)/P86</f>
        <v/>
      </c>
      <c r="R84" s="223">
        <f>P86*0.9056*0.85</f>
        <v/>
      </c>
      <c r="S84" s="223">
        <f>P86*1.15</f>
        <v/>
      </c>
      <c r="T84" s="223">
        <f>IF(O86&lt;P86*0.9056*0.85,P86*0.9056*0.85,IF(O86&gt;P86*1.15,P86*1.15,O86))</f>
        <v/>
      </c>
      <c r="U84" s="223" t="n">
        <v>540958.71</v>
      </c>
      <c r="V84" s="223" t="n">
        <v>541121.9</v>
      </c>
      <c r="W84" s="223">
        <f>U86+T86*L86</f>
        <v/>
      </c>
      <c r="X84" s="223">
        <f>V86-U86</f>
        <v/>
      </c>
      <c r="Y84" s="223">
        <f>W86-U86</f>
        <v/>
      </c>
      <c r="Z84" s="223">
        <f>W86-V86</f>
        <v/>
      </c>
      <c r="AA84" s="222" t="n"/>
      <c r="AB84" s="222" t="n"/>
      <c r="AC84" s="222" t="n"/>
      <c r="AD84" s="222" t="n"/>
      <c r="AE84" s="222" t="n"/>
      <c r="AF84" s="222" t="n"/>
      <c r="AG84" s="222" t="n"/>
      <c r="AH84" s="222" t="n"/>
      <c r="AI84" s="222" t="n"/>
      <c r="AJ84" s="222" t="n"/>
    </row>
    <row r="85" ht="42" customHeight="1" s="166">
      <c r="A85" s="222" t="n"/>
      <c r="B85" s="222" t="inlineStr">
        <is>
          <t>综合楼</t>
        </is>
      </c>
      <c r="C85" s="222" t="inlineStr">
        <is>
          <t>010807001002</t>
        </is>
      </c>
      <c r="D85" s="222" t="inlineStr">
        <is>
          <t>金属(塑钢、断桥)窗</t>
        </is>
      </c>
      <c r="E85" s="222" t="inlineStr">
        <is>
          <t>1.厨房钢质传递窗
2.其他详见施工设计图</t>
        </is>
      </c>
      <c r="F85" s="222" t="inlineStr">
        <is>
          <t>m2</t>
        </is>
      </c>
      <c r="G85" s="223" t="n">
        <v>0.96</v>
      </c>
      <c r="H85" s="223" t="n">
        <v>0.96</v>
      </c>
      <c r="I85" s="223">
        <f>0.8*1.2</f>
        <v/>
      </c>
      <c r="J85" s="223" t="n"/>
      <c r="K85" s="223">
        <f>H87-G87</f>
        <v/>
      </c>
      <c r="L85" s="223">
        <f>I87-G87</f>
        <v/>
      </c>
      <c r="M85" s="223">
        <f>I87-H87</f>
        <v/>
      </c>
      <c r="N85" s="224">
        <f>K87/G87</f>
        <v/>
      </c>
      <c r="O85" s="222" t="n">
        <v>582</v>
      </c>
      <c r="P85" s="222" t="n">
        <v>428.75</v>
      </c>
      <c r="Q85" s="224">
        <f>(O87-P87)/P87</f>
        <v/>
      </c>
      <c r="R85" s="223">
        <f>P87*0.9056*0.85</f>
        <v/>
      </c>
      <c r="S85" s="223">
        <f>P87*1.15</f>
        <v/>
      </c>
      <c r="T85" s="223">
        <f>IF(O87&lt;P87*0.9056*0.85,P87*0.9056*0.85,IF(O87&gt;P87*1.15,P87*1.15,O87))</f>
        <v/>
      </c>
      <c r="U85" s="223" t="n">
        <v>558.72</v>
      </c>
      <c r="V85" s="223" t="n">
        <v>558.72</v>
      </c>
      <c r="W85" s="223">
        <f>U87+T87*L87</f>
        <v/>
      </c>
      <c r="X85" s="223">
        <f>V87-U87</f>
        <v/>
      </c>
      <c r="Y85" s="223">
        <f>W87-U87</f>
        <v/>
      </c>
      <c r="Z85" s="223">
        <f>W87-V87</f>
        <v/>
      </c>
      <c r="AA85" s="222" t="n"/>
      <c r="AB85" s="222" t="n"/>
      <c r="AC85" s="222" t="n"/>
      <c r="AD85" s="222" t="n"/>
      <c r="AE85" s="222" t="n"/>
      <c r="AF85" s="222" t="n"/>
      <c r="AG85" s="222" t="n"/>
      <c r="AH85" s="222" t="n"/>
      <c r="AI85" s="222" t="n"/>
      <c r="AJ85" s="222" t="n"/>
    </row>
    <row r="86" ht="92.25" customHeight="1" s="166">
      <c r="A86" s="222" t="n"/>
      <c r="B86" s="222" t="inlineStr">
        <is>
          <t>综合楼</t>
        </is>
      </c>
      <c r="C86" s="222" t="inlineStr">
        <is>
          <t>010807001003</t>
        </is>
      </c>
      <c r="D86" s="222" t="inlineStr">
        <is>
          <t>金属(塑钢、断桥)窗</t>
        </is>
      </c>
      <c r="E86" s="222" t="inlineStr">
        <is>
          <t>1.窗类型:90系列推拉窗
2.铝材厚度:1.8mm
3.玻璃品种、厚度:Low-E中空玻璃(6+12A+6)
4.排烟窗、新风防雨百叶做法详见图纸
5.其他详见施工设计图</t>
        </is>
      </c>
      <c r="F86" s="222" t="inlineStr">
        <is>
          <t>m2</t>
        </is>
      </c>
      <c r="G86" s="223" t="n">
        <v>101.88</v>
      </c>
      <c r="H86" s="223" t="n">
        <v>101.88</v>
      </c>
      <c r="I86" s="223">
        <f>91.82</f>
        <v/>
      </c>
      <c r="J86" s="223" t="n"/>
      <c r="K86" s="223">
        <f>H88-G88</f>
        <v/>
      </c>
      <c r="L86" s="223">
        <f>I88-G88</f>
        <v/>
      </c>
      <c r="M86" s="223">
        <f>I88-H88</f>
        <v/>
      </c>
      <c r="N86" s="224">
        <f>K88/G88</f>
        <v/>
      </c>
      <c r="O86" s="222" t="n">
        <v>565.96</v>
      </c>
      <c r="P86" s="222" t="n">
        <v>604.01</v>
      </c>
      <c r="Q86" s="224">
        <f>(O88-P88)/P88</f>
        <v/>
      </c>
      <c r="R86" s="223">
        <f>P88*0.9056*0.85</f>
        <v/>
      </c>
      <c r="S86" s="223">
        <f>P88*1.15</f>
        <v/>
      </c>
      <c r="T86" s="223">
        <f>IF(O88&lt;P88*0.9056*0.85,P88*0.9056*0.85,IF(O88&gt;P88*1.15,P88*1.15,O88))</f>
        <v/>
      </c>
      <c r="U86" s="223" t="n">
        <v>57660</v>
      </c>
      <c r="V86" s="223" t="n">
        <v>57660</v>
      </c>
      <c r="W86" s="223">
        <f>U88+T88*L88</f>
        <v/>
      </c>
      <c r="X86" s="223">
        <f>V88-U88</f>
        <v/>
      </c>
      <c r="Y86" s="223">
        <f>W88-U88</f>
        <v/>
      </c>
      <c r="Z86" s="223">
        <f>W88-V88</f>
        <v/>
      </c>
      <c r="AA86" s="222" t="n"/>
      <c r="AB86" s="222" t="n"/>
      <c r="AC86" s="222" t="n"/>
      <c r="AD86" s="222" t="n"/>
      <c r="AE86" s="222" t="n"/>
      <c r="AF86" s="222" t="n"/>
      <c r="AG86" s="222" t="n"/>
      <c r="AH86" s="222" t="n"/>
      <c r="AI86" s="222" t="n"/>
      <c r="AJ86" s="222" t="n"/>
    </row>
    <row r="87" ht="79.5" customHeight="1" s="166">
      <c r="A87" s="222" t="n"/>
      <c r="B87" s="222" t="inlineStr">
        <is>
          <t>综合楼</t>
        </is>
      </c>
      <c r="C87" s="222" t="inlineStr">
        <is>
          <t>010807001004</t>
        </is>
      </c>
      <c r="D87" s="222" t="inlineStr">
        <is>
          <t>金属(塑钢、断桥)窗</t>
        </is>
      </c>
      <c r="E87" s="222" t="inlineStr">
        <is>
          <t>1.窗类型:70系列铝合金平开窗
2.铝材厚度:1.8mm
3.玻璃品种、厚度:Low-E中空玻璃(6+12A+6)
4.其他详见施工设计图</t>
        </is>
      </c>
      <c r="F87" s="222" t="inlineStr">
        <is>
          <t>m2</t>
        </is>
      </c>
      <c r="G87" s="223" t="n">
        <v>5.07</v>
      </c>
      <c r="H87" s="223" t="n">
        <v>5.85</v>
      </c>
      <c r="I87" s="223">
        <f>5.85</f>
        <v/>
      </c>
      <c r="J87" s="223" t="n"/>
      <c r="K87" s="223">
        <f>H89-G89</f>
        <v/>
      </c>
      <c r="L87" s="223">
        <f>I89-G89</f>
        <v/>
      </c>
      <c r="M87" s="223">
        <f>I89-H89</f>
        <v/>
      </c>
      <c r="N87" s="224">
        <f>K89/G89</f>
        <v/>
      </c>
      <c r="O87" s="222" t="n">
        <v>657.9299999999999</v>
      </c>
      <c r="P87" s="222" t="n">
        <v>574.3</v>
      </c>
      <c r="Q87" s="224">
        <f>(O89-P89)/P89</f>
        <v/>
      </c>
      <c r="R87" s="223">
        <f>P89*0.9056*0.85</f>
        <v/>
      </c>
      <c r="S87" s="223">
        <f>P89*1.15</f>
        <v/>
      </c>
      <c r="T87" s="223">
        <f>IF(O89&lt;P89*0.9056*0.85,P89*0.9056*0.85,IF(O89&gt;P89*1.15,P89*1.15,O89))</f>
        <v/>
      </c>
      <c r="U87" s="223" t="n">
        <v>3335.71</v>
      </c>
      <c r="V87" s="223" t="n">
        <v>3848.89</v>
      </c>
      <c r="W87" s="223" t="n">
        <v>3848.89</v>
      </c>
      <c r="X87" s="223">
        <f>V89-U89</f>
        <v/>
      </c>
      <c r="Y87" s="223">
        <f>W89-U89</f>
        <v/>
      </c>
      <c r="Z87" s="223">
        <f>W89-V89</f>
        <v/>
      </c>
      <c r="AA87" s="222" t="n"/>
      <c r="AB87" s="222" t="n"/>
      <c r="AC87" s="222" t="n"/>
      <c r="AD87" s="222" t="n"/>
      <c r="AE87" s="222" t="n"/>
      <c r="AF87" s="222" t="n"/>
      <c r="AG87" s="222" t="n"/>
      <c r="AH87" s="222" t="n"/>
      <c r="AI87" s="222" t="n"/>
      <c r="AJ87" s="222" t="n"/>
    </row>
    <row r="88" ht="66.75" customHeight="1" s="166">
      <c r="A88" s="222" t="n"/>
      <c r="B88" s="222" t="inlineStr">
        <is>
          <t>综合楼</t>
        </is>
      </c>
      <c r="C88" s="222" t="inlineStr">
        <is>
          <t>010807001005</t>
        </is>
      </c>
      <c r="D88" s="222" t="inlineStr">
        <is>
          <t>金属(塑钢、断桥)窗</t>
        </is>
      </c>
      <c r="E88" s="222" t="inlineStr">
        <is>
          <t>1.窗类型:铝合金固定窗
2.铝材厚度:1.8mm
3.玻璃品种、厚度:Low-E中空玻璃(6+12A+6)
4.其他详见施工设计图</t>
        </is>
      </c>
      <c r="F88" s="222" t="inlineStr">
        <is>
          <t>m2</t>
        </is>
      </c>
      <c r="G88" s="223" t="n">
        <v>48.24</v>
      </c>
      <c r="H88" s="223" t="n">
        <v>79.29000000000001</v>
      </c>
      <c r="I88" s="223">
        <f>16.29+38.88</f>
        <v/>
      </c>
      <c r="J88" s="223" t="n"/>
      <c r="K88" s="223">
        <f>H90-G90</f>
        <v/>
      </c>
      <c r="L88" s="223">
        <f>I90-G90</f>
        <v/>
      </c>
      <c r="M88" s="223">
        <f>I90-H90</f>
        <v/>
      </c>
      <c r="N88" s="224">
        <f>K90/G90</f>
        <v/>
      </c>
      <c r="O88" s="222" t="n">
        <v>568.25</v>
      </c>
      <c r="P88" s="222" t="n">
        <v>523.72</v>
      </c>
      <c r="Q88" s="224">
        <f>(O90-P90)/P90</f>
        <v/>
      </c>
      <c r="R88" s="223">
        <f>P90*0.9056*0.85</f>
        <v/>
      </c>
      <c r="S88" s="223">
        <f>P90*1.15</f>
        <v/>
      </c>
      <c r="T88" s="223">
        <f>IF(O90&lt;P90*0.9056*0.85,P90*0.9056*0.85,IF(O90&gt;P90*1.15,P90*1.15,O90))</f>
        <v/>
      </c>
      <c r="U88" s="223" t="n">
        <v>27412.38</v>
      </c>
      <c r="V88" s="223" t="n">
        <v>45053.7</v>
      </c>
      <c r="W88" s="223">
        <f>U90+T90*L90</f>
        <v/>
      </c>
      <c r="X88" s="223">
        <f>V90-U90</f>
        <v/>
      </c>
      <c r="Y88" s="223">
        <f>W90-U90</f>
        <v/>
      </c>
      <c r="Z88" s="223">
        <f>W90-V90</f>
        <v/>
      </c>
      <c r="AA88" s="222" t="n"/>
      <c r="AB88" s="222" t="n"/>
      <c r="AC88" s="222" t="n"/>
      <c r="AD88" s="222" t="n"/>
      <c r="AE88" s="222" t="n"/>
      <c r="AF88" s="222" t="n"/>
      <c r="AG88" s="222" t="n"/>
      <c r="AH88" s="222" t="n"/>
      <c r="AI88" s="222" t="n"/>
      <c r="AJ88" s="222" t="n"/>
    </row>
    <row r="89" ht="28.5" customHeight="1" s="166">
      <c r="A89" s="222" t="n"/>
      <c r="B89" s="222" t="inlineStr">
        <is>
          <t>综合楼</t>
        </is>
      </c>
      <c r="C89" s="222" t="inlineStr">
        <is>
          <t>010807003001</t>
        </is>
      </c>
      <c r="D89" s="222" t="inlineStr">
        <is>
          <t>金属百叶窗</t>
        </is>
      </c>
      <c r="E89" s="222" t="inlineStr">
        <is>
          <t>1.铝合金百叶窗
2.其他详见施工设计图</t>
        </is>
      </c>
      <c r="F89" s="222" t="inlineStr">
        <is>
          <t>m2</t>
        </is>
      </c>
      <c r="G89" s="223" t="n">
        <v>13.44</v>
      </c>
      <c r="H89" s="223" t="n">
        <v>36.73</v>
      </c>
      <c r="I89" s="223">
        <f>15.63</f>
        <v/>
      </c>
      <c r="J89" s="223" t="n"/>
      <c r="K89" s="223">
        <f>H91-G91</f>
        <v/>
      </c>
      <c r="L89" s="223">
        <f>I91-G91</f>
        <v/>
      </c>
      <c r="M89" s="223">
        <f>I91-H91</f>
        <v/>
      </c>
      <c r="N89" s="224">
        <f>K91/G91</f>
        <v/>
      </c>
      <c r="O89" s="222" t="n">
        <v>301.24</v>
      </c>
      <c r="P89" s="222" t="n">
        <v>401</v>
      </c>
      <c r="Q89" s="224">
        <f>(O91-P91)/P91</f>
        <v/>
      </c>
      <c r="R89" s="223">
        <f>P91*0.9056*0.85</f>
        <v/>
      </c>
      <c r="S89" s="223">
        <f>P91*1.15</f>
        <v/>
      </c>
      <c r="T89" s="223">
        <f>IF(O91&lt;P91*0.9056*0.85,P91*0.9056*0.85,IF(O91&gt;P91*1.15,P91*1.15,O91))</f>
        <v/>
      </c>
      <c r="U89" s="223" t="n">
        <v>4047.16</v>
      </c>
      <c r="V89" s="223" t="n">
        <v>11238.7</v>
      </c>
      <c r="W89" s="223">
        <f>U91+T91*L91</f>
        <v/>
      </c>
      <c r="X89" s="223">
        <f>V91-U91</f>
        <v/>
      </c>
      <c r="Y89" s="223">
        <f>W91-U91</f>
        <v/>
      </c>
      <c r="Z89" s="223">
        <f>W91-V91</f>
        <v/>
      </c>
      <c r="AA89" s="222" t="n"/>
      <c r="AB89" s="222" t="n"/>
      <c r="AC89" s="222" t="n"/>
      <c r="AD89" s="222" t="n"/>
      <c r="AE89" s="222" t="n"/>
      <c r="AF89" s="222" t="n"/>
      <c r="AG89" s="222" t="n"/>
      <c r="AH89" s="222" t="n"/>
      <c r="AI89" s="222" t="n"/>
      <c r="AJ89" s="222" t="n"/>
    </row>
    <row r="90" ht="54" customHeight="1" s="166">
      <c r="A90" s="222" t="n"/>
      <c r="B90" s="222" t="inlineStr">
        <is>
          <t>综合楼</t>
        </is>
      </c>
      <c r="C90" s="222" t="inlineStr">
        <is>
          <t>010807003004</t>
        </is>
      </c>
      <c r="D90" s="222" t="inlineStr">
        <is>
          <t>金属百叶窗</t>
        </is>
      </c>
      <c r="E90" s="222" t="inlineStr">
        <is>
          <t>1.铝合金空调百叶
2.30*30*2.0灰色铝方通
3.25*50*1.5灰色铝方通
4.其他详见施工设计图</t>
        </is>
      </c>
      <c r="F90" s="222" t="inlineStr">
        <is>
          <t>m2</t>
        </is>
      </c>
      <c r="G90" s="223" t="n">
        <v>21</v>
      </c>
      <c r="H90" s="223" t="n">
        <v>21</v>
      </c>
      <c r="I90" s="223" t="n">
        <v>21</v>
      </c>
      <c r="J90" s="223" t="n"/>
      <c r="K90" s="223">
        <f>H92-G92</f>
        <v/>
      </c>
      <c r="L90" s="223">
        <f>I92-G92</f>
        <v/>
      </c>
      <c r="M90" s="223">
        <f>I92-H92</f>
        <v/>
      </c>
      <c r="N90" s="224">
        <f>K92/G92</f>
        <v/>
      </c>
      <c r="O90" s="222" t="n">
        <v>301.24</v>
      </c>
      <c r="P90" s="222" t="n">
        <v>428.94</v>
      </c>
      <c r="Q90" s="224">
        <f>(O92-P92)/P92</f>
        <v/>
      </c>
      <c r="R90" s="223">
        <f>P92*0.9056*0.85</f>
        <v/>
      </c>
      <c r="S90" s="223">
        <f>P92*1.15</f>
        <v/>
      </c>
      <c r="T90" s="223">
        <f>IF(O92&lt;P92*0.9056*0.85,P92*0.9056*0.85,IF(O92&gt;P92*1.15,P92*1.15,O92))</f>
        <v/>
      </c>
      <c r="U90" s="223" t="n">
        <v>6326.04</v>
      </c>
      <c r="V90" s="223" t="n">
        <v>6326.04</v>
      </c>
      <c r="W90" s="223">
        <f>U92+T92*L92</f>
        <v/>
      </c>
      <c r="X90" s="223">
        <f>V92-U92</f>
        <v/>
      </c>
      <c r="Y90" s="223">
        <f>W92-U92</f>
        <v/>
      </c>
      <c r="Z90" s="223">
        <f>W92-V92</f>
        <v/>
      </c>
      <c r="AA90" s="222" t="n"/>
      <c r="AB90" s="222" t="n"/>
      <c r="AC90" s="222" t="n"/>
      <c r="AD90" s="222" t="n"/>
      <c r="AE90" s="222" t="n"/>
      <c r="AF90" s="222" t="n"/>
      <c r="AG90" s="222" t="n"/>
      <c r="AH90" s="222" t="n"/>
      <c r="AI90" s="222" t="n"/>
      <c r="AJ90" s="222" t="n"/>
    </row>
    <row r="91" ht="41.25" customHeight="1" s="166">
      <c r="A91" s="222" t="n"/>
      <c r="B91" s="222" t="inlineStr">
        <is>
          <t>综合楼</t>
        </is>
      </c>
      <c r="C91" s="222" t="inlineStr">
        <is>
          <t>010807005001</t>
        </is>
      </c>
      <c r="D91" s="222" t="inlineStr">
        <is>
          <t>封窗铁丝网</t>
        </is>
      </c>
      <c r="E91" s="222" t="inlineStr">
        <is>
          <t>1.室内篮球场窗内封定制铁丝网
2.其他详见施工设计图</t>
        </is>
      </c>
      <c r="F91" s="222" t="inlineStr">
        <is>
          <t>m2</t>
        </is>
      </c>
      <c r="G91" s="223" t="n">
        <v>324.72</v>
      </c>
      <c r="H91" s="223" t="n">
        <v>324.72</v>
      </c>
      <c r="I91" s="223" t="n">
        <v>324.72</v>
      </c>
      <c r="J91" s="223" t="n"/>
      <c r="K91" s="223">
        <f>H93-G93</f>
        <v/>
      </c>
      <c r="L91" s="223">
        <f>I93-G93</f>
        <v/>
      </c>
      <c r="M91" s="223">
        <f>I93-H93</f>
        <v/>
      </c>
      <c r="N91" s="224">
        <f>K93/G93</f>
        <v/>
      </c>
      <c r="O91" s="222" t="n">
        <v>200</v>
      </c>
      <c r="P91" s="222" t="n">
        <v>227.64</v>
      </c>
      <c r="Q91" s="224">
        <f>(O93-P93)/P93</f>
        <v/>
      </c>
      <c r="R91" s="223">
        <f>P93*0.9056*0.85</f>
        <v/>
      </c>
      <c r="S91" s="223">
        <f>P93*1.15</f>
        <v/>
      </c>
      <c r="T91" s="223">
        <f>IF(O93&lt;P93*0.9056*0.85,P93*0.9056*0.85,IF(O93&gt;P93*1.15,P93*1.15,O93))</f>
        <v/>
      </c>
      <c r="U91" s="223" t="n">
        <v>64944</v>
      </c>
      <c r="V91" s="223" t="n">
        <v>64944</v>
      </c>
      <c r="W91" s="223">
        <f>U93+T93*L93</f>
        <v/>
      </c>
      <c r="X91" s="223">
        <f>V93-U93</f>
        <v/>
      </c>
      <c r="Y91" s="223">
        <f>W93-U93</f>
        <v/>
      </c>
      <c r="Z91" s="223">
        <f>W93-V93</f>
        <v/>
      </c>
      <c r="AA91" s="222" t="n"/>
      <c r="AB91" s="222" t="n"/>
      <c r="AC91" s="222" t="n"/>
      <c r="AD91" s="222" t="n"/>
      <c r="AE91" s="222" t="n"/>
      <c r="AF91" s="222" t="n"/>
      <c r="AG91" s="222" t="n"/>
      <c r="AH91" s="222" t="n"/>
      <c r="AI91" s="222" t="n"/>
      <c r="AJ91" s="222" t="n"/>
    </row>
    <row r="92" ht="66.75" customHeight="1" s="166">
      <c r="A92" s="222" t="n"/>
      <c r="B92" s="222" t="inlineStr">
        <is>
          <t>综合楼</t>
        </is>
      </c>
      <c r="C92" s="222" t="inlineStr">
        <is>
          <t>010808004001</t>
        </is>
      </c>
      <c r="D92" s="222" t="inlineStr">
        <is>
          <t>金属门窗套</t>
        </is>
      </c>
      <c r="E92" s="222" t="inlineStr">
        <is>
          <t>1.基层材料种类:30*30阻燃木龙骨底架
2.面层材料品种、规格:2.5mm厚黄色铝单板
3.其他详见施工设计图</t>
        </is>
      </c>
      <c r="F92" s="222" t="inlineStr">
        <is>
          <t>m2</t>
        </is>
      </c>
      <c r="G92" s="223" t="n">
        <v>12.97</v>
      </c>
      <c r="H92" s="223" t="n">
        <v>12.97</v>
      </c>
      <c r="I92" s="223" t="n">
        <v>12.97</v>
      </c>
      <c r="J92" s="223" t="n"/>
      <c r="K92" s="223">
        <f>H94-G94</f>
        <v/>
      </c>
      <c r="L92" s="223">
        <f>I94-G94</f>
        <v/>
      </c>
      <c r="M92" s="223">
        <f>I94-H94</f>
        <v/>
      </c>
      <c r="N92" s="224">
        <f>K94/G94</f>
        <v/>
      </c>
      <c r="O92" s="222" t="n">
        <v>583.16</v>
      </c>
      <c r="P92" s="222" t="n">
        <v>890.22</v>
      </c>
      <c r="Q92" s="224">
        <f>(O94-P94)/P94</f>
        <v/>
      </c>
      <c r="R92" s="223">
        <f>P94*0.9056*0.85</f>
        <v/>
      </c>
      <c r="S92" s="223">
        <f>P94*1.15</f>
        <v/>
      </c>
      <c r="T92" s="223">
        <f>IF(O94&lt;P94*0.9056*0.85,P94*0.9056*0.85,IF(O94&gt;P94*1.15,P94*1.15,O94))</f>
        <v/>
      </c>
      <c r="U92" s="223" t="n">
        <v>7563.59</v>
      </c>
      <c r="V92" s="223" t="n">
        <v>7563.59</v>
      </c>
      <c r="W92" s="223">
        <f>U94+T94*L94</f>
        <v/>
      </c>
      <c r="X92" s="223">
        <f>V94-U94</f>
        <v/>
      </c>
      <c r="Y92" s="223">
        <f>W94-U94</f>
        <v/>
      </c>
      <c r="Z92" s="223">
        <f>W94-V94</f>
        <v/>
      </c>
      <c r="AA92" s="222" t="n"/>
      <c r="AB92" s="222" t="n"/>
      <c r="AC92" s="222" t="n"/>
      <c r="AD92" s="222" t="n"/>
      <c r="AE92" s="222" t="n"/>
      <c r="AF92" s="222" t="n"/>
      <c r="AG92" s="222" t="n"/>
      <c r="AH92" s="222" t="n"/>
      <c r="AI92" s="222" t="n"/>
      <c r="AJ92" s="222" t="n"/>
    </row>
    <row r="93" ht="18" customHeight="1" s="166">
      <c r="A93" s="222" t="n"/>
      <c r="B93" s="222" t="inlineStr">
        <is>
          <t>综合楼</t>
        </is>
      </c>
      <c r="C93" s="222" t="inlineStr">
        <is>
          <t>010808005001</t>
        </is>
      </c>
      <c r="D93" s="222" t="inlineStr">
        <is>
          <t>石材门窗套</t>
        </is>
      </c>
      <c r="E93" s="222" t="inlineStr">
        <is>
          <t>1.成品石材门窗套</t>
        </is>
      </c>
      <c r="F93" s="222" t="inlineStr">
        <is>
          <t>m2</t>
        </is>
      </c>
      <c r="G93" s="223" t="n">
        <v>4.49</v>
      </c>
      <c r="H93" s="223" t="n">
        <v>4.49</v>
      </c>
      <c r="I93" s="223" t="n">
        <v>4.49</v>
      </c>
      <c r="J93" s="223" t="n"/>
      <c r="K93" s="223">
        <f>H95-G95</f>
        <v/>
      </c>
      <c r="L93" s="223">
        <f>I95-G95</f>
        <v/>
      </c>
      <c r="M93" s="223">
        <f>I95-H95</f>
        <v/>
      </c>
      <c r="N93" s="224">
        <f>K95/G95</f>
        <v/>
      </c>
      <c r="O93" s="222" t="n">
        <v>1295.22</v>
      </c>
      <c r="P93" s="222" t="n">
        <v>410.19</v>
      </c>
      <c r="Q93" s="224">
        <f>(O95-P95)/P95</f>
        <v/>
      </c>
      <c r="R93" s="223">
        <f>P95*0.9056*0.85</f>
        <v/>
      </c>
      <c r="S93" s="223">
        <f>P95*1.15</f>
        <v/>
      </c>
      <c r="T93" s="223">
        <f>IF(O95&lt;P95*0.9056*0.85,P95*0.9056*0.85,IF(O95&gt;P95*1.15,P95*1.15,O95))</f>
        <v/>
      </c>
      <c r="U93" s="223" t="n">
        <v>5815.54</v>
      </c>
      <c r="V93" s="223" t="n">
        <v>5815.54</v>
      </c>
      <c r="W93" s="223">
        <f>U95+T95*L95</f>
        <v/>
      </c>
      <c r="X93" s="223">
        <f>V95-U95</f>
        <v/>
      </c>
      <c r="Y93" s="223">
        <f>W95-U95</f>
        <v/>
      </c>
      <c r="Z93" s="223">
        <f>W95-V95</f>
        <v/>
      </c>
      <c r="AA93" s="222" t="n"/>
      <c r="AB93" s="222" t="inlineStr">
        <is>
          <t>在变更23扣减，变更23的投标单价有误，需修改</t>
        </is>
      </c>
      <c r="AC93" s="222" t="n"/>
      <c r="AD93" s="222" t="n"/>
      <c r="AE93" s="222" t="n"/>
      <c r="AF93" s="222" t="n"/>
      <c r="AG93" s="222" t="n"/>
      <c r="AH93" s="222" t="n"/>
      <c r="AI93" s="222" t="n"/>
      <c r="AJ93" s="222" t="n"/>
    </row>
    <row r="94" ht="28.5" customHeight="1" s="166">
      <c r="A94" s="222" t="n"/>
      <c r="B94" s="222" t="inlineStr">
        <is>
          <t>综合楼</t>
        </is>
      </c>
      <c r="C94" s="222" t="n"/>
      <c r="D94" s="222" t="inlineStr">
        <is>
          <t>屋面及防水工程</t>
        </is>
      </c>
      <c r="E94" s="222" t="n"/>
      <c r="F94" s="222" t="n"/>
      <c r="G94" s="223" t="n"/>
      <c r="H94" s="223" t="n"/>
      <c r="I94" s="223" t="n"/>
      <c r="J94" s="223" t="n"/>
      <c r="K94" s="223" t="n"/>
      <c r="L94" s="223" t="n"/>
      <c r="M94" s="223" t="n"/>
      <c r="N94" s="224" t="n"/>
      <c r="O94" s="222" t="n"/>
      <c r="P94" s="222" t="n"/>
      <c r="Q94" s="224" t="n"/>
      <c r="R94" s="223" t="n"/>
      <c r="S94" s="223" t="n"/>
      <c r="T94" s="223" t="n"/>
      <c r="U94" s="223" t="n">
        <v>789275.49</v>
      </c>
      <c r="V94" s="223" t="n">
        <v>880995.26</v>
      </c>
      <c r="W94" s="223">
        <f>+SUM(W97:W109)</f>
        <v/>
      </c>
      <c r="X94" s="223">
        <f>V96-U96</f>
        <v/>
      </c>
      <c r="Y94" s="223">
        <f>W96-U96</f>
        <v/>
      </c>
      <c r="Z94" s="223">
        <f>W96-V96</f>
        <v/>
      </c>
      <c r="AA94" s="222" t="n"/>
      <c r="AB94" s="222" t="n"/>
      <c r="AC94" s="222" t="n"/>
      <c r="AD94" s="222" t="n"/>
      <c r="AE94" s="222" t="n"/>
      <c r="AF94" s="222" t="n"/>
      <c r="AG94" s="222" t="n"/>
      <c r="AH94" s="222" t="n"/>
      <c r="AI94" s="222" t="n"/>
      <c r="AJ94" s="222" t="n"/>
    </row>
    <row r="95" ht="105" customHeight="1" s="166">
      <c r="A95" s="222" t="n"/>
      <c r="B95" s="222" t="inlineStr">
        <is>
          <t>综合楼</t>
        </is>
      </c>
      <c r="C95" s="222" t="inlineStr">
        <is>
          <t>010903002002</t>
        </is>
      </c>
      <c r="D95" s="222" t="inlineStr">
        <is>
          <t>墙面涂膜防水（墙4）</t>
        </is>
      </c>
      <c r="E95" s="222" t="inlineStr">
        <is>
          <t>1.1.5厚聚合物水泥防水涂料分3遍成活，遇门洞反入梁面不少于50mm（本防水层与地面反起防水层为同一道防水层）
2.15厚WPM20水泥砂浆找平,分两遍成活，底层抹灰应压实搓毛</t>
        </is>
      </c>
      <c r="F95" s="222" t="inlineStr">
        <is>
          <t>m2</t>
        </is>
      </c>
      <c r="G95" s="223" t="n">
        <v>1624.08</v>
      </c>
      <c r="H95" s="223" t="n">
        <v>1764.22</v>
      </c>
      <c r="I95" s="223" t="n">
        <v>1764.22</v>
      </c>
      <c r="J95" s="223" t="n"/>
      <c r="K95" s="223">
        <f>H97-G97</f>
        <v/>
      </c>
      <c r="L95" s="223">
        <f>I97-G97</f>
        <v/>
      </c>
      <c r="M95" s="223">
        <f>I97-H97</f>
        <v/>
      </c>
      <c r="N95" s="224">
        <f>K97/G97</f>
        <v/>
      </c>
      <c r="O95" s="222" t="n">
        <v>52.26</v>
      </c>
      <c r="P95" s="222" t="n">
        <v>81.34999999999999</v>
      </c>
      <c r="Q95" s="224">
        <f>(O97-P97)/P97</f>
        <v/>
      </c>
      <c r="R95" s="223">
        <f>P97*0.9056*0.85</f>
        <v/>
      </c>
      <c r="S95" s="223">
        <f>P97*1.15</f>
        <v/>
      </c>
      <c r="T95" s="223">
        <f>IF(O97&lt;P97*0.9056*0.85,P97*0.9056*0.85,IF(O97&gt;P97*1.15,P97*1.15,O97))</f>
        <v/>
      </c>
      <c r="U95" s="223" t="n">
        <v>84874.62</v>
      </c>
      <c r="V95" s="223" t="n">
        <v>93650.00999999999</v>
      </c>
      <c r="W95" s="223" t="n">
        <v>93650.00999999999</v>
      </c>
      <c r="X95" s="223">
        <f>V97-U97</f>
        <v/>
      </c>
      <c r="Y95" s="223">
        <f>W97-U97</f>
        <v/>
      </c>
      <c r="Z95" s="223">
        <f>W97-V97</f>
        <v/>
      </c>
      <c r="AA95" s="222" t="n"/>
      <c r="AB95" s="222" t="n"/>
      <c r="AC95" s="222" t="n"/>
      <c r="AD95" s="222" t="n"/>
      <c r="AE95" s="222" t="n"/>
      <c r="AF95" s="222" t="n"/>
      <c r="AG95" s="222" t="n"/>
      <c r="AH95" s="222" t="n"/>
      <c r="AI95" s="222" t="n"/>
      <c r="AJ95" s="222" t="n"/>
    </row>
    <row r="96" ht="54" customHeight="1" s="166">
      <c r="A96" s="222" t="n"/>
      <c r="B96" s="222" t="inlineStr">
        <is>
          <t>综合楼</t>
        </is>
      </c>
      <c r="C96" s="222" t="inlineStr">
        <is>
          <t>010904002001</t>
        </is>
      </c>
      <c r="D96" s="222" t="inlineStr">
        <is>
          <t>楼(地)面涂膜防水（沉池）</t>
        </is>
      </c>
      <c r="E96" s="222" t="inlineStr">
        <is>
          <t>1.1.5厚聚合物水泥防水涂料
2.20厚M20水泥砂浆找平找坡层</t>
        </is>
      </c>
      <c r="F96" s="222" t="inlineStr">
        <is>
          <t>m2</t>
        </is>
      </c>
      <c r="G96" s="223" t="n">
        <v>108.07</v>
      </c>
      <c r="H96" s="223" t="n">
        <v>108.07</v>
      </c>
      <c r="I96" s="223">
        <f>10.44</f>
        <v/>
      </c>
      <c r="J96" s="223" t="n"/>
      <c r="K96" s="223">
        <f>H98-G98</f>
        <v/>
      </c>
      <c r="L96" s="223">
        <f>I98-G98</f>
        <v/>
      </c>
      <c r="M96" s="223">
        <f>I98-H98</f>
        <v/>
      </c>
      <c r="N96" s="224">
        <f>K98/G98</f>
        <v/>
      </c>
      <c r="O96" s="222" t="n">
        <v>63.95</v>
      </c>
      <c r="P96" s="222" t="n">
        <v>70.44</v>
      </c>
      <c r="Q96" s="224">
        <f>(O98-P98)/P98</f>
        <v/>
      </c>
      <c r="R96" s="223">
        <f>P98*0.9056*0.85</f>
        <v/>
      </c>
      <c r="S96" s="223">
        <f>P98*1.15</f>
        <v/>
      </c>
      <c r="T96" s="223">
        <f>IF(O98&lt;P98*0.9056*0.85,P98*0.9056*0.85,IF(O98&gt;P98*1.15,P98*1.15,O98))</f>
        <v/>
      </c>
      <c r="U96" s="223" t="n">
        <v>6911.22</v>
      </c>
      <c r="V96" s="223" t="n">
        <v>6911.22</v>
      </c>
      <c r="W96" s="223">
        <f>U98+T98*L98</f>
        <v/>
      </c>
      <c r="X96" s="223">
        <f>V98-U98</f>
        <v/>
      </c>
      <c r="Y96" s="223">
        <f>W98-U98</f>
        <v/>
      </c>
      <c r="Z96" s="223">
        <f>W98-V98</f>
        <v/>
      </c>
      <c r="AA96" s="222" t="n"/>
      <c r="AB96" s="222" t="n"/>
      <c r="AC96" s="222" t="n"/>
      <c r="AD96" s="222" t="n"/>
      <c r="AE96" s="222" t="n"/>
      <c r="AF96" s="222" t="n"/>
      <c r="AG96" s="222" t="n"/>
      <c r="AH96" s="222" t="n"/>
      <c r="AI96" s="222" t="n"/>
      <c r="AJ96" s="222" t="n"/>
    </row>
    <row r="97" ht="60" customHeight="1" s="166">
      <c r="A97" s="222" t="n"/>
      <c r="B97" s="222" t="inlineStr">
        <is>
          <t>综合楼</t>
        </is>
      </c>
      <c r="C97" s="222" t="inlineStr">
        <is>
          <t>010904002002</t>
        </is>
      </c>
      <c r="D97" s="222" t="inlineStr">
        <is>
          <t>楼(地)面涂膜防水（卫生间）</t>
        </is>
      </c>
      <c r="E97" s="222" t="inlineStr">
        <is>
          <t>1.1.5厚聚合物水泥防水涂料</t>
        </is>
      </c>
      <c r="F97" s="222" t="inlineStr">
        <is>
          <t>m2</t>
        </is>
      </c>
      <c r="G97" s="223" t="n">
        <v>78.15000000000001</v>
      </c>
      <c r="H97" s="223" t="n">
        <v>0</v>
      </c>
      <c r="I97" s="223" t="n">
        <v>78.42</v>
      </c>
      <c r="J97" s="223" t="n"/>
      <c r="K97" s="223">
        <f>H99-G99</f>
        <v/>
      </c>
      <c r="L97" s="223">
        <f>I99-G99</f>
        <v/>
      </c>
      <c r="M97" s="223">
        <f>I99-H99</f>
        <v/>
      </c>
      <c r="N97" s="224">
        <f>K99/G99</f>
        <v/>
      </c>
      <c r="O97" s="222" t="n">
        <v>42.91</v>
      </c>
      <c r="P97" s="222" t="n">
        <v>46.07</v>
      </c>
      <c r="Q97" s="224">
        <f>(O99-P99)/P99</f>
        <v/>
      </c>
      <c r="R97" s="223">
        <f>P99*0.9056*0.85</f>
        <v/>
      </c>
      <c r="S97" s="223">
        <f>P99*1.15</f>
        <v/>
      </c>
      <c r="T97" s="223">
        <f>IF(O99&lt;P99*0.9056*0.85,P99*0.9056*0.85,IF(O99&gt;P99*1.15,P99*1.15,O99))</f>
        <v/>
      </c>
      <c r="U97" s="223" t="n">
        <v>3353.3</v>
      </c>
      <c r="V97" s="223" t="n">
        <v>0</v>
      </c>
      <c r="W97" s="223">
        <f>U99+T99*L99</f>
        <v/>
      </c>
      <c r="X97" s="223">
        <f>V99-U99</f>
        <v/>
      </c>
      <c r="Y97" s="223">
        <f>W99-U99</f>
        <v/>
      </c>
      <c r="Z97" s="223">
        <f>W99-V99</f>
        <v/>
      </c>
      <c r="AA97" s="222" t="n"/>
      <c r="AB97" s="222" t="n"/>
      <c r="AC97" s="222" t="n"/>
      <c r="AD97" s="222" t="n"/>
      <c r="AE97" s="222" t="n"/>
      <c r="AF97" s="222" t="n"/>
      <c r="AG97" s="222" t="n"/>
      <c r="AH97" s="222" t="n"/>
      <c r="AI97" s="222" t="n"/>
      <c r="AJ97" s="222" t="n"/>
    </row>
    <row r="98" ht="66.75" customHeight="1" s="166">
      <c r="A98" s="222" t="n"/>
      <c r="B98" s="222" t="inlineStr">
        <is>
          <t>综合楼</t>
        </is>
      </c>
      <c r="C98" s="222" t="inlineStr">
        <is>
          <t>010903002003</t>
        </is>
      </c>
      <c r="D98" s="222" t="inlineStr">
        <is>
          <t>墙面涂膜防水（墙4）</t>
        </is>
      </c>
      <c r="E98" s="222" t="inlineStr">
        <is>
          <t>1.1.5厚聚合物水泥基防水涂料
2.15厚WPM20水泥砂浆找平,分两遍成活,底层抹灰应压实搓毛</t>
        </is>
      </c>
      <c r="F98" s="222" t="inlineStr">
        <is>
          <t>m2</t>
        </is>
      </c>
      <c r="G98" s="223" t="n">
        <v>1624.08</v>
      </c>
      <c r="H98" s="223" t="n">
        <v>0</v>
      </c>
      <c r="I98" s="223" t="n">
        <v>0</v>
      </c>
      <c r="J98" s="223" t="n"/>
      <c r="K98" s="223">
        <f>H100-G100</f>
        <v/>
      </c>
      <c r="L98" s="223">
        <f>I100-G100</f>
        <v/>
      </c>
      <c r="M98" s="223">
        <f>I100-H100</f>
        <v/>
      </c>
      <c r="N98" s="224">
        <f>K100/G100</f>
        <v/>
      </c>
      <c r="O98" s="222" t="n">
        <v>52.26</v>
      </c>
      <c r="P98" s="222" t="n">
        <v>80.23</v>
      </c>
      <c r="Q98" s="224">
        <f>(O100-P100)/P100</f>
        <v/>
      </c>
      <c r="R98" s="223">
        <f>P100*0.9056*0.85</f>
        <v/>
      </c>
      <c r="S98" s="223">
        <f>P100*1.15</f>
        <v/>
      </c>
      <c r="T98" s="223">
        <f>IF(O100&lt;P100*0.9056*0.85,P100*0.9056*0.85,IF(O100&gt;P100*1.15,P100*1.15,O100))</f>
        <v/>
      </c>
      <c r="U98" s="223" t="n">
        <v>84874.62</v>
      </c>
      <c r="V98" s="223" t="n">
        <v>-15425.3</v>
      </c>
      <c r="W98" s="223">
        <f>U100+T100*L100</f>
        <v/>
      </c>
      <c r="X98" s="223">
        <f>V100-U100</f>
        <v/>
      </c>
      <c r="Y98" s="223">
        <f>W100-U100</f>
        <v/>
      </c>
      <c r="Z98" s="223">
        <f>W100-V100</f>
        <v/>
      </c>
      <c r="AA98" s="222" t="n"/>
      <c r="AB98" s="222" t="n"/>
      <c r="AC98" s="222" t="n"/>
      <c r="AD98" s="222" t="n"/>
      <c r="AE98" s="222" t="n"/>
      <c r="AF98" s="222" t="n"/>
      <c r="AG98" s="222" t="n"/>
      <c r="AH98" s="222" t="n"/>
      <c r="AI98" s="222" t="n"/>
      <c r="AJ98" s="222" t="n"/>
    </row>
    <row r="99" ht="41.25" customHeight="1" s="166">
      <c r="A99" s="222" t="n"/>
      <c r="B99" s="222" t="inlineStr">
        <is>
          <t>综合楼</t>
        </is>
      </c>
      <c r="C99" s="222" t="inlineStr">
        <is>
          <t>011102003001</t>
        </is>
      </c>
      <c r="D99" s="222" t="inlineStr">
        <is>
          <t>块料楼地面（屋1）</t>
        </is>
      </c>
      <c r="E99" s="222" t="inlineStr">
        <is>
          <t>1.面层:8~10厚防滑地砖,缝宽5~8
2.20厚M15干硬性水泥沙浆</t>
        </is>
      </c>
      <c r="F99" s="222" t="inlineStr">
        <is>
          <t>m2</t>
        </is>
      </c>
      <c r="G99" s="223" t="n">
        <v>1372.8</v>
      </c>
      <c r="H99" s="223" t="n">
        <v>2337.08</v>
      </c>
      <c r="I99" s="223">
        <f>2118.46+161.94+56.68</f>
        <v/>
      </c>
      <c r="J99" s="223" t="n"/>
      <c r="K99" s="223">
        <f>H101-G101</f>
        <v/>
      </c>
      <c r="L99" s="223">
        <f>I101-G101</f>
        <v/>
      </c>
      <c r="M99" s="223">
        <f>I101-H101</f>
        <v/>
      </c>
      <c r="N99" s="224">
        <f>K101/G101</f>
        <v/>
      </c>
      <c r="O99" s="222" t="n">
        <v>117.09</v>
      </c>
      <c r="P99" s="222" t="n">
        <v>116.28</v>
      </c>
      <c r="Q99" s="224">
        <f>(O101-P101)/P101</f>
        <v/>
      </c>
      <c r="R99" s="223">
        <f>P101*0.9056*0.85</f>
        <v/>
      </c>
      <c r="S99" s="223">
        <f>P101*1.15</f>
        <v/>
      </c>
      <c r="T99" s="223">
        <f>IF(O101&lt;P101*0.9056*0.85,P101*0.9056*0.85,IF(O101&gt;P101*1.15,P101*1.15,O101))</f>
        <v/>
      </c>
      <c r="U99" s="223" t="n">
        <v>160741.15</v>
      </c>
      <c r="V99" s="223" t="n">
        <v>273648.33</v>
      </c>
      <c r="W99" s="223" t="n">
        <v>273648.33</v>
      </c>
      <c r="X99" s="223">
        <f>V101-U101</f>
        <v/>
      </c>
      <c r="Y99" s="223">
        <f>W101-U101</f>
        <v/>
      </c>
      <c r="Z99" s="223">
        <f>W101-V101</f>
        <v/>
      </c>
      <c r="AA99" s="222" t="n"/>
      <c r="AB99" s="222" t="n"/>
      <c r="AC99" s="222" t="n"/>
      <c r="AD99" s="222" t="n"/>
      <c r="AE99" s="222" t="n"/>
      <c r="AF99" s="222" t="n"/>
      <c r="AG99" s="222" t="n"/>
      <c r="AH99" s="222" t="n"/>
      <c r="AI99" s="222" t="n"/>
      <c r="AJ99" s="222" t="n"/>
    </row>
    <row r="100" ht="54" customHeight="1" s="166">
      <c r="A100" s="222" t="n"/>
      <c r="B100" s="222" t="inlineStr">
        <is>
          <t>综合楼</t>
        </is>
      </c>
      <c r="C100" s="222" t="inlineStr">
        <is>
          <t>010902003002</t>
        </is>
      </c>
      <c r="D100" s="222" t="inlineStr">
        <is>
          <t>屋面刚性层（屋1）</t>
        </is>
      </c>
      <c r="E100" s="222" t="inlineStr">
        <is>
          <t>1.40厚C20细石混凝土找平层,表面压光。(双向配筋ΦC4@150,每6米设缝,密封胶嵌缝。）</t>
        </is>
      </c>
      <c r="F100" s="222" t="inlineStr">
        <is>
          <t>m2</t>
        </is>
      </c>
      <c r="G100" s="223" t="n">
        <v>1943.37</v>
      </c>
      <c r="H100" s="223" t="n">
        <v>2337.08</v>
      </c>
      <c r="I100" s="223" t="n">
        <v>2337.08</v>
      </c>
      <c r="J100" s="223" t="n"/>
      <c r="K100" s="223">
        <f>H102-G102</f>
        <v/>
      </c>
      <c r="L100" s="223">
        <f>I102-G102</f>
        <v/>
      </c>
      <c r="M100" s="223">
        <f>I102-H102</f>
        <v/>
      </c>
      <c r="N100" s="224">
        <f>K102/G102</f>
        <v/>
      </c>
      <c r="O100" s="222" t="n">
        <v>59.04</v>
      </c>
      <c r="P100" s="222" t="n">
        <v>56.42</v>
      </c>
      <c r="Q100" s="224">
        <f>(O102-P102)/P102</f>
        <v/>
      </c>
      <c r="R100" s="223">
        <f>P102*0.9056*0.85</f>
        <v/>
      </c>
      <c r="S100" s="223">
        <f>P102*1.15</f>
        <v/>
      </c>
      <c r="T100" s="223">
        <f>IF(O102&lt;P102*0.9056*0.85,P102*0.9056*0.85,IF(O102&gt;P102*1.15,P102*1.15,O102))</f>
        <v/>
      </c>
      <c r="U100" s="223" t="n">
        <v>114736.56</v>
      </c>
      <c r="V100" s="223" t="n">
        <v>137981.02</v>
      </c>
      <c r="W100" s="223" t="n">
        <v>137981.02</v>
      </c>
      <c r="X100" s="223">
        <f>V102-U102</f>
        <v/>
      </c>
      <c r="Y100" s="223">
        <f>W102-U102</f>
        <v/>
      </c>
      <c r="Z100" s="223">
        <f>W102-V102</f>
        <v/>
      </c>
      <c r="AA100" s="222" t="n"/>
      <c r="AB100" s="222" t="n"/>
      <c r="AC100" s="222" t="n"/>
      <c r="AD100" s="222" t="n"/>
      <c r="AE100" s="222" t="n"/>
      <c r="AF100" s="222" t="n"/>
      <c r="AG100" s="222" t="n"/>
      <c r="AH100" s="222" t="n"/>
      <c r="AI100" s="222" t="n"/>
      <c r="AJ100" s="222" t="n"/>
    </row>
    <row r="101" ht="41.25" customHeight="1" s="166">
      <c r="A101" s="222" t="n"/>
      <c r="B101" s="222" t="inlineStr">
        <is>
          <t>综合楼</t>
        </is>
      </c>
      <c r="C101" s="222" t="inlineStr">
        <is>
          <t>010902001004</t>
        </is>
      </c>
      <c r="D101" s="222" t="inlineStr">
        <is>
          <t>屋面卷材防水（屋1、屋3、屋4）</t>
        </is>
      </c>
      <c r="E101" s="222" t="inlineStr">
        <is>
          <t>1.1.5厚自粘聚合物改性沥青防水卷材(无胎)</t>
        </is>
      </c>
      <c r="F101" s="222" t="inlineStr">
        <is>
          <t>m2</t>
        </is>
      </c>
      <c r="G101" s="223" t="n">
        <v>2533.72</v>
      </c>
      <c r="H101" s="223" t="n">
        <v>2890.84</v>
      </c>
      <c r="I101" s="223">
        <f>2275.39+196.6+61.15+30.24+237.67+89.79</f>
        <v/>
      </c>
      <c r="J101" s="223" t="n"/>
      <c r="K101" s="223">
        <f>H103-G103</f>
        <v/>
      </c>
      <c r="L101" s="223">
        <f>I103-G103</f>
        <v/>
      </c>
      <c r="M101" s="223">
        <f>I103-H103</f>
        <v/>
      </c>
      <c r="N101" s="224">
        <f>K103/G103</f>
        <v/>
      </c>
      <c r="O101" s="222" t="n">
        <v>38.75</v>
      </c>
      <c r="P101" s="222" t="n">
        <v>31.86</v>
      </c>
      <c r="Q101" s="224">
        <f>(O103-P103)/P103</f>
        <v/>
      </c>
      <c r="R101" s="223">
        <f>P103*0.9056*0.85</f>
        <v/>
      </c>
      <c r="S101" s="223">
        <f>P103*1.15</f>
        <v/>
      </c>
      <c r="T101" s="223">
        <f>IF(O103&lt;P103*0.9056*0.85,P103*0.9056*0.85,IF(O103&gt;P103*1.15,P103*1.15,O103))</f>
        <v/>
      </c>
      <c r="U101" s="223" t="n">
        <v>98181.75</v>
      </c>
      <c r="V101" s="223" t="n">
        <v>111266.07</v>
      </c>
      <c r="W101" s="223">
        <f>U103+T103*L103</f>
        <v/>
      </c>
      <c r="X101" s="223">
        <f>V103-U103</f>
        <v/>
      </c>
      <c r="Y101" s="223">
        <f>W103-U103</f>
        <v/>
      </c>
      <c r="Z101" s="223">
        <f>W103-V103</f>
        <v/>
      </c>
      <c r="AA101" s="222" t="n"/>
      <c r="AB101" s="222" t="n"/>
      <c r="AC101" s="222" t="n"/>
      <c r="AD101" s="222" t="n"/>
      <c r="AE101" s="222" t="n"/>
      <c r="AF101" s="222" t="n"/>
      <c r="AG101" s="222" t="n"/>
      <c r="AH101" s="222" t="n"/>
      <c r="AI101" s="222" t="n"/>
      <c r="AJ101" s="222" t="n"/>
    </row>
    <row r="102" ht="41.25" customHeight="1" s="166">
      <c r="A102" s="222" t="n"/>
      <c r="B102" s="222" t="inlineStr">
        <is>
          <t>综合楼</t>
        </is>
      </c>
      <c r="C102" s="222" t="inlineStr">
        <is>
          <t>010902003003</t>
        </is>
      </c>
      <c r="D102" s="222" t="inlineStr">
        <is>
          <t>屋面刚性层（屋1）</t>
        </is>
      </c>
      <c r="E102" s="222" t="inlineStr">
        <is>
          <t>1.40厚WSM20水泥浆找平层,纵横设置分格缝间距≤4000,缝宽15~20</t>
        </is>
      </c>
      <c r="F102" s="222" t="inlineStr">
        <is>
          <t>m2</t>
        </is>
      </c>
      <c r="G102" s="223" t="n">
        <v>1943.37</v>
      </c>
      <c r="H102" s="223" t="n">
        <v>2459.24</v>
      </c>
      <c r="I102" s="223">
        <f>2150.83+161.94+56.68+89.79</f>
        <v/>
      </c>
      <c r="J102" s="223" t="n"/>
      <c r="K102" s="223">
        <f>H104-G104</f>
        <v/>
      </c>
      <c r="L102" s="223">
        <f>I104-G104</f>
        <v/>
      </c>
      <c r="M102" s="223">
        <f>I104-H104</f>
        <v/>
      </c>
      <c r="N102" s="224">
        <f>K104/G104</f>
        <v/>
      </c>
      <c r="O102" s="222" t="n">
        <v>37.14</v>
      </c>
      <c r="P102" s="222" t="n">
        <v>55.93</v>
      </c>
      <c r="Q102" s="224">
        <f>(O104-P104)/P104</f>
        <v/>
      </c>
      <c r="R102" s="223">
        <f>P104*0.9056*0.85</f>
        <v/>
      </c>
      <c r="S102" s="223">
        <f>P104*1.15</f>
        <v/>
      </c>
      <c r="T102" s="223">
        <f>IF(O104&lt;P104*0.9056*0.85,P104*0.9056*0.85,IF(O104&gt;P104*1.15,P104*1.15,O104))</f>
        <v/>
      </c>
      <c r="U102" s="223" t="n">
        <v>72176.75999999999</v>
      </c>
      <c r="V102" s="223" t="n">
        <v>94386.21000000001</v>
      </c>
      <c r="W102" s="223">
        <f>U104+T104*L104</f>
        <v/>
      </c>
      <c r="X102" s="223">
        <f>V104-U104</f>
        <v/>
      </c>
      <c r="Y102" s="223">
        <f>W104-U104</f>
        <v/>
      </c>
      <c r="Z102" s="223">
        <f>W104-V104</f>
        <v/>
      </c>
      <c r="AA102" s="222" t="n"/>
      <c r="AB102" s="222" t="n"/>
      <c r="AC102" s="222" t="n"/>
      <c r="AD102" s="222" t="n"/>
      <c r="AE102" s="222" t="n"/>
      <c r="AF102" s="222" t="n"/>
      <c r="AG102" s="222" t="n"/>
      <c r="AH102" s="222" t="n"/>
      <c r="AI102" s="222" t="n"/>
      <c r="AJ102" s="222" t="n"/>
    </row>
    <row r="103" ht="41.25" customHeight="1" s="166">
      <c r="A103" s="222" t="n"/>
      <c r="B103" s="222" t="inlineStr">
        <is>
          <t>综合楼</t>
        </is>
      </c>
      <c r="C103" s="222" t="inlineStr">
        <is>
          <t>010902002001</t>
        </is>
      </c>
      <c r="D103" s="222" t="inlineStr">
        <is>
          <t>屋面涂膜防水（屋1、屋3、屋4）</t>
        </is>
      </c>
      <c r="E103" s="222" t="inlineStr">
        <is>
          <t>1.1.5厚聚氨酯防水涂膜</t>
        </is>
      </c>
      <c r="F103" s="222" t="inlineStr">
        <is>
          <t>m2</t>
        </is>
      </c>
      <c r="G103" s="223" t="n">
        <v>2449.13</v>
      </c>
      <c r="H103" s="223" t="n">
        <v>2890.84</v>
      </c>
      <c r="I103" s="223">
        <f>I103</f>
        <v/>
      </c>
      <c r="J103" s="223" t="n"/>
      <c r="K103" s="223">
        <f>H105-G105</f>
        <v/>
      </c>
      <c r="L103" s="223">
        <f>I105-G105</f>
        <v/>
      </c>
      <c r="M103" s="223">
        <f>I105-H105</f>
        <v/>
      </c>
      <c r="N103" s="224">
        <f>K105/G105</f>
        <v/>
      </c>
      <c r="O103" s="222" t="n">
        <v>33.79</v>
      </c>
      <c r="P103" s="222" t="n">
        <v>31.82</v>
      </c>
      <c r="Q103" s="224">
        <f>(O105-P105)/P105</f>
        <v/>
      </c>
      <c r="R103" s="223">
        <f>P105*0.9056*0.85</f>
        <v/>
      </c>
      <c r="S103" s="223">
        <f>P105*1.15</f>
        <v/>
      </c>
      <c r="T103" s="223">
        <f>IF(O105&lt;P105*0.9056*0.85,P105*0.9056*0.85,IF(O105&gt;P105*1.15,P105*1.15,O105))</f>
        <v/>
      </c>
      <c r="U103" s="223" t="n">
        <v>82756.10000000001</v>
      </c>
      <c r="V103" s="223" t="n">
        <v>97681.39</v>
      </c>
      <c r="W103" s="223">
        <f>U105+T105*L105</f>
        <v/>
      </c>
      <c r="X103" s="223">
        <f>V105-U105</f>
        <v/>
      </c>
      <c r="Y103" s="223">
        <f>W105-U105</f>
        <v/>
      </c>
      <c r="Z103" s="223">
        <f>W105-V105</f>
        <v/>
      </c>
      <c r="AA103" s="222" t="n"/>
      <c r="AB103" s="222" t="inlineStr">
        <is>
          <t>建筑大样图有注明上翻</t>
        </is>
      </c>
      <c r="AC103" s="222" t="n"/>
      <c r="AD103" s="222" t="n"/>
      <c r="AE103" s="222" t="n"/>
      <c r="AF103" s="222" t="n"/>
      <c r="AG103" s="222" t="n"/>
      <c r="AH103" s="222" t="n"/>
      <c r="AI103" s="222" t="n"/>
      <c r="AJ103" s="222" t="n"/>
    </row>
    <row r="104" ht="54" customHeight="1" s="166">
      <c r="A104" s="222" t="n"/>
      <c r="B104" s="222" t="inlineStr">
        <is>
          <t>综合楼</t>
        </is>
      </c>
      <c r="C104" s="222" t="inlineStr">
        <is>
          <t>010902003004</t>
        </is>
      </c>
      <c r="D104" s="222" t="inlineStr">
        <is>
          <t>屋面刚性层（屋3）</t>
        </is>
      </c>
      <c r="E104" s="222" t="inlineStr">
        <is>
          <t>1.20厚(最薄处)WSM20水泥浆找2%坡,纵横设置分格缝间距≤6000,缝宽10~20的分格缝</t>
        </is>
      </c>
      <c r="F104" s="222" t="inlineStr">
        <is>
          <t>m2</t>
        </is>
      </c>
      <c r="G104" s="223" t="n">
        <v>303.77</v>
      </c>
      <c r="H104" s="223" t="n">
        <v>303.77</v>
      </c>
      <c r="I104" s="223">
        <f>23.7</f>
        <v/>
      </c>
      <c r="J104" s="223" t="n"/>
      <c r="K104" s="223">
        <f>H106-G106</f>
        <v/>
      </c>
      <c r="L104" s="223">
        <f>I106-G106</f>
        <v/>
      </c>
      <c r="M104" s="223">
        <f>I106-H106</f>
        <v/>
      </c>
      <c r="N104" s="224">
        <f>K106/G106</f>
        <v/>
      </c>
      <c r="O104" s="222" t="n">
        <v>28.13</v>
      </c>
      <c r="P104" s="222" t="n">
        <v>21.75</v>
      </c>
      <c r="Q104" s="224">
        <f>(O106-P106)/P106</f>
        <v/>
      </c>
      <c r="R104" s="223">
        <f>P106*0.9056*0.85</f>
        <v/>
      </c>
      <c r="S104" s="223">
        <f>P106*1.15</f>
        <v/>
      </c>
      <c r="T104" s="223">
        <f>IF(O106&lt;P106*0.9056*0.85,P106*0.9056*0.85,IF(O106&gt;P106*1.15,P106*1.15,O106))</f>
        <v/>
      </c>
      <c r="U104" s="223" t="n">
        <v>8545.049999999999</v>
      </c>
      <c r="V104" s="223" t="n">
        <v>8545.049999999999</v>
      </c>
      <c r="W104" s="223">
        <f>U106+T106*L106</f>
        <v/>
      </c>
      <c r="X104" s="223">
        <f>V106-U106</f>
        <v/>
      </c>
      <c r="Y104" s="223">
        <f>W106-U106</f>
        <v/>
      </c>
      <c r="Z104" s="223">
        <f>W106-V106</f>
        <v/>
      </c>
      <c r="AA104" s="222" t="n"/>
      <c r="AB104" s="222" t="n"/>
      <c r="AC104" s="222" t="n"/>
      <c r="AD104" s="222" t="n"/>
      <c r="AE104" s="222" t="n"/>
      <c r="AF104" s="222" t="n"/>
      <c r="AG104" s="222" t="n"/>
      <c r="AH104" s="222" t="n"/>
      <c r="AI104" s="222" t="n"/>
      <c r="AJ104" s="222" t="n"/>
    </row>
    <row r="105" ht="54" customHeight="1" s="166">
      <c r="A105" s="222" t="n"/>
      <c r="B105" s="222" t="inlineStr">
        <is>
          <t>综合楼</t>
        </is>
      </c>
      <c r="C105" s="222" t="inlineStr">
        <is>
          <t>010902003005</t>
        </is>
      </c>
      <c r="D105" s="222" t="inlineStr">
        <is>
          <t>屋面刚性层（屋3）</t>
        </is>
      </c>
      <c r="E105" s="222" t="inlineStr">
        <is>
          <t>1.20厚(最薄处)WSM20水泥浆找平,纵横设置分格缝间距≤4000,缝宽10~20的分格缝</t>
        </is>
      </c>
      <c r="F105" s="222" t="inlineStr">
        <is>
          <t>m2</t>
        </is>
      </c>
      <c r="G105" s="223" t="n">
        <v>303.77</v>
      </c>
      <c r="H105" s="223" t="n">
        <v>303.77</v>
      </c>
      <c r="I105" s="223" t="n">
        <v>23.7</v>
      </c>
      <c r="J105" s="223" t="n"/>
      <c r="K105" s="223">
        <f>H107-G107</f>
        <v/>
      </c>
      <c r="L105" s="223">
        <f>I107-G107</f>
        <v/>
      </c>
      <c r="M105" s="223">
        <f>I107-H107</f>
        <v/>
      </c>
      <c r="N105" s="224">
        <f>K107/G107</f>
        <v/>
      </c>
      <c r="O105" s="222" t="n">
        <v>28.16</v>
      </c>
      <c r="P105" s="222" t="n">
        <v>21.75</v>
      </c>
      <c r="Q105" s="224">
        <f>(O107-P107)/P107</f>
        <v/>
      </c>
      <c r="R105" s="223">
        <f>P107*0.9056*0.85</f>
        <v/>
      </c>
      <c r="S105" s="223">
        <f>P107*1.15</f>
        <v/>
      </c>
      <c r="T105" s="223">
        <f>IF(O107&lt;P107*0.9056*0.85,P107*0.9056*0.85,IF(O107&gt;P107*1.15,P107*1.15,O107))</f>
        <v/>
      </c>
      <c r="U105" s="223" t="n">
        <v>8554.16</v>
      </c>
      <c r="V105" s="223" t="n">
        <v>8554.16</v>
      </c>
      <c r="W105" s="223">
        <f>U107+T107*L107</f>
        <v/>
      </c>
      <c r="X105" s="223">
        <f>V107-U107</f>
        <v/>
      </c>
      <c r="Y105" s="223">
        <f>W107-U107</f>
        <v/>
      </c>
      <c r="Z105" s="223">
        <f>W107-V107</f>
        <v/>
      </c>
      <c r="AA105" s="222" t="n"/>
      <c r="AB105" s="222" t="n"/>
      <c r="AC105" s="222" t="n"/>
      <c r="AD105" s="222" t="n"/>
      <c r="AE105" s="222" t="n"/>
      <c r="AF105" s="222" t="n"/>
      <c r="AG105" s="222" t="n"/>
      <c r="AH105" s="222" t="n"/>
      <c r="AI105" s="222" t="n"/>
      <c r="AJ105" s="222" t="n"/>
    </row>
    <row r="106" ht="66" customHeight="1" s="166">
      <c r="A106" s="222" t="n"/>
      <c r="B106" s="222" t="inlineStr">
        <is>
          <t>综合楼</t>
        </is>
      </c>
      <c r="C106" s="222" t="inlineStr">
        <is>
          <t>010902003006</t>
        </is>
      </c>
      <c r="D106" s="222" t="inlineStr">
        <is>
          <t>屋面刚性层（屋4）</t>
        </is>
      </c>
      <c r="E106" s="222" t="inlineStr">
        <is>
          <t>1.20厚(最薄处)DSM15水泥浆找平</t>
        </is>
      </c>
      <c r="F106" s="222" t="inlineStr">
        <is>
          <t>m2</t>
        </is>
      </c>
      <c r="G106" s="223" t="n">
        <v>242.44</v>
      </c>
      <c r="H106" s="223" t="n">
        <v>253.07</v>
      </c>
      <c r="I106" s="223">
        <f>229.37</f>
        <v/>
      </c>
      <c r="J106" s="223" t="n"/>
      <c r="K106" s="223">
        <f>H108-G108</f>
        <v/>
      </c>
      <c r="L106" s="223">
        <f>I108-G108</f>
        <v/>
      </c>
      <c r="M106" s="223">
        <f>I108-H108</f>
        <v/>
      </c>
      <c r="N106" s="224">
        <f>K108/G108</f>
        <v/>
      </c>
      <c r="O106" s="222" t="n">
        <v>21.35</v>
      </c>
      <c r="P106" s="222" t="n">
        <v>22.51</v>
      </c>
      <c r="Q106" s="224">
        <f>(O108-P108)/P108</f>
        <v/>
      </c>
      <c r="R106" s="223">
        <f>P108*0.9056*0.85</f>
        <v/>
      </c>
      <c r="S106" s="223">
        <f>P108*1.15</f>
        <v/>
      </c>
      <c r="T106" s="223">
        <f>IF(O108&lt;P108*0.9056*0.85,P108*0.9056*0.85,IF(O108&gt;P108*1.15,P108*1.15,O108))</f>
        <v/>
      </c>
      <c r="U106" s="223" t="n">
        <v>5176.09</v>
      </c>
      <c r="V106" s="223" t="n">
        <v>5402.99</v>
      </c>
      <c r="W106" s="223">
        <f>U108+T108*L108</f>
        <v/>
      </c>
      <c r="X106" s="223">
        <f>V108-U108</f>
        <v/>
      </c>
      <c r="Y106" s="223">
        <f>W108-U108</f>
        <v/>
      </c>
      <c r="Z106" s="223">
        <f>W108-V108</f>
        <v/>
      </c>
      <c r="AA106" s="222" t="n"/>
      <c r="AB106" s="222" t="n"/>
      <c r="AC106" s="222" t="n"/>
      <c r="AD106" s="222" t="n"/>
      <c r="AE106" s="222" t="n"/>
      <c r="AF106" s="222" t="n"/>
      <c r="AG106" s="222" t="n"/>
      <c r="AH106" s="222" t="n"/>
      <c r="AI106" s="222" t="n"/>
      <c r="AJ106" s="222" t="n"/>
    </row>
    <row r="107" ht="54" customHeight="1" s="166">
      <c r="A107" s="222" t="n"/>
      <c r="B107" s="222" t="inlineStr">
        <is>
          <t>综合楼</t>
        </is>
      </c>
      <c r="C107" s="222" t="inlineStr">
        <is>
          <t>010901001001</t>
        </is>
      </c>
      <c r="D107" s="222" t="inlineStr">
        <is>
          <t>瓦屋面（屋4、屋5）</t>
        </is>
      </c>
      <c r="E107" s="222" t="inlineStr">
        <is>
          <t>1.彩石金属瓦
2.冷弯型钢挂瓦条,中距按瓦材规格
3.其他详见施工设计图</t>
        </is>
      </c>
      <c r="F107" s="222" t="inlineStr">
        <is>
          <t>m2</t>
        </is>
      </c>
      <c r="G107" s="223" t="n">
        <v>242.44</v>
      </c>
      <c r="H107" s="223" t="n">
        <v>242.44</v>
      </c>
      <c r="I107" s="223">
        <f>229.37</f>
        <v/>
      </c>
      <c r="J107" s="223" t="n"/>
      <c r="K107" s="223">
        <f>H109-G109</f>
        <v/>
      </c>
      <c r="L107" s="223">
        <f>I109-G109</f>
        <v/>
      </c>
      <c r="M107" s="223">
        <f>I109-H109</f>
        <v/>
      </c>
      <c r="N107" s="224">
        <f>K109/G109</f>
        <v/>
      </c>
      <c r="O107" s="222" t="n">
        <v>240.86</v>
      </c>
      <c r="P107" s="222" t="n">
        <v>182.42</v>
      </c>
      <c r="Q107" s="224">
        <f>(O109-P109)/P109</f>
        <v/>
      </c>
      <c r="R107" s="223">
        <f>P109*0.9056*0.85</f>
        <v/>
      </c>
      <c r="S107" s="223">
        <f>P109*1.15</f>
        <v/>
      </c>
      <c r="T107" s="223">
        <f>IF(O109&lt;P109*0.9056*0.85,P109*0.9056*0.85,IF(O109&gt;P109*1.15,P109*1.15,O109))</f>
        <v/>
      </c>
      <c r="U107" s="223" t="n">
        <v>58394.1</v>
      </c>
      <c r="V107" s="223" t="n">
        <v>58394.1</v>
      </c>
      <c r="W107" s="223">
        <f>U109+T109*L109</f>
        <v/>
      </c>
      <c r="X107" s="223">
        <f>V109-U109</f>
        <v/>
      </c>
      <c r="Y107" s="223">
        <f>W109-U109</f>
        <v/>
      </c>
      <c r="Z107" s="223">
        <f>W109-V109</f>
        <v/>
      </c>
      <c r="AA107" s="222" t="n"/>
      <c r="AB107" s="222" t="n"/>
      <c r="AC107" s="222" t="n"/>
      <c r="AD107" s="222" t="n"/>
      <c r="AE107" s="222" t="n"/>
      <c r="AF107" s="222" t="n"/>
      <c r="AG107" s="222" t="n"/>
      <c r="AH107" s="222" t="n"/>
      <c r="AI107" s="222" t="n"/>
      <c r="AJ107" s="222" t="n"/>
    </row>
    <row r="108" ht="28.5" customHeight="1" s="166">
      <c r="A108" s="222" t="n"/>
      <c r="B108" s="222" t="inlineStr">
        <is>
          <t>综合楼</t>
        </is>
      </c>
      <c r="C108" s="222" t="n"/>
      <c r="D108" s="222" t="inlineStr">
        <is>
          <t>保温、隔热、防腐工程</t>
        </is>
      </c>
      <c r="E108" s="222" t="n"/>
      <c r="F108" s="222" t="n"/>
      <c r="G108" s="223" t="n"/>
      <c r="H108" s="223" t="n"/>
      <c r="I108" s="223" t="n"/>
      <c r="J108" s="223" t="n"/>
      <c r="K108" s="223" t="n"/>
      <c r="L108" s="223" t="n"/>
      <c r="M108" s="223" t="n"/>
      <c r="N108" s="224" t="n"/>
      <c r="O108" s="222" t="n"/>
      <c r="P108" s="222" t="n"/>
      <c r="Q108" s="224" t="n"/>
      <c r="R108" s="223" t="n"/>
      <c r="S108" s="223" t="n"/>
      <c r="T108" s="223" t="n"/>
      <c r="U108" s="223" t="n">
        <v>236978.02</v>
      </c>
      <c r="V108" s="223" t="n">
        <v>189955.02</v>
      </c>
      <c r="W108" s="223">
        <f>+SUM(W111:W114)</f>
        <v/>
      </c>
      <c r="X108" s="223">
        <f>V110-U110</f>
        <v/>
      </c>
      <c r="Y108" s="223">
        <f>W110-U110</f>
        <v/>
      </c>
      <c r="Z108" s="223">
        <f>W110-V110</f>
        <v/>
      </c>
      <c r="AA108" s="222" t="n"/>
      <c r="AB108" s="222" t="n"/>
      <c r="AC108" s="222" t="n"/>
      <c r="AD108" s="222" t="n"/>
      <c r="AE108" s="222" t="n"/>
      <c r="AF108" s="222" t="n"/>
      <c r="AG108" s="222" t="n"/>
      <c r="AH108" s="222" t="n"/>
      <c r="AI108" s="222" t="n"/>
      <c r="AJ108" s="222" t="n"/>
    </row>
    <row r="109" ht="66.75" customHeight="1" s="166">
      <c r="A109" s="222" t="n"/>
      <c r="B109" s="222" t="inlineStr">
        <is>
          <t>综合楼</t>
        </is>
      </c>
      <c r="C109" s="222" t="inlineStr">
        <is>
          <t>011001003002</t>
        </is>
      </c>
      <c r="D109" s="222" t="inlineStr">
        <is>
          <t>保温隔热墙面</t>
        </is>
      </c>
      <c r="E109" s="222" t="inlineStr">
        <is>
          <t>1.外墙内保温
2.15mm玻化微珠保温砂浆
3.5厚抗裂砂浆内置保温专用玻纤网(130g/m2)
4.做法详见图纸</t>
        </is>
      </c>
      <c r="F109" s="222" t="inlineStr">
        <is>
          <t>m2</t>
        </is>
      </c>
      <c r="G109" s="223" t="n">
        <v>1536.73</v>
      </c>
      <c r="H109" s="223" t="n">
        <v>1143.98</v>
      </c>
      <c r="I109" s="223" t="n">
        <v>798.76</v>
      </c>
      <c r="J109" s="223" t="n"/>
      <c r="K109" s="223">
        <f>H111-G111</f>
        <v/>
      </c>
      <c r="L109" s="223">
        <f>I111-G111</f>
        <v/>
      </c>
      <c r="M109" s="223">
        <f>I111-H111</f>
        <v/>
      </c>
      <c r="N109" s="224">
        <f>K111/G111</f>
        <v/>
      </c>
      <c r="O109" s="222" t="n">
        <v>95.23</v>
      </c>
      <c r="P109" s="222" t="n">
        <v>75.67</v>
      </c>
      <c r="Q109" s="224">
        <f>(O111-P111)/P111</f>
        <v/>
      </c>
      <c r="R109" s="223">
        <f>P111*0.9056*0.85</f>
        <v/>
      </c>
      <c r="S109" s="223">
        <f>P111*1.15</f>
        <v/>
      </c>
      <c r="T109" s="223">
        <f>IF(O111&lt;P111*0.9056*0.85,P111*0.9056*0.85,IF(O111&gt;P111*1.15,P111*1.15,O111))</f>
        <v/>
      </c>
      <c r="U109" s="223" t="n">
        <v>146342.32</v>
      </c>
      <c r="V109" s="223" t="n">
        <v>112165.59</v>
      </c>
      <c r="W109" s="223">
        <f>U111+T111*L111</f>
        <v/>
      </c>
      <c r="X109" s="223">
        <f>V111-U111</f>
        <v/>
      </c>
      <c r="Y109" s="223">
        <f>W111-U111</f>
        <v/>
      </c>
      <c r="Z109" s="223">
        <f>W111-V111</f>
        <v/>
      </c>
      <c r="AA109" s="222" t="n"/>
      <c r="AB109" s="222" t="inlineStr">
        <is>
          <t>外墙东西方向</t>
        </is>
      </c>
      <c r="AC109" s="222" t="n"/>
      <c r="AD109" s="222" t="n"/>
      <c r="AE109" s="222" t="n"/>
      <c r="AF109" s="222" t="n"/>
      <c r="AG109" s="222" t="n"/>
      <c r="AH109" s="222" t="n"/>
      <c r="AI109" s="222" t="n"/>
      <c r="AJ109" s="222" t="n"/>
    </row>
    <row r="110" ht="41.25" customHeight="1" s="166">
      <c r="A110" s="222" t="n"/>
      <c r="B110" s="222" t="inlineStr">
        <is>
          <t>综合楼</t>
        </is>
      </c>
      <c r="C110" s="222" t="inlineStr">
        <is>
          <t>011407001001</t>
        </is>
      </c>
      <c r="D110" s="222" t="inlineStr">
        <is>
          <t>墙面喷刷涂料</t>
        </is>
      </c>
      <c r="E110" s="222" t="inlineStr">
        <is>
          <t>1.隔热反射涂料
2.外墙内保温处
3.其他详见施工设计图</t>
        </is>
      </c>
      <c r="F110" s="222" t="inlineStr">
        <is>
          <t>m2</t>
        </is>
      </c>
      <c r="G110" s="223" t="n">
        <v>2348.5</v>
      </c>
      <c r="H110" s="223" t="n">
        <v>1907.81</v>
      </c>
      <c r="I110" s="223" t="n">
        <v>1907.81</v>
      </c>
      <c r="J110" s="223" t="n"/>
      <c r="K110" s="223">
        <f>H112-G112</f>
        <v/>
      </c>
      <c r="L110" s="223">
        <f>I112-G112</f>
        <v/>
      </c>
      <c r="M110" s="223">
        <f>I112-H112</f>
        <v/>
      </c>
      <c r="N110" s="224">
        <f>K112/G112</f>
        <v/>
      </c>
      <c r="O110" s="222" t="n">
        <v>31.26</v>
      </c>
      <c r="P110" s="222" t="n">
        <v>31.36</v>
      </c>
      <c r="Q110" s="224">
        <f>(O112-P112)/P112</f>
        <v/>
      </c>
      <c r="R110" s="223">
        <f>P112*0.9056*0.85</f>
        <v/>
      </c>
      <c r="S110" s="223">
        <f>P112*1.15</f>
        <v/>
      </c>
      <c r="T110" s="223">
        <f>IF(O112&lt;P112*0.9056*0.85,P112*0.9056*0.85,IF(O112&gt;P112*1.15,P112*1.15,O112))</f>
        <v/>
      </c>
      <c r="U110" s="223" t="n">
        <v>73414.19</v>
      </c>
      <c r="V110" s="223" t="n">
        <v>59638.07</v>
      </c>
      <c r="W110" s="223">
        <f>U112+T112*L112</f>
        <v/>
      </c>
      <c r="X110" s="223">
        <f>V112-U112</f>
        <v/>
      </c>
      <c r="Y110" s="223">
        <f>W112-U112</f>
        <v/>
      </c>
      <c r="Z110" s="223">
        <f>W112-V112</f>
        <v/>
      </c>
      <c r="AA110" s="222" t="n"/>
      <c r="AB110" s="222" t="n"/>
      <c r="AC110" s="222" t="n"/>
      <c r="AD110" s="222" t="n"/>
      <c r="AE110" s="222" t="n"/>
      <c r="AF110" s="222" t="n"/>
      <c r="AG110" s="222" t="n"/>
      <c r="AH110" s="222" t="n"/>
      <c r="AI110" s="222" t="n"/>
      <c r="AJ110" s="222" t="n"/>
    </row>
    <row r="111" ht="41.25" customHeight="1" s="166">
      <c r="A111" s="222" t="n"/>
      <c r="B111" s="222" t="inlineStr">
        <is>
          <t>综合楼</t>
        </is>
      </c>
      <c r="C111" s="222" t="inlineStr">
        <is>
          <t>011003001002</t>
        </is>
      </c>
      <c r="D111" s="222" t="inlineStr">
        <is>
          <t>隔离层（屋1、屋2、屋3、屋4）</t>
        </is>
      </c>
      <c r="E111" s="222" t="inlineStr">
        <is>
          <t>1.0.4厚聚乙烯薄膜隔离层</t>
        </is>
      </c>
      <c r="F111" s="222" t="inlineStr">
        <is>
          <t>m2</t>
        </is>
      </c>
      <c r="G111" s="223" t="n">
        <v>2449.13</v>
      </c>
      <c r="H111" s="223" t="n">
        <v>2706.13</v>
      </c>
      <c r="I111" s="223">
        <f>2134.54+229.37+172.06+56.68+23.7+89.78</f>
        <v/>
      </c>
      <c r="J111" s="223" t="n"/>
      <c r="K111" s="223">
        <f>H113-G113</f>
        <v/>
      </c>
      <c r="L111" s="223">
        <f>I113-G113</f>
        <v/>
      </c>
      <c r="M111" s="223">
        <f>I113-H113</f>
        <v/>
      </c>
      <c r="N111" s="224">
        <f>K113/G113</f>
        <v/>
      </c>
      <c r="O111" s="222" t="n">
        <v>4.06</v>
      </c>
      <c r="P111" s="222" t="n">
        <v>7.24</v>
      </c>
      <c r="Q111" s="224">
        <f>(O113-P113)/P113</f>
        <v/>
      </c>
      <c r="R111" s="223">
        <f>P113*0.9056*0.85</f>
        <v/>
      </c>
      <c r="S111" s="223">
        <f>P113*1.15</f>
        <v/>
      </c>
      <c r="T111" s="223">
        <f>IF(O113&lt;P113*0.9056*0.85,P113*0.9056*0.85,IF(O113&gt;P113*1.15,P113*1.15,O113))</f>
        <v/>
      </c>
      <c r="U111" s="223" t="n">
        <v>9943.469999999999</v>
      </c>
      <c r="V111" s="223" t="n">
        <v>11375.75</v>
      </c>
      <c r="W111" s="223">
        <f>U113+T113*L113</f>
        <v/>
      </c>
      <c r="X111" s="223">
        <f>V113-U113</f>
        <v/>
      </c>
      <c r="Y111" s="223">
        <f>W113-U113</f>
        <v/>
      </c>
      <c r="Z111" s="223">
        <f>W113-V113</f>
        <v/>
      </c>
      <c r="AA111" s="222" t="n"/>
      <c r="AB111" s="222" t="n"/>
      <c r="AC111" s="222" t="n"/>
      <c r="AD111" s="222" t="n"/>
      <c r="AE111" s="222" t="n"/>
      <c r="AF111" s="222" t="n"/>
      <c r="AG111" s="222" t="n"/>
      <c r="AH111" s="222" t="n"/>
      <c r="AI111" s="222" t="n"/>
      <c r="AJ111" s="222" t="n"/>
    </row>
    <row r="112" ht="28.5" customHeight="1" s="166">
      <c r="A112" s="222" t="n"/>
      <c r="B112" s="222" t="inlineStr">
        <is>
          <t>综合楼</t>
        </is>
      </c>
      <c r="C112" s="222" t="inlineStr">
        <is>
          <t>011001001001</t>
        </is>
      </c>
      <c r="D112" s="222" t="inlineStr">
        <is>
          <t>保温隔热屋面（屋4）</t>
        </is>
      </c>
      <c r="E112" s="222" t="inlineStr">
        <is>
          <t>1.50厚RC型B2级挤塑聚苯乙烯泡沫塑料板</t>
        </is>
      </c>
      <c r="F112" s="222" t="inlineStr">
        <is>
          <t>m2</t>
        </is>
      </c>
      <c r="G112" s="223" t="n">
        <v>242.44</v>
      </c>
      <c r="H112" s="223" t="n">
        <v>229.37</v>
      </c>
      <c r="I112" s="223" t="n">
        <v>229.37</v>
      </c>
      <c r="J112" s="223" t="n"/>
      <c r="K112" s="223">
        <f>H114-G114</f>
        <v/>
      </c>
      <c r="L112" s="223">
        <f>I114-G114</f>
        <v/>
      </c>
      <c r="M112" s="223">
        <f>I114-H114</f>
        <v/>
      </c>
      <c r="N112" s="224">
        <f>K114/G114</f>
        <v/>
      </c>
      <c r="O112" s="222" t="n">
        <v>30.02</v>
      </c>
      <c r="P112" s="222" t="n">
        <v>49.93</v>
      </c>
      <c r="Q112" s="224">
        <f>(O114-P114)/P114</f>
        <v/>
      </c>
      <c r="R112" s="223">
        <f>P114*0.9056*0.85</f>
        <v/>
      </c>
      <c r="S112" s="223">
        <f>P114*1.15</f>
        <v/>
      </c>
      <c r="T112" s="223">
        <f>IF(O114&lt;P114*0.9056*0.85,P114*0.9056*0.85,IF(O114&gt;P114*1.15,P114*1.15,O114))</f>
        <v/>
      </c>
      <c r="U112" s="223" t="n">
        <v>7278.05</v>
      </c>
      <c r="V112" s="223" t="n">
        <v>6775.61</v>
      </c>
      <c r="W112" s="223" t="n">
        <v>6775.61</v>
      </c>
      <c r="X112" s="223">
        <f>V114-U114</f>
        <v/>
      </c>
      <c r="Y112" s="223">
        <f>W114-U114</f>
        <v/>
      </c>
      <c r="Z112" s="223">
        <f>W114-V114</f>
        <v/>
      </c>
      <c r="AA112" s="222" t="n"/>
      <c r="AB112" s="222" t="n"/>
      <c r="AC112" s="222" t="n"/>
      <c r="AD112" s="222" t="n"/>
      <c r="AE112" s="222" t="n"/>
      <c r="AF112" s="222" t="n"/>
      <c r="AG112" s="222" t="n"/>
      <c r="AH112" s="222" t="n"/>
      <c r="AI112" s="222" t="n"/>
      <c r="AJ112" s="222" t="n"/>
    </row>
    <row r="113" ht="28.5" customHeight="1" s="166">
      <c r="A113" s="222" t="n"/>
      <c r="B113" s="222" t="inlineStr">
        <is>
          <t>综合楼</t>
        </is>
      </c>
      <c r="C113" s="222" t="n"/>
      <c r="D113" s="222" t="inlineStr">
        <is>
          <t>楼地面装饰工程</t>
        </is>
      </c>
      <c r="E113" s="222" t="n"/>
      <c r="F113" s="222" t="n"/>
      <c r="G113" s="223" t="n"/>
      <c r="H113" s="223" t="n"/>
      <c r="I113" s="223" t="n"/>
      <c r="J113" s="223" t="n"/>
      <c r="K113" s="223" t="n"/>
      <c r="L113" s="223" t="n"/>
      <c r="M113" s="223" t="n"/>
      <c r="N113" s="224" t="n"/>
      <c r="O113" s="222" t="n"/>
      <c r="P113" s="222" t="n"/>
      <c r="Q113" s="224" t="n"/>
      <c r="R113" s="223" t="n"/>
      <c r="S113" s="223" t="n"/>
      <c r="T113" s="223" t="n"/>
      <c r="U113" s="223" t="n">
        <v>852794.73</v>
      </c>
      <c r="V113" s="223" t="n">
        <v>850302.36</v>
      </c>
      <c r="W113" s="223">
        <f>+SUM(W116:W132)</f>
        <v/>
      </c>
      <c r="X113" s="223">
        <f>V115-U115</f>
        <v/>
      </c>
      <c r="Y113" s="223">
        <f>W115-U115</f>
        <v/>
      </c>
      <c r="Z113" s="223">
        <f>W115-V115</f>
        <v/>
      </c>
      <c r="AA113" s="222" t="n"/>
      <c r="AB113" s="222" t="n"/>
      <c r="AC113" s="222" t="n"/>
      <c r="AD113" s="222" t="n"/>
      <c r="AE113" s="222" t="n"/>
      <c r="AF113" s="222" t="n"/>
      <c r="AG113" s="222" t="n"/>
      <c r="AH113" s="222" t="n"/>
      <c r="AI113" s="222" t="n"/>
      <c r="AJ113" s="222" t="n"/>
    </row>
    <row r="114" ht="54" customHeight="1" s="166">
      <c r="A114" s="222" t="n"/>
      <c r="B114" s="222" t="inlineStr">
        <is>
          <t>综合楼</t>
        </is>
      </c>
      <c r="C114" s="222" t="inlineStr">
        <is>
          <t>011101001001</t>
        </is>
      </c>
      <c r="D114" s="222" t="inlineStr">
        <is>
          <t>水泥砂浆楼地面（地1）</t>
        </is>
      </c>
      <c r="E114" s="222" t="inlineStr">
        <is>
          <t>1.20厚M20水泥砂浆打底,加水泥粉随手抹光向地漏找坡
2.20~40厚C15素混凝土找坡兼找平水</t>
        </is>
      </c>
      <c r="F114" s="222" t="inlineStr">
        <is>
          <t>m2</t>
        </is>
      </c>
      <c r="G114" s="223" t="n">
        <v>15.72</v>
      </c>
      <c r="H114" s="223" t="n">
        <v>69.78</v>
      </c>
      <c r="I114" s="223" t="n">
        <v>69.78</v>
      </c>
      <c r="J114" s="223" t="n"/>
      <c r="K114" s="223">
        <f>H116-G116</f>
        <v/>
      </c>
      <c r="L114" s="223">
        <f>I116-G116</f>
        <v/>
      </c>
      <c r="M114" s="223">
        <f>I116-H116</f>
        <v/>
      </c>
      <c r="N114" s="224">
        <f>K116/G116</f>
        <v/>
      </c>
      <c r="O114" s="222" t="n">
        <v>64.92</v>
      </c>
      <c r="P114" s="222" t="n">
        <v>48.18</v>
      </c>
      <c r="Q114" s="224">
        <f>(O116-P116)/P116</f>
        <v/>
      </c>
      <c r="R114" s="223">
        <f>P116*0.9056*0.85</f>
        <v/>
      </c>
      <c r="S114" s="223">
        <f>P116*1.15</f>
        <v/>
      </c>
      <c r="T114" s="223">
        <f>IF(O116&lt;P116*0.9056*0.85,P116*0.9056*0.85,IF(O116&gt;P116*1.15,P116*1.15,O116))</f>
        <v/>
      </c>
      <c r="U114" s="223" t="n">
        <v>1020.46</v>
      </c>
      <c r="V114" s="223" t="n">
        <v>4016.02</v>
      </c>
      <c r="W114" s="223">
        <f>U116+T116*L116</f>
        <v/>
      </c>
      <c r="X114" s="223">
        <f>V116-U116</f>
        <v/>
      </c>
      <c r="Y114" s="223">
        <f>W116-U116</f>
        <v/>
      </c>
      <c r="Z114" s="223">
        <f>W116-V116</f>
        <v/>
      </c>
      <c r="AA114" s="222" t="n"/>
      <c r="AB114" s="222" t="n"/>
      <c r="AC114" s="222" t="n"/>
      <c r="AD114" s="222" t="n"/>
      <c r="AE114" s="222" t="n"/>
      <c r="AF114" s="222" t="n"/>
      <c r="AG114" s="222" t="n"/>
      <c r="AH114" s="222" t="n"/>
      <c r="AI114" s="222" t="n"/>
      <c r="AJ114" s="222" t="n"/>
    </row>
    <row r="115" ht="41.25" customHeight="1" s="166">
      <c r="A115" s="222" t="n"/>
      <c r="B115" s="222" t="inlineStr">
        <is>
          <t>综合楼</t>
        </is>
      </c>
      <c r="C115" s="222" t="inlineStr">
        <is>
          <t>011101001002</t>
        </is>
      </c>
      <c r="D115" s="222" t="inlineStr">
        <is>
          <t>水泥砂浆楼地面（地1）（水电井）</t>
        </is>
      </c>
      <c r="E115" s="222" t="inlineStr">
        <is>
          <t>1.20厚M20水泥砂浆打底,加水泥粉随手抹光向地漏找坡</t>
        </is>
      </c>
      <c r="F115" s="222" t="inlineStr">
        <is>
          <t>m2</t>
        </is>
      </c>
      <c r="G115" s="223" t="n">
        <v>13.26</v>
      </c>
      <c r="H115" s="223" t="n">
        <v>17.16</v>
      </c>
      <c r="I115" s="223" t="n">
        <v>17.16</v>
      </c>
      <c r="J115" s="223" t="n"/>
      <c r="K115" s="223">
        <f>H117-G117</f>
        <v/>
      </c>
      <c r="L115" s="223">
        <f>I117-G117</f>
        <v/>
      </c>
      <c r="M115" s="223">
        <f>I117-H117</f>
        <v/>
      </c>
      <c r="N115" s="224">
        <f>K117/G117</f>
        <v/>
      </c>
      <c r="O115" s="222" t="n">
        <v>29.28</v>
      </c>
      <c r="P115" s="222" t="n">
        <v>24.37</v>
      </c>
      <c r="Q115" s="224">
        <f>(O117-P117)/P117</f>
        <v/>
      </c>
      <c r="R115" s="223">
        <f>P117*0.9056*0.85</f>
        <v/>
      </c>
      <c r="S115" s="223">
        <f>P117*1.15</f>
        <v/>
      </c>
      <c r="T115" s="223">
        <f>IF(O117&lt;P117*0.9056*0.85,P117*0.9056*0.85,IF(O117&gt;P117*1.15,P117*1.15,O117))</f>
        <v/>
      </c>
      <c r="U115" s="223" t="n">
        <v>388.25</v>
      </c>
      <c r="V115" s="223" t="n">
        <v>497.55</v>
      </c>
      <c r="W115" s="223" t="n">
        <v>497.55</v>
      </c>
      <c r="X115" s="223">
        <f>V117-U117</f>
        <v/>
      </c>
      <c r="Y115" s="223">
        <f>W117-U117</f>
        <v/>
      </c>
      <c r="Z115" s="223">
        <f>W117-V117</f>
        <v/>
      </c>
      <c r="AA115" s="222" t="n"/>
      <c r="AB115" s="222" t="n"/>
      <c r="AC115" s="222" t="n"/>
      <c r="AD115" s="222" t="n"/>
      <c r="AE115" s="222" t="n"/>
      <c r="AF115" s="222" t="n"/>
      <c r="AG115" s="222" t="n"/>
      <c r="AH115" s="222" t="n"/>
      <c r="AI115" s="222" t="n"/>
      <c r="AJ115" s="222" t="n"/>
    </row>
    <row r="116" ht="54" customHeight="1" s="166">
      <c r="A116" s="222" t="n"/>
      <c r="B116" s="222" t="inlineStr">
        <is>
          <t>综合楼</t>
        </is>
      </c>
      <c r="C116" s="222" t="inlineStr">
        <is>
          <t>011102003002</t>
        </is>
      </c>
      <c r="D116" s="222" t="inlineStr">
        <is>
          <t>块料楼地面（地2）</t>
        </is>
      </c>
      <c r="E116" s="222" t="inlineStr">
        <is>
          <t>1.400*400mm防滑地砖铺平拍实,纯水泥浆擦缝
2.15厚DSM15水泥砂浆结合层</t>
        </is>
      </c>
      <c r="F116" s="222" t="inlineStr">
        <is>
          <t>m2</t>
        </is>
      </c>
      <c r="G116" s="223" t="n">
        <v>609.25</v>
      </c>
      <c r="H116" s="223" t="n">
        <v>727.13</v>
      </c>
      <c r="I116" s="223" t="n">
        <v>727.13</v>
      </c>
      <c r="J116" s="223" t="n"/>
      <c r="K116" s="223">
        <f>H118-G118</f>
        <v/>
      </c>
      <c r="L116" s="223">
        <f>I118-G118</f>
        <v/>
      </c>
      <c r="M116" s="223">
        <f>I118-H118</f>
        <v/>
      </c>
      <c r="N116" s="224">
        <f>K118/G118</f>
        <v/>
      </c>
      <c r="O116" s="222" t="n">
        <v>112.13</v>
      </c>
      <c r="P116" s="222" t="n">
        <v>74.23999999999999</v>
      </c>
      <c r="Q116" s="224">
        <f>(O118-P118)/P118</f>
        <v/>
      </c>
      <c r="R116" s="223">
        <f>P118*0.9056*0.85</f>
        <v/>
      </c>
      <c r="S116" s="223">
        <f>P118*1.15</f>
        <v/>
      </c>
      <c r="T116" s="223">
        <f>IF(O118&lt;P118*0.9056*0.85,P118*0.9056*0.85,IF(O118&gt;P118*1.15,P118*1.15,O118))</f>
        <v/>
      </c>
      <c r="U116" s="223" t="n">
        <v>68315.75</v>
      </c>
      <c r="V116" s="223" t="n">
        <v>78379.57000000001</v>
      </c>
      <c r="W116" s="223" t="n">
        <v>78379.57000000001</v>
      </c>
      <c r="X116" s="223">
        <f>V118-U118</f>
        <v/>
      </c>
      <c r="Y116" s="223">
        <f>W118-U118</f>
        <v/>
      </c>
      <c r="Z116" s="223">
        <f>W118-V118</f>
        <v/>
      </c>
      <c r="AA116" s="222" t="n"/>
      <c r="AB116" s="222" t="n"/>
      <c r="AC116" s="222" t="n"/>
      <c r="AD116" s="222" t="n"/>
      <c r="AE116" s="222" t="n"/>
      <c r="AF116" s="222" t="n"/>
      <c r="AG116" s="222" t="n"/>
      <c r="AH116" s="222" t="n"/>
      <c r="AI116" s="222" t="n"/>
      <c r="AJ116" s="222" t="n"/>
    </row>
    <row r="117" ht="66.75" customHeight="1" s="166">
      <c r="A117" s="222" t="n"/>
      <c r="B117" s="222" t="inlineStr">
        <is>
          <t>综合楼</t>
        </is>
      </c>
      <c r="C117" s="222" t="inlineStr">
        <is>
          <t>011103002001</t>
        </is>
      </c>
      <c r="D117" s="222" t="inlineStr">
        <is>
          <t>橡胶板卷材楼地面（地4）</t>
        </is>
      </c>
      <c r="E117" s="222" t="inlineStr">
        <is>
          <t>1.成品2厚UPVC卷材(同质透心)专用粘合剂粘贴
2.20~45厚M20水泥砂浆,压实赶光
3.做法详见图纸</t>
        </is>
      </c>
      <c r="F117" s="222" t="inlineStr">
        <is>
          <t>m2</t>
        </is>
      </c>
      <c r="G117" s="223" t="n">
        <v>312.05</v>
      </c>
      <c r="H117" s="223" t="n">
        <v>313.35</v>
      </c>
      <c r="I117" s="223" t="n">
        <v>313.35</v>
      </c>
      <c r="J117" s="223" t="n"/>
      <c r="K117" s="223">
        <f>H119-G119</f>
        <v/>
      </c>
      <c r="L117" s="223">
        <f>I119-G119</f>
        <v/>
      </c>
      <c r="M117" s="223">
        <f>I119-H119</f>
        <v/>
      </c>
      <c r="N117" s="224">
        <f>K119/G119</f>
        <v/>
      </c>
      <c r="O117" s="222" t="n">
        <v>142.46</v>
      </c>
      <c r="P117" s="222" t="n">
        <v>223.87</v>
      </c>
      <c r="Q117" s="224">
        <f>(O119-P119)/P119</f>
        <v/>
      </c>
      <c r="R117" s="223">
        <f>P119*0.9056*0.85</f>
        <v/>
      </c>
      <c r="S117" s="223">
        <f>P119*1.15</f>
        <v/>
      </c>
      <c r="T117" s="223">
        <f>IF(O119&lt;P119*0.9056*0.85,P119*0.9056*0.85,IF(O119&gt;P119*1.15,P119*1.15,O119))</f>
        <v/>
      </c>
      <c r="U117" s="223" t="n">
        <v>44454.93</v>
      </c>
      <c r="V117" s="223" t="n">
        <v>44679.33</v>
      </c>
      <c r="W117" s="223">
        <f>U119+T119*L119</f>
        <v/>
      </c>
      <c r="X117" s="223">
        <f>V119-U119</f>
        <v/>
      </c>
      <c r="Y117" s="223">
        <f>W119-U119</f>
        <v/>
      </c>
      <c r="Z117" s="223">
        <f>W119-V119</f>
        <v/>
      </c>
      <c r="AA117" s="222" t="n"/>
      <c r="AB117" s="222" t="n"/>
      <c r="AC117" s="222" t="n"/>
      <c r="AD117" s="222" t="n"/>
      <c r="AE117" s="222" t="n"/>
      <c r="AF117" s="222" t="n"/>
      <c r="AG117" s="222" t="n"/>
      <c r="AH117" s="222" t="n"/>
      <c r="AI117" s="222" t="n"/>
      <c r="AJ117" s="222" t="n"/>
    </row>
    <row r="118" ht="41.25" customHeight="1" s="166">
      <c r="A118" s="222" t="n"/>
      <c r="B118" s="222" t="inlineStr">
        <is>
          <t>综合楼</t>
        </is>
      </c>
      <c r="C118" s="222" t="inlineStr">
        <is>
          <t>010507004001</t>
        </is>
      </c>
      <c r="D118" s="222" t="inlineStr">
        <is>
          <t>台阶</t>
        </is>
      </c>
      <c r="E118" s="222" t="inlineStr">
        <is>
          <t>1.阶梯教室台阶地面
2.C15混凝土
3.具体详尽施工设计图</t>
        </is>
      </c>
      <c r="F118" s="222" t="inlineStr">
        <is>
          <t>m3</t>
        </is>
      </c>
      <c r="G118" s="223" t="n">
        <v>29.84</v>
      </c>
      <c r="H118" s="223" t="n">
        <v>31.74</v>
      </c>
      <c r="I118" s="223" t="n">
        <v>31.71</v>
      </c>
      <c r="J118" s="223" t="n"/>
      <c r="K118" s="223">
        <f>H120-G120</f>
        <v/>
      </c>
      <c r="L118" s="223">
        <f>I120-G120</f>
        <v/>
      </c>
      <c r="M118" s="223">
        <f>I120-H120</f>
        <v/>
      </c>
      <c r="N118" s="224">
        <f>K120/G120</f>
        <v/>
      </c>
      <c r="O118" s="222" t="n">
        <v>652.85</v>
      </c>
      <c r="P118" s="222" t="n">
        <v>856.45</v>
      </c>
      <c r="Q118" s="224">
        <f>(O120-P120)/P120</f>
        <v/>
      </c>
      <c r="R118" s="223">
        <f>P120*0.9056*0.85</f>
        <v/>
      </c>
      <c r="S118" s="223">
        <f>P120*1.15</f>
        <v/>
      </c>
      <c r="T118" s="223">
        <f>IF(O120&lt;P120*0.9056*0.85,P120*0.9056*0.85,IF(O120&gt;P120*1.15,P120*1.15,O120))</f>
        <v/>
      </c>
      <c r="U118" s="223" t="n">
        <v>19482.35</v>
      </c>
      <c r="V118" s="223" t="n">
        <v>20731.91</v>
      </c>
      <c r="W118" s="223">
        <f>U120+T120*L120</f>
        <v/>
      </c>
      <c r="X118" s="223">
        <f>V120-U120</f>
        <v/>
      </c>
      <c r="Y118" s="223">
        <f>W120-U120</f>
        <v/>
      </c>
      <c r="Z118" s="223">
        <f>W120-V120</f>
        <v/>
      </c>
      <c r="AA118" s="222" t="n"/>
      <c r="AB118" s="222" t="n"/>
      <c r="AC118" s="222" t="n"/>
      <c r="AD118" s="222" t="n"/>
      <c r="AE118" s="222" t="n"/>
      <c r="AF118" s="222" t="n"/>
      <c r="AG118" s="222" t="n"/>
      <c r="AH118" s="222" t="n"/>
      <c r="AI118" s="222" t="n"/>
      <c r="AJ118" s="222" t="n"/>
    </row>
    <row r="119" ht="79.5" customHeight="1" s="166">
      <c r="A119" s="222" t="n"/>
      <c r="B119" s="222" t="inlineStr">
        <is>
          <t>综合楼</t>
        </is>
      </c>
      <c r="C119" s="222" t="inlineStr">
        <is>
          <t>011104002001</t>
        </is>
      </c>
      <c r="D119" s="222" t="inlineStr">
        <is>
          <t>竹、木(复合)地板（地7）</t>
        </is>
      </c>
      <c r="E119" s="222" t="inlineStr">
        <is>
          <t>1.1200*150*20mm舞台专业木地板
2.24MM厚弹性龙骨，详见附图《T15R运动地板技术参数》
3.其他做法详见图纸</t>
        </is>
      </c>
      <c r="F119" s="222" t="inlineStr">
        <is>
          <t>m2</t>
        </is>
      </c>
      <c r="G119" s="223" t="n">
        <v>91.8</v>
      </c>
      <c r="H119" s="223" t="n">
        <v>114.81</v>
      </c>
      <c r="I119" s="223" t="n">
        <v>107.87</v>
      </c>
      <c r="J119" s="223" t="n"/>
      <c r="K119" s="223">
        <f>H121-G121</f>
        <v/>
      </c>
      <c r="L119" s="223">
        <f>I121-G121</f>
        <v/>
      </c>
      <c r="M119" s="223">
        <f>I121-H121</f>
        <v/>
      </c>
      <c r="N119" s="224">
        <f>K121/G121</f>
        <v/>
      </c>
      <c r="O119" s="222" t="n">
        <v>296.71</v>
      </c>
      <c r="P119" s="222" t="n">
        <v>528</v>
      </c>
      <c r="Q119" s="224">
        <f>(O121-P121)/P121</f>
        <v/>
      </c>
      <c r="R119" s="223">
        <f>P121*0.9056*0.85</f>
        <v/>
      </c>
      <c r="S119" s="223">
        <f>P121*1.15</f>
        <v/>
      </c>
      <c r="T119" s="223">
        <f>IF(O121&lt;P121*0.9056*0.85,P121*0.9056*0.85,IF(O121&gt;P121*1.15,P121*1.15,O121))</f>
        <v/>
      </c>
      <c r="U119" s="223" t="n">
        <v>27237.98</v>
      </c>
      <c r="V119" s="223" t="n">
        <v>36588.46</v>
      </c>
      <c r="W119" s="223">
        <f>U121+T121*L121</f>
        <v/>
      </c>
      <c r="X119" s="223">
        <f>V121-U121</f>
        <v/>
      </c>
      <c r="Y119" s="223">
        <f>W121-U121</f>
        <v/>
      </c>
      <c r="Z119" s="223">
        <f>W121-V121</f>
        <v/>
      </c>
      <c r="AA119" s="222" t="n"/>
      <c r="AB119" s="222" t="inlineStr">
        <is>
          <t>复核室外阶梯是否做木地板</t>
        </is>
      </c>
      <c r="AC119" s="222" t="n"/>
      <c r="AD119" s="222" t="n"/>
      <c r="AE119" s="222" t="n"/>
      <c r="AF119" s="222" t="n"/>
      <c r="AG119" s="222" t="n"/>
      <c r="AH119" s="222" t="n"/>
      <c r="AI119" s="222" t="n"/>
      <c r="AJ119" s="222" t="n"/>
    </row>
    <row r="120" ht="92.25" customHeight="1" s="166">
      <c r="A120" s="222" t="n"/>
      <c r="B120" s="222" t="inlineStr">
        <is>
          <t>综合楼</t>
        </is>
      </c>
      <c r="C120" s="222" t="inlineStr">
        <is>
          <t>011104002002</t>
        </is>
      </c>
      <c r="D120" s="222" t="inlineStr">
        <is>
          <t>运动木地板</t>
        </is>
      </c>
      <c r="E120" s="222" t="inlineStr">
        <is>
          <t>1.1800*62*22mm厚运动木地板
2.24MM厚弹性龙骨，详见附图《T15R运动地板技术参数》
3.含面层造型线
4.其他做法详见图纸</t>
        </is>
      </c>
      <c r="F120" s="222" t="inlineStr">
        <is>
          <t>m2</t>
        </is>
      </c>
      <c r="G120" s="223" t="n">
        <v>1026.02</v>
      </c>
      <c r="H120" s="223" t="n">
        <v>1025.87</v>
      </c>
      <c r="I120" s="223" t="n">
        <v>1025.87</v>
      </c>
      <c r="J120" s="223" t="n"/>
      <c r="K120" s="223">
        <f>H122-G122</f>
        <v/>
      </c>
      <c r="L120" s="223">
        <f>I122-G122</f>
        <v/>
      </c>
      <c r="M120" s="223">
        <f>I122-H122</f>
        <v/>
      </c>
      <c r="N120" s="224">
        <f>K122/G122</f>
        <v/>
      </c>
      <c r="O120" s="222" t="n">
        <v>296.71</v>
      </c>
      <c r="P120" s="222" t="n">
        <v>530.46</v>
      </c>
      <c r="Q120" s="224">
        <f>(O122-P122)/P122</f>
        <v/>
      </c>
      <c r="R120" s="223">
        <f>P122*0.9056*0.85</f>
        <v/>
      </c>
      <c r="S120" s="223">
        <f>P122*1.15</f>
        <v/>
      </c>
      <c r="T120" s="223">
        <f>IF(O122&lt;P122*0.9056*0.85,P122*0.9056*0.85,IF(O122&gt;P122*1.15,P122*1.15,O122))</f>
        <v/>
      </c>
      <c r="U120" s="223" t="n">
        <v>304430.39</v>
      </c>
      <c r="V120" s="223" t="n">
        <v>304368.12</v>
      </c>
      <c r="W120" s="223" t="n">
        <v>304368.12</v>
      </c>
      <c r="X120" s="223">
        <f>V122-U122</f>
        <v/>
      </c>
      <c r="Y120" s="223">
        <f>W122-U122</f>
        <v/>
      </c>
      <c r="Z120" s="223">
        <f>W122-V122</f>
        <v/>
      </c>
      <c r="AA120" s="222" t="n"/>
      <c r="AB120" s="222" t="n"/>
      <c r="AC120" s="222" t="n"/>
      <c r="AD120" s="222" t="n"/>
      <c r="AE120" s="222" t="n"/>
      <c r="AF120" s="222" t="n"/>
      <c r="AG120" s="222" t="n"/>
      <c r="AH120" s="222" t="n"/>
      <c r="AI120" s="222" t="n"/>
      <c r="AJ120" s="222" t="n"/>
    </row>
    <row r="121" ht="79.5" customHeight="1" s="166">
      <c r="A121" s="222" t="n"/>
      <c r="B121" s="222" t="inlineStr">
        <is>
          <t>综合楼</t>
        </is>
      </c>
      <c r="C121" s="222" t="inlineStr">
        <is>
          <t>011102003003</t>
        </is>
      </c>
      <c r="D121" s="222" t="inlineStr">
        <is>
          <t>块料楼地面（地8）</t>
        </is>
      </c>
      <c r="E121" s="222" t="inlineStr">
        <is>
          <t>1.楼地面铺贴800X800mm仿古地砖,面用白水泥擦缝
2.30厚1:3干硬性水泥砂浆结合层
3.3厚ALE隔声涂料
4.其他做法详见图纸</t>
        </is>
      </c>
      <c r="F121" s="222" t="inlineStr">
        <is>
          <t>m2</t>
        </is>
      </c>
      <c r="G121" s="223" t="n">
        <v>1293.78</v>
      </c>
      <c r="H121" s="223" t="n">
        <v>1285.93</v>
      </c>
      <c r="I121" s="223" t="n">
        <v>1283.96</v>
      </c>
      <c r="J121" s="223" t="n"/>
      <c r="K121" s="223">
        <f>H123-G123</f>
        <v/>
      </c>
      <c r="L121" s="223">
        <f>I123-G123</f>
        <v/>
      </c>
      <c r="M121" s="223">
        <f>I123-H123</f>
        <v/>
      </c>
      <c r="N121" s="224">
        <f>K123/G123</f>
        <v/>
      </c>
      <c r="O121" s="222" t="n">
        <v>167.91</v>
      </c>
      <c r="P121" s="222" t="n">
        <v>181.82</v>
      </c>
      <c r="Q121" s="224">
        <f>(O123-P123)/P123</f>
        <v/>
      </c>
      <c r="R121" s="223">
        <f>P123*0.9056*0.85</f>
        <v/>
      </c>
      <c r="S121" s="223">
        <f>P123*1.15</f>
        <v/>
      </c>
      <c r="T121" s="223">
        <f>IF(O123&lt;P123*0.9056*0.85,P123*0.9056*0.85,IF(O123&gt;P123*1.15,P123*1.15,O123))</f>
        <v/>
      </c>
      <c r="U121" s="223" t="n">
        <v>217238.1</v>
      </c>
      <c r="V121" s="223" t="n">
        <v>215920.94</v>
      </c>
      <c r="W121" s="223">
        <f>U123+T123*L123</f>
        <v/>
      </c>
      <c r="X121" s="223">
        <f>V123-U123</f>
        <v/>
      </c>
      <c r="Y121" s="223">
        <f>W123-U123</f>
        <v/>
      </c>
      <c r="Z121" s="223">
        <f>W123-V123</f>
        <v/>
      </c>
      <c r="AA121" s="222" t="n"/>
      <c r="AB121" s="222" t="n"/>
      <c r="AC121" s="222" t="n"/>
      <c r="AD121" s="222" t="n"/>
      <c r="AE121" s="222" t="n"/>
      <c r="AF121" s="222" t="n"/>
      <c r="AG121" s="222" t="n"/>
      <c r="AH121" s="222" t="n"/>
      <c r="AI121" s="222" t="n"/>
      <c r="AJ121" s="222" t="n"/>
    </row>
    <row r="122" ht="66.75" customHeight="1" s="166">
      <c r="A122" s="222" t="n"/>
      <c r="B122" s="222" t="inlineStr">
        <is>
          <t>综合楼</t>
        </is>
      </c>
      <c r="C122" s="222" t="inlineStr">
        <is>
          <t>011102003004</t>
        </is>
      </c>
      <c r="D122" s="222" t="inlineStr">
        <is>
          <t>块料楼地面</t>
        </is>
      </c>
      <c r="E122" s="222" t="inlineStr">
        <is>
          <t>1.仿古地砖门槛石
2.30厚1:3干硬性水泥砂浆结合层
3.3厚ALE隔声涂料
4.其他做法详见图纸</t>
        </is>
      </c>
      <c r="F122" s="222" t="inlineStr">
        <is>
          <t>m2</t>
        </is>
      </c>
      <c r="G122" s="223" t="n">
        <v>2.32</v>
      </c>
      <c r="H122" s="223" t="n">
        <v>2.32</v>
      </c>
      <c r="I122" s="223" t="n">
        <v>0.42</v>
      </c>
      <c r="J122" s="223" t="n"/>
      <c r="K122" s="223">
        <f>H124-G124</f>
        <v/>
      </c>
      <c r="L122" s="223">
        <f>I124-G124</f>
        <v/>
      </c>
      <c r="M122" s="223">
        <f>I124-H124</f>
        <v/>
      </c>
      <c r="N122" s="224">
        <f>K124/G124</f>
        <v/>
      </c>
      <c r="O122" s="222" t="n">
        <v>220.22</v>
      </c>
      <c r="P122" s="222" t="n">
        <v>249.18</v>
      </c>
      <c r="Q122" s="224">
        <f>(O124-P124)/P124</f>
        <v/>
      </c>
      <c r="R122" s="223">
        <f>P124*0.9056*0.85</f>
        <v/>
      </c>
      <c r="S122" s="223">
        <f>P124*1.15</f>
        <v/>
      </c>
      <c r="T122" s="223">
        <f>IF(O124&lt;P124*0.9056*0.85,P124*0.9056*0.85,IF(O124&gt;P124*1.15,P124*1.15,O124))</f>
        <v/>
      </c>
      <c r="U122" s="223" t="n">
        <v>510.91</v>
      </c>
      <c r="V122" s="223" t="n">
        <v>510.91</v>
      </c>
      <c r="W122" s="223">
        <f>U124+T124*L124</f>
        <v/>
      </c>
      <c r="X122" s="223">
        <f>V124-U124</f>
        <v/>
      </c>
      <c r="Y122" s="223">
        <f>W124-U124</f>
        <v/>
      </c>
      <c r="Z122" s="223">
        <f>W124-V124</f>
        <v/>
      </c>
      <c r="AA122" s="222" t="n"/>
      <c r="AB122" s="222" t="n"/>
      <c r="AC122" s="222" t="n"/>
      <c r="AD122" s="222" t="n"/>
      <c r="AE122" s="222" t="n"/>
      <c r="AF122" s="222" t="n"/>
      <c r="AG122" s="222" t="n"/>
      <c r="AH122" s="222" t="n"/>
      <c r="AI122" s="222" t="n"/>
      <c r="AJ122" s="222" t="n"/>
    </row>
    <row r="123" ht="79.5" customHeight="1" s="166">
      <c r="A123" s="222" t="n"/>
      <c r="B123" s="222" t="inlineStr">
        <is>
          <t>综合楼</t>
        </is>
      </c>
      <c r="C123" s="222" t="inlineStr">
        <is>
          <t>011102003005</t>
        </is>
      </c>
      <c r="D123" s="222" t="inlineStr">
        <is>
          <t>块料楼地面</t>
        </is>
      </c>
      <c r="E123" s="222" t="inlineStr">
        <is>
          <t>1.楼地面铺贴600X600mm仿古地砖,面用白水泥擦缝
2.30厚1:3干硬性水泥砂浆结合层
3.3厚ALE隔声涂料
4.做法详见图纸</t>
        </is>
      </c>
      <c r="F123" s="222" t="inlineStr">
        <is>
          <t>m2</t>
        </is>
      </c>
      <c r="G123" s="223" t="n">
        <v>23.76</v>
      </c>
      <c r="H123" s="223" t="n">
        <v>23.47</v>
      </c>
      <c r="I123" s="223" t="n">
        <v>23.47</v>
      </c>
      <c r="J123" s="223" t="n"/>
      <c r="K123" s="223">
        <f>H125-G125</f>
        <v/>
      </c>
      <c r="L123" s="223">
        <f>I125-G125</f>
        <v/>
      </c>
      <c r="M123" s="223">
        <f>I125-H125</f>
        <v/>
      </c>
      <c r="N123" s="224">
        <f>K125/G125</f>
        <v/>
      </c>
      <c r="O123" s="222" t="n">
        <v>139.46</v>
      </c>
      <c r="P123" s="222" t="n">
        <v>162.88</v>
      </c>
      <c r="Q123" s="224">
        <f>(O125-P125)/P125</f>
        <v/>
      </c>
      <c r="R123" s="223">
        <f>P125*0.9056*0.85</f>
        <v/>
      </c>
      <c r="S123" s="223">
        <f>P125*1.15</f>
        <v/>
      </c>
      <c r="T123" s="223">
        <f>IF(O125&lt;P125*0.9056*0.85,P125*0.9056*0.85,IF(O125&gt;P125*1.15,P125*1.15,O125))</f>
        <v/>
      </c>
      <c r="U123" s="223" t="n">
        <v>3313.47</v>
      </c>
      <c r="V123" s="223" t="n">
        <v>3272.54</v>
      </c>
      <c r="W123" s="223" t="n">
        <v>3272.54</v>
      </c>
      <c r="X123" s="223">
        <f>V125-U125</f>
        <v/>
      </c>
      <c r="Y123" s="223">
        <f>W125-U125</f>
        <v/>
      </c>
      <c r="Z123" s="223">
        <f>W125-V125</f>
        <v/>
      </c>
      <c r="AA123" s="222" t="n"/>
      <c r="AB123" s="222" t="n"/>
      <c r="AC123" s="222" t="n"/>
      <c r="AD123" s="222" t="n"/>
      <c r="AE123" s="222" t="n"/>
      <c r="AF123" s="222" t="n"/>
      <c r="AG123" s="222" t="n"/>
      <c r="AH123" s="222" t="n"/>
      <c r="AI123" s="222" t="n"/>
      <c r="AJ123" s="222" t="n"/>
    </row>
    <row r="124" ht="66.75" customHeight="1" s="166">
      <c r="A124" s="222" t="n"/>
      <c r="B124" s="222" t="inlineStr">
        <is>
          <t>综合楼</t>
        </is>
      </c>
      <c r="C124" s="222" t="inlineStr">
        <is>
          <t>011102003006</t>
        </is>
      </c>
      <c r="D124" s="222" t="inlineStr">
        <is>
          <t>块料楼地面（地10）</t>
        </is>
      </c>
      <c r="E124" s="222" t="inlineStr">
        <is>
          <t>1.8~10厚防滑地砖铺实拍平,水泥砂浆填缝
2.30厚1:3干硬性水泥砂浆结合层
3.做法详见图纸</t>
        </is>
      </c>
      <c r="F124" s="222" t="inlineStr">
        <is>
          <t>m2</t>
        </is>
      </c>
      <c r="G124" s="223" t="n">
        <v>860.3200000000001</v>
      </c>
      <c r="H124" s="223" t="n">
        <v>762.89</v>
      </c>
      <c r="I124" s="223" t="n">
        <v>762.5599999999999</v>
      </c>
      <c r="J124" s="223" t="n"/>
      <c r="K124" s="223">
        <f>H126-G126</f>
        <v/>
      </c>
      <c r="L124" s="223">
        <f>I126-G126</f>
        <v/>
      </c>
      <c r="M124" s="223">
        <f>I126-H126</f>
        <v/>
      </c>
      <c r="N124" s="224">
        <f>K126/G126</f>
        <v/>
      </c>
      <c r="O124" s="222" t="n">
        <v>129.21</v>
      </c>
      <c r="P124" s="222" t="n">
        <v>90.73</v>
      </c>
      <c r="Q124" s="224">
        <f>(O126-P126)/P126</f>
        <v/>
      </c>
      <c r="R124" s="223">
        <f>P126*0.9056*0.85</f>
        <v/>
      </c>
      <c r="S124" s="223">
        <f>P126*1.15</f>
        <v/>
      </c>
      <c r="T124" s="223">
        <f>IF(O126&lt;P126*0.9056*0.85,P126*0.9056*0.85,IF(O126&gt;P126*1.15,P126*1.15,O126))</f>
        <v/>
      </c>
      <c r="U124" s="223" t="n">
        <v>111162.35</v>
      </c>
      <c r="V124" s="223" t="n">
        <v>100996.22</v>
      </c>
      <c r="W124" s="223">
        <f>U126+T126*L126</f>
        <v/>
      </c>
      <c r="X124" s="223">
        <f>V126-U126</f>
        <v/>
      </c>
      <c r="Y124" s="223">
        <f>W126-U126</f>
        <v/>
      </c>
      <c r="Z124" s="223">
        <f>W126-V126</f>
        <v/>
      </c>
      <c r="AA124" s="222" t="n"/>
      <c r="AB124" s="222" t="n"/>
      <c r="AC124" s="222" t="n"/>
      <c r="AD124" s="222" t="n"/>
      <c r="AE124" s="222" t="n"/>
      <c r="AF124" s="222" t="n"/>
      <c r="AG124" s="222" t="n"/>
      <c r="AH124" s="222" t="n"/>
      <c r="AI124" s="222" t="n"/>
      <c r="AJ124" s="222" t="n"/>
    </row>
    <row r="125" ht="79.5" customHeight="1" s="166">
      <c r="A125" s="222" t="n"/>
      <c r="B125" s="222" t="inlineStr">
        <is>
          <t>综合楼</t>
        </is>
      </c>
      <c r="C125" s="222" t="inlineStr">
        <is>
          <t>011106002001</t>
        </is>
      </c>
      <c r="D125" s="222" t="inlineStr">
        <is>
          <t>块料楼梯面层（地10）</t>
        </is>
      </c>
      <c r="E125" s="222" t="inlineStr">
        <is>
          <t>1.楼梯面层
2.8~10厚防滑地砖铺实拍平,水泥砂浆填缝
3.30厚1:3干硬性水泥砂浆结合层
4.做法详见图纸</t>
        </is>
      </c>
      <c r="F125" s="222" t="inlineStr">
        <is>
          <t>m2</t>
        </is>
      </c>
      <c r="G125" s="223" t="n">
        <v>163.06</v>
      </c>
      <c r="H125" s="223" t="n">
        <v>60.62</v>
      </c>
      <c r="I125" s="223" t="n">
        <v>60.62</v>
      </c>
      <c r="J125" s="223" t="n"/>
      <c r="K125" s="223">
        <f>H127-G127</f>
        <v/>
      </c>
      <c r="L125" s="223">
        <f>I127-G127</f>
        <v/>
      </c>
      <c r="M125" s="223">
        <f>I127-H127</f>
        <v/>
      </c>
      <c r="N125" s="224">
        <f>K127/G127</f>
        <v/>
      </c>
      <c r="O125" s="222" t="n">
        <v>256.98</v>
      </c>
      <c r="P125" s="222" t="n">
        <v>212.4</v>
      </c>
      <c r="Q125" s="224">
        <f>(O127-P127)/P127</f>
        <v/>
      </c>
      <c r="R125" s="223">
        <f>P127*0.9056*0.85</f>
        <v/>
      </c>
      <c r="S125" s="223">
        <f>P127*1.15</f>
        <v/>
      </c>
      <c r="T125" s="223">
        <f>IF(O127&lt;P127*0.9056*0.85,P127*0.9056*0.85,IF(O127&gt;P127*1.15,P127*1.15,O127))</f>
        <v/>
      </c>
      <c r="U125" s="223" t="n">
        <v>41903.16</v>
      </c>
      <c r="V125" s="223" t="n">
        <v>16882.14</v>
      </c>
      <c r="W125" s="223">
        <f>U127+T127*L127</f>
        <v/>
      </c>
      <c r="X125" s="223">
        <f>V127-U127</f>
        <v/>
      </c>
      <c r="Y125" s="223">
        <f>W127-U127</f>
        <v/>
      </c>
      <c r="Z125" s="223">
        <f>W127-V127</f>
        <v/>
      </c>
      <c r="AA125" s="222" t="n"/>
      <c r="AB125" s="222" t="n"/>
      <c r="AC125" s="222" t="n"/>
      <c r="AD125" s="222" t="n"/>
      <c r="AE125" s="222" t="n"/>
      <c r="AF125" s="222" t="n"/>
      <c r="AG125" s="222" t="n"/>
      <c r="AH125" s="222" t="n"/>
      <c r="AI125" s="222" t="n"/>
      <c r="AJ125" s="222" t="n"/>
    </row>
    <row r="126" ht="79.5" customHeight="1" s="166">
      <c r="A126" s="222" t="n"/>
      <c r="B126" s="222" t="inlineStr">
        <is>
          <t>综合楼</t>
        </is>
      </c>
      <c r="C126" s="222" t="inlineStr">
        <is>
          <t>011105003001</t>
        </is>
      </c>
      <c r="D126" s="222" t="inlineStr">
        <is>
          <t>块料踢脚线</t>
        </is>
      </c>
      <c r="E126" s="222" t="inlineStr">
        <is>
          <t>1.5-10mm厚地砖踢脚线，稀水泥浆（或彩色水泥浆）擦缝
2.9mm厚M20水泥砂浆粘接层（内掺建筑胶）
3.高度:120mm</t>
        </is>
      </c>
      <c r="F126" s="222" t="inlineStr">
        <is>
          <t>m2</t>
        </is>
      </c>
      <c r="G126" s="223" t="n">
        <v>14.69</v>
      </c>
      <c r="H126" s="223" t="n">
        <v>27.2</v>
      </c>
      <c r="I126" s="223">
        <f>21.5+5.7</f>
        <v/>
      </c>
      <c r="J126" s="223" t="n"/>
      <c r="K126" s="223">
        <f>H128-G128</f>
        <v/>
      </c>
      <c r="L126" s="223">
        <f>I128-G128</f>
        <v/>
      </c>
      <c r="M126" s="223">
        <f>I128-H128</f>
        <v/>
      </c>
      <c r="N126" s="224">
        <f>K128/G128</f>
        <v/>
      </c>
      <c r="O126" s="222" t="n">
        <v>103.72</v>
      </c>
      <c r="P126" s="222" t="n">
        <v>127.05</v>
      </c>
      <c r="Q126" s="224">
        <f>(O128-P128)/P128</f>
        <v/>
      </c>
      <c r="R126" s="223">
        <f>P128*0.9056*0.85</f>
        <v/>
      </c>
      <c r="S126" s="223">
        <f>P128*1.15</f>
        <v/>
      </c>
      <c r="T126" s="223">
        <f>IF(O128&lt;P128*0.9056*0.85,P128*0.9056*0.85,IF(O128&gt;P128*1.15,P128*1.15,O128))</f>
        <v/>
      </c>
      <c r="U126" s="223" t="n">
        <v>1524.06</v>
      </c>
      <c r="V126" s="223" t="n">
        <v>2821.24</v>
      </c>
      <c r="W126" s="223" t="n">
        <v>2821.24</v>
      </c>
      <c r="X126" s="223">
        <f>V128-U128</f>
        <v/>
      </c>
      <c r="Y126" s="223">
        <f>W128-U128</f>
        <v/>
      </c>
      <c r="Z126" s="223">
        <f>W128-V128</f>
        <v/>
      </c>
      <c r="AA126" s="222" t="n"/>
      <c r="AB126" s="222" t="n"/>
      <c r="AC126" s="222" t="n"/>
      <c r="AD126" s="222" t="n"/>
      <c r="AE126" s="222" t="n"/>
      <c r="AF126" s="222" t="n"/>
      <c r="AG126" s="222" t="n"/>
      <c r="AH126" s="222" t="n"/>
      <c r="AI126" s="222" t="n"/>
      <c r="AJ126" s="222" t="n"/>
    </row>
    <row r="127" ht="66.75" customHeight="1" s="166">
      <c r="A127" s="222" t="n"/>
      <c r="B127" s="222" t="inlineStr">
        <is>
          <t>综合楼</t>
        </is>
      </c>
      <c r="C127" s="222" t="inlineStr">
        <is>
          <t>011105003002</t>
        </is>
      </c>
      <c r="D127" s="222" t="inlineStr">
        <is>
          <t>块料踢脚线</t>
        </is>
      </c>
      <c r="E127" s="222" t="inlineStr">
        <is>
          <t>1.木纹砖地脚线，稀水泥浆（或彩色水泥浆）擦缝
2.9mm厚M20水泥砂浆粘接层（内掺建筑胶）
3.高度:100mm</t>
        </is>
      </c>
      <c r="F127" s="222" t="inlineStr">
        <is>
          <t>m2</t>
        </is>
      </c>
      <c r="G127" s="223" t="n">
        <v>2.86</v>
      </c>
      <c r="H127" s="223" t="n">
        <v>8.83</v>
      </c>
      <c r="I127" s="223" t="n">
        <v>8.82</v>
      </c>
      <c r="J127" s="223" t="n"/>
      <c r="K127" s="223">
        <f>H129-G129</f>
        <v/>
      </c>
      <c r="L127" s="223">
        <f>I129-G129</f>
        <v/>
      </c>
      <c r="M127" s="223">
        <f>I129-H129</f>
        <v/>
      </c>
      <c r="N127" s="224">
        <f>K129/G129</f>
        <v/>
      </c>
      <c r="O127" s="222" t="n">
        <v>98.75</v>
      </c>
      <c r="P127" s="222" t="n">
        <v>116.9</v>
      </c>
      <c r="Q127" s="224">
        <f>(O129-P129)/P129</f>
        <v/>
      </c>
      <c r="R127" s="223">
        <f>P129*0.9056*0.85</f>
        <v/>
      </c>
      <c r="S127" s="223">
        <f>P129*1.15</f>
        <v/>
      </c>
      <c r="T127" s="223">
        <f>IF(O129&lt;P129*0.9056*0.85,P129*0.9056*0.85,IF(O129&gt;P129*1.15,P129*1.15,O129))</f>
        <v/>
      </c>
      <c r="U127" s="223" t="n">
        <v>282.83</v>
      </c>
      <c r="V127" s="223" t="n">
        <v>871.49</v>
      </c>
      <c r="W127" s="223">
        <f>U129+T129*L129</f>
        <v/>
      </c>
      <c r="X127" s="223">
        <f>V129-U129</f>
        <v/>
      </c>
      <c r="Y127" s="223">
        <f>W129-U129</f>
        <v/>
      </c>
      <c r="Z127" s="223">
        <f>W129-V129</f>
        <v/>
      </c>
      <c r="AA127" s="222" t="n"/>
      <c r="AB127" s="222" t="n"/>
      <c r="AC127" s="222" t="n"/>
      <c r="AD127" s="222" t="n"/>
      <c r="AE127" s="222" t="n"/>
      <c r="AF127" s="222" t="n"/>
      <c r="AG127" s="222" t="n"/>
      <c r="AH127" s="222" t="n"/>
      <c r="AI127" s="222" t="n"/>
      <c r="AJ127" s="222" t="n"/>
    </row>
    <row r="128" ht="41.25" customHeight="1" s="166">
      <c r="A128" s="222" t="n"/>
      <c r="B128" s="222" t="inlineStr">
        <is>
          <t>综合楼</t>
        </is>
      </c>
      <c r="C128" s="222" t="inlineStr">
        <is>
          <t>011105006001</t>
        </is>
      </c>
      <c r="D128" s="222" t="inlineStr">
        <is>
          <t>金属踢脚线</t>
        </is>
      </c>
      <c r="E128" s="222" t="inlineStr">
        <is>
          <t>1.100mm高1.0mm厚深灰色磨砂不锈钢踢脚线
2.其他详见施工设计图</t>
        </is>
      </c>
      <c r="F128" s="222" t="inlineStr">
        <is>
          <t>m2</t>
        </is>
      </c>
      <c r="G128" s="223" t="n">
        <v>19.35</v>
      </c>
      <c r="H128" s="223" t="n">
        <v>29.34</v>
      </c>
      <c r="I128" s="223">
        <f>29.31</f>
        <v/>
      </c>
      <c r="J128" s="223" t="n"/>
      <c r="K128" s="223">
        <f>H130-G130</f>
        <v/>
      </c>
      <c r="L128" s="223">
        <f>I130-G130</f>
        <v/>
      </c>
      <c r="M128" s="223">
        <f>I130-H130</f>
        <v/>
      </c>
      <c r="N128" s="224">
        <f>K130/G130</f>
        <v/>
      </c>
      <c r="O128" s="222" t="n">
        <v>392.29</v>
      </c>
      <c r="P128" s="222" t="n">
        <v>287.46</v>
      </c>
      <c r="Q128" s="224">
        <f>(O130-P130)/P130</f>
        <v/>
      </c>
      <c r="R128" s="223">
        <f>P130*0.9056*0.85</f>
        <v/>
      </c>
      <c r="S128" s="223">
        <f>P130*1.15</f>
        <v/>
      </c>
      <c r="T128" s="223">
        <f>IF(O130&lt;P130*0.9056*0.85,P130*0.9056*0.85,IF(O130&gt;P130*1.15,P130*1.15,O130))</f>
        <v/>
      </c>
      <c r="U128" s="223" t="n">
        <v>7591.2</v>
      </c>
      <c r="V128" s="223" t="n">
        <v>10893.26</v>
      </c>
      <c r="W128" s="223">
        <f>U130+T130*L130</f>
        <v/>
      </c>
      <c r="X128" s="223">
        <f>V130-U130</f>
        <v/>
      </c>
      <c r="Y128" s="223">
        <f>W130-U130</f>
        <v/>
      </c>
      <c r="Z128" s="223">
        <f>W130-V130</f>
        <v/>
      </c>
      <c r="AA128" s="222" t="n"/>
      <c r="AB128" s="222" t="n"/>
      <c r="AC128" s="222" t="n"/>
      <c r="AD128" s="222" t="n"/>
      <c r="AE128" s="222" t="n"/>
      <c r="AF128" s="222" t="n"/>
      <c r="AG128" s="222" t="n"/>
      <c r="AH128" s="222" t="n"/>
      <c r="AI128" s="222" t="n"/>
      <c r="AJ128" s="222" t="n"/>
    </row>
    <row r="129" ht="41.25" customHeight="1" s="166">
      <c r="A129" s="222" t="n"/>
      <c r="B129" s="222" t="inlineStr">
        <is>
          <t>综合楼</t>
        </is>
      </c>
      <c r="C129" s="222" t="inlineStr">
        <is>
          <t>011105006002</t>
        </is>
      </c>
      <c r="D129" s="222" t="inlineStr">
        <is>
          <t>金属踢脚线</t>
        </is>
      </c>
      <c r="E129" s="222" t="inlineStr">
        <is>
          <t>1.100mm高1.2mm厚原色拉丝不锈钢踢脚线
2.其他详见施工设计图</t>
        </is>
      </c>
      <c r="F129" s="222" t="inlineStr">
        <is>
          <t>m2</t>
        </is>
      </c>
      <c r="G129" s="223" t="n">
        <v>3.14</v>
      </c>
      <c r="H129" s="223" t="n">
        <v>16</v>
      </c>
      <c r="I129" s="223">
        <f>16</f>
        <v/>
      </c>
      <c r="J129" s="223" t="n"/>
      <c r="K129" s="223">
        <f>H131-G131</f>
        <v/>
      </c>
      <c r="L129" s="223">
        <f>I131-G131</f>
        <v/>
      </c>
      <c r="M129" s="223">
        <f>I131-H131</f>
        <v/>
      </c>
      <c r="N129" s="224">
        <f>K131/G131</f>
        <v/>
      </c>
      <c r="O129" s="222" t="n">
        <v>392.29</v>
      </c>
      <c r="P129" s="222" t="n">
        <v>333.66</v>
      </c>
      <c r="Q129" s="224">
        <f>(O131-P131)/P131</f>
        <v/>
      </c>
      <c r="R129" s="223">
        <f>P131*0.9056*0.85</f>
        <v/>
      </c>
      <c r="S129" s="223">
        <f>P131*1.15</f>
        <v/>
      </c>
      <c r="T129" s="223">
        <f>IF(O131&lt;P131*0.9056*0.85,P131*0.9056*0.85,IF(O131&gt;P131*1.15,P131*1.15,O131))</f>
        <v/>
      </c>
      <c r="U129" s="223" t="n">
        <v>1230.61</v>
      </c>
      <c r="V129" s="223" t="n">
        <v>6164.73</v>
      </c>
      <c r="W129" s="223" t="n">
        <v>6164.73</v>
      </c>
      <c r="X129" s="223">
        <f>V131-U131</f>
        <v/>
      </c>
      <c r="Y129" s="223">
        <f>W131-U131</f>
        <v/>
      </c>
      <c r="Z129" s="223">
        <f>W131-V131</f>
        <v/>
      </c>
      <c r="AA129" s="222" t="n"/>
      <c r="AB129" s="222" t="n"/>
      <c r="AC129" s="222" t="n"/>
      <c r="AD129" s="222" t="n"/>
      <c r="AE129" s="222" t="n"/>
      <c r="AF129" s="222" t="n"/>
      <c r="AG129" s="222" t="n"/>
      <c r="AH129" s="222" t="n"/>
      <c r="AI129" s="222" t="n"/>
      <c r="AJ129" s="222" t="n"/>
    </row>
    <row r="130" ht="45" customHeight="1" s="166">
      <c r="A130" s="222" t="n"/>
      <c r="B130" s="222" t="inlineStr">
        <is>
          <t>综合楼</t>
        </is>
      </c>
      <c r="C130" s="222" t="inlineStr">
        <is>
          <t>011105005001</t>
        </is>
      </c>
      <c r="D130" s="222" t="inlineStr">
        <is>
          <t>木质踢脚线</t>
        </is>
      </c>
      <c r="E130" s="222" t="inlineStr">
        <is>
          <t>1.100mm实木板踢脚线
2.其他详见施工设计图</t>
        </is>
      </c>
      <c r="F130" s="222" t="inlineStr">
        <is>
          <t>m2</t>
        </is>
      </c>
      <c r="G130" s="223" t="n">
        <v>9.960000000000001</v>
      </c>
      <c r="H130" s="223" t="n">
        <v>9.960000000000001</v>
      </c>
      <c r="I130" s="223" t="n">
        <v>2.51</v>
      </c>
      <c r="J130" s="223" t="n"/>
      <c r="K130" s="223">
        <f>H132-G132</f>
        <v/>
      </c>
      <c r="L130" s="223">
        <f>I132-G132</f>
        <v/>
      </c>
      <c r="M130" s="223">
        <f>I132-H132</f>
        <v/>
      </c>
      <c r="N130" s="224">
        <f>K132/G132</f>
        <v/>
      </c>
      <c r="O130" s="222" t="n">
        <v>271.88</v>
      </c>
      <c r="P130" s="222" t="n">
        <v>392.16</v>
      </c>
      <c r="Q130" s="224">
        <f>(O132-P132)/P132</f>
        <v/>
      </c>
      <c r="R130" s="223">
        <f>P132*0.9056*0.85</f>
        <v/>
      </c>
      <c r="S130" s="223">
        <f>P132*1.15</f>
        <v/>
      </c>
      <c r="T130" s="223">
        <f>IF(O132&lt;P132*0.9056*0.85,P132*0.9056*0.85,IF(O132&gt;P132*1.15,P132*1.15,O132))</f>
        <v/>
      </c>
      <c r="U130" s="223" t="n">
        <v>2707.92</v>
      </c>
      <c r="V130" s="223" t="n">
        <v>2707.92</v>
      </c>
      <c r="W130" s="223">
        <f>U132+T132*L132</f>
        <v/>
      </c>
      <c r="X130" s="223">
        <f>V132-U132</f>
        <v/>
      </c>
      <c r="Y130" s="223">
        <f>W132-U132</f>
        <v/>
      </c>
      <c r="Z130" s="223">
        <f>W132-V132</f>
        <v/>
      </c>
      <c r="AA130" s="222" t="n"/>
      <c r="AB130" s="222" t="n"/>
      <c r="AC130" s="222" t="n"/>
      <c r="AD130" s="222" t="n"/>
      <c r="AE130" s="222" t="n"/>
      <c r="AF130" s="222" t="n"/>
      <c r="AG130" s="222" t="n"/>
      <c r="AH130" s="222" t="n"/>
      <c r="AI130" s="222" t="n"/>
      <c r="AJ130" s="222" t="n"/>
    </row>
    <row r="131" ht="41.25" customHeight="1" s="166">
      <c r="A131" s="222" t="n"/>
      <c r="B131" s="222" t="inlineStr">
        <is>
          <t>综合楼</t>
        </is>
      </c>
      <c r="C131" s="222" t="n"/>
      <c r="D131" s="222" t="inlineStr">
        <is>
          <t>墙、柱面装饰与隔断、幕墙工程</t>
        </is>
      </c>
      <c r="E131" s="222" t="n"/>
      <c r="F131" s="222" t="n"/>
      <c r="G131" s="223" t="n"/>
      <c r="H131" s="223" t="n"/>
      <c r="I131" s="223" t="n"/>
      <c r="J131" s="223" t="n"/>
      <c r="K131" s="223" t="n"/>
      <c r="L131" s="223" t="n"/>
      <c r="M131" s="223" t="n"/>
      <c r="N131" s="224" t="n"/>
      <c r="O131" s="222" t="n"/>
      <c r="P131" s="222" t="n"/>
      <c r="Q131" s="224" t="n"/>
      <c r="R131" s="223" t="n"/>
      <c r="S131" s="223" t="n"/>
      <c r="T131" s="223" t="n"/>
      <c r="U131" s="223" t="n">
        <v>2850747.95</v>
      </c>
      <c r="V131" s="223" t="n">
        <v>3314824.03</v>
      </c>
      <c r="W131" s="223">
        <f>+SUM(W134:W160)</f>
        <v/>
      </c>
      <c r="X131" s="223">
        <f>V133-U133</f>
        <v/>
      </c>
      <c r="Y131" s="223">
        <f>W133-U133</f>
        <v/>
      </c>
      <c r="Z131" s="223">
        <f>W133-V133</f>
        <v/>
      </c>
      <c r="AA131" s="222" t="n"/>
      <c r="AB131" s="222" t="n"/>
      <c r="AC131" s="222" t="n"/>
      <c r="AD131" s="222" t="n"/>
      <c r="AE131" s="222" t="n"/>
      <c r="AF131" s="222" t="n"/>
      <c r="AG131" s="222" t="n"/>
      <c r="AH131" s="222" t="n"/>
      <c r="AI131" s="222" t="n"/>
      <c r="AJ131" s="222" t="n"/>
    </row>
    <row r="132" ht="156" customHeight="1" s="166">
      <c r="A132" s="222" t="n"/>
      <c r="B132" s="222" t="inlineStr">
        <is>
          <t>综合楼</t>
        </is>
      </c>
      <c r="C132" s="222" t="inlineStr">
        <is>
          <t>011204003001</t>
        </is>
      </c>
      <c r="D132" s="222" t="inlineStr">
        <is>
          <t>块料墙面(外墙2)</t>
        </is>
      </c>
      <c r="E132" s="222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F132" s="222" t="inlineStr">
        <is>
          <t>m2</t>
        </is>
      </c>
      <c r="G132" s="223" t="n">
        <v>2787.83</v>
      </c>
      <c r="H132" s="223" t="n">
        <v>3039.21</v>
      </c>
      <c r="I132" s="223" t="n">
        <v>3037.23</v>
      </c>
      <c r="J132" s="223" t="n"/>
      <c r="K132" s="223">
        <f>H134-G134</f>
        <v/>
      </c>
      <c r="L132" s="223">
        <f>I134-G134</f>
        <v/>
      </c>
      <c r="M132" s="223">
        <f>I134-H134</f>
        <v/>
      </c>
      <c r="N132" s="224">
        <f>K134/G134</f>
        <v/>
      </c>
      <c r="O132" s="222" t="n">
        <v>188.2</v>
      </c>
      <c r="P132" s="222" t="n">
        <v>140.67</v>
      </c>
      <c r="Q132" s="224">
        <f>(O134-P134)/P134</f>
        <v/>
      </c>
      <c r="R132" s="223">
        <f>P134*0.9056*0.85</f>
        <v/>
      </c>
      <c r="S132" s="223">
        <f>P134*1.15</f>
        <v/>
      </c>
      <c r="T132" s="223">
        <f>IF(O134&lt;P134*0.9056*0.85,P134*0.9056*0.85,IF(O134&gt;P134*1.15,P134*1.15,O134))</f>
        <v/>
      </c>
      <c r="U132" s="223" t="n">
        <v>524669.61</v>
      </c>
      <c r="V132" s="223" t="n">
        <v>565335.38</v>
      </c>
      <c r="W132" s="223">
        <f>U134+T134*L134</f>
        <v/>
      </c>
      <c r="X132" s="223">
        <f>V134-U134</f>
        <v/>
      </c>
      <c r="Y132" s="223">
        <f>W134-U134</f>
        <v/>
      </c>
      <c r="Z132" s="223">
        <f>W134-V134</f>
        <v/>
      </c>
      <c r="AA132" s="222" t="n"/>
      <c r="AB132" s="222" t="n"/>
      <c r="AC132" s="222" t="n"/>
      <c r="AD132" s="222" t="n"/>
      <c r="AE132" s="222" t="n"/>
      <c r="AF132" s="222" t="n"/>
      <c r="AG132" s="222" t="n"/>
      <c r="AH132" s="222" t="n"/>
      <c r="AI132" s="222" t="n"/>
      <c r="AJ132" s="222" t="n"/>
    </row>
    <row r="133" ht="119" customHeight="1" s="166">
      <c r="A133" s="222" t="n"/>
      <c r="B133" s="222" t="inlineStr">
        <is>
          <t>综合楼</t>
        </is>
      </c>
      <c r="C133" s="222" t="inlineStr">
        <is>
          <t>011407001002</t>
        </is>
      </c>
      <c r="D133" s="222" t="inlineStr">
        <is>
          <t>墙面喷刷涂料(外墙1)</t>
        </is>
      </c>
      <c r="E133" s="222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F133" s="222" t="inlineStr">
        <is>
          <t>m2</t>
        </is>
      </c>
      <c r="G133" s="223" t="n">
        <v>858.46</v>
      </c>
      <c r="H133" s="223" t="n">
        <v>1044.02</v>
      </c>
      <c r="I133" s="223" t="n">
        <v>1044.02</v>
      </c>
      <c r="J133" s="223" t="n"/>
      <c r="K133" s="223">
        <f>H135-G135</f>
        <v/>
      </c>
      <c r="L133" s="223">
        <f>I135-G135</f>
        <v/>
      </c>
      <c r="M133" s="223">
        <f>I135-H135</f>
        <v/>
      </c>
      <c r="N133" s="224">
        <f>K135/G135</f>
        <v/>
      </c>
      <c r="O133" s="222" t="n">
        <v>133.2</v>
      </c>
      <c r="P133" s="222" t="n">
        <v>98.47</v>
      </c>
      <c r="Q133" s="224">
        <f>(O135-P135)/P135</f>
        <v/>
      </c>
      <c r="R133" s="223">
        <f>P135*0.9056*0.85</f>
        <v/>
      </c>
      <c r="S133" s="223">
        <f>P135*1.15</f>
        <v/>
      </c>
      <c r="T133" s="223">
        <f>IF(O135&lt;P135*0.9056*0.85,P135*0.9056*0.85,IF(O135&gt;P135*1.15,P135*1.15,O135))</f>
        <v/>
      </c>
      <c r="U133" s="223" t="n">
        <v>114347.24</v>
      </c>
      <c r="V133" s="223" t="n">
        <v>135360.23</v>
      </c>
      <c r="W133" s="223">
        <f>U135+T135*L135</f>
        <v/>
      </c>
      <c r="X133" s="223">
        <f>V135-U135</f>
        <v/>
      </c>
      <c r="Y133" s="223">
        <f>W135-U135</f>
        <v/>
      </c>
      <c r="Z133" s="223">
        <f>W135-V135</f>
        <v/>
      </c>
      <c r="AA133" s="222" t="n"/>
      <c r="AB133" s="222" t="n"/>
      <c r="AC133" s="222" t="n"/>
      <c r="AD133" s="222" t="n"/>
      <c r="AE133" s="222" t="n"/>
      <c r="AF133" s="222" t="n"/>
      <c r="AG133" s="222" t="n"/>
      <c r="AH133" s="222" t="n"/>
      <c r="AI133" s="222" t="n"/>
      <c r="AJ133" s="222" t="n"/>
    </row>
    <row r="134" ht="119" customHeight="1" s="166">
      <c r="A134" s="222" t="n"/>
      <c r="B134" s="222" t="inlineStr">
        <is>
          <t>综合楼</t>
        </is>
      </c>
      <c r="C134" s="222" t="inlineStr">
        <is>
          <t>011407001003</t>
        </is>
      </c>
      <c r="D134" s="222" t="inlineStr">
        <is>
          <t>柱面喷刷涂料(外墙1)</t>
        </is>
      </c>
      <c r="E134" s="222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F134" s="222" t="inlineStr">
        <is>
          <t>m2</t>
        </is>
      </c>
      <c r="G134" s="223" t="n">
        <v>380.82</v>
      </c>
      <c r="H134" s="223" t="n">
        <v>431.67</v>
      </c>
      <c r="I134" s="223" t="n">
        <v>431.67</v>
      </c>
      <c r="J134" s="223" t="n"/>
      <c r="K134" s="223">
        <f>H136-G136</f>
        <v/>
      </c>
      <c r="L134" s="223">
        <f>I136-G136</f>
        <v/>
      </c>
      <c r="M134" s="223">
        <f>I136-H136</f>
        <v/>
      </c>
      <c r="N134" s="224">
        <f>K136/G136</f>
        <v/>
      </c>
      <c r="O134" s="222" t="n">
        <v>133.2</v>
      </c>
      <c r="P134" s="222" t="n">
        <v>105.64</v>
      </c>
      <c r="Q134" s="224">
        <f>(O136-P136)/P136</f>
        <v/>
      </c>
      <c r="R134" s="223">
        <f>P136*0.9056*0.85</f>
        <v/>
      </c>
      <c r="S134" s="223">
        <f>P136*1.15</f>
        <v/>
      </c>
      <c r="T134" s="223">
        <f>IF(O136&lt;P136*0.9056*0.85,P136*0.9056*0.85,IF(O136&gt;P136*1.15,P136*1.15,O136))</f>
        <v/>
      </c>
      <c r="U134" s="223" t="n">
        <v>50725.22</v>
      </c>
      <c r="V134" s="223" t="n">
        <v>56903.22</v>
      </c>
      <c r="W134" s="223">
        <f>U136+T136*L136</f>
        <v/>
      </c>
      <c r="X134" s="223">
        <f>V136-U136</f>
        <v/>
      </c>
      <c r="Y134" s="223">
        <f>W136-U136</f>
        <v/>
      </c>
      <c r="Z134" s="223">
        <f>W136-V136</f>
        <v/>
      </c>
      <c r="AA134" s="222" t="n"/>
      <c r="AB134" s="222" t="n"/>
      <c r="AC134" s="222" t="n"/>
      <c r="AD134" s="222" t="n"/>
      <c r="AE134" s="222" t="n"/>
      <c r="AF134" s="222" t="n"/>
      <c r="AG134" s="222" t="n"/>
      <c r="AH134" s="222" t="n"/>
      <c r="AI134" s="222" t="n"/>
      <c r="AJ134" s="222" t="n"/>
    </row>
    <row r="135" ht="54" customHeight="1" s="166">
      <c r="A135" s="222" t="n"/>
      <c r="B135" s="222" t="inlineStr">
        <is>
          <t>综合楼</t>
        </is>
      </c>
      <c r="C135" s="222" t="inlineStr">
        <is>
          <t>011201001001</t>
        </is>
      </c>
      <c r="D135" s="222" t="inlineStr">
        <is>
          <t>墙面一般抹灰（墙1、墙5）</t>
        </is>
      </c>
      <c r="E135" s="222" t="inlineStr">
        <is>
          <t>1.20厚M10水泥砂浆抹面压光
2.甩浆拉毛刷108胶素水泥浆一道(内掺水重8%的胶料)</t>
        </is>
      </c>
      <c r="F135" s="222" t="inlineStr">
        <is>
          <t>m2</t>
        </is>
      </c>
      <c r="G135" s="223" t="n">
        <v>680.54</v>
      </c>
      <c r="H135" s="223" t="n">
        <v>797.9</v>
      </c>
      <c r="I135" s="223">
        <f>300.48+107.1+390.25</f>
        <v/>
      </c>
      <c r="J135" s="223" t="n"/>
      <c r="K135" s="223">
        <f>H137-G137</f>
        <v/>
      </c>
      <c r="L135" s="223">
        <f>I137-G137</f>
        <v/>
      </c>
      <c r="M135" s="223">
        <f>I137-H137</f>
        <v/>
      </c>
      <c r="N135" s="224">
        <f>K137/G137</f>
        <v/>
      </c>
      <c r="O135" s="222" t="n">
        <v>30.33</v>
      </c>
      <c r="P135" s="222" t="n">
        <v>31.52</v>
      </c>
      <c r="Q135" s="224">
        <f>(O137-P137)/P137</f>
        <v/>
      </c>
      <c r="R135" s="223">
        <f>P137*0.9056*0.85</f>
        <v/>
      </c>
      <c r="S135" s="223">
        <f>P137*1.15</f>
        <v/>
      </c>
      <c r="T135" s="223">
        <f>IF(O137&lt;P137*0.9056*0.85,P137*0.9056*0.85,IF(O137&gt;P137*1.15,P137*1.15,O137))</f>
        <v/>
      </c>
      <c r="U135" s="223" t="n">
        <v>20640.63</v>
      </c>
      <c r="V135" s="223" t="n">
        <v>24200.2</v>
      </c>
      <c r="W135" s="223">
        <f>U137+T137*L137</f>
        <v/>
      </c>
      <c r="X135" s="223">
        <f>V137-U137</f>
        <v/>
      </c>
      <c r="Y135" s="223">
        <f>W137-U137</f>
        <v/>
      </c>
      <c r="Z135" s="223">
        <f>W137-V137</f>
        <v/>
      </c>
      <c r="AA135" s="222" t="n"/>
      <c r="AB135" s="222" t="n"/>
      <c r="AC135" s="222" t="n"/>
      <c r="AD135" s="222" t="n"/>
      <c r="AE135" s="222" t="n"/>
      <c r="AF135" s="222" t="n"/>
      <c r="AG135" s="222" t="n"/>
      <c r="AH135" s="222" t="n"/>
      <c r="AI135" s="222" t="n"/>
      <c r="AJ135" s="222" t="n"/>
    </row>
    <row r="136" ht="41.25" customHeight="1" s="166">
      <c r="A136" s="222" t="n"/>
      <c r="B136" s="222" t="inlineStr">
        <is>
          <t>综合楼</t>
        </is>
      </c>
      <c r="C136" s="222" t="inlineStr">
        <is>
          <t>011201001002</t>
        </is>
      </c>
      <c r="D136" s="222" t="inlineStr">
        <is>
          <t>墙面一般抹灰（墙3、4）</t>
        </is>
      </c>
      <c r="E136" s="222" t="inlineStr">
        <is>
          <t>1.15mm厚WPM20水泥砂浆找平，分两遍成活，底层抹灰应压实搓毛</t>
        </is>
      </c>
      <c r="F136" s="222" t="inlineStr">
        <is>
          <t>m2</t>
        </is>
      </c>
      <c r="G136" s="223" t="n">
        <v>5055.46</v>
      </c>
      <c r="H136" s="223" t="n">
        <v>5055.46</v>
      </c>
      <c r="I136" s="223">
        <f>142.99+1994.65+2130.5+88.7</f>
        <v/>
      </c>
      <c r="J136" s="223" t="n"/>
      <c r="K136" s="223">
        <f>H138-G138</f>
        <v/>
      </c>
      <c r="L136" s="223">
        <f>I138-G138</f>
        <v/>
      </c>
      <c r="M136" s="223">
        <f>I138-H138</f>
        <v/>
      </c>
      <c r="N136" s="224">
        <f>K138/G138</f>
        <v/>
      </c>
      <c r="O136" s="222" t="n">
        <v>22.12</v>
      </c>
      <c r="P136" s="222" t="n">
        <v>25.5</v>
      </c>
      <c r="Q136" s="224">
        <f>(O138-P138)/P138</f>
        <v/>
      </c>
      <c r="R136" s="223">
        <f>P138*0.9056*0.85</f>
        <v/>
      </c>
      <c r="S136" s="223">
        <f>P138*1.15</f>
        <v/>
      </c>
      <c r="T136" s="223">
        <f>IF(O138&lt;P138*0.9056*0.85,P138*0.9056*0.85,IF(O138&gt;P138*1.15,P138*1.15,O138))</f>
        <v/>
      </c>
      <c r="U136" s="223" t="n">
        <v>111826.78</v>
      </c>
      <c r="V136" s="223" t="n">
        <v>111826.78</v>
      </c>
      <c r="W136" s="223">
        <f>U138+T138*L138</f>
        <v/>
      </c>
      <c r="X136" s="223">
        <f>V138-U138</f>
        <v/>
      </c>
      <c r="Y136" s="223">
        <f>W138-U138</f>
        <v/>
      </c>
      <c r="Z136" s="223">
        <f>W138-V138</f>
        <v/>
      </c>
      <c r="AA136" s="222" t="n"/>
      <c r="AB136" s="222" t="n"/>
      <c r="AC136" s="222" t="n"/>
      <c r="AD136" s="222" t="n"/>
      <c r="AE136" s="222" t="n"/>
      <c r="AF136" s="222" t="n"/>
      <c r="AG136" s="222" t="n"/>
      <c r="AH136" s="222" t="n"/>
      <c r="AI136" s="222" t="n"/>
      <c r="AJ136" s="222" t="n"/>
    </row>
    <row r="137" ht="28.5" customHeight="1" s="166">
      <c r="A137" s="222" t="n"/>
      <c r="B137" s="222" t="inlineStr">
        <is>
          <t>综合楼</t>
        </is>
      </c>
      <c r="C137" s="222" t="inlineStr">
        <is>
          <t>011204003002</t>
        </is>
      </c>
      <c r="D137" s="222" t="inlineStr">
        <is>
          <t>块料墙面（墙4）</t>
        </is>
      </c>
      <c r="E137" s="222" t="inlineStr">
        <is>
          <t>1.镶贴400*400陶瓷面砖墙面建筑胶粘剂粘贴</t>
        </is>
      </c>
      <c r="F137" s="222" t="inlineStr">
        <is>
          <t>m2</t>
        </is>
      </c>
      <c r="G137" s="223" t="n">
        <v>1624.08</v>
      </c>
      <c r="H137" s="223" t="n">
        <v>2173.41</v>
      </c>
      <c r="I137" s="223">
        <f>2149.24+19.39</f>
        <v/>
      </c>
      <c r="J137" s="223" t="n"/>
      <c r="K137" s="223">
        <f>H139-G139</f>
        <v/>
      </c>
      <c r="L137" s="223">
        <f>I139-G139</f>
        <v/>
      </c>
      <c r="M137" s="223">
        <f>I139-H139</f>
        <v/>
      </c>
      <c r="N137" s="224">
        <f>K139/G139</f>
        <v/>
      </c>
      <c r="O137" s="222" t="n">
        <v>148.21</v>
      </c>
      <c r="P137" s="222" t="n">
        <v>117.46</v>
      </c>
      <c r="Q137" s="224">
        <f>(O139-P139)/P139</f>
        <v/>
      </c>
      <c r="R137" s="223">
        <f>P139*0.9056*0.85</f>
        <v/>
      </c>
      <c r="S137" s="223">
        <f>P139*1.15</f>
        <v/>
      </c>
      <c r="T137" s="223">
        <f>IF(O139&lt;P139*0.9056*0.85,P139*0.9056*0.85,IF(O139&gt;P139*1.15,P139*1.15,O139))</f>
        <v/>
      </c>
      <c r="U137" s="223" t="n">
        <v>240705.46</v>
      </c>
      <c r="V137" s="223" t="n">
        <v>314907.73</v>
      </c>
      <c r="W137" s="223">
        <f>U139+T139*L139</f>
        <v/>
      </c>
      <c r="X137" s="223">
        <f>V139-U139</f>
        <v/>
      </c>
      <c r="Y137" s="223">
        <f>W139-U139</f>
        <v/>
      </c>
      <c r="Z137" s="223">
        <f>W139-V139</f>
        <v/>
      </c>
      <c r="AA137" s="222" t="n"/>
      <c r="AB137" s="222" t="n"/>
      <c r="AC137" s="222" t="n"/>
      <c r="AD137" s="222" t="n"/>
      <c r="AE137" s="222" t="n"/>
      <c r="AF137" s="222" t="n"/>
      <c r="AG137" s="222" t="n"/>
      <c r="AH137" s="222" t="n"/>
      <c r="AI137" s="222" t="n"/>
      <c r="AJ137" s="222" t="n"/>
    </row>
    <row r="138" ht="41.25" customHeight="1" s="166">
      <c r="A138" s="222" t="n"/>
      <c r="B138" s="222" t="inlineStr">
        <is>
          <t>综合楼</t>
        </is>
      </c>
      <c r="C138" s="222" t="inlineStr">
        <is>
          <t>011406001001</t>
        </is>
      </c>
      <c r="D138" s="222" t="inlineStr">
        <is>
          <t>墙面喷刷涂料(墙3）</t>
        </is>
      </c>
      <c r="E138" s="222" t="inlineStr">
        <is>
          <t>1.满刮腻子二道
2.刷内墙无机涂料,底漆一道,面漆两道</t>
        </is>
      </c>
      <c r="F138" s="222" t="inlineStr">
        <is>
          <t>m2</t>
        </is>
      </c>
      <c r="G138" s="223" t="n">
        <v>3431.38</v>
      </c>
      <c r="H138" s="223" t="n">
        <v>3431.38</v>
      </c>
      <c r="I138" s="223">
        <f>59.79+139.19+2636.31</f>
        <v/>
      </c>
      <c r="J138" s="223" t="n"/>
      <c r="K138" s="223">
        <f>H140-G140</f>
        <v/>
      </c>
      <c r="L138" s="223">
        <f>I140-G140</f>
        <v/>
      </c>
      <c r="M138" s="223">
        <f>I140-H140</f>
        <v/>
      </c>
      <c r="N138" s="224">
        <f>K140/G140</f>
        <v/>
      </c>
      <c r="O138" s="222" t="n">
        <v>36.95</v>
      </c>
      <c r="P138" s="222" t="n">
        <v>50.6</v>
      </c>
      <c r="Q138" s="224">
        <f>(O140-P140)/P140</f>
        <v/>
      </c>
      <c r="R138" s="223">
        <f>P140*0.9056*0.85</f>
        <v/>
      </c>
      <c r="S138" s="223">
        <f>P140*1.15</f>
        <v/>
      </c>
      <c r="T138" s="223">
        <f>IF(O140&lt;P140*0.9056*0.85,P140*0.9056*0.85,IF(O140&gt;P140*1.15,P140*1.15,O140))</f>
        <v/>
      </c>
      <c r="U138" s="223" t="n">
        <v>126789.35</v>
      </c>
      <c r="V138" s="223" t="n">
        <v>126789.35</v>
      </c>
      <c r="W138" s="223">
        <f>U140+T140*L140</f>
        <v/>
      </c>
      <c r="X138" s="223">
        <f>V140-U140</f>
        <v/>
      </c>
      <c r="Y138" s="223">
        <f>W140-U140</f>
        <v/>
      </c>
      <c r="Z138" s="223">
        <f>W140-V140</f>
        <v/>
      </c>
      <c r="AA138" s="222" t="n"/>
      <c r="AB138" s="222" t="n"/>
      <c r="AC138" s="222" t="n"/>
      <c r="AD138" s="222" t="n"/>
      <c r="AE138" s="222" t="n"/>
      <c r="AF138" s="222" t="n"/>
      <c r="AG138" s="222" t="n"/>
      <c r="AH138" s="222" t="n"/>
      <c r="AI138" s="222" t="n"/>
      <c r="AJ138" s="222" t="n"/>
    </row>
    <row r="139" ht="28.5" customHeight="1" s="166">
      <c r="A139" s="222" t="n"/>
      <c r="B139" s="222" t="inlineStr">
        <is>
          <t>综合楼</t>
        </is>
      </c>
      <c r="C139" s="222" t="inlineStr">
        <is>
          <t>011406001002</t>
        </is>
      </c>
      <c r="D139" s="222" t="inlineStr">
        <is>
          <t>墙面喷刷涂料(墙5）</t>
        </is>
      </c>
      <c r="E139" s="222" t="inlineStr">
        <is>
          <t>1.满刮耐水防霉白色腻子</t>
        </is>
      </c>
      <c r="F139" s="222" t="inlineStr">
        <is>
          <t>m2</t>
        </is>
      </c>
      <c r="G139" s="223" t="n">
        <v>312.9</v>
      </c>
      <c r="H139" s="223" t="n">
        <v>437.02</v>
      </c>
      <c r="I139" s="223">
        <f>H141</f>
        <v/>
      </c>
      <c r="J139" s="223" t="n"/>
      <c r="K139" s="223">
        <f>H141-G141</f>
        <v/>
      </c>
      <c r="L139" s="223">
        <f>I141-G141</f>
        <v/>
      </c>
      <c r="M139" s="223">
        <f>I141-H141</f>
        <v/>
      </c>
      <c r="N139" s="224">
        <f>K141/G141</f>
        <v/>
      </c>
      <c r="O139" s="222" t="n">
        <v>17.13</v>
      </c>
      <c r="P139" s="222" t="n">
        <v>18.67</v>
      </c>
      <c r="Q139" s="224">
        <f>(O141-P141)/P141</f>
        <v/>
      </c>
      <c r="R139" s="223">
        <f>P141*0.9056*0.85</f>
        <v/>
      </c>
      <c r="S139" s="223">
        <f>P141*1.15</f>
        <v/>
      </c>
      <c r="T139" s="223">
        <f>IF(O141&lt;P141*0.9056*0.85,P141*0.9056*0.85,IF(O141&gt;P141*1.15,P141*1.15,O141))</f>
        <v/>
      </c>
      <c r="U139" s="223" t="n">
        <v>5359.91</v>
      </c>
      <c r="V139" s="223" t="n">
        <v>7486.18</v>
      </c>
      <c r="W139" s="223">
        <f>U141+T141*L141</f>
        <v/>
      </c>
      <c r="X139" s="223">
        <f>V141-U141</f>
        <v/>
      </c>
      <c r="Y139" s="223">
        <f>W141-U141</f>
        <v/>
      </c>
      <c r="Z139" s="223">
        <f>W141-V141</f>
        <v/>
      </c>
      <c r="AA139" s="222" t="n"/>
      <c r="AB139" s="222" t="inlineStr">
        <is>
          <t>复核首层车道墙5是否在地下室计算</t>
        </is>
      </c>
      <c r="AC139" s="222" t="n"/>
      <c r="AD139" s="222" t="n"/>
      <c r="AE139" s="222" t="n"/>
      <c r="AF139" s="222" t="n"/>
      <c r="AG139" s="222" t="n"/>
      <c r="AH139" s="222" t="n"/>
      <c r="AI139" s="222" t="n"/>
      <c r="AJ139" s="222" t="n"/>
    </row>
    <row r="140" ht="41.25" customHeight="1" s="166">
      <c r="A140" s="222" t="n"/>
      <c r="B140" s="222" t="inlineStr">
        <is>
          <t>综合楼</t>
        </is>
      </c>
      <c r="C140" s="222" t="inlineStr">
        <is>
          <t>011204003005</t>
        </is>
      </c>
      <c r="D140" s="222" t="inlineStr">
        <is>
          <t>块料墙面（墙8）</t>
        </is>
      </c>
      <c r="E140" s="222" t="inlineStr">
        <is>
          <t>1.镶贴300*600陶瓷面砖墙面建筑胶粘剂粘贴
2.15厚WPM20水泥砂浆找平</t>
        </is>
      </c>
      <c r="F140" s="222" t="inlineStr">
        <is>
          <t>m2</t>
        </is>
      </c>
      <c r="G140" s="223" t="n">
        <v>977.1900000000001</v>
      </c>
      <c r="H140" s="223" t="n">
        <v>977.1900000000001</v>
      </c>
      <c r="I140" s="223">
        <f>25.44+549.77</f>
        <v/>
      </c>
      <c r="J140" s="223" t="n"/>
      <c r="K140" s="223">
        <f>H142-G142</f>
        <v/>
      </c>
      <c r="L140" s="223">
        <f>I142-G142</f>
        <v/>
      </c>
      <c r="M140" s="223">
        <f>I142-H142</f>
        <v/>
      </c>
      <c r="N140" s="224">
        <f>K142/G142</f>
        <v/>
      </c>
      <c r="O140" s="222" t="n">
        <v>162.51</v>
      </c>
      <c r="P140" s="222" t="n">
        <v>147.48</v>
      </c>
      <c r="Q140" s="224">
        <f>(O142-P142)/P142</f>
        <v/>
      </c>
      <c r="R140" s="223">
        <f>P142*0.9056*0.85</f>
        <v/>
      </c>
      <c r="S140" s="223">
        <f>P142*1.15</f>
        <v/>
      </c>
      <c r="T140" s="223">
        <f>IF(O142&lt;P142*0.9056*0.85,P142*0.9056*0.85,IF(O142&gt;P142*1.15,P142*1.15,O142))</f>
        <v/>
      </c>
      <c r="U140" s="223" t="n">
        <v>158803.15</v>
      </c>
      <c r="V140" s="223" t="n">
        <v>158803.15</v>
      </c>
      <c r="W140" s="223">
        <f>U142+T142*L142</f>
        <v/>
      </c>
      <c r="X140" s="223">
        <f>V142-U142</f>
        <v/>
      </c>
      <c r="Y140" s="223">
        <f>W142-U142</f>
        <v/>
      </c>
      <c r="Z140" s="223">
        <f>W142-V142</f>
        <v/>
      </c>
      <c r="AA140" s="222" t="n"/>
      <c r="AB140" s="222" t="n"/>
      <c r="AC140" s="222" t="n"/>
      <c r="AD140" s="222" t="n"/>
      <c r="AE140" s="222" t="n"/>
      <c r="AF140" s="222" t="n"/>
      <c r="AG140" s="222" t="n"/>
      <c r="AH140" s="222" t="n"/>
      <c r="AI140" s="222" t="n"/>
      <c r="AJ140" s="222" t="n"/>
    </row>
    <row r="141" ht="54" customHeight="1" s="166">
      <c r="A141" s="222" t="n"/>
      <c r="B141" s="222" t="inlineStr">
        <is>
          <t>综合楼</t>
        </is>
      </c>
      <c r="C141" s="222" t="inlineStr">
        <is>
          <t>011205001001</t>
        </is>
      </c>
      <c r="D141" s="222" t="inlineStr">
        <is>
          <t>石材柱面</t>
        </is>
      </c>
      <c r="E141" s="222" t="inlineStr">
        <is>
          <t>1.石材柱面
2.安装方式:挂贴米色大理石
3.其他详见施工设计图</t>
        </is>
      </c>
      <c r="F141" s="222" t="inlineStr">
        <is>
          <t>m2</t>
        </is>
      </c>
      <c r="G141" s="223" t="n">
        <v>186.44</v>
      </c>
      <c r="H141" s="223" t="n">
        <v>186.44</v>
      </c>
      <c r="I141" s="223">
        <f>98.24</f>
        <v/>
      </c>
      <c r="J141" s="223" t="n"/>
      <c r="K141" s="223">
        <f>H143-G143</f>
        <v/>
      </c>
      <c r="L141" s="223">
        <f>I143-G143</f>
        <v/>
      </c>
      <c r="M141" s="223">
        <f>I143-H143</f>
        <v/>
      </c>
      <c r="N141" s="224">
        <f>K143/G143</f>
        <v/>
      </c>
      <c r="O141" s="222" t="n">
        <v>682.21</v>
      </c>
      <c r="P141" s="222" t="n">
        <v>453.37</v>
      </c>
      <c r="Q141" s="224">
        <f>(O143-P143)/P143</f>
        <v/>
      </c>
      <c r="R141" s="223">
        <f>P143*0.9056*0.85</f>
        <v/>
      </c>
      <c r="S141" s="223">
        <f>P143*1.15</f>
        <v/>
      </c>
      <c r="T141" s="223">
        <f>IF(O143&lt;P143*0.9056*0.85,P143*0.9056*0.85,IF(O143&gt;P143*1.15,P143*1.15,O143))</f>
        <v/>
      </c>
      <c r="U141" s="223" t="n">
        <v>127191.23</v>
      </c>
      <c r="V141" s="223" t="n">
        <v>127191.23</v>
      </c>
      <c r="W141" s="223">
        <f>U143+T143*L143</f>
        <v/>
      </c>
      <c r="X141" s="223">
        <f>V143-U143</f>
        <v/>
      </c>
      <c r="Y141" s="223">
        <f>W143-U143</f>
        <v/>
      </c>
      <c r="Z141" s="223">
        <f>W143-V143</f>
        <v/>
      </c>
      <c r="AA141" s="222" t="n"/>
      <c r="AB141" s="222" t="n"/>
      <c r="AC141" s="222" t="n"/>
      <c r="AD141" s="222" t="n"/>
      <c r="AE141" s="222" t="n"/>
      <c r="AF141" s="222" t="n"/>
      <c r="AG141" s="222" t="n"/>
      <c r="AH141" s="222" t="n"/>
      <c r="AI141" s="222" t="n"/>
      <c r="AJ141" s="222" t="n"/>
    </row>
    <row r="142" ht="41.25" customHeight="1" s="166">
      <c r="A142" s="222" t="n"/>
      <c r="B142" s="222" t="inlineStr">
        <is>
          <t>综合楼</t>
        </is>
      </c>
      <c r="C142" s="222" t="inlineStr">
        <is>
          <t>011502001001</t>
        </is>
      </c>
      <c r="D142" s="222" t="inlineStr">
        <is>
          <t>金属装饰线</t>
        </is>
      </c>
      <c r="E142" s="222" t="inlineStr">
        <is>
          <t>1.外墙装饰线
2.200*200*2.5mm厚铝通
3.其他详见施工设计图</t>
        </is>
      </c>
      <c r="F142" s="222" t="inlineStr">
        <is>
          <t>m</t>
        </is>
      </c>
      <c r="G142" s="223" t="n">
        <v>379.9</v>
      </c>
      <c r="H142" s="223" t="n">
        <v>404.6</v>
      </c>
      <c r="I142" s="223">
        <f>404.6</f>
        <v/>
      </c>
      <c r="J142" s="223" t="n"/>
      <c r="K142" s="223">
        <f>H144-G144</f>
        <v/>
      </c>
      <c r="L142" s="223">
        <f>I144-G144</f>
        <v/>
      </c>
      <c r="M142" s="223">
        <f>I144-H144</f>
        <v/>
      </c>
      <c r="N142" s="224">
        <f>K144/G144</f>
        <v/>
      </c>
      <c r="O142" s="222" t="n">
        <v>217.73</v>
      </c>
      <c r="P142" s="222" t="n">
        <v>207.95</v>
      </c>
      <c r="Q142" s="224">
        <f>(O144-P144)/P144</f>
        <v/>
      </c>
      <c r="R142" s="223">
        <f>P144*0.9056*0.85</f>
        <v/>
      </c>
      <c r="S142" s="223">
        <f>P144*1.15</f>
        <v/>
      </c>
      <c r="T142" s="223">
        <f>IF(O144&lt;P144*0.9056*0.85,P144*0.9056*0.85,IF(O144&gt;P144*1.15,P144*1.15,O144))</f>
        <v/>
      </c>
      <c r="U142" s="223" t="n">
        <v>82715.63</v>
      </c>
      <c r="V142" s="223" t="n">
        <v>88093.56</v>
      </c>
      <c r="W142" s="223">
        <f>U144+T144*L144</f>
        <v/>
      </c>
      <c r="X142" s="223">
        <f>V144-U144</f>
        <v/>
      </c>
      <c r="Y142" s="223">
        <f>W144-U144</f>
        <v/>
      </c>
      <c r="Z142" s="223">
        <f>W144-V144</f>
        <v/>
      </c>
      <c r="AA142" s="222" t="n"/>
      <c r="AB142" s="222" t="n"/>
      <c r="AC142" s="222" t="n"/>
      <c r="AD142" s="222" t="n"/>
      <c r="AE142" s="222" t="n"/>
      <c r="AF142" s="222" t="n"/>
      <c r="AG142" s="222" t="n"/>
      <c r="AH142" s="222" t="n"/>
      <c r="AI142" s="222" t="n"/>
      <c r="AJ142" s="222" t="n"/>
    </row>
    <row r="143" ht="69" customHeight="1" s="166">
      <c r="A143" s="222" t="n"/>
      <c r="B143" s="222" t="inlineStr">
        <is>
          <t>综合楼</t>
        </is>
      </c>
      <c r="C143" s="222" t="inlineStr">
        <is>
          <t>011208001001</t>
        </is>
      </c>
      <c r="D143" s="222" t="inlineStr">
        <is>
          <t>柱(梁)面装饰</t>
        </is>
      </c>
      <c r="E143" s="222" t="inlineStr">
        <is>
          <t>1.外墙装饰造型
2.2.5mm铝单板
3.L50*5角钢龙骨@1200
4.其他详见施工设计图</t>
        </is>
      </c>
      <c r="F143" s="222" t="inlineStr">
        <is>
          <t>m2</t>
        </is>
      </c>
      <c r="G143" s="223" t="n">
        <v>791.39</v>
      </c>
      <c r="H143" s="223" t="n">
        <v>791.39</v>
      </c>
      <c r="I143" s="223" t="n">
        <v>791.39</v>
      </c>
      <c r="J143" s="223" t="n"/>
      <c r="K143" s="223">
        <f>H145-G145</f>
        <v/>
      </c>
      <c r="L143" s="223">
        <f>I145-G145</f>
        <v/>
      </c>
      <c r="M143" s="223">
        <f>I145-H145</f>
        <v/>
      </c>
      <c r="N143" s="224">
        <f>K145/G145</f>
        <v/>
      </c>
      <c r="O143" s="222" t="n">
        <v>588.26</v>
      </c>
      <c r="P143" s="222" t="n">
        <v>621.97</v>
      </c>
      <c r="Q143" s="224">
        <f>(O145-P145)/P145</f>
        <v/>
      </c>
      <c r="R143" s="223">
        <f>P145*0.9056*0.85</f>
        <v/>
      </c>
      <c r="S143" s="223">
        <f>P145*1.15</f>
        <v/>
      </c>
      <c r="T143" s="223">
        <f>IF(O145&lt;P145*0.9056*0.85,P145*0.9056*0.85,IF(O145&gt;P145*1.15,P145*1.15,O145))</f>
        <v/>
      </c>
      <c r="U143" s="223" t="n">
        <v>465543.08</v>
      </c>
      <c r="V143" s="223" t="n">
        <v>465543.08</v>
      </c>
      <c r="W143" s="223">
        <f>U145+T145*L145</f>
        <v/>
      </c>
      <c r="X143" s="223">
        <f>V145-U145</f>
        <v/>
      </c>
      <c r="Y143" s="223">
        <f>W145-U145</f>
        <v/>
      </c>
      <c r="Z143" s="223">
        <f>W145-V145</f>
        <v/>
      </c>
      <c r="AA143" s="222" t="n"/>
      <c r="AB143" s="222" t="n"/>
      <c r="AC143" s="222" t="n"/>
      <c r="AD143" s="222" t="n"/>
      <c r="AE143" s="222" t="n"/>
      <c r="AF143" s="222" t="n"/>
      <c r="AG143" s="222" t="n"/>
      <c r="AH143" s="222" t="n"/>
      <c r="AI143" s="222" t="n"/>
      <c r="AJ143" s="222" t="n"/>
    </row>
    <row r="144" ht="41.25" customHeight="1" s="166">
      <c r="A144" s="222" t="n"/>
      <c r="B144" s="222" t="inlineStr">
        <is>
          <t>综合楼</t>
        </is>
      </c>
      <c r="C144" s="222" t="inlineStr">
        <is>
          <t>011207001001</t>
        </is>
      </c>
      <c r="D144" s="222" t="inlineStr">
        <is>
          <t>墙面装饰板</t>
        </is>
      </c>
      <c r="E144" s="222" t="inlineStr">
        <is>
          <t>1.外墙窗侧异性铝通造型
2.2.5mm铝单板
3.其他详见施工设计图</t>
        </is>
      </c>
      <c r="F144" s="222" t="inlineStr">
        <is>
          <t>m2</t>
        </is>
      </c>
      <c r="G144" s="223" t="n">
        <v>683.02</v>
      </c>
      <c r="H144" s="223" t="n">
        <v>950.67</v>
      </c>
      <c r="I144" s="223">
        <f>19.25+877.43</f>
        <v/>
      </c>
      <c r="J144" s="223" t="n"/>
      <c r="K144" s="223">
        <f>H146-G146</f>
        <v/>
      </c>
      <c r="L144" s="223">
        <f>I146-G146</f>
        <v/>
      </c>
      <c r="M144" s="223">
        <f>I146-H146</f>
        <v/>
      </c>
      <c r="N144" s="224">
        <f>K146/G146</f>
        <v/>
      </c>
      <c r="O144" s="222" t="n">
        <v>604.05</v>
      </c>
      <c r="P144" s="222" t="n">
        <v>569.7</v>
      </c>
      <c r="Q144" s="224">
        <f>(O146-P146)/P146</f>
        <v/>
      </c>
      <c r="R144" s="223">
        <f>P146*0.9056*0.85</f>
        <v/>
      </c>
      <c r="S144" s="223">
        <f>P146*1.15</f>
        <v/>
      </c>
      <c r="T144" s="223">
        <f>IF(O146&lt;P146*0.9056*0.85,P146*0.9056*0.85,IF(O146&gt;P146*1.15,P146*1.15,O146))</f>
        <v/>
      </c>
      <c r="U144" s="223" t="n">
        <v>412578.23</v>
      </c>
      <c r="V144" s="223" t="n">
        <v>574252.15</v>
      </c>
      <c r="W144" s="223">
        <f>U146+T146*L146</f>
        <v/>
      </c>
      <c r="X144" s="223">
        <f>V146-U146</f>
        <v/>
      </c>
      <c r="Y144" s="223">
        <f>W146-U146</f>
        <v/>
      </c>
      <c r="Z144" s="223">
        <f>W146-V146</f>
        <v/>
      </c>
      <c r="AA144" s="222" t="n"/>
      <c r="AB144" s="222" t="n"/>
      <c r="AC144" s="222" t="n"/>
      <c r="AD144" s="222" t="n"/>
      <c r="AE144" s="222" t="n"/>
      <c r="AF144" s="222" t="n"/>
      <c r="AG144" s="222" t="n"/>
      <c r="AH144" s="222" t="n"/>
      <c r="AI144" s="222" t="n"/>
      <c r="AJ144" s="222" t="n"/>
    </row>
    <row r="145" ht="41.25" customHeight="1" s="166">
      <c r="A145" s="222" t="n"/>
      <c r="B145" s="222" t="inlineStr">
        <is>
          <t>综合楼</t>
        </is>
      </c>
      <c r="C145" s="222" t="inlineStr">
        <is>
          <t>011207001002</t>
        </is>
      </c>
      <c r="D145" s="222" t="inlineStr">
        <is>
          <t>墙面装饰板</t>
        </is>
      </c>
      <c r="E145" s="222" t="inlineStr">
        <is>
          <t>1.9mm阻燃夹板
2.30*30阻燃木龙骨
3.其他详见施工设计图纸</t>
        </is>
      </c>
      <c r="F145" s="222" t="inlineStr">
        <is>
          <t>m2</t>
        </is>
      </c>
      <c r="G145" s="223" t="n">
        <v>8.19</v>
      </c>
      <c r="H145" s="223" t="n">
        <v>18.98</v>
      </c>
      <c r="I145" s="223" t="n">
        <v>0</v>
      </c>
      <c r="J145" s="223" t="n"/>
      <c r="K145" s="223">
        <f>H147-G147</f>
        <v/>
      </c>
      <c r="L145" s="223">
        <f>I147-G147</f>
        <v/>
      </c>
      <c r="M145" s="223">
        <f>I147-H147</f>
        <v/>
      </c>
      <c r="N145" s="224">
        <f>K147/G147</f>
        <v/>
      </c>
      <c r="O145" s="222" t="n">
        <v>95.98</v>
      </c>
      <c r="P145" s="222" t="n">
        <v>97.03</v>
      </c>
      <c r="Q145" s="224">
        <f>(O147-P147)/P147</f>
        <v/>
      </c>
      <c r="R145" s="223">
        <f>P147*0.9056*0.85</f>
        <v/>
      </c>
      <c r="S145" s="223">
        <f>P147*1.15</f>
        <v/>
      </c>
      <c r="T145" s="223">
        <f>IF(O147&lt;P147*0.9056*0.85,P147*0.9056*0.85,IF(O147&gt;P147*1.15,P147*1.15,O147))</f>
        <v/>
      </c>
      <c r="U145" s="223" t="n">
        <v>786.08</v>
      </c>
      <c r="V145" s="223" t="n">
        <v>1822.11</v>
      </c>
      <c r="W145" s="223">
        <f>U147+T147*L147</f>
        <v/>
      </c>
      <c r="X145" s="223">
        <f>V147-U147</f>
        <v/>
      </c>
      <c r="Y145" s="223">
        <f>W147-U147</f>
        <v/>
      </c>
      <c r="Z145" s="223">
        <f>W147-V147</f>
        <v/>
      </c>
      <c r="AA145" s="222" t="n"/>
      <c r="AB145" s="222" t="n"/>
      <c r="AC145" s="222" t="n"/>
      <c r="AD145" s="222" t="n"/>
      <c r="AE145" s="222" t="n"/>
      <c r="AF145" s="222" t="n"/>
      <c r="AG145" s="222" t="n"/>
      <c r="AH145" s="222" t="n"/>
      <c r="AI145" s="222" t="n"/>
      <c r="AJ145" s="222" t="n"/>
    </row>
    <row r="146" ht="54" customHeight="1" s="166">
      <c r="A146" s="222" t="n"/>
      <c r="B146" s="222" t="inlineStr">
        <is>
          <t>综合楼</t>
        </is>
      </c>
      <c r="C146" s="222" t="inlineStr">
        <is>
          <t>011207001003</t>
        </is>
      </c>
      <c r="D146" s="222" t="inlineStr">
        <is>
          <t>墙面装饰板</t>
        </is>
      </c>
      <c r="E146" s="222" t="inlineStr">
        <is>
          <t>1.1mm厚304原色磨砂不锈钢
2.9mm阻燃夹板
3.30*30阻燃木龙骨
4.其他详见施工设计图纸</t>
        </is>
      </c>
      <c r="F146" s="222" t="inlineStr">
        <is>
          <t>m2</t>
        </is>
      </c>
      <c r="G146" s="223" t="n">
        <v>18.65</v>
      </c>
      <c r="H146" s="223" t="n">
        <v>18.98</v>
      </c>
      <c r="I146" s="223" t="n">
        <v>18.98</v>
      </c>
      <c r="J146" s="223" t="n"/>
      <c r="K146" s="223">
        <f>H148-G148</f>
        <v/>
      </c>
      <c r="L146" s="223">
        <f>I148-G148</f>
        <v/>
      </c>
      <c r="M146" s="223">
        <f>I148-H148</f>
        <v/>
      </c>
      <c r="N146" s="224">
        <f>K148/G148</f>
        <v/>
      </c>
      <c r="O146" s="222" t="n">
        <v>585.51</v>
      </c>
      <c r="P146" s="222" t="n">
        <v>329.74</v>
      </c>
      <c r="Q146" s="224">
        <f>(O148-P148)/P148</f>
        <v/>
      </c>
      <c r="R146" s="223">
        <f>P148*0.9056*0.85</f>
        <v/>
      </c>
      <c r="S146" s="223">
        <f>P148*1.15</f>
        <v/>
      </c>
      <c r="T146" s="223">
        <f>IF(O148&lt;P148*0.9056*0.85,P148*0.9056*0.85,IF(O148&gt;P148*1.15,P148*1.15,O148))</f>
        <v/>
      </c>
      <c r="U146" s="223" t="n">
        <v>10919.76</v>
      </c>
      <c r="V146" s="223" t="n">
        <v>11046.53</v>
      </c>
      <c r="W146" s="223">
        <f>U148+T148*L148</f>
        <v/>
      </c>
      <c r="X146" s="223">
        <f>V148-U148</f>
        <v/>
      </c>
      <c r="Y146" s="223">
        <f>W148-U148</f>
        <v/>
      </c>
      <c r="Z146" s="223">
        <f>W148-V148</f>
        <v/>
      </c>
      <c r="AA146" s="222" t="n"/>
      <c r="AB146" s="222" t="n"/>
      <c r="AC146" s="222" t="n"/>
      <c r="AD146" s="222" t="n"/>
      <c r="AE146" s="222" t="n"/>
      <c r="AF146" s="222" t="n"/>
      <c r="AG146" s="222" t="n"/>
      <c r="AH146" s="222" t="n"/>
      <c r="AI146" s="222" t="n"/>
      <c r="AJ146" s="222" t="n"/>
    </row>
    <row r="147" ht="79.5" customHeight="1" s="166">
      <c r="A147" s="222" t="n"/>
      <c r="B147" s="222" t="inlineStr">
        <is>
          <t>综合楼</t>
        </is>
      </c>
      <c r="C147" s="222" t="inlineStr">
        <is>
          <t>011207001004</t>
        </is>
      </c>
      <c r="D147" s="222" t="inlineStr">
        <is>
          <t>墙面装饰板</t>
        </is>
      </c>
      <c r="E147" s="222" t="inlineStr">
        <is>
          <t>1.18mm厚A级防火吸音板
2.15mm阻燃夹板
3.双层50*50阻燃木龙骨底架
4.整体厚度233mm
5.其他详见施工设计图纸</t>
        </is>
      </c>
      <c r="F147" s="222" t="inlineStr">
        <is>
          <t>m2</t>
        </is>
      </c>
      <c r="G147" s="223" t="n">
        <v>132.14</v>
      </c>
      <c r="H147" s="223" t="n">
        <v>132.14</v>
      </c>
      <c r="I147" s="223">
        <f>104.64</f>
        <v/>
      </c>
      <c r="J147" s="223" t="n"/>
      <c r="K147" s="223">
        <f>H149-G149</f>
        <v/>
      </c>
      <c r="L147" s="223">
        <f>I149-G149</f>
        <v/>
      </c>
      <c r="M147" s="223">
        <f>I149-H149</f>
        <v/>
      </c>
      <c r="N147" s="224">
        <f>K149/G149</f>
        <v/>
      </c>
      <c r="O147" s="222" t="n">
        <v>249.83</v>
      </c>
      <c r="P147" s="222" t="n">
        <v>239.51</v>
      </c>
      <c r="Q147" s="224">
        <f>(O149-P149)/P149</f>
        <v/>
      </c>
      <c r="R147" s="223">
        <f>P149*0.9056*0.85</f>
        <v/>
      </c>
      <c r="S147" s="223">
        <f>P149*1.15</f>
        <v/>
      </c>
      <c r="T147" s="223">
        <f>IF(O149&lt;P149*0.9056*0.85,P149*0.9056*0.85,IF(O149&gt;P149*1.15,P149*1.15,O149))</f>
        <v/>
      </c>
      <c r="U147" s="223" t="n">
        <v>33012.54</v>
      </c>
      <c r="V147" s="223" t="n">
        <v>33012.54</v>
      </c>
      <c r="W147" s="223">
        <f>U149+T149*L149</f>
        <v/>
      </c>
      <c r="X147" s="223">
        <f>V149-U149</f>
        <v/>
      </c>
      <c r="Y147" s="223">
        <f>W149-U149</f>
        <v/>
      </c>
      <c r="Z147" s="223">
        <f>W149-V149</f>
        <v/>
      </c>
      <c r="AA147" s="222" t="n"/>
      <c r="AB147" s="222" t="n"/>
      <c r="AC147" s="222" t="n"/>
      <c r="AD147" s="222" t="n"/>
      <c r="AE147" s="222" t="n"/>
      <c r="AF147" s="222" t="n"/>
      <c r="AG147" s="222" t="n"/>
      <c r="AH147" s="222" t="n"/>
      <c r="AI147" s="222" t="n"/>
      <c r="AJ147" s="222" t="n"/>
    </row>
    <row r="148" ht="105" customHeight="1" s="166">
      <c r="A148" s="222" t="n"/>
      <c r="B148" s="222" t="inlineStr">
        <is>
          <t>综合楼</t>
        </is>
      </c>
      <c r="C148" s="222" t="inlineStr">
        <is>
          <t>011207001005</t>
        </is>
      </c>
      <c r="D148" s="222" t="inlineStr">
        <is>
          <t>墙面装饰板</t>
        </is>
      </c>
      <c r="E148" s="222" t="inlineStr">
        <is>
          <t>1.18mm厚A级防火吸音板
2.15mm阻燃夹板
3.50*50阻燃木龙骨底架
4.50mm厚超细玻璃棉（容重32kg/m3）
5.外包吸声无纺布
6.30mm黑缝（黑色填缝剂）
7.其他详见施工设计图纸</t>
        </is>
      </c>
      <c r="F148" s="222" t="inlineStr">
        <is>
          <t>m2</t>
        </is>
      </c>
      <c r="G148" s="223" t="n">
        <v>252.81</v>
      </c>
      <c r="H148" s="223" t="n">
        <v>252.81</v>
      </c>
      <c r="I148" s="223">
        <f>45.48</f>
        <v/>
      </c>
      <c r="J148" s="223" t="n"/>
      <c r="K148" s="223">
        <f>H150-G150</f>
        <v/>
      </c>
      <c r="L148" s="223">
        <f>I150-G150</f>
        <v/>
      </c>
      <c r="M148" s="223">
        <f>I150-H150</f>
        <v/>
      </c>
      <c r="N148" s="224">
        <f>K150/G150</f>
        <v/>
      </c>
      <c r="O148" s="222" t="n">
        <v>295.33</v>
      </c>
      <c r="P148" s="222" t="n">
        <v>275.9</v>
      </c>
      <c r="Q148" s="224">
        <f>(O150-P150)/P150</f>
        <v/>
      </c>
      <c r="R148" s="223">
        <f>P150*0.9056*0.85</f>
        <v/>
      </c>
      <c r="S148" s="223">
        <f>P150*1.15</f>
        <v/>
      </c>
      <c r="T148" s="223">
        <f>IF(O150&lt;P150*0.9056*0.85,P150*0.9056*0.85,IF(O150&gt;P150*1.15,P150*1.15,O150))</f>
        <v/>
      </c>
      <c r="U148" s="223" t="n">
        <v>74662.38</v>
      </c>
      <c r="V148" s="223" t="n">
        <v>74662.38</v>
      </c>
      <c r="W148" s="223">
        <f>U150+T150*L150</f>
        <v/>
      </c>
      <c r="X148" s="223">
        <f>V150-U150</f>
        <v/>
      </c>
      <c r="Y148" s="223">
        <f>W150-U150</f>
        <v/>
      </c>
      <c r="Z148" s="223">
        <f>W150-V150</f>
        <v/>
      </c>
      <c r="AA148" s="222" t="n"/>
      <c r="AB148" s="222" t="n"/>
      <c r="AC148" s="222" t="n"/>
      <c r="AD148" s="222" t="n"/>
      <c r="AE148" s="222" t="n"/>
      <c r="AF148" s="222" t="n"/>
      <c r="AG148" s="222" t="n"/>
      <c r="AH148" s="222" t="n"/>
      <c r="AI148" s="222" t="n"/>
      <c r="AJ148" s="222" t="n"/>
    </row>
    <row r="149" ht="117.75" customHeight="1" s="166">
      <c r="A149" s="222" t="n"/>
      <c r="B149" s="222" t="inlineStr">
        <is>
          <t>综合楼</t>
        </is>
      </c>
      <c r="C149" s="222" t="inlineStr">
        <is>
          <t>011207001011</t>
        </is>
      </c>
      <c r="D149" s="222" t="inlineStr">
        <is>
          <t>墙面装饰板</t>
        </is>
      </c>
      <c r="E149" s="222" t="inlineStr">
        <is>
          <t>1.18mm厚A级防火吸音板（条形木纹）
2.15mm阻燃夹板
3.50*50阻燃木龙骨底架
4.50mm厚超细玻璃棉（容重32kg/m3）
5.外包吸声无纺布
6.30mm黑缝（黑色填缝剂）
7.其他详见施工设计图纸</t>
        </is>
      </c>
      <c r="F149" s="222" t="inlineStr">
        <is>
          <t>m2</t>
        </is>
      </c>
      <c r="G149" s="223" t="n">
        <v>52</v>
      </c>
      <c r="H149" s="223" t="n">
        <v>52.75</v>
      </c>
      <c r="I149" s="223">
        <f>52.41</f>
        <v/>
      </c>
      <c r="J149" s="223" t="n"/>
      <c r="K149" s="223">
        <f>H151-G151</f>
        <v/>
      </c>
      <c r="L149" s="223">
        <f>I151-G151</f>
        <v/>
      </c>
      <c r="M149" s="223">
        <f>I151-H151</f>
        <v/>
      </c>
      <c r="N149" s="224">
        <f>K151/G151</f>
        <v/>
      </c>
      <c r="O149" s="222" t="n">
        <v>295.33</v>
      </c>
      <c r="P149" s="222" t="n">
        <v>272.31</v>
      </c>
      <c r="Q149" s="224">
        <f>(O151-P151)/P151</f>
        <v/>
      </c>
      <c r="R149" s="223">
        <f>P151*0.9056*0.85</f>
        <v/>
      </c>
      <c r="S149" s="223">
        <f>P151*1.15</f>
        <v/>
      </c>
      <c r="T149" s="223">
        <f>IF(O151&lt;P151*0.9056*0.85,P151*0.9056*0.85,IF(O151&gt;P151*1.15,P151*1.15,O151))</f>
        <v/>
      </c>
      <c r="U149" s="223" t="n">
        <v>15357.16</v>
      </c>
      <c r="V149" s="223" t="n">
        <v>15579.72</v>
      </c>
      <c r="W149" s="223">
        <f>U151+T151*L151</f>
        <v/>
      </c>
      <c r="X149" s="223">
        <f>V151-U151</f>
        <v/>
      </c>
      <c r="Y149" s="223">
        <f>W151-U151</f>
        <v/>
      </c>
      <c r="Z149" s="223">
        <f>W151-V151</f>
        <v/>
      </c>
      <c r="AA149" s="222" t="n"/>
      <c r="AB149" s="222" t="n"/>
      <c r="AC149" s="222" t="n"/>
      <c r="AD149" s="222" t="n"/>
      <c r="AE149" s="222" t="n"/>
      <c r="AF149" s="222" t="n"/>
      <c r="AG149" s="222" t="n"/>
      <c r="AH149" s="222" t="n"/>
      <c r="AI149" s="222" t="n"/>
      <c r="AJ149" s="222" t="n"/>
    </row>
    <row r="150" ht="117.75" customHeight="1" s="166">
      <c r="A150" s="222" t="n"/>
      <c r="B150" s="222" t="inlineStr">
        <is>
          <t>综合楼</t>
        </is>
      </c>
      <c r="C150" s="222" t="inlineStr">
        <is>
          <t>011207001006</t>
        </is>
      </c>
      <c r="D150" s="222" t="inlineStr">
        <is>
          <t>墙面装饰板</t>
        </is>
      </c>
      <c r="E150" s="222" t="inlineStr">
        <is>
          <t>1.18mm厚A级防火吸音板
2.15mm阻燃夹板
3.50*50*4mm+60*60*3mm镀锌钢管龙骨
4.35mm厚超细玻璃棉（容重32kg/m3）
5.外包吸声无纺布
6.30mm黑缝（黑色填缝剂）
7.其他详见施工设计图纸</t>
        </is>
      </c>
      <c r="F150" s="222" t="inlineStr">
        <is>
          <t>m2</t>
        </is>
      </c>
      <c r="G150" s="223" t="n">
        <v>216.53</v>
      </c>
      <c r="H150" s="223" t="n">
        <v>462.7</v>
      </c>
      <c r="I150" s="223">
        <f>462.7</f>
        <v/>
      </c>
      <c r="J150" s="223" t="n"/>
      <c r="K150" s="223">
        <f>H152-G152</f>
        <v/>
      </c>
      <c r="L150" s="223">
        <f>I152-G152</f>
        <v/>
      </c>
      <c r="M150" s="223">
        <f>I152-H152</f>
        <v/>
      </c>
      <c r="N150" s="224">
        <f>K152/G152</f>
        <v/>
      </c>
      <c r="O150" s="222" t="n">
        <v>283.46</v>
      </c>
      <c r="P150" s="222" t="n">
        <v>510.23</v>
      </c>
      <c r="Q150" s="224">
        <f>(O152-P152)/P152</f>
        <v/>
      </c>
      <c r="R150" s="223">
        <f>P152*0.9056*0.85</f>
        <v/>
      </c>
      <c r="S150" s="223">
        <f>P152*1.15</f>
        <v/>
      </c>
      <c r="T150" s="223">
        <f>IF(O152&lt;P152*0.9056*0.85,P152*0.9056*0.85,IF(O152&gt;P152*1.15,P152*1.15,O152))</f>
        <v/>
      </c>
      <c r="U150" s="223" t="n">
        <v>61377.59</v>
      </c>
      <c r="V150" s="223" t="n">
        <v>158063.22</v>
      </c>
      <c r="W150" s="223">
        <f>U152+T152*L152</f>
        <v/>
      </c>
      <c r="X150" s="223">
        <f>V152-U152</f>
        <v/>
      </c>
      <c r="Y150" s="223">
        <f>W152-U152</f>
        <v/>
      </c>
      <c r="Z150" s="223">
        <f>W152-V152</f>
        <v/>
      </c>
      <c r="AA150" s="222" t="n"/>
      <c r="AB150" s="222" t="n"/>
      <c r="AC150" s="222" t="n"/>
      <c r="AD150" s="222" t="n"/>
      <c r="AE150" s="222" t="n"/>
      <c r="AF150" s="222" t="n"/>
      <c r="AG150" s="222" t="n"/>
      <c r="AH150" s="222" t="n"/>
      <c r="AI150" s="222" t="n"/>
      <c r="AJ150" s="222" t="n"/>
    </row>
    <row r="151" ht="105" customHeight="1" s="166">
      <c r="A151" s="222" t="n"/>
      <c r="B151" s="222" t="inlineStr">
        <is>
          <t>综合楼</t>
        </is>
      </c>
      <c r="C151" s="222" t="inlineStr">
        <is>
          <t>011207001007</t>
        </is>
      </c>
      <c r="D151" s="222" t="inlineStr">
        <is>
          <t>墙面装饰板</t>
        </is>
      </c>
      <c r="E151" s="222" t="inlineStr">
        <is>
          <t>1.2.5mm厚氟碳冲孔铝单板
2.40*40*3mm镀锌方钢管+L40*3角钢骨架
3.50mm厚超细玻璃棉（容重32kg/m3）
4.外包吸声无纺布
5.侧边5mm木纹免漆板
6.其他详见施工设计图纸</t>
        </is>
      </c>
      <c r="F151" s="222" t="inlineStr">
        <is>
          <t>m2</t>
        </is>
      </c>
      <c r="G151" s="223" t="n">
        <v>48.48</v>
      </c>
      <c r="H151" s="223" t="n">
        <v>52.41</v>
      </c>
      <c r="I151" s="223" t="n">
        <v>52.41</v>
      </c>
      <c r="J151" s="223" t="n"/>
      <c r="K151" s="223">
        <f>H153-G153</f>
        <v/>
      </c>
      <c r="L151" s="223">
        <f>I153-G153</f>
        <v/>
      </c>
      <c r="M151" s="223">
        <f>I153-H153</f>
        <v/>
      </c>
      <c r="N151" s="224">
        <f>K153/G153</f>
        <v/>
      </c>
      <c r="O151" s="222" t="n">
        <v>696.1900000000001</v>
      </c>
      <c r="P151" s="222" t="n">
        <v>632.95</v>
      </c>
      <c r="Q151" s="224">
        <f>(O153-P153)/P153</f>
        <v/>
      </c>
      <c r="R151" s="223">
        <f>P153*0.9056*0.85</f>
        <v/>
      </c>
      <c r="S151" s="223">
        <f>P153*1.15</f>
        <v/>
      </c>
      <c r="T151" s="223">
        <f>IF(O153&lt;P153*0.9056*0.85,P153*0.9056*0.85,IF(O153&gt;P153*1.15,P153*1.15,O153))</f>
        <v/>
      </c>
      <c r="U151" s="223" t="n">
        <v>33750.25</v>
      </c>
      <c r="V151" s="223" t="n">
        <v>36487.87</v>
      </c>
      <c r="W151" s="223">
        <f>U153+T153*L153</f>
        <v/>
      </c>
      <c r="X151" s="223">
        <f>V153-U153</f>
        <v/>
      </c>
      <c r="Y151" s="223">
        <f>W153-U153</f>
        <v/>
      </c>
      <c r="Z151" s="223">
        <f>W153-V153</f>
        <v/>
      </c>
      <c r="AA151" s="222" t="n"/>
      <c r="AB151" s="222" t="n"/>
      <c r="AC151" s="222" t="n"/>
      <c r="AD151" s="222" t="n"/>
      <c r="AE151" s="222" t="n"/>
      <c r="AF151" s="222" t="n"/>
      <c r="AG151" s="222" t="n"/>
      <c r="AH151" s="222" t="n"/>
      <c r="AI151" s="222" t="n"/>
      <c r="AJ151" s="222" t="n"/>
    </row>
    <row r="152" ht="143.25" customHeight="1" s="166">
      <c r="A152" s="222" t="n"/>
      <c r="B152" s="222" t="inlineStr">
        <is>
          <t>综合楼</t>
        </is>
      </c>
      <c r="C152" s="222" t="inlineStr">
        <is>
          <t>011207001008</t>
        </is>
      </c>
      <c r="D152" s="222" t="inlineStr">
        <is>
          <t>墙面装饰板</t>
        </is>
      </c>
      <c r="E152" s="222" t="inlineStr">
        <is>
          <t>1.2.5mm厚氟碳冲孔铝单板
2.40*40*3mm镀锌角钢+40*100*2镀锌矩形管
3.50mm厚超细玻璃棉（容重32kg/m3）
4.外包吸声无纺布
5.侧边5mm木纹免漆板墙身造型凸出身50mm
6.定制铝合金LED灯槽（含LED灯带）
7.其他详见施工设计图纸</t>
        </is>
      </c>
      <c r="F152" s="222" t="inlineStr">
        <is>
          <t>m2</t>
        </is>
      </c>
      <c r="G152" s="223" t="n">
        <v>83.45</v>
      </c>
      <c r="H152" s="223" t="n">
        <v>103</v>
      </c>
      <c r="I152" s="223" t="n">
        <v>102.89</v>
      </c>
      <c r="J152" s="223" t="n"/>
      <c r="K152" s="223">
        <f>H154-G154</f>
        <v/>
      </c>
      <c r="L152" s="223">
        <f>I154-G154</f>
        <v/>
      </c>
      <c r="M152" s="223">
        <f>I154-H154</f>
        <v/>
      </c>
      <c r="N152" s="224">
        <f>K154/G154</f>
        <v/>
      </c>
      <c r="O152" s="222" t="n">
        <v>823.85</v>
      </c>
      <c r="P152" s="222" t="n">
        <v>632.95</v>
      </c>
      <c r="Q152" s="224">
        <f>(O154-P154)/P154</f>
        <v/>
      </c>
      <c r="R152" s="223">
        <f>P154*0.9056*0.85</f>
        <v/>
      </c>
      <c r="S152" s="223">
        <f>P154*1.15</f>
        <v/>
      </c>
      <c r="T152" s="223">
        <f>IF(O154&lt;P154*0.9056*0.85,P154*0.9056*0.85,IF(O154&gt;P154*1.15,P154*1.15,O154))</f>
        <v/>
      </c>
      <c r="U152" s="223" t="n">
        <v>68750.28</v>
      </c>
      <c r="V152" s="223" t="n">
        <v>82981.16</v>
      </c>
      <c r="W152" s="223">
        <f>U154+T154*L154</f>
        <v/>
      </c>
      <c r="X152" s="223">
        <f>V154-U154</f>
        <v/>
      </c>
      <c r="Y152" s="223">
        <f>W154-U154</f>
        <v/>
      </c>
      <c r="Z152" s="223">
        <f>W154-V154</f>
        <v/>
      </c>
      <c r="AA152" s="222" t="n"/>
      <c r="AB152" s="222" t="n"/>
      <c r="AC152" s="222" t="n"/>
      <c r="AD152" s="222" t="n"/>
      <c r="AE152" s="222" t="n"/>
      <c r="AF152" s="222" t="n"/>
      <c r="AG152" s="222" t="n"/>
      <c r="AH152" s="222" t="n"/>
      <c r="AI152" s="222" t="n"/>
      <c r="AJ152" s="222" t="n"/>
    </row>
    <row r="153" ht="92.25" customHeight="1" s="166">
      <c r="A153" s="222" t="n"/>
      <c r="B153" s="222" t="inlineStr">
        <is>
          <t>综合楼</t>
        </is>
      </c>
      <c r="C153" s="222" t="inlineStr">
        <is>
          <t>011207001009</t>
        </is>
      </c>
      <c r="D153" s="222" t="inlineStr">
        <is>
          <t>墙面装饰板</t>
        </is>
      </c>
      <c r="E153" s="222" t="inlineStr">
        <is>
          <t>1.25mm厚灰色吸音软包
2.50*50阻燃木龙骨
3.50mm厚超细玻璃棉（容重32kg/m3）
4.外包吸声无纺布
5.15mm阻燃夹板
6.其他详见施工设计图纸</t>
        </is>
      </c>
      <c r="F153" s="222" t="inlineStr">
        <is>
          <t>m2</t>
        </is>
      </c>
      <c r="G153" s="223" t="n">
        <v>9.19</v>
      </c>
      <c r="H153" s="223" t="n">
        <v>9.31</v>
      </c>
      <c r="I153" s="223">
        <f>9.31</f>
        <v/>
      </c>
      <c r="J153" s="223" t="n"/>
      <c r="K153" s="223">
        <f>H155-G155</f>
        <v/>
      </c>
      <c r="L153" s="223">
        <f>I155-G155</f>
        <v/>
      </c>
      <c r="M153" s="223">
        <f>I155-H155</f>
        <v/>
      </c>
      <c r="N153" s="224">
        <f>K155/G155</f>
        <v/>
      </c>
      <c r="O153" s="222" t="n">
        <v>442.56</v>
      </c>
      <c r="P153" s="222" t="n">
        <v>211.74</v>
      </c>
      <c r="Q153" s="224">
        <f>(O155-P155)/P155</f>
        <v/>
      </c>
      <c r="R153" s="223">
        <f>P155*0.9056*0.85</f>
        <v/>
      </c>
      <c r="S153" s="223">
        <f>P155*1.15</f>
        <v/>
      </c>
      <c r="T153" s="223">
        <f>IF(O155&lt;P155*0.9056*0.85,P155*0.9056*0.85,IF(O155&gt;P155*1.15,P155*1.15,O155))</f>
        <v/>
      </c>
      <c r="U153" s="223" t="n">
        <v>4065.09</v>
      </c>
      <c r="V153" s="223" t="n">
        <v>4095.77</v>
      </c>
      <c r="W153" s="223">
        <f>U155+T155*L155</f>
        <v/>
      </c>
      <c r="X153" s="223">
        <f>V155-U155</f>
        <v/>
      </c>
      <c r="Y153" s="223">
        <f>W155-U155</f>
        <v/>
      </c>
      <c r="Z153" s="223">
        <f>W155-V155</f>
        <v/>
      </c>
      <c r="AA153" s="222" t="n"/>
      <c r="AB153" s="222" t="n"/>
      <c r="AC153" s="222" t="n"/>
      <c r="AD153" s="222" t="n"/>
      <c r="AE153" s="222" t="n"/>
      <c r="AF153" s="222" t="n"/>
      <c r="AG153" s="222" t="n"/>
      <c r="AH153" s="222" t="n"/>
      <c r="AI153" s="222" t="n"/>
      <c r="AJ153" s="222" t="n"/>
    </row>
    <row r="154" ht="79.5" customHeight="1" s="166">
      <c r="A154" s="222" t="n"/>
      <c r="B154" s="222" t="inlineStr">
        <is>
          <t>综合楼</t>
        </is>
      </c>
      <c r="C154" s="222" t="inlineStr">
        <is>
          <t>011207001010</t>
        </is>
      </c>
      <c r="D154" s="222" t="inlineStr">
        <is>
          <t>墙面装饰板</t>
        </is>
      </c>
      <c r="E154" s="222" t="inlineStr">
        <is>
          <t>1.采光窗装饰墙面
2.22*22*1.0不锈钢方形管龙骨
3.8mm硅钙板
4.无机装修涂料
5.其他详见施工设计图</t>
        </is>
      </c>
      <c r="F154" s="222" t="inlineStr">
        <is>
          <t>m2</t>
        </is>
      </c>
      <c r="G154" s="223" t="n">
        <v>42.33</v>
      </c>
      <c r="H154" s="223" t="n">
        <v>137.8</v>
      </c>
      <c r="I154" s="223">
        <f>137.8</f>
        <v/>
      </c>
      <c r="J154" s="223" t="n"/>
      <c r="K154" s="223">
        <f>H156-G156</f>
        <v/>
      </c>
      <c r="L154" s="223">
        <f>I156-G156</f>
        <v/>
      </c>
      <c r="M154" s="223">
        <f>I156-H156</f>
        <v/>
      </c>
      <c r="N154" s="224">
        <f>K156/G156</f>
        <v/>
      </c>
      <c r="O154" s="222" t="n">
        <v>423.33</v>
      </c>
      <c r="P154" s="222" t="n">
        <v>160.16</v>
      </c>
      <c r="Q154" s="224">
        <f>(O156-P156)/P156</f>
        <v/>
      </c>
      <c r="R154" s="223">
        <f>P156*0.9056*0.85</f>
        <v/>
      </c>
      <c r="S154" s="223">
        <f>P156*1.15</f>
        <v/>
      </c>
      <c r="T154" s="223">
        <f>IF(O156&lt;P156*0.9056*0.85,P156*0.9056*0.85,IF(O156&gt;P156*1.15,P156*1.15,O156))</f>
        <v/>
      </c>
      <c r="U154" s="223" t="n">
        <v>17920.83</v>
      </c>
      <c r="V154" s="223" t="n">
        <v>35504.91</v>
      </c>
      <c r="W154" s="223">
        <f>U156+T156*L156</f>
        <v/>
      </c>
      <c r="X154" s="223">
        <f>V156-U156</f>
        <v/>
      </c>
      <c r="Y154" s="223">
        <f>W156-U156</f>
        <v/>
      </c>
      <c r="Z154" s="223">
        <f>W156-V156</f>
        <v/>
      </c>
      <c r="AA154" s="222" t="n"/>
      <c r="AB154" s="222" t="n"/>
      <c r="AC154" s="222" t="n"/>
      <c r="AD154" s="222" t="n"/>
      <c r="AE154" s="222" t="n"/>
      <c r="AF154" s="222" t="n"/>
      <c r="AG154" s="222" t="n"/>
      <c r="AH154" s="222" t="n"/>
      <c r="AI154" s="222" t="n"/>
      <c r="AJ154" s="222" t="n"/>
    </row>
    <row r="155" ht="41.25" customHeight="1" s="166">
      <c r="A155" s="222" t="n"/>
      <c r="B155" s="222" t="inlineStr">
        <is>
          <t>综合楼</t>
        </is>
      </c>
      <c r="C155" s="222" t="inlineStr">
        <is>
          <t>010809004001</t>
        </is>
      </c>
      <c r="D155" s="222" t="inlineStr">
        <is>
          <t>石材窗台板</t>
        </is>
      </c>
      <c r="E155" s="222" t="inlineStr">
        <is>
          <t>1.15mm深褐色人造石
2.位置：售卖窗窗台
3.其他详见施工设计图</t>
        </is>
      </c>
      <c r="F155" s="222" t="inlineStr">
        <is>
          <t>m2</t>
        </is>
      </c>
      <c r="G155" s="223" t="n">
        <v>25.43</v>
      </c>
      <c r="H155" s="223" t="n">
        <v>29.82</v>
      </c>
      <c r="I155" s="223">
        <f>29.82</f>
        <v/>
      </c>
      <c r="J155" s="223" t="n"/>
      <c r="K155" s="223">
        <f>H157-G157</f>
        <v/>
      </c>
      <c r="L155" s="223">
        <f>I157-G157</f>
        <v/>
      </c>
      <c r="M155" s="223">
        <f>I157-H157</f>
        <v/>
      </c>
      <c r="N155" s="224">
        <f>K157/G157</f>
        <v/>
      </c>
      <c r="O155" s="222" t="n">
        <v>430.56</v>
      </c>
      <c r="P155" s="222" t="n">
        <v>300.56</v>
      </c>
      <c r="Q155" s="224">
        <f>(O157-P157)/P157</f>
        <v/>
      </c>
      <c r="R155" s="223">
        <f>P157*0.9056*0.85</f>
        <v/>
      </c>
      <c r="S155" s="223">
        <f>P157*1.15</f>
        <v/>
      </c>
      <c r="T155" s="223">
        <f>IF(O157&lt;P157*0.9056*0.85,P157*0.9056*0.85,IF(O157&gt;P157*1.15,P157*1.15,O157))</f>
        <v/>
      </c>
      <c r="U155" s="223" t="n">
        <v>10949.14</v>
      </c>
      <c r="V155" s="223" t="n">
        <v>12466.24</v>
      </c>
      <c r="W155" s="223" t="n">
        <v>12466.24</v>
      </c>
      <c r="X155" s="223">
        <f>V157-U157</f>
        <v/>
      </c>
      <c r="Y155" s="223">
        <f>W157-U157</f>
        <v/>
      </c>
      <c r="Z155" s="223">
        <f>W157-V157</f>
        <v/>
      </c>
      <c r="AA155" s="222" t="n"/>
      <c r="AB155" s="222" t="n"/>
      <c r="AC155" s="222" t="n"/>
      <c r="AD155" s="222" t="n"/>
      <c r="AE155" s="222" t="n"/>
      <c r="AF155" s="222" t="n"/>
      <c r="AG155" s="222" t="n"/>
      <c r="AH155" s="222" t="n"/>
      <c r="AI155" s="222" t="n"/>
      <c r="AJ155" s="222" t="n"/>
    </row>
    <row r="156" ht="66.75" customHeight="1" s="166">
      <c r="A156" s="222" t="n"/>
      <c r="B156" s="222" t="inlineStr">
        <is>
          <t>综合楼</t>
        </is>
      </c>
      <c r="C156" s="222" t="inlineStr">
        <is>
          <t>011502002001</t>
        </is>
      </c>
      <c r="D156" s="222" t="inlineStr">
        <is>
          <t>墙面装饰线</t>
        </is>
      </c>
      <c r="E156" s="222" t="inlineStr">
        <is>
          <t>1.阶梯教室墙面装饰线
2.20*20阻燃木龙骨底架
3.8mm硅钙板
4.无机装修涂料
5.其他详见施工设计图</t>
        </is>
      </c>
      <c r="F156" s="222" t="inlineStr">
        <is>
          <t>m</t>
        </is>
      </c>
      <c r="G156" s="223" t="n">
        <v>56.07</v>
      </c>
      <c r="H156" s="223" t="n">
        <v>336.58</v>
      </c>
      <c r="I156" s="223">
        <f>55.73+280.84</f>
        <v/>
      </c>
      <c r="J156" s="223" t="n"/>
      <c r="K156" s="223">
        <f>H158-G158</f>
        <v/>
      </c>
      <c r="L156" s="223">
        <f>I158-G158</f>
        <v/>
      </c>
      <c r="M156" s="223">
        <f>I158-H158</f>
        <v/>
      </c>
      <c r="N156" s="224">
        <f>K158/G158</f>
        <v/>
      </c>
      <c r="O156" s="222" t="n">
        <v>103.69</v>
      </c>
      <c r="P156" s="222" t="n">
        <v>30.94</v>
      </c>
      <c r="Q156" s="224">
        <f>(O158-P158)/P158</f>
        <v/>
      </c>
      <c r="R156" s="223">
        <f>P158*0.9056*0.85</f>
        <v/>
      </c>
      <c r="S156" s="223">
        <f>P158*1.15</f>
        <v/>
      </c>
      <c r="T156" s="223">
        <f>IF(O158&lt;P158*0.9056*0.85,P158*0.9056*0.85,IF(O158&gt;P158*1.15,P158*1.15,O158))</f>
        <v/>
      </c>
      <c r="U156" s="223" t="n">
        <v>5813.9</v>
      </c>
      <c r="V156" s="223" t="n">
        <v>15794.6</v>
      </c>
      <c r="W156" s="223">
        <f>U158+T158*L158</f>
        <v/>
      </c>
      <c r="X156" s="223">
        <f>V158-U158</f>
        <v/>
      </c>
      <c r="Y156" s="223">
        <f>W158-U158</f>
        <v/>
      </c>
      <c r="Z156" s="223">
        <f>W158-V158</f>
        <v/>
      </c>
      <c r="AA156" s="222" t="n"/>
      <c r="AB156" s="222" t="n"/>
      <c r="AC156" s="222" t="n"/>
      <c r="AD156" s="222" t="n"/>
      <c r="AE156" s="222" t="n"/>
      <c r="AF156" s="222" t="n"/>
      <c r="AG156" s="222" t="n"/>
      <c r="AH156" s="222" t="n"/>
      <c r="AI156" s="222" t="n"/>
      <c r="AJ156" s="222" t="n"/>
    </row>
    <row r="157" ht="143.25" customHeight="1" s="166">
      <c r="A157" s="222" t="n"/>
      <c r="B157" s="222" t="inlineStr">
        <is>
          <t>综合楼</t>
        </is>
      </c>
      <c r="C157" s="222" t="inlineStr">
        <is>
          <t>011210001001</t>
        </is>
      </c>
      <c r="D157" s="222" t="inlineStr">
        <is>
          <t>轻钢龙骨隔墙</t>
        </is>
      </c>
      <c r="E157" s="222" t="inlineStr">
        <is>
          <t>1.教师餐厅售卖隔墙（不含售卖窗）
2.轻钢龙骨+30*30阻燃木龙骨
3.8mm硅钙板
4.双层5mm阻燃夹板造型
5.1.0mm304原色磨砂不锈钢
6.40*40*4.0mm镀锌角铁钢桁架过梁
7.刮塑油白色无机装修涂料
8.其他详见施工设计图</t>
        </is>
      </c>
      <c r="F157" s="222" t="inlineStr">
        <is>
          <t>m2</t>
        </is>
      </c>
      <c r="G157" s="223" t="n">
        <v>80.95</v>
      </c>
      <c r="H157" s="223" t="n">
        <v>89.22</v>
      </c>
      <c r="I157" s="223">
        <f>89.22</f>
        <v/>
      </c>
      <c r="J157" s="223" t="n"/>
      <c r="K157" s="223">
        <f>H159-G159</f>
        <v/>
      </c>
      <c r="L157" s="223">
        <f>I159-G159</f>
        <v/>
      </c>
      <c r="M157" s="223">
        <f>I159-H159</f>
        <v/>
      </c>
      <c r="N157" s="224">
        <f>K159/G159</f>
        <v/>
      </c>
      <c r="O157" s="222" t="n">
        <v>730.8099999999999</v>
      </c>
      <c r="P157" s="222" t="n">
        <v>456.55</v>
      </c>
      <c r="Q157" s="224">
        <f>(O159-P159)/P159</f>
        <v/>
      </c>
      <c r="R157" s="223">
        <f>P159*0.9056*0.85</f>
        <v/>
      </c>
      <c r="S157" s="223">
        <f>P159*1.15</f>
        <v/>
      </c>
      <c r="T157" s="223">
        <f>IF(O159&lt;P159*0.9056*0.85,P159*0.9056*0.85,IF(O159&gt;P159*1.15,P159*1.15,O159))</f>
        <v/>
      </c>
      <c r="U157" s="223" t="n">
        <v>59155.42</v>
      </c>
      <c r="V157" s="223" t="n">
        <v>63497.8</v>
      </c>
      <c r="W157" s="223">
        <f>U159+T159*L159</f>
        <v/>
      </c>
      <c r="X157" s="223">
        <f>V159-U159</f>
        <v/>
      </c>
      <c r="Y157" s="223">
        <f>W159-U159</f>
        <v/>
      </c>
      <c r="Z157" s="223">
        <f>W159-V159</f>
        <v/>
      </c>
      <c r="AA157" s="222" t="n"/>
      <c r="AB157" s="222" t="n"/>
      <c r="AC157" s="222" t="n"/>
      <c r="AD157" s="222" t="n"/>
      <c r="AE157" s="222" t="n"/>
      <c r="AF157" s="222" t="n"/>
      <c r="AG157" s="222" t="n"/>
      <c r="AH157" s="222" t="n"/>
      <c r="AI157" s="222" t="n"/>
      <c r="AJ157" s="222" t="n"/>
    </row>
    <row r="158" ht="41.25" customHeight="1" s="166">
      <c r="A158" s="222" t="n"/>
      <c r="B158" s="222" t="inlineStr">
        <is>
          <t>综合楼</t>
        </is>
      </c>
      <c r="C158" s="222" t="inlineStr">
        <is>
          <t>011507003001</t>
        </is>
      </c>
      <c r="D158" s="222" t="inlineStr">
        <is>
          <t>灯箱</t>
        </is>
      </c>
      <c r="E158" s="222" t="inlineStr">
        <is>
          <t>1.广告牌灯箱
2.位置：售卖窗
3.其他详见施工设计图</t>
        </is>
      </c>
      <c r="F158" s="222" t="inlineStr">
        <is>
          <t>m2</t>
        </is>
      </c>
      <c r="G158" s="223" t="n">
        <v>17.63</v>
      </c>
      <c r="H158" s="223" t="n">
        <v>20.27</v>
      </c>
      <c r="I158" s="223">
        <f>20.27</f>
        <v/>
      </c>
      <c r="J158" s="223" t="n"/>
      <c r="K158" s="223">
        <f>H160-G160</f>
        <v/>
      </c>
      <c r="L158" s="223">
        <f>I160-G160</f>
        <v/>
      </c>
      <c r="M158" s="223">
        <f>I160-H160</f>
        <v/>
      </c>
      <c r="N158" s="224">
        <f>K160/G160</f>
        <v/>
      </c>
      <c r="O158" s="222" t="n">
        <v>699.5700000000001</v>
      </c>
      <c r="P158" s="222" t="n">
        <v>258.08</v>
      </c>
      <c r="Q158" s="224">
        <f>(O160-P160)/P160</f>
        <v/>
      </c>
      <c r="R158" s="223">
        <f>P160*0.9056*0.85</f>
        <v/>
      </c>
      <c r="S158" s="223">
        <f>P160*1.15</f>
        <v/>
      </c>
      <c r="T158" s="223">
        <f>IF(O160&lt;P160*0.9056*0.85,P160*0.9056*0.85,IF(O160&gt;P160*1.15,P160*1.15,O160))</f>
        <v/>
      </c>
      <c r="U158" s="223" t="n">
        <v>12332.02</v>
      </c>
      <c r="V158" s="223" t="n">
        <v>13116.92</v>
      </c>
      <c r="W158" s="223">
        <f>U160+T160*L160</f>
        <v/>
      </c>
      <c r="X158" s="223">
        <f>V160-U160</f>
        <v/>
      </c>
      <c r="Y158" s="223">
        <f>W160-U160</f>
        <v/>
      </c>
      <c r="Z158" s="223">
        <f>W160-V160</f>
        <v/>
      </c>
      <c r="AA158" s="222" t="n"/>
      <c r="AB158" s="222" t="n"/>
      <c r="AC158" s="222" t="n"/>
      <c r="AD158" s="222" t="n"/>
      <c r="AE158" s="222" t="n"/>
      <c r="AF158" s="222" t="n"/>
      <c r="AG158" s="222" t="n"/>
      <c r="AH158" s="222" t="n"/>
      <c r="AI158" s="222" t="n"/>
      <c r="AJ158" s="222" t="n"/>
    </row>
    <row r="159" ht="28.5" customHeight="1" s="166">
      <c r="A159" s="222" t="n"/>
      <c r="B159" s="222" t="inlineStr">
        <is>
          <t>综合楼</t>
        </is>
      </c>
      <c r="C159" s="222" t="n"/>
      <c r="D159" s="222" t="inlineStr">
        <is>
          <t>天棚工程</t>
        </is>
      </c>
      <c r="E159" s="222" t="n"/>
      <c r="F159" s="222" t="n"/>
      <c r="G159" s="223" t="n"/>
      <c r="H159" s="223" t="n"/>
      <c r="I159" s="223" t="n"/>
      <c r="J159" s="223" t="n"/>
      <c r="K159" s="223" t="n"/>
      <c r="L159" s="223" t="n"/>
      <c r="M159" s="223" t="n"/>
      <c r="N159" s="224" t="n"/>
      <c r="O159" s="222" t="n"/>
      <c r="P159" s="222" t="n"/>
      <c r="Q159" s="224" t="n"/>
      <c r="R159" s="223" t="n"/>
      <c r="S159" s="223" t="n"/>
      <c r="T159" s="223" t="n"/>
      <c r="U159" s="223" t="n">
        <v>1110460.07</v>
      </c>
      <c r="V159" s="223" t="n">
        <v>1163442.67</v>
      </c>
      <c r="W159" s="223">
        <f>+SUM(W162:W170)</f>
        <v/>
      </c>
      <c r="X159" s="223">
        <f>V161-U161</f>
        <v/>
      </c>
      <c r="Y159" s="223">
        <f>W161-U161</f>
        <v/>
      </c>
      <c r="Z159" s="223">
        <f>W161-V161</f>
        <v/>
      </c>
      <c r="AA159" s="222" t="n"/>
      <c r="AB159" s="222" t="n"/>
      <c r="AC159" s="222" t="n"/>
      <c r="AD159" s="222" t="n"/>
      <c r="AE159" s="222" t="n"/>
      <c r="AF159" s="222" t="n"/>
      <c r="AG159" s="222" t="n"/>
      <c r="AH159" s="222" t="n"/>
      <c r="AI159" s="222" t="n"/>
      <c r="AJ159" s="222" t="n"/>
    </row>
    <row r="160" ht="28.5" customHeight="1" s="166">
      <c r="A160" s="222" t="n"/>
      <c r="B160" s="222" t="inlineStr">
        <is>
          <t>综合楼</t>
        </is>
      </c>
      <c r="C160" s="222" t="inlineStr">
        <is>
          <t>011407002001</t>
        </is>
      </c>
      <c r="D160" s="222" t="inlineStr">
        <is>
          <t>天棚喷刷涂料（顶1）</t>
        </is>
      </c>
      <c r="E160" s="222" t="inlineStr">
        <is>
          <t>1.加强型腻子找平层5厚
2.无机涂料,三遍成活</t>
        </is>
      </c>
      <c r="F160" s="222" t="inlineStr">
        <is>
          <t>m2</t>
        </is>
      </c>
      <c r="G160" s="223" t="n">
        <v>3212.05</v>
      </c>
      <c r="H160" s="223" t="n">
        <v>3212.05</v>
      </c>
      <c r="I160" s="223">
        <f>82.91+611.77+2145.37+171.38</f>
        <v/>
      </c>
      <c r="J160" s="223" t="n"/>
      <c r="K160" s="223">
        <f>H162-G162</f>
        <v/>
      </c>
      <c r="L160" s="223">
        <f>I162-G162</f>
        <v/>
      </c>
      <c r="M160" s="223">
        <f>I162-H162</f>
        <v/>
      </c>
      <c r="N160" s="224">
        <f>K162/G162</f>
        <v/>
      </c>
      <c r="O160" s="222" t="n">
        <v>39.44</v>
      </c>
      <c r="P160" s="222" t="n">
        <v>48.24</v>
      </c>
      <c r="Q160" s="224">
        <f>(O162-P162)/P162</f>
        <v/>
      </c>
      <c r="R160" s="223">
        <f>P162*0.9056*0.85</f>
        <v/>
      </c>
      <c r="S160" s="223">
        <f>P162*1.15</f>
        <v/>
      </c>
      <c r="T160" s="223">
        <f>IF(O162&lt;P162*0.9056*0.85,P162*0.9056*0.85,IF(O162&gt;P162*1.15,P162*1.15,O162))</f>
        <v/>
      </c>
      <c r="U160" s="223" t="n">
        <v>126683.18</v>
      </c>
      <c r="V160" s="223" t="n">
        <v>126683.18</v>
      </c>
      <c r="W160" s="223">
        <f>U162+T162*L162</f>
        <v/>
      </c>
      <c r="X160" s="223">
        <f>V162-U162</f>
        <v/>
      </c>
      <c r="Y160" s="223">
        <f>W162-U162</f>
        <v/>
      </c>
      <c r="Z160" s="223">
        <f>W162-V162</f>
        <v/>
      </c>
      <c r="AA160" s="222" t="inlineStr">
        <is>
          <t>复核车道顶棚是否在地下室计算</t>
        </is>
      </c>
      <c r="AB160" s="222" t="n"/>
      <c r="AC160" s="222" t="n"/>
      <c r="AD160" s="222" t="n"/>
      <c r="AE160" s="222" t="n"/>
      <c r="AF160" s="222" t="n"/>
      <c r="AG160" s="222" t="n"/>
      <c r="AH160" s="222" t="n"/>
      <c r="AI160" s="222" t="n"/>
      <c r="AJ160" s="222" t="n"/>
    </row>
    <row r="161" ht="28.5" customHeight="1" s="166">
      <c r="A161" s="222" t="n"/>
      <c r="B161" s="222" t="inlineStr">
        <is>
          <t>综合楼</t>
        </is>
      </c>
      <c r="C161" s="222" t="inlineStr">
        <is>
          <t>011406001006</t>
        </is>
      </c>
      <c r="D161" s="222" t="inlineStr">
        <is>
          <t>抹灰面油漆（顶2）</t>
        </is>
      </c>
      <c r="E161" s="222" t="inlineStr">
        <is>
          <t>1.扫白色灰水二道</t>
        </is>
      </c>
      <c r="F161" s="222" t="inlineStr">
        <is>
          <t>m2</t>
        </is>
      </c>
      <c r="G161" s="223" t="n">
        <v>16.56</v>
      </c>
      <c r="H161" s="223" t="n">
        <v>17.45</v>
      </c>
      <c r="I161" s="223" t="n">
        <v>16.56</v>
      </c>
      <c r="J161" s="223" t="n">
        <v>17.25</v>
      </c>
      <c r="K161" s="223">
        <f>H163-G163</f>
        <v/>
      </c>
      <c r="L161" s="223">
        <f>I163-G163</f>
        <v/>
      </c>
      <c r="M161" s="223">
        <f>I163-H163</f>
        <v/>
      </c>
      <c r="N161" s="224">
        <f>K163/G163</f>
        <v/>
      </c>
      <c r="O161" s="222" t="n">
        <v>19.62</v>
      </c>
      <c r="P161" s="222" t="n">
        <v>17.11</v>
      </c>
      <c r="Q161" s="224">
        <f>(O163-P163)/P163</f>
        <v/>
      </c>
      <c r="R161" s="223">
        <f>P163*0.9056*0.85</f>
        <v/>
      </c>
      <c r="S161" s="223">
        <f>P163*1.15</f>
        <v/>
      </c>
      <c r="T161" s="223">
        <f>IF(O163&lt;P163*0.9056*0.85,P163*0.9056*0.85,IF(O163&gt;P163*1.15,P163*1.15,O163))</f>
        <v/>
      </c>
      <c r="U161" s="223" t="n">
        <v>324.87</v>
      </c>
      <c r="V161" s="223" t="n">
        <v>342.27</v>
      </c>
      <c r="W161" s="223">
        <f>U163+T163*L163</f>
        <v/>
      </c>
      <c r="X161" s="223">
        <f>V163-U163</f>
        <v/>
      </c>
      <c r="Y161" s="223">
        <f>W163-U163</f>
        <v/>
      </c>
      <c r="Z161" s="223">
        <f>W163-V163</f>
        <v/>
      </c>
      <c r="AA161" s="222" t="inlineStr">
        <is>
          <t>变更16修改做法，在变更扣减</t>
        </is>
      </c>
      <c r="AB161" s="222" t="n"/>
      <c r="AC161" s="222" t="n"/>
      <c r="AD161" s="222" t="n"/>
      <c r="AE161" s="222" t="n"/>
      <c r="AF161" s="222" t="n"/>
      <c r="AG161" s="222" t="n"/>
      <c r="AH161" s="222" t="n"/>
      <c r="AI161" s="222" t="n"/>
      <c r="AJ161" s="222" t="n"/>
    </row>
    <row r="162" ht="41.25" customHeight="1" s="166">
      <c r="A162" s="222" t="n"/>
      <c r="B162" s="222" t="inlineStr">
        <is>
          <t>综合楼</t>
        </is>
      </c>
      <c r="C162" s="222" t="inlineStr">
        <is>
          <t>011302001001</t>
        </is>
      </c>
      <c r="D162" s="222" t="inlineStr">
        <is>
          <t>吊顶天棚（室外）</t>
        </is>
      </c>
      <c r="E162" s="222" t="inlineStr">
        <is>
          <t>1.2.5mm铝单板吊顶
2.L50*5角钢@1200
3.做法详见图纸</t>
        </is>
      </c>
      <c r="F162" s="222" t="inlineStr">
        <is>
          <t>m2</t>
        </is>
      </c>
      <c r="G162" s="223" t="n">
        <v>631.61</v>
      </c>
      <c r="H162" s="223" t="n">
        <v>631.61</v>
      </c>
      <c r="I162" s="223">
        <f>545.95</f>
        <v/>
      </c>
      <c r="J162" s="223">
        <f>363.825+153*2</f>
        <v/>
      </c>
      <c r="K162" s="223">
        <f>H164-G164</f>
        <v/>
      </c>
      <c r="L162" s="223">
        <f>I164-G164</f>
        <v/>
      </c>
      <c r="M162" s="223">
        <f>I164-H164</f>
        <v/>
      </c>
      <c r="N162" s="224">
        <f>K164/G164</f>
        <v/>
      </c>
      <c r="O162" s="222" t="n">
        <v>665.34</v>
      </c>
      <c r="P162" s="222" t="n">
        <v>645.25</v>
      </c>
      <c r="Q162" s="224">
        <f>(O164-P164)/P164</f>
        <v/>
      </c>
      <c r="R162" s="223">
        <f>P164*0.9056*0.85</f>
        <v/>
      </c>
      <c r="S162" s="223">
        <f>P164*1.15</f>
        <v/>
      </c>
      <c r="T162" s="223">
        <f>IF(O164&lt;P164*0.9056*0.85,P164*0.9056*0.85,IF(O164&gt;P164*1.15,P164*1.15,O164))</f>
        <v/>
      </c>
      <c r="U162" s="223" t="n">
        <v>420235.4</v>
      </c>
      <c r="V162" s="223" t="n">
        <v>420235.4</v>
      </c>
      <c r="W162" s="223">
        <f>U164+T164*L164</f>
        <v/>
      </c>
      <c r="X162" s="223">
        <f>V164-U164</f>
        <v/>
      </c>
      <c r="Y162" s="223">
        <f>W164-U164</f>
        <v/>
      </c>
      <c r="Z162" s="223">
        <f>W164-V164</f>
        <v/>
      </c>
      <c r="AA162" s="222" t="inlineStr">
        <is>
          <t>此处还需再核对</t>
        </is>
      </c>
      <c r="AB162" s="222" t="inlineStr">
        <is>
          <t>此处详怡海小学
铝合金门窗深化图</t>
        </is>
      </c>
      <c r="AC162" s="222" t="n"/>
      <c r="AD162" s="222" t="n"/>
      <c r="AE162" s="222" t="n"/>
      <c r="AF162" s="222" t="inlineStr">
        <is>
          <t>补变更手续</t>
        </is>
      </c>
      <c r="AG162" s="222" t="n"/>
      <c r="AH162" s="222" t="n"/>
      <c r="AI162" s="222" t="n"/>
      <c r="AJ162" s="222" t="n"/>
    </row>
    <row r="163" ht="28.5" customHeight="1" s="166">
      <c r="A163" s="222" t="n"/>
      <c r="B163" s="222" t="inlineStr">
        <is>
          <t>综合楼</t>
        </is>
      </c>
      <c r="C163" s="222" t="inlineStr">
        <is>
          <t>011406001007</t>
        </is>
      </c>
      <c r="D163" s="222" t="inlineStr">
        <is>
          <t>抹灰面油漆（顶5）</t>
        </is>
      </c>
      <c r="E163" s="222" t="inlineStr">
        <is>
          <t>1.耐水防霉白色腻子两遍</t>
        </is>
      </c>
      <c r="F163" s="222" t="inlineStr">
        <is>
          <t>m2</t>
        </is>
      </c>
      <c r="G163" s="223" t="n">
        <v>1449.08</v>
      </c>
      <c r="H163" s="223" t="n">
        <v>1624.99</v>
      </c>
      <c r="I163" s="223">
        <f>1623.18</f>
        <v/>
      </c>
      <c r="J163" s="223" t="n"/>
      <c r="K163" s="223">
        <f>H165-G165</f>
        <v/>
      </c>
      <c r="L163" s="223">
        <f>I165-G165</f>
        <v/>
      </c>
      <c r="M163" s="223">
        <f>I165-H165</f>
        <v/>
      </c>
      <c r="N163" s="224">
        <f>K165/G165</f>
        <v/>
      </c>
      <c r="O163" s="222" t="n">
        <v>19.62</v>
      </c>
      <c r="P163" s="222" t="n">
        <v>21.48</v>
      </c>
      <c r="Q163" s="224">
        <f>(O165-P165)/P165</f>
        <v/>
      </c>
      <c r="R163" s="223">
        <f>P165*0.9056*0.85</f>
        <v/>
      </c>
      <c r="S163" s="223">
        <f>P165*1.15</f>
        <v/>
      </c>
      <c r="T163" s="223">
        <f>IF(O165&lt;P165*0.9056*0.85,P165*0.9056*0.85,IF(O165&gt;P165*1.15,P165*1.15,O165))</f>
        <v/>
      </c>
      <c r="U163" s="223" t="n">
        <v>28430.92</v>
      </c>
      <c r="V163" s="223" t="n">
        <v>31882.38</v>
      </c>
      <c r="W163" s="223">
        <f>U165+T165*L165</f>
        <v/>
      </c>
      <c r="X163" s="223">
        <f>V165-U165</f>
        <v/>
      </c>
      <c r="Y163" s="223">
        <f>W165-U165</f>
        <v/>
      </c>
      <c r="Z163" s="223">
        <f>W165-V165</f>
        <v/>
      </c>
      <c r="AA163" s="222" t="n"/>
      <c r="AB163" s="222" t="n"/>
      <c r="AC163" s="222" t="n"/>
      <c r="AD163" s="222" t="n"/>
      <c r="AE163" s="222" t="n"/>
      <c r="AF163" s="222" t="n"/>
      <c r="AG163" s="222" t="n"/>
      <c r="AH163" s="222" t="n"/>
      <c r="AI163" s="222" t="n"/>
      <c r="AJ163" s="222" t="n"/>
    </row>
    <row r="164" ht="105" customHeight="1" s="166">
      <c r="A164" s="222" t="n"/>
      <c r="B164" s="222" t="inlineStr">
        <is>
          <t>综合楼</t>
        </is>
      </c>
      <c r="C164" s="222" t="inlineStr">
        <is>
          <t>011302001002</t>
        </is>
      </c>
      <c r="D164" s="222" t="inlineStr">
        <is>
          <t>吊顶天棚</t>
        </is>
      </c>
      <c r="E164" s="222" t="inlineStr">
        <is>
          <t>1.3mm厚穿孔铝板吊顶
2.龙骨：40*40*2mm厚不锈钢方管底架，金属吊杆
3.50厚超细玻璃棉（容重24kg/m3）
4.不燃黑色无妨布包裹800*800
5.其他详见施工设计图</t>
        </is>
      </c>
      <c r="F164" s="222" t="inlineStr">
        <is>
          <t>m2</t>
        </is>
      </c>
      <c r="G164" s="223" t="n">
        <v>485.21</v>
      </c>
      <c r="H164" s="223" t="n">
        <v>485.43</v>
      </c>
      <c r="I164" s="223">
        <f>485.24</f>
        <v/>
      </c>
      <c r="J164" s="223" t="n"/>
      <c r="K164" s="223">
        <f>H166-G166</f>
        <v/>
      </c>
      <c r="L164" s="223">
        <f>I166-G166</f>
        <v/>
      </c>
      <c r="M164" s="223">
        <f>I166-H166</f>
        <v/>
      </c>
      <c r="N164" s="224">
        <f>K166/G166</f>
        <v/>
      </c>
      <c r="O164" s="222" t="n">
        <v>685.63</v>
      </c>
      <c r="P164" s="222" t="n">
        <v>780.55</v>
      </c>
      <c r="Q164" s="224">
        <f>(O166-P166)/P166</f>
        <v/>
      </c>
      <c r="R164" s="223">
        <f>P166*0.9056*0.85</f>
        <v/>
      </c>
      <c r="S164" s="223">
        <f>P166*1.15</f>
        <v/>
      </c>
      <c r="T164" s="223">
        <f>IF(O166&lt;P166*0.9056*0.85,P166*0.9056*0.85,IF(O166&gt;P166*1.15,P166*1.15,O166))</f>
        <v/>
      </c>
      <c r="U164" s="223" t="n">
        <v>332674.53</v>
      </c>
      <c r="V164" s="223" t="n">
        <v>332824.75</v>
      </c>
      <c r="W164" s="223">
        <f>U166+T166*L166</f>
        <v/>
      </c>
      <c r="X164" s="223">
        <f>V166-U166</f>
        <v/>
      </c>
      <c r="Y164" s="223">
        <f>W166-U166</f>
        <v/>
      </c>
      <c r="Z164" s="223">
        <f>W166-V166</f>
        <v/>
      </c>
      <c r="AA164" s="222" t="n"/>
      <c r="AB164" s="222" t="n"/>
      <c r="AC164" s="222" t="n"/>
      <c r="AD164" s="222" t="n"/>
      <c r="AE164" s="222" t="n"/>
      <c r="AF164" s="222" t="n"/>
      <c r="AG164" s="222" t="n"/>
      <c r="AH164" s="222" t="n"/>
      <c r="AI164" s="222" t="n"/>
      <c r="AJ164" s="222" t="n"/>
    </row>
    <row r="165" ht="92.25" customHeight="1" s="166">
      <c r="A165" s="222" t="n"/>
      <c r="B165" s="222" t="inlineStr">
        <is>
          <t>综合楼</t>
        </is>
      </c>
      <c r="C165" s="222" t="inlineStr">
        <is>
          <t>011302001003</t>
        </is>
      </c>
      <c r="D165" s="222" t="inlineStr">
        <is>
          <t>吊顶天棚</t>
        </is>
      </c>
      <c r="E165" s="222" t="inlineStr">
        <is>
          <t>1.装配式U型轻钢天棚龙骨(不上人型)面层规格(mm)600×600跌级
2.9mm胶合板基层
3.8MM厚硅钙板天花面层
4.加强型腻子找平层5厚
5.无机涂料,三遍成活</t>
        </is>
      </c>
      <c r="F165" s="222" t="inlineStr">
        <is>
          <t>m2</t>
        </is>
      </c>
      <c r="G165" s="223" t="n">
        <v>116.4</v>
      </c>
      <c r="H165" s="223" t="n">
        <v>231.88</v>
      </c>
      <c r="I165" s="223">
        <f>217.67</f>
        <v/>
      </c>
      <c r="J165" s="223" t="n"/>
      <c r="K165" s="223">
        <f>H167-G167</f>
        <v/>
      </c>
      <c r="L165" s="223">
        <f>I167-G167</f>
        <v/>
      </c>
      <c r="M165" s="223">
        <f>I167-H167</f>
        <v/>
      </c>
      <c r="N165" s="224">
        <f>K167/G167</f>
        <v/>
      </c>
      <c r="O165" s="222" t="n">
        <v>170.61</v>
      </c>
      <c r="P165" s="222" t="n">
        <v>176.34</v>
      </c>
      <c r="Q165" s="224">
        <f>(O167-P167)/P167</f>
        <v/>
      </c>
      <c r="R165" s="223">
        <f>P167*0.9056*0.85</f>
        <v/>
      </c>
      <c r="S165" s="223">
        <f>P167*1.15</f>
        <v/>
      </c>
      <c r="T165" s="223">
        <f>IF(O167&lt;P167*0.9056*0.85,P167*0.9056*0.85,IF(O167&gt;P167*1.15,P167*1.15,O167))</f>
        <v/>
      </c>
      <c r="U165" s="223" t="n">
        <v>19859.46</v>
      </c>
      <c r="V165" s="223" t="n">
        <v>39561.59</v>
      </c>
      <c r="W165" s="223">
        <f>U167+T167*L167</f>
        <v/>
      </c>
      <c r="X165" s="223">
        <f>V167-U167</f>
        <v/>
      </c>
      <c r="Y165" s="223">
        <f>W167-U167</f>
        <v/>
      </c>
      <c r="Z165" s="223">
        <f>W167-V167</f>
        <v/>
      </c>
      <c r="AA165" s="222" t="n"/>
      <c r="AB165" s="222" t="n"/>
      <c r="AC165" s="222" t="n"/>
      <c r="AD165" s="222" t="n"/>
      <c r="AE165" s="222" t="n"/>
      <c r="AF165" s="222" t="n"/>
      <c r="AG165" s="222" t="n"/>
      <c r="AH165" s="222" t="n"/>
      <c r="AI165" s="222" t="n"/>
      <c r="AJ165" s="222" t="n"/>
    </row>
    <row r="166" ht="66.75" customHeight="1" s="166">
      <c r="A166" s="222" t="n"/>
      <c r="B166" s="222" t="inlineStr">
        <is>
          <t>综合楼</t>
        </is>
      </c>
      <c r="C166" s="222" t="inlineStr">
        <is>
          <t>011302001004</t>
        </is>
      </c>
      <c r="D166" s="222" t="inlineStr">
        <is>
          <t>吊顶天棚</t>
        </is>
      </c>
      <c r="E166" s="222" t="inlineStr">
        <is>
          <t>1.龙骨材料种类、规格、中距:轻钢龙骨
2.面层材料品种、规格:600*600*0.8mm铝扣板平面方板</t>
        </is>
      </c>
      <c r="F166" s="222" t="inlineStr">
        <is>
          <t>m2</t>
        </is>
      </c>
      <c r="G166" s="223" t="n">
        <v>194.8</v>
      </c>
      <c r="H166" s="223" t="n">
        <v>197.41</v>
      </c>
      <c r="I166" s="223">
        <f>97.33+100.08</f>
        <v/>
      </c>
      <c r="J166" s="223" t="n"/>
      <c r="K166" s="223">
        <f>H168-G168</f>
        <v/>
      </c>
      <c r="L166" s="223">
        <f>I168-G168</f>
        <v/>
      </c>
      <c r="M166" s="223">
        <f>I168-H168</f>
        <v/>
      </c>
      <c r="N166" s="224">
        <f>K168/G168</f>
        <v/>
      </c>
      <c r="O166" s="222" t="n">
        <v>167.7</v>
      </c>
      <c r="P166" s="222" t="n">
        <v>195.42</v>
      </c>
      <c r="Q166" s="224">
        <f>(O168-P168)/P168</f>
        <v/>
      </c>
      <c r="R166" s="223">
        <f>P168*0.9056*0.85</f>
        <v/>
      </c>
      <c r="S166" s="223">
        <f>P168*1.15</f>
        <v/>
      </c>
      <c r="T166" s="223">
        <f>IF(O168&lt;P168*0.9056*0.85,P168*0.9056*0.85,IF(O168&gt;P168*1.15,P168*1.15,O168))</f>
        <v/>
      </c>
      <c r="U166" s="223" t="n">
        <v>32668.71</v>
      </c>
      <c r="V166" s="223" t="n">
        <v>33105.66</v>
      </c>
      <c r="W166" s="223" t="n">
        <v>33105.66</v>
      </c>
      <c r="X166" s="223">
        <f>V168-U168</f>
        <v/>
      </c>
      <c r="Y166" s="223">
        <f>W168-U168</f>
        <v/>
      </c>
      <c r="Z166" s="223">
        <f>W168-V168</f>
        <v/>
      </c>
      <c r="AA166" s="222" t="n"/>
      <c r="AB166" s="222" t="n"/>
      <c r="AC166" s="222" t="n"/>
      <c r="AD166" s="222" t="n"/>
      <c r="AE166" s="222" t="n"/>
      <c r="AF166" s="222" t="n"/>
      <c r="AG166" s="222" t="n"/>
      <c r="AH166" s="222" t="n"/>
      <c r="AI166" s="222" t="n"/>
      <c r="AJ166" s="222" t="n"/>
    </row>
    <row r="167" ht="41.25" customHeight="1" s="166">
      <c r="A167" s="222" t="n"/>
      <c r="B167" s="222" t="inlineStr">
        <is>
          <t>综合楼</t>
        </is>
      </c>
      <c r="C167" s="222" t="inlineStr">
        <is>
          <t>011302002001</t>
        </is>
      </c>
      <c r="D167" s="222" t="inlineStr">
        <is>
          <t>格栅吊顶</t>
        </is>
      </c>
      <c r="E167" s="222" t="inlineStr">
        <is>
          <t>1.50*100*1.0铝方管格栅天花(木纹转印)
2.做法详见图纸</t>
        </is>
      </c>
      <c r="F167" s="222" t="inlineStr">
        <is>
          <t>m2</t>
        </is>
      </c>
      <c r="G167" s="223" t="n">
        <v>81.70999999999999</v>
      </c>
      <c r="H167" s="223" t="n">
        <v>130.25</v>
      </c>
      <c r="I167" s="223" t="n">
        <v>130.25</v>
      </c>
      <c r="J167" s="223" t="n"/>
      <c r="K167" s="223">
        <f>H169-G169</f>
        <v/>
      </c>
      <c r="L167" s="223">
        <f>I169-G169</f>
        <v/>
      </c>
      <c r="M167" s="223">
        <f>I169-H169</f>
        <v/>
      </c>
      <c r="N167" s="224">
        <f>K169/G169</f>
        <v/>
      </c>
      <c r="O167" s="222" t="n">
        <v>203.6</v>
      </c>
      <c r="P167" s="222" t="n">
        <v>199.66</v>
      </c>
      <c r="Q167" s="224">
        <f>(O169-P169)/P169</f>
        <v/>
      </c>
      <c r="R167" s="223">
        <f>P169*0.9056*0.85</f>
        <v/>
      </c>
      <c r="S167" s="223">
        <f>P169*1.15</f>
        <v/>
      </c>
      <c r="T167" s="223">
        <f>IF(O169&lt;P169*0.9056*0.85,P169*0.9056*0.85,IF(O169&gt;P169*1.15,P169*1.15,O169))</f>
        <v/>
      </c>
      <c r="U167" s="223" t="n">
        <v>16635.85</v>
      </c>
      <c r="V167" s="223" t="n">
        <v>26519.65</v>
      </c>
      <c r="W167" s="223">
        <f>U169+T169*L169</f>
        <v/>
      </c>
      <c r="X167" s="223">
        <f>V169-U169</f>
        <v/>
      </c>
      <c r="Y167" s="223">
        <f>W169-U169</f>
        <v/>
      </c>
      <c r="Z167" s="223">
        <f>W169-V169</f>
        <v/>
      </c>
      <c r="AA167" s="222" t="n"/>
      <c r="AB167" s="222" t="n"/>
      <c r="AC167" s="222" t="n"/>
      <c r="AD167" s="222" t="n"/>
      <c r="AE167" s="222" t="n"/>
      <c r="AF167" s="222" t="n"/>
      <c r="AG167" s="222" t="n"/>
      <c r="AH167" s="222" t="n"/>
      <c r="AI167" s="222" t="n"/>
      <c r="AJ167" s="222" t="n"/>
    </row>
    <row r="168" ht="92.25" customHeight="1" s="166">
      <c r="A168" s="222" t="n"/>
      <c r="B168" s="222" t="inlineStr">
        <is>
          <t>综合楼</t>
        </is>
      </c>
      <c r="C168" s="222" t="inlineStr">
        <is>
          <t>011302001005</t>
        </is>
      </c>
      <c r="D168" s="222" t="inlineStr">
        <is>
          <t>吊顶天棚</t>
        </is>
      </c>
      <c r="E168" s="222" t="inlineStr">
        <is>
          <t>1.2.5mm厚氟碳冲孔铝单板
2.40*40*3镀锌角钢网架+底架
3.50mm厚超细玻璃棉（容重24KG/M3）
4.不燃黑色无纺布
5.其他详细施工设计图</t>
        </is>
      </c>
      <c r="F168" s="222" t="inlineStr">
        <is>
          <t>m2</t>
        </is>
      </c>
      <c r="G168" s="223" t="n">
        <v>219.24</v>
      </c>
      <c r="H168" s="223" t="n">
        <v>251.13</v>
      </c>
      <c r="I168" s="223" t="n">
        <v>251.13</v>
      </c>
      <c r="J168" s="223" t="n"/>
      <c r="K168" s="223">
        <f>H170-G170</f>
        <v/>
      </c>
      <c r="L168" s="223">
        <f>I170-G170</f>
        <v/>
      </c>
      <c r="M168" s="223">
        <f>I170-H170</f>
        <v/>
      </c>
      <c r="N168" s="224">
        <f>K170/G170</f>
        <v/>
      </c>
      <c r="O168" s="222" t="n">
        <v>606.4</v>
      </c>
      <c r="P168" s="222" t="n">
        <v>699.74</v>
      </c>
      <c r="Q168" s="224">
        <f>(O170-P170)/P170</f>
        <v/>
      </c>
      <c r="R168" s="223">
        <f>P170*0.9056*0.85</f>
        <v/>
      </c>
      <c r="S168" s="223">
        <f>P170*1.15</f>
        <v/>
      </c>
      <c r="T168" s="223">
        <f>IF(O170&lt;P170*0.9056*0.85,P170*0.9056*0.85,IF(O170&gt;P170*1.15,P170*1.15,O170))</f>
        <v/>
      </c>
      <c r="U168" s="223" t="n">
        <v>132947.14</v>
      </c>
      <c r="V168" s="223" t="n">
        <v>152287.78</v>
      </c>
      <c r="W168" s="223">
        <f>U170+T170*L170</f>
        <v/>
      </c>
      <c r="X168" s="223">
        <f>V170-U170</f>
        <v/>
      </c>
      <c r="Y168" s="223">
        <f>W170-U170</f>
        <v/>
      </c>
      <c r="Z168" s="223">
        <f>W170-V170</f>
        <v/>
      </c>
      <c r="AA168" s="222" t="n"/>
      <c r="AB168" s="222" t="n"/>
      <c r="AC168" s="222" t="n"/>
      <c r="AD168" s="222" t="n"/>
      <c r="AE168" s="222" t="n"/>
      <c r="AF168" s="222" t="n"/>
      <c r="AG168" s="222" t="n"/>
      <c r="AH168" s="222" t="n"/>
      <c r="AI168" s="222" t="n"/>
      <c r="AJ168" s="222" t="n"/>
    </row>
    <row r="169" ht="28.5" customHeight="1" s="166">
      <c r="A169" s="222" t="n"/>
      <c r="B169" s="222" t="inlineStr">
        <is>
          <t>综合楼</t>
        </is>
      </c>
      <c r="C169" s="222" t="n"/>
      <c r="D169" s="222" t="inlineStr">
        <is>
          <t>其他装饰工程</t>
        </is>
      </c>
      <c r="E169" s="222" t="n"/>
      <c r="F169" s="222" t="n"/>
      <c r="G169" s="223" t="n"/>
      <c r="H169" s="223" t="n"/>
      <c r="I169" s="223" t="n"/>
      <c r="J169" s="223" t="n"/>
      <c r="K169" s="223" t="n"/>
      <c r="L169" s="223" t="n"/>
      <c r="M169" s="223" t="n"/>
      <c r="N169" s="224" t="n"/>
      <c r="O169" s="222" t="n"/>
      <c r="P169" s="222" t="n"/>
      <c r="Q169" s="224" t="n"/>
      <c r="R169" s="223" t="n"/>
      <c r="S169" s="223" t="n"/>
      <c r="T169" s="223" t="n"/>
      <c r="U169" s="223" t="n">
        <v>181690.65</v>
      </c>
      <c r="V169" s="223" t="n">
        <v>214493.81</v>
      </c>
      <c r="W169" s="223">
        <f>+SUM(W172:W189)</f>
        <v/>
      </c>
      <c r="X169" s="223">
        <f>V171-U171</f>
        <v/>
      </c>
      <c r="Y169" s="223">
        <f>W171-U171</f>
        <v/>
      </c>
      <c r="Z169" s="223">
        <f>W171-V171</f>
        <v/>
      </c>
      <c r="AA169" s="222" t="n"/>
      <c r="AB169" s="222" t="n"/>
      <c r="AC169" s="222" t="n"/>
      <c r="AD169" s="222" t="n"/>
      <c r="AE169" s="222" t="n"/>
      <c r="AF169" s="222" t="n"/>
      <c r="AG169" s="222" t="n"/>
      <c r="AH169" s="222" t="n"/>
      <c r="AI169" s="222" t="n"/>
      <c r="AJ169" s="222" t="n"/>
    </row>
    <row r="170" ht="92.25" customHeight="1" s="166">
      <c r="A170" s="222" t="n"/>
      <c r="B170" s="222" t="inlineStr">
        <is>
          <t>综合楼</t>
        </is>
      </c>
      <c r="C170" s="222" t="inlineStr">
        <is>
          <t>010507001001</t>
        </is>
      </c>
      <c r="D170" s="222" t="inlineStr">
        <is>
          <t>室外坡道</t>
        </is>
      </c>
      <c r="E170" s="222" t="inlineStr">
        <is>
          <t>1.室外坡道（13ZJ301-5/19）
2.300mm厚3：7灰土垫层
3.100mm厚C15混凝土
4.25厚1：3干硬性水泥砂浆结合层
5.30mm厚花岗石板</t>
        </is>
      </c>
      <c r="F170" s="222" t="inlineStr">
        <is>
          <t>m2</t>
        </is>
      </c>
      <c r="G170" s="223" t="n">
        <v>62.43</v>
      </c>
      <c r="H170" s="223" t="n">
        <v>52.5</v>
      </c>
      <c r="I170" s="223" t="n">
        <v>52.5</v>
      </c>
      <c r="J170" s="223" t="n"/>
      <c r="K170" s="223">
        <f>H172-G172</f>
        <v/>
      </c>
      <c r="L170" s="223">
        <f>I172-G172</f>
        <v/>
      </c>
      <c r="M170" s="223">
        <f>I172-H172</f>
        <v/>
      </c>
      <c r="N170" s="224">
        <f>K172/G172</f>
        <v/>
      </c>
      <c r="O170" s="222" t="n">
        <v>373.22</v>
      </c>
      <c r="P170" s="222" t="n">
        <v>441.35</v>
      </c>
      <c r="Q170" s="224">
        <f>(O172-P172)/P172</f>
        <v/>
      </c>
      <c r="R170" s="223">
        <f>P172*0.9056*0.85</f>
        <v/>
      </c>
      <c r="S170" s="223">
        <f>P172*1.15</f>
        <v/>
      </c>
      <c r="T170" s="223">
        <f>IF(O172&lt;P172*0.9056*0.85,P172*0.9056*0.85,IF(O172&gt;P172*1.15,P172*1.15,O172))</f>
        <v/>
      </c>
      <c r="U170" s="223" t="n">
        <v>23300.12</v>
      </c>
      <c r="V170" s="223" t="n">
        <v>19592.59</v>
      </c>
      <c r="W170" s="223" t="n">
        <v>19592.59</v>
      </c>
      <c r="X170" s="223">
        <f>V172-U172</f>
        <v/>
      </c>
      <c r="Y170" s="223">
        <f>W172-U172</f>
        <v/>
      </c>
      <c r="Z170" s="223">
        <f>W172-V172</f>
        <v/>
      </c>
      <c r="AA170" s="222" t="n"/>
      <c r="AB170" s="222" t="n"/>
      <c r="AC170" s="222" t="n"/>
      <c r="AD170" s="222" t="n"/>
      <c r="AE170" s="222" t="n"/>
      <c r="AF170" s="222" t="n"/>
      <c r="AG170" s="222" t="n"/>
      <c r="AH170" s="222" t="n"/>
      <c r="AI170" s="222" t="n"/>
      <c r="AJ170" s="222" t="n"/>
    </row>
    <row r="171" ht="54" customHeight="1" s="166">
      <c r="A171" s="222" t="n"/>
      <c r="B171" s="222" t="inlineStr">
        <is>
          <t>综合楼</t>
        </is>
      </c>
      <c r="C171" s="222" t="inlineStr">
        <is>
          <t>010507003002</t>
        </is>
      </c>
      <c r="D171" s="222" t="inlineStr">
        <is>
          <t>排水沟</t>
        </is>
      </c>
      <c r="E171" s="222" t="inlineStr">
        <is>
          <t>1.排水沟
2.沟深40mm
3.DWM20水泥砂浆
4.其他详见施工图</t>
        </is>
      </c>
      <c r="F171" s="222" t="inlineStr">
        <is>
          <t>m</t>
        </is>
      </c>
      <c r="G171" s="223" t="n">
        <v>179.57</v>
      </c>
      <c r="H171" s="223" t="n">
        <v>276.55</v>
      </c>
      <c r="I171" s="223">
        <f>272.35+4.2</f>
        <v/>
      </c>
      <c r="J171" s="223" t="n"/>
      <c r="K171" s="223">
        <f>H173-G173</f>
        <v/>
      </c>
      <c r="L171" s="223">
        <f>I173-G173</f>
        <v/>
      </c>
      <c r="M171" s="223">
        <f>I173-H173</f>
        <v/>
      </c>
      <c r="N171" s="224">
        <f>K173/G173</f>
        <v/>
      </c>
      <c r="O171" s="222" t="n">
        <v>27.17</v>
      </c>
      <c r="P171" s="222" t="n">
        <v>10.82</v>
      </c>
      <c r="Q171" s="224">
        <f>(O173-P173)/P173</f>
        <v/>
      </c>
      <c r="R171" s="223">
        <f>P173*0.9056*0.85</f>
        <v/>
      </c>
      <c r="S171" s="223">
        <f>P173*1.15</f>
        <v/>
      </c>
      <c r="T171" s="223">
        <f>IF(O173&lt;P173*0.9056*0.85,P173*0.9056*0.85,IF(O173&gt;P173*1.15,P173*1.15,O173))</f>
        <v/>
      </c>
      <c r="U171" s="223" t="n">
        <v>4878.92</v>
      </c>
      <c r="V171" s="223" t="n">
        <v>6085.65</v>
      </c>
      <c r="W171" s="223">
        <f>U173+T173*L173</f>
        <v/>
      </c>
      <c r="X171" s="223">
        <f>V173-U173</f>
        <v/>
      </c>
      <c r="Y171" s="223">
        <f>W173-U173</f>
        <v/>
      </c>
      <c r="Z171" s="223">
        <f>W173-V173</f>
        <v/>
      </c>
      <c r="AA171" s="222" t="n"/>
      <c r="AB171" s="222" t="n"/>
      <c r="AC171" s="222" t="n"/>
      <c r="AD171" s="222" t="n"/>
      <c r="AE171" s="222" t="n"/>
      <c r="AF171" s="222" t="n"/>
      <c r="AG171" s="222" t="n"/>
      <c r="AH171" s="222" t="n"/>
      <c r="AI171" s="222" t="n"/>
      <c r="AJ171" s="222" t="n"/>
    </row>
    <row r="172" ht="105" customHeight="1" s="166">
      <c r="A172" s="222" t="n"/>
      <c r="B172" s="222" t="inlineStr">
        <is>
          <t>综合楼</t>
        </is>
      </c>
      <c r="C172" s="222" t="inlineStr">
        <is>
          <t>010507003004</t>
        </is>
      </c>
      <c r="D172" s="222" t="inlineStr">
        <is>
          <t>截水沟</t>
        </is>
      </c>
      <c r="E172" s="222" t="inlineStr">
        <is>
          <t>1.截水沟
2.成品雨水格栅
3.底部：细石混凝土找坡层+20厚1：2.5水泥砂浆面层
4.侧边：20厚1：2.5水泥砂浆面层
5.其他详见中南标11ZJ9011/42</t>
        </is>
      </c>
      <c r="F172" s="222" t="inlineStr">
        <is>
          <t>m</t>
        </is>
      </c>
      <c r="G172" s="223" t="n">
        <v>63.9</v>
      </c>
      <c r="H172" s="223" t="n">
        <v>62.83</v>
      </c>
      <c r="I172" s="223">
        <f>55.43+3.9+3.5</f>
        <v/>
      </c>
      <c r="J172" s="223" t="n"/>
      <c r="K172" s="223">
        <f>H174-G174</f>
        <v/>
      </c>
      <c r="L172" s="223">
        <f>I174-G174</f>
        <v/>
      </c>
      <c r="M172" s="223">
        <f>I174-H174</f>
        <v/>
      </c>
      <c r="N172" s="224">
        <f>K174/G174</f>
        <v/>
      </c>
      <c r="O172" s="222" t="n">
        <v>252.01</v>
      </c>
      <c r="P172" s="222" t="n">
        <v>247.5</v>
      </c>
      <c r="Q172" s="224">
        <f>(O174-P174)/P174</f>
        <v/>
      </c>
      <c r="R172" s="223">
        <f>P174*0.9056*0.85</f>
        <v/>
      </c>
      <c r="S172" s="223">
        <f>P174*1.15</f>
        <v/>
      </c>
      <c r="T172" s="223">
        <f>IF(O174&lt;P174*0.9056*0.85,P174*0.9056*0.85,IF(O174&gt;P174*1.15,P174*1.15,O174))</f>
        <v/>
      </c>
      <c r="U172" s="223" t="n">
        <v>16103.44</v>
      </c>
      <c r="V172" s="223" t="n">
        <v>15834.75</v>
      </c>
      <c r="W172" s="223">
        <f>U174+T174*L174</f>
        <v/>
      </c>
      <c r="X172" s="223">
        <f>V174-U174</f>
        <v/>
      </c>
      <c r="Y172" s="223">
        <f>W174-U174</f>
        <v/>
      </c>
      <c r="Z172" s="223">
        <f>W174-V174</f>
        <v/>
      </c>
      <c r="AA172" s="222" t="n"/>
      <c r="AB172" s="222" t="n"/>
      <c r="AC172" s="222" t="n"/>
      <c r="AD172" s="222" t="n"/>
      <c r="AE172" s="222" t="n"/>
      <c r="AF172" s="222" t="n"/>
      <c r="AG172" s="222" t="n"/>
      <c r="AH172" s="222" t="n"/>
      <c r="AI172" s="222" t="n"/>
      <c r="AJ172" s="222" t="n"/>
    </row>
    <row r="173" ht="92.25" customHeight="1" s="166">
      <c r="A173" s="222" t="n"/>
      <c r="B173" s="222" t="inlineStr">
        <is>
          <t>综合楼</t>
        </is>
      </c>
      <c r="C173" s="222" t="inlineStr">
        <is>
          <t>011503001008</t>
        </is>
      </c>
      <c r="D173" s="222" t="inlineStr">
        <is>
          <t>金属扶手、栏杆、栏板</t>
        </is>
      </c>
      <c r="E173" s="222" t="inlineStr">
        <is>
          <t>1.名称:浅灰色拉丝不锈钢栏杆(H=1200MM)
2.上扶手:Φ60x3.0不锈钢管
3.栏杆:Φ28x1.2不锈钢管
4.含热镀锌预埋件及螺栓
5.做法参照国标15J403-1</t>
        </is>
      </c>
      <c r="F173" s="222" t="inlineStr">
        <is>
          <t>m</t>
        </is>
      </c>
      <c r="G173" s="223" t="n">
        <v>31.73</v>
      </c>
      <c r="H173" s="223" t="n">
        <v>31.8</v>
      </c>
      <c r="I173" s="223" t="n">
        <v>31.8</v>
      </c>
      <c r="J173" s="223" t="n"/>
      <c r="K173" s="223">
        <f>H175-G175</f>
        <v/>
      </c>
      <c r="L173" s="223">
        <f>I175-G175</f>
        <v/>
      </c>
      <c r="M173" s="223">
        <f>I175-H175</f>
        <v/>
      </c>
      <c r="N173" s="224">
        <f>K175/G175</f>
        <v/>
      </c>
      <c r="O173" s="222" t="n">
        <v>508.12</v>
      </c>
      <c r="P173" s="222" t="n">
        <v>816.95</v>
      </c>
      <c r="Q173" s="224">
        <f>(O175-P175)/P175</f>
        <v/>
      </c>
      <c r="R173" s="223">
        <f>P175*0.9056*0.85</f>
        <v/>
      </c>
      <c r="S173" s="223">
        <f>P175*1.15</f>
        <v/>
      </c>
      <c r="T173" s="223">
        <f>IF(O175&lt;P175*0.9056*0.85,P175*0.9056*0.85,IF(O175&gt;P175*1.15,P175*1.15,O175))</f>
        <v/>
      </c>
      <c r="U173" s="223" t="n">
        <v>16122.65</v>
      </c>
      <c r="V173" s="223" t="n">
        <v>16166.42</v>
      </c>
      <c r="W173" s="223" t="n">
        <v>16166.42</v>
      </c>
      <c r="X173" s="223">
        <f>V175-U175</f>
        <v/>
      </c>
      <c r="Y173" s="223">
        <f>W175-U175</f>
        <v/>
      </c>
      <c r="Z173" s="223">
        <f>W175-V175</f>
        <v/>
      </c>
      <c r="AA173" s="222" t="n"/>
      <c r="AB173" s="222" t="n"/>
      <c r="AC173" s="222" t="n"/>
      <c r="AD173" s="222" t="n"/>
      <c r="AE173" s="222" t="n"/>
      <c r="AF173" s="222" t="n"/>
      <c r="AG173" s="222" t="n"/>
      <c r="AH173" s="222" t="n"/>
      <c r="AI173" s="222" t="n"/>
      <c r="AJ173" s="222" t="n"/>
    </row>
    <row r="174" ht="92.25" customHeight="1" s="166">
      <c r="A174" s="222" t="n"/>
      <c r="B174" s="222" t="inlineStr">
        <is>
          <t>综合楼</t>
        </is>
      </c>
      <c r="C174" s="222" t="inlineStr">
        <is>
          <t>011503001009</t>
        </is>
      </c>
      <c r="D174" s="222" t="inlineStr">
        <is>
          <t>金属扶手、栏杆、栏板</t>
        </is>
      </c>
      <c r="E174" s="222" t="inlineStr">
        <is>
          <t>1.名称:浅灰色拉丝不锈钢栏杆(H=850MM)
2.上扶手:Φ60x3.0不锈钢管
3.栏杆:Φ28x1.2不锈钢管
4.含热镀锌预埋件及螺栓
5.做法参照国标15J403-1</t>
        </is>
      </c>
      <c r="F174" s="222" t="inlineStr">
        <is>
          <t>m</t>
        </is>
      </c>
      <c r="G174" s="223" t="n">
        <v>3.8</v>
      </c>
      <c r="H174" s="223" t="n">
        <v>3.8</v>
      </c>
      <c r="I174" s="223" t="n">
        <v>0</v>
      </c>
      <c r="J174" s="223" t="n"/>
      <c r="K174" s="223">
        <f>H176-G176</f>
        <v/>
      </c>
      <c r="L174" s="223">
        <f>I176-G176</f>
        <v/>
      </c>
      <c r="M174" s="223">
        <f>I176-H176</f>
        <v/>
      </c>
      <c r="N174" s="224">
        <f>K176/G176</f>
        <v/>
      </c>
      <c r="O174" s="222" t="n">
        <v>486.8</v>
      </c>
      <c r="P174" s="222" t="n">
        <v>721.6799999999999</v>
      </c>
      <c r="Q174" s="224">
        <f>(O176-P176)/P176</f>
        <v/>
      </c>
      <c r="R174" s="223">
        <f>P176*0.9056*0.85</f>
        <v/>
      </c>
      <c r="S174" s="223">
        <f>P176*1.15</f>
        <v/>
      </c>
      <c r="T174" s="223">
        <f>IF(O176&lt;P176*0.9056*0.85,P176*0.9056*0.85,IF(O176&gt;P176*1.15,P176*1.15,O176))</f>
        <v/>
      </c>
      <c r="U174" s="223" t="n">
        <v>1849.84</v>
      </c>
      <c r="V174" s="223" t="n">
        <v>1849.84</v>
      </c>
      <c r="W174" s="223">
        <f>U176+T176*L176</f>
        <v/>
      </c>
      <c r="X174" s="223">
        <f>V176-U176</f>
        <v/>
      </c>
      <c r="Y174" s="223">
        <f>W176-U176</f>
        <v/>
      </c>
      <c r="Z174" s="223">
        <f>W176-V176</f>
        <v/>
      </c>
      <c r="AA174" s="222" t="n"/>
      <c r="AB174" s="222" t="n"/>
      <c r="AC174" s="222" t="n"/>
      <c r="AD174" s="222" t="n"/>
      <c r="AE174" s="222" t="n"/>
      <c r="AF174" s="222" t="n"/>
      <c r="AG174" s="222" t="n"/>
      <c r="AH174" s="222" t="n"/>
      <c r="AI174" s="222" t="n"/>
      <c r="AJ174" s="222" t="n"/>
    </row>
    <row r="175" ht="92.25" customHeight="1" s="166">
      <c r="A175" s="222" t="n"/>
      <c r="B175" s="222" t="inlineStr">
        <is>
          <t>综合楼</t>
        </is>
      </c>
      <c r="C175" s="222" t="inlineStr">
        <is>
          <t>011503001010</t>
        </is>
      </c>
      <c r="D175" s="222" t="inlineStr">
        <is>
          <t>金属扶手、栏杆、栏板</t>
        </is>
      </c>
      <c r="E175" s="222" t="inlineStr">
        <is>
          <t>1.名称:浅灰色拉丝不锈钢栏杆(H=850-550MM)
2.上扶手:Φ60x3.0不锈钢管
3.栏杆:Φ28x1.2不锈钢管
4.含热镀锌预埋件及螺栓
5.做法参照国标15J403-1</t>
        </is>
      </c>
      <c r="F175" s="222" t="inlineStr">
        <is>
          <t>m</t>
        </is>
      </c>
      <c r="G175" s="223" t="n">
        <v>4.2</v>
      </c>
      <c r="H175" s="223" t="n">
        <v>4.2</v>
      </c>
      <c r="I175" s="223" t="n">
        <v>0</v>
      </c>
      <c r="J175" s="223" t="n"/>
      <c r="K175" s="223">
        <f>H177-G177</f>
        <v/>
      </c>
      <c r="L175" s="223">
        <f>I177-G177</f>
        <v/>
      </c>
      <c r="M175" s="223">
        <f>I177-H177</f>
        <v/>
      </c>
      <c r="N175" s="224">
        <f>K177/G177</f>
        <v/>
      </c>
      <c r="O175" s="222" t="n">
        <v>478.8</v>
      </c>
      <c r="P175" s="222" t="n">
        <v>680.89</v>
      </c>
      <c r="Q175" s="224">
        <f>(O177-P177)/P177</f>
        <v/>
      </c>
      <c r="R175" s="223">
        <f>P177*0.9056*0.85</f>
        <v/>
      </c>
      <c r="S175" s="223">
        <f>P177*1.15</f>
        <v/>
      </c>
      <c r="T175" s="223">
        <f>IF(O177&lt;P177*0.9056*0.85,P177*0.9056*0.85,IF(O177&gt;P177*1.15,P177*1.15,O177))</f>
        <v/>
      </c>
      <c r="U175" s="223" t="n">
        <v>2010.96</v>
      </c>
      <c r="V175" s="223" t="n">
        <v>2010.96</v>
      </c>
      <c r="W175" s="223">
        <f>U177+T177*L177</f>
        <v/>
      </c>
      <c r="X175" s="223">
        <f>V177-U177</f>
        <v/>
      </c>
      <c r="Y175" s="223">
        <f>W177-U177</f>
        <v/>
      </c>
      <c r="Z175" s="223">
        <f>W177-V177</f>
        <v/>
      </c>
      <c r="AA175" s="222" t="n"/>
      <c r="AB175" s="222" t="n"/>
      <c r="AC175" s="222" t="n"/>
      <c r="AD175" s="222" t="n"/>
      <c r="AE175" s="222" t="n"/>
      <c r="AF175" s="222" t="n"/>
      <c r="AG175" s="222" t="n"/>
      <c r="AH175" s="222" t="n"/>
      <c r="AI175" s="222" t="n"/>
      <c r="AJ175" s="222" t="n"/>
    </row>
    <row r="176" ht="92.25" customHeight="1" s="166">
      <c r="A176" s="222" t="n"/>
      <c r="B176" s="222" t="inlineStr">
        <is>
          <t>综合楼</t>
        </is>
      </c>
      <c r="C176" s="222" t="inlineStr">
        <is>
          <t>011503001011</t>
        </is>
      </c>
      <c r="D176" s="222" t="inlineStr">
        <is>
          <t>金属扶手、栏杆、栏板</t>
        </is>
      </c>
      <c r="E176" s="222" t="inlineStr">
        <is>
          <t>1.名称:浅灰色拉丝不锈钢栏杆(H=550MM)
2.上扶手:Φ60x3.0不锈钢管
3.栏杆:Φ28x1.2不锈钢管
4.含热镀锌预埋件及螺栓
5.做法参照国标15J403-1</t>
        </is>
      </c>
      <c r="F176" s="222" t="inlineStr">
        <is>
          <t>m</t>
        </is>
      </c>
      <c r="G176" s="223" t="n">
        <v>16.8</v>
      </c>
      <c r="H176" s="223" t="n">
        <v>28.1</v>
      </c>
      <c r="I176" s="223" t="n">
        <v>28.1</v>
      </c>
      <c r="J176" s="223" t="n"/>
      <c r="K176" s="223">
        <f>H178-G178</f>
        <v/>
      </c>
      <c r="L176" s="223">
        <f>I178-G178</f>
        <v/>
      </c>
      <c r="M176" s="223">
        <f>I178-H178</f>
        <v/>
      </c>
      <c r="N176" s="224">
        <f>K178/G178</f>
        <v/>
      </c>
      <c r="O176" s="222" t="n">
        <v>462.8</v>
      </c>
      <c r="P176" s="222" t="n">
        <v>640.1</v>
      </c>
      <c r="Q176" s="224">
        <f>(O178-P178)/P178</f>
        <v/>
      </c>
      <c r="R176" s="223">
        <f>P178*0.9056*0.85</f>
        <v/>
      </c>
      <c r="S176" s="223">
        <f>P178*1.15</f>
        <v/>
      </c>
      <c r="T176" s="223">
        <f>IF(O178&lt;P178*0.9056*0.85,P178*0.9056*0.85,IF(O178&gt;P178*1.15,P178*1.15,O178))</f>
        <v/>
      </c>
      <c r="U176" s="223" t="n">
        <v>7775.04</v>
      </c>
      <c r="V176" s="223" t="n">
        <v>13342.91</v>
      </c>
      <c r="W176" s="223">
        <f>U178+T178*L178</f>
        <v/>
      </c>
      <c r="X176" s="223">
        <f>V178-U178</f>
        <v/>
      </c>
      <c r="Y176" s="223">
        <f>W178-U178</f>
        <v/>
      </c>
      <c r="Z176" s="223">
        <f>W178-V178</f>
        <v/>
      </c>
      <c r="AA176" s="222" t="n"/>
      <c r="AB176" s="222" t="n"/>
      <c r="AC176" s="222" t="n"/>
      <c r="AD176" s="222" t="n"/>
      <c r="AE176" s="222" t="n"/>
      <c r="AF176" s="222" t="n"/>
      <c r="AG176" s="222" t="n"/>
      <c r="AH176" s="222" t="n"/>
      <c r="AI176" s="222" t="n"/>
      <c r="AJ176" s="222" t="n"/>
    </row>
    <row r="177" ht="92.25" customHeight="1" s="166">
      <c r="A177" s="222" t="n"/>
      <c r="B177" s="222" t="inlineStr">
        <is>
          <t>综合楼</t>
        </is>
      </c>
      <c r="C177" s="222" t="inlineStr">
        <is>
          <t>011503001006</t>
        </is>
      </c>
      <c r="D177" s="222" t="inlineStr">
        <is>
          <t>金属扶手、栏杆、栏板</t>
        </is>
      </c>
      <c r="E177" s="222" t="inlineStr">
        <is>
          <t>1.名称:不锈钢楼梯栏杆H=1200mm
2.上扶手:Φ60x3.0不锈钢管
3.栏杆:Φ28x1.2不锈钢管
4.含热镀锌预埋件及螺栓
5.做法参照国标15J403-1</t>
        </is>
      </c>
      <c r="F177" s="222" t="inlineStr">
        <is>
          <t>m</t>
        </is>
      </c>
      <c r="G177" s="223" t="n">
        <v>43.05</v>
      </c>
      <c r="H177" s="223" t="n">
        <v>43.05</v>
      </c>
      <c r="I177" s="223">
        <f>(21.44+9.19)/2</f>
        <v/>
      </c>
      <c r="J177" s="223">
        <f>23.56+1.86</f>
        <v/>
      </c>
      <c r="K177" s="223">
        <f>H179-G179</f>
        <v/>
      </c>
      <c r="L177" s="223">
        <f>I179-G179</f>
        <v/>
      </c>
      <c r="M177" s="223">
        <f>I179-H179</f>
        <v/>
      </c>
      <c r="N177" s="224">
        <f>K179/G179</f>
        <v/>
      </c>
      <c r="O177" s="222" t="n">
        <v>508.12</v>
      </c>
      <c r="P177" s="222" t="n">
        <v>816.95</v>
      </c>
      <c r="Q177" s="224">
        <f>(O179-P179)/P179</f>
        <v/>
      </c>
      <c r="R177" s="223">
        <f>P179*0.9056*0.85</f>
        <v/>
      </c>
      <c r="S177" s="223">
        <f>P179*1.15</f>
        <v/>
      </c>
      <c r="T177" s="223">
        <f>IF(O179&lt;P179*0.9056*0.85,P179*0.9056*0.85,IF(O179&gt;P179*1.15,P179*1.15,O179))</f>
        <v/>
      </c>
      <c r="U177" s="223" t="n">
        <v>21874.57</v>
      </c>
      <c r="V177" s="223" t="n">
        <v>21874.57</v>
      </c>
      <c r="W177" s="223">
        <f>U179+T179*L179</f>
        <v/>
      </c>
      <c r="X177" s="223">
        <f>V179-U179</f>
        <v/>
      </c>
      <c r="Y177" s="223">
        <f>W179-U179</f>
        <v/>
      </c>
      <c r="Z177" s="223">
        <f>W179-V179</f>
        <v/>
      </c>
      <c r="AA177" s="222" t="n"/>
      <c r="AB177" s="222" t="inlineStr">
        <is>
          <t>1、LT1、LT2楼梯
栏杆模型未布置，漏计
2、阶梯教室侧边步级通道栏杆漏计</t>
        </is>
      </c>
      <c r="AC177" s="222" t="n"/>
      <c r="AD177" s="222" t="n"/>
      <c r="AE177" s="222" t="n"/>
      <c r="AF177" s="222" t="n"/>
      <c r="AG177" s="222" t="n"/>
      <c r="AH177" s="222" t="n"/>
      <c r="AI177" s="222" t="n"/>
      <c r="AJ177" s="222" t="inlineStr">
        <is>
          <t>发函确认</t>
        </is>
      </c>
    </row>
    <row r="178" ht="79.5" customHeight="1" s="166">
      <c r="A178" s="222" t="n"/>
      <c r="B178" s="222" t="inlineStr">
        <is>
          <t>综合楼</t>
        </is>
      </c>
      <c r="C178" s="222" t="inlineStr">
        <is>
          <t>011503001007</t>
        </is>
      </c>
      <c r="D178" s="222" t="inlineStr">
        <is>
          <t>金属扶手、栏杆、栏板</t>
        </is>
      </c>
      <c r="E178" s="222" t="inlineStr">
        <is>
          <t>1.名称:不锈钢护窗栏杆H=1000mm
2.上扶手:Φ60x2.5不锈钢管
3.栏杆:Φ30x2.0不锈钢管
4.含热镀锌预埋件及螺栓</t>
        </is>
      </c>
      <c r="F178" s="222" t="inlineStr">
        <is>
          <t>m</t>
        </is>
      </c>
      <c r="G178" s="223" t="n">
        <v>47.9</v>
      </c>
      <c r="H178" s="223" t="n">
        <v>66.59</v>
      </c>
      <c r="I178" s="223" t="n">
        <v>26.59</v>
      </c>
      <c r="J178" s="223" t="n"/>
      <c r="K178" s="223">
        <f>H180-G180</f>
        <v/>
      </c>
      <c r="L178" s="223">
        <f>I180-G180</f>
        <v/>
      </c>
      <c r="M178" s="223">
        <f>I180-H180</f>
        <v/>
      </c>
      <c r="N178" s="224">
        <f>K180/G180</f>
        <v/>
      </c>
      <c r="O178" s="222" t="n">
        <v>497.52</v>
      </c>
      <c r="P178" s="222" t="n">
        <v>752.1900000000001</v>
      </c>
      <c r="Q178" s="224">
        <f>(O180-P180)/P180</f>
        <v/>
      </c>
      <c r="R178" s="223">
        <f>P180*0.9056*0.85</f>
        <v/>
      </c>
      <c r="S178" s="223">
        <f>P180*1.15</f>
        <v/>
      </c>
      <c r="T178" s="223">
        <f>IF(O180&lt;P180*0.9056*0.85,P180*0.9056*0.85,IF(O180&gt;P180*1.15,P180*1.15,O180))</f>
        <v/>
      </c>
      <c r="U178" s="223" t="n">
        <v>23831.21</v>
      </c>
      <c r="V178" s="223" t="n">
        <v>34650.51</v>
      </c>
      <c r="W178" s="223">
        <f>U180+T180*L180</f>
        <v/>
      </c>
      <c r="X178" s="223">
        <f>V180-U180</f>
        <v/>
      </c>
      <c r="Y178" s="223">
        <f>W180-U180</f>
        <v/>
      </c>
      <c r="Z178" s="223">
        <f>W180-V180</f>
        <v/>
      </c>
      <c r="AA178" s="222" t="inlineStr">
        <is>
          <t>送审将此清单与165护窗栏杆工程量互掉了</t>
        </is>
      </c>
      <c r="AB178" s="222" t="n"/>
      <c r="AC178" s="222" t="n"/>
      <c r="AD178" s="222" t="n"/>
      <c r="AE178" s="222" t="n"/>
      <c r="AF178" s="222" t="n"/>
      <c r="AG178" s="222" t="n"/>
      <c r="AH178" s="222" t="n"/>
      <c r="AI178" s="222" t="n"/>
      <c r="AJ178" s="222" t="n"/>
    </row>
    <row r="179" ht="41.25" customHeight="1" s="166">
      <c r="A179" s="222" t="n"/>
      <c r="B179" s="222" t="inlineStr">
        <is>
          <t>综合楼</t>
        </is>
      </c>
      <c r="C179" s="222" t="inlineStr">
        <is>
          <t>011503005001</t>
        </is>
      </c>
      <c r="D179" s="222" t="inlineStr">
        <is>
          <t>金属靠墙扶手</t>
        </is>
      </c>
      <c r="E179" s="222" t="inlineStr">
        <is>
          <t>1.卫生间无障碍扶手
2.Φ40x1.5不锈钢管靠墙扶手</t>
        </is>
      </c>
      <c r="F179" s="222" t="inlineStr">
        <is>
          <t>m</t>
        </is>
      </c>
      <c r="G179" s="223" t="n">
        <v>6.7</v>
      </c>
      <c r="H179" s="223" t="n">
        <v>6.7</v>
      </c>
      <c r="I179" s="223" t="n">
        <v>0</v>
      </c>
      <c r="J179" s="223" t="n"/>
      <c r="K179" s="223">
        <f>H181-G181</f>
        <v/>
      </c>
      <c r="L179" s="223">
        <f>I181-G181</f>
        <v/>
      </c>
      <c r="M179" s="223">
        <f>I181-H181</f>
        <v/>
      </c>
      <c r="N179" s="224">
        <f>K181/G181</f>
        <v/>
      </c>
      <c r="O179" s="222" t="n">
        <v>468.51</v>
      </c>
      <c r="P179" s="222" t="n">
        <v>272</v>
      </c>
      <c r="Q179" s="224">
        <f>(O181-P181)/P181</f>
        <v/>
      </c>
      <c r="R179" s="223">
        <f>P181*0.9056*0.85</f>
        <v/>
      </c>
      <c r="S179" s="223">
        <f>P181*1.15</f>
        <v/>
      </c>
      <c r="T179" s="223">
        <f>IF(O181&lt;P181*0.9056*0.85,P181*0.9056*0.85,IF(O181&gt;P181*1.15,P181*1.15,O181))</f>
        <v/>
      </c>
      <c r="U179" s="223" t="n">
        <v>3139.02</v>
      </c>
      <c r="V179" s="223" t="n">
        <v>3139.02</v>
      </c>
      <c r="W179" s="223">
        <f>U181+T181*L181</f>
        <v/>
      </c>
      <c r="X179" s="223">
        <f>V181-U181</f>
        <v/>
      </c>
      <c r="Y179" s="223">
        <f>W181-U181</f>
        <v/>
      </c>
      <c r="Z179" s="223">
        <f>W181-V181</f>
        <v/>
      </c>
      <c r="AA179" s="222" t="n"/>
      <c r="AB179" s="222" t="n"/>
      <c r="AC179" s="222" t="n"/>
      <c r="AD179" s="222" t="n"/>
      <c r="AE179" s="222" t="n"/>
      <c r="AF179" s="222" t="n"/>
      <c r="AG179" s="222" t="n"/>
      <c r="AH179" s="222" t="n"/>
      <c r="AI179" s="222" t="n"/>
      <c r="AJ179" s="222" t="n"/>
    </row>
    <row r="180" ht="41.25" customHeight="1" s="166">
      <c r="A180" s="222" t="n"/>
      <c r="B180" s="222" t="inlineStr">
        <is>
          <t>综合楼</t>
        </is>
      </c>
      <c r="C180" s="222" t="inlineStr">
        <is>
          <t>011503005002</t>
        </is>
      </c>
      <c r="D180" s="222" t="inlineStr">
        <is>
          <t>金属靠墙扶手</t>
        </is>
      </c>
      <c r="E180" s="222" t="inlineStr">
        <is>
          <t>1.楼梯靠墙扶手
2.Φ60x2不锈钢管靠墙扶手
3.做法参照国标15J403-1</t>
        </is>
      </c>
      <c r="F180" s="222" t="inlineStr">
        <is>
          <t>m</t>
        </is>
      </c>
      <c r="G180" s="223" t="n">
        <v>29.84</v>
      </c>
      <c r="H180" s="223" t="n">
        <v>29.84</v>
      </c>
      <c r="I180" s="223">
        <f>29.84+15.32</f>
        <v/>
      </c>
      <c r="J180" s="223" t="n">
        <v>59.61</v>
      </c>
      <c r="K180" s="223">
        <f>H182-G182</f>
        <v/>
      </c>
      <c r="L180" s="223">
        <f>I182-G182</f>
        <v/>
      </c>
      <c r="M180" s="223">
        <f>I182-H182</f>
        <v/>
      </c>
      <c r="N180" s="224">
        <f>K182/G182</f>
        <v/>
      </c>
      <c r="O180" s="222" t="n">
        <v>473.06</v>
      </c>
      <c r="P180" s="222" t="n">
        <v>331.37</v>
      </c>
      <c r="Q180" s="224">
        <f>(O182-P182)/P182</f>
        <v/>
      </c>
      <c r="R180" s="223">
        <f>P182*0.9056*0.85</f>
        <v/>
      </c>
      <c r="S180" s="223">
        <f>P182*1.15</f>
        <v/>
      </c>
      <c r="T180" s="223">
        <f>IF(O182&lt;P182*0.9056*0.85,P182*0.9056*0.85,IF(O182&gt;P182*1.15,P182*1.15,O182))</f>
        <v/>
      </c>
      <c r="U180" s="223" t="n">
        <v>14116.11</v>
      </c>
      <c r="V180" s="223" t="n">
        <v>14116.11</v>
      </c>
      <c r="W180" s="223">
        <f>U182+T182*L182</f>
        <v/>
      </c>
      <c r="X180" s="223">
        <f>V182-U182</f>
        <v/>
      </c>
      <c r="Y180" s="223">
        <f>W182-U182</f>
        <v/>
      </c>
      <c r="Z180" s="223">
        <f>W182-V182</f>
        <v/>
      </c>
      <c r="AA180" s="222" t="inlineStr">
        <is>
          <t>清单162楼梯栏杆部分工程量归到此计算</t>
        </is>
      </c>
      <c r="AB180" s="222" t="n"/>
      <c r="AC180" s="222" t="n"/>
      <c r="AD180" s="222" t="n"/>
      <c r="AE180" s="222" t="n"/>
      <c r="AF180" s="222" t="n"/>
      <c r="AG180" s="222" t="n"/>
      <c r="AH180" s="222" t="n"/>
      <c r="AI180" s="222" t="n"/>
      <c r="AJ180" s="222" t="inlineStr">
        <is>
          <t>出设计变更</t>
        </is>
      </c>
    </row>
    <row r="181" ht="41.25" customHeight="1" s="166">
      <c r="A181" s="222" t="n"/>
      <c r="B181" s="222" t="inlineStr">
        <is>
          <t>综合楼</t>
        </is>
      </c>
      <c r="C181" s="222" t="inlineStr">
        <is>
          <t>011210005001</t>
        </is>
      </c>
      <c r="D181" s="222" t="inlineStr">
        <is>
          <t>成品隔断</t>
        </is>
      </c>
      <c r="E181" s="222" t="inlineStr">
        <is>
          <t>1.卫生间成品抗培特饰面隔断
2.其他详见图纸</t>
        </is>
      </c>
      <c r="F181" s="222" t="inlineStr">
        <is>
          <t>m2</t>
        </is>
      </c>
      <c r="G181" s="223" t="n">
        <v>95.29000000000001</v>
      </c>
      <c r="H181" s="223" t="n">
        <v>95.29000000000001</v>
      </c>
      <c r="I181" s="223" t="n">
        <v>95.29000000000001</v>
      </c>
      <c r="J181" s="223" t="n"/>
      <c r="K181" s="223">
        <f>H183-G183</f>
        <v/>
      </c>
      <c r="L181" s="223">
        <f>I183-G183</f>
        <v/>
      </c>
      <c r="M181" s="223">
        <f>I183-H183</f>
        <v/>
      </c>
      <c r="N181" s="224">
        <f>K183/G183</f>
        <v/>
      </c>
      <c r="O181" s="222" t="n">
        <v>205.48</v>
      </c>
      <c r="P181" s="222" t="n">
        <v>308.59</v>
      </c>
      <c r="Q181" s="224">
        <f>(O183-P183)/P183</f>
        <v/>
      </c>
      <c r="R181" s="223">
        <f>P183*0.9056*0.85</f>
        <v/>
      </c>
      <c r="S181" s="223">
        <f>P183*1.15</f>
        <v/>
      </c>
      <c r="T181" s="223">
        <f>IF(O183&lt;P183*0.9056*0.85,P183*0.9056*0.85,IF(O183&gt;P183*1.15,P183*1.15,O183))</f>
        <v/>
      </c>
      <c r="U181" s="223" t="n">
        <v>19580.02</v>
      </c>
      <c r="V181" s="223" t="n">
        <v>19580.02</v>
      </c>
      <c r="W181" s="223">
        <f>U183+T183*L183</f>
        <v/>
      </c>
      <c r="X181" s="223">
        <f>V183-U183</f>
        <v/>
      </c>
      <c r="Y181" s="223">
        <f>W183-U183</f>
        <v/>
      </c>
      <c r="Z181" s="223">
        <f>W183-V183</f>
        <v/>
      </c>
      <c r="AA181" s="222" t="n"/>
      <c r="AB181" s="222" t="n"/>
      <c r="AC181" s="222" t="n"/>
      <c r="AD181" s="222" t="n"/>
      <c r="AE181" s="222" t="n"/>
      <c r="AF181" s="222" t="n"/>
      <c r="AG181" s="222" t="n"/>
      <c r="AH181" s="222" t="n"/>
      <c r="AI181" s="222" t="n"/>
      <c r="AJ181" s="222" t="n"/>
    </row>
    <row r="182" ht="79.5" customHeight="1" s="166">
      <c r="A182" s="222" t="n"/>
      <c r="B182" s="222" t="inlineStr">
        <is>
          <t>综合楼</t>
        </is>
      </c>
      <c r="C182" s="222" t="inlineStr">
        <is>
          <t>011505001001</t>
        </is>
      </c>
      <c r="D182" s="222" t="inlineStr">
        <is>
          <t>洗漱台</t>
        </is>
      </c>
      <c r="E182" s="222" t="inlineStr">
        <is>
          <t>1.20mm厚国产金沙黑洗漱台（洗手台）L40*4镀锌角钢底架
2.台面开水龙头孔
3.台面开洗手盆孔
4.石材水磨斜边</t>
        </is>
      </c>
      <c r="F182" s="222" t="inlineStr">
        <is>
          <t>m2</t>
        </is>
      </c>
      <c r="G182" s="223" t="n">
        <v>7.3</v>
      </c>
      <c r="H182" s="223" t="n">
        <v>7.3</v>
      </c>
      <c r="I182" s="223" t="n">
        <v>7.3</v>
      </c>
      <c r="J182" s="223" t="n"/>
      <c r="K182" s="223">
        <f>H184-G184</f>
        <v/>
      </c>
      <c r="L182" s="223">
        <f>I184-G184</f>
        <v/>
      </c>
      <c r="M182" s="223">
        <f>I184-H184</f>
        <v/>
      </c>
      <c r="N182" s="224">
        <f>K184/G184</f>
        <v/>
      </c>
      <c r="O182" s="222" t="n">
        <v>801.02</v>
      </c>
      <c r="P182" s="222" t="n">
        <v>638.84</v>
      </c>
      <c r="Q182" s="224">
        <f>(O184-P184)/P184</f>
        <v/>
      </c>
      <c r="R182" s="223">
        <f>P184*0.9056*0.85</f>
        <v/>
      </c>
      <c r="S182" s="223">
        <f>P184*1.15</f>
        <v/>
      </c>
      <c r="T182" s="223">
        <f>IF(O184&lt;P184*0.9056*0.85,P184*0.9056*0.85,IF(O184&gt;P184*1.15,P184*1.15,O184))</f>
        <v/>
      </c>
      <c r="U182" s="223" t="n">
        <v>5847.45</v>
      </c>
      <c r="V182" s="223" t="n">
        <v>5847.45</v>
      </c>
      <c r="W182" s="223">
        <f>U184+T184*L184</f>
        <v/>
      </c>
      <c r="X182" s="223">
        <f>V184-U184</f>
        <v/>
      </c>
      <c r="Y182" s="223">
        <f>W184-U184</f>
        <v/>
      </c>
      <c r="Z182" s="223">
        <f>W184-V184</f>
        <v/>
      </c>
      <c r="AA182" s="222" t="n"/>
      <c r="AB182" s="222" t="n"/>
      <c r="AC182" s="222" t="n"/>
      <c r="AD182" s="222" t="n"/>
      <c r="AE182" s="222" t="n"/>
      <c r="AF182" s="222" t="n"/>
      <c r="AG182" s="222" t="n"/>
      <c r="AH182" s="222" t="n"/>
      <c r="AI182" s="222" t="n"/>
      <c r="AJ182" s="222" t="n"/>
    </row>
    <row r="183" ht="41.25" customHeight="1" s="166">
      <c r="A183" s="222" t="n"/>
      <c r="B183" s="222" t="inlineStr">
        <is>
          <t>综合楼</t>
        </is>
      </c>
      <c r="C183" s="222" t="inlineStr">
        <is>
          <t>011505010002</t>
        </is>
      </c>
      <c r="D183" s="222" t="inlineStr">
        <is>
          <t>镜面玻璃</t>
        </is>
      </c>
      <c r="E183" s="222" t="inlineStr">
        <is>
          <t>1.卫生间镜
2.6mm车边银镜
3.具体做法详见图纸</t>
        </is>
      </c>
      <c r="F183" s="222" t="inlineStr">
        <is>
          <t>m2</t>
        </is>
      </c>
      <c r="G183" s="223" t="n">
        <v>7.3</v>
      </c>
      <c r="H183" s="223" t="n">
        <v>7.3</v>
      </c>
      <c r="I183" s="223" t="n">
        <v>7.3</v>
      </c>
      <c r="J183" s="223" t="n"/>
      <c r="K183" s="223">
        <f>H185-G185</f>
        <v/>
      </c>
      <c r="L183" s="223">
        <f>I185-G185</f>
        <v/>
      </c>
      <c r="M183" s="223">
        <f>I185-H185</f>
        <v/>
      </c>
      <c r="N183" s="224">
        <f>K185/G185</f>
        <v/>
      </c>
      <c r="O183" s="222" t="n">
        <v>328.86</v>
      </c>
      <c r="P183" s="222" t="n">
        <v>295.82</v>
      </c>
      <c r="Q183" s="224">
        <f>(O185-P185)/P185</f>
        <v/>
      </c>
      <c r="R183" s="223">
        <f>P185*0.9056*0.85</f>
        <v/>
      </c>
      <c r="S183" s="223">
        <f>P185*1.15</f>
        <v/>
      </c>
      <c r="T183" s="223">
        <f>IF(O185&lt;P185*0.9056*0.85,P185*0.9056*0.85,IF(O185&gt;P185*1.15,P185*1.15,O185))</f>
        <v/>
      </c>
      <c r="U183" s="223" t="n">
        <v>2400.68</v>
      </c>
      <c r="V183" s="223" t="n">
        <v>2400.68</v>
      </c>
      <c r="W183" s="223">
        <f>U185+T185*L185</f>
        <v/>
      </c>
      <c r="X183" s="223">
        <f>V185-U185</f>
        <v/>
      </c>
      <c r="Y183" s="223">
        <f>W185-U185</f>
        <v/>
      </c>
      <c r="Z183" s="223">
        <f>W185-V185</f>
        <v/>
      </c>
      <c r="AA183" s="222" t="n"/>
      <c r="AB183" s="222" t="n"/>
      <c r="AC183" s="222" t="n"/>
      <c r="AD183" s="222" t="n"/>
      <c r="AE183" s="222" t="n"/>
      <c r="AF183" s="222" t="n"/>
      <c r="AG183" s="222" t="n"/>
      <c r="AH183" s="222" t="n"/>
      <c r="AI183" s="222" t="n"/>
      <c r="AJ183" s="222" t="n"/>
    </row>
    <row r="184" ht="28.5" customHeight="1" s="166">
      <c r="A184" s="222" t="n"/>
      <c r="B184" s="222" t="inlineStr">
        <is>
          <t>综合楼</t>
        </is>
      </c>
      <c r="C184" s="222" t="inlineStr">
        <is>
          <t>011502001002</t>
        </is>
      </c>
      <c r="D184" s="222" t="inlineStr">
        <is>
          <t>金属装饰线</t>
        </is>
      </c>
      <c r="E184" s="222" t="inlineStr">
        <is>
          <t>1.1mm厚304原色哑光不锈钢收边线</t>
        </is>
      </c>
      <c r="F184" s="222" t="inlineStr">
        <is>
          <t>m</t>
        </is>
      </c>
      <c r="G184" s="223" t="n">
        <v>49.01</v>
      </c>
      <c r="H184" s="223" t="n">
        <v>641.79</v>
      </c>
      <c r="I184" s="223">
        <f>243.55+397.62</f>
        <v/>
      </c>
      <c r="J184" s="223" t="n"/>
      <c r="K184" s="223">
        <f>H186-G186</f>
        <v/>
      </c>
      <c r="L184" s="223">
        <f>I186-G186</f>
        <v/>
      </c>
      <c r="M184" s="223">
        <f>I186-H186</f>
        <v/>
      </c>
      <c r="N184" s="224">
        <f>K186/G186</f>
        <v/>
      </c>
      <c r="O184" s="222" t="n">
        <v>69.83</v>
      </c>
      <c r="P184" s="222" t="n">
        <v>26.86</v>
      </c>
      <c r="Q184" s="224">
        <f>(O186-P186)/P186</f>
        <v/>
      </c>
      <c r="R184" s="223">
        <f>P186*0.9056*0.85</f>
        <v/>
      </c>
      <c r="S184" s="223">
        <f>P186*1.15</f>
        <v/>
      </c>
      <c r="T184" s="223">
        <f>IF(O186&lt;P186*0.9056*0.85,P186*0.9056*0.85,IF(O186&gt;P186*1.15,P186*1.15,O186))</f>
        <v/>
      </c>
      <c r="U184" s="223" t="n">
        <v>3422.37</v>
      </c>
      <c r="V184" s="223" t="n">
        <v>21732.74</v>
      </c>
      <c r="W184" s="223">
        <f>U186+T186*L186</f>
        <v/>
      </c>
      <c r="X184" s="223">
        <f>V186-U186</f>
        <v/>
      </c>
      <c r="Y184" s="223">
        <f>W186-U186</f>
        <v/>
      </c>
      <c r="Z184" s="223">
        <f>W186-V186</f>
        <v/>
      </c>
      <c r="AA184" s="222" t="n"/>
      <c r="AB184" s="222" t="n"/>
      <c r="AC184" s="222" t="n"/>
      <c r="AD184" s="222" t="n"/>
      <c r="AE184" s="222" t="n"/>
      <c r="AF184" s="222" t="n"/>
      <c r="AG184" s="222" t="n"/>
      <c r="AH184" s="222" t="n"/>
      <c r="AI184" s="222" t="n"/>
      <c r="AJ184" s="222" t="n"/>
    </row>
    <row r="185" ht="28.5" customHeight="1" s="166">
      <c r="A185" s="222" t="n"/>
      <c r="B185" s="222" t="inlineStr">
        <is>
          <t>综合楼</t>
        </is>
      </c>
      <c r="C185" s="222" t="inlineStr">
        <is>
          <t>011508004001</t>
        </is>
      </c>
      <c r="D185" s="222" t="inlineStr">
        <is>
          <t>金属字</t>
        </is>
      </c>
      <c r="E185" s="222" t="inlineStr">
        <is>
          <t>1.白色拉丝不锈钢喷漆字体
2.字体外框约0.9*0.6m</t>
        </is>
      </c>
      <c r="F185" s="222" t="inlineStr">
        <is>
          <t>个</t>
        </is>
      </c>
      <c r="G185" s="223" t="n">
        <v>3</v>
      </c>
      <c r="H185" s="223" t="n">
        <v>3</v>
      </c>
      <c r="I185" s="225" t="n">
        <v>3</v>
      </c>
      <c r="J185" s="225" t="n"/>
      <c r="K185" s="223">
        <f>H187-G187</f>
        <v/>
      </c>
      <c r="L185" s="223">
        <f>I187-G187</f>
        <v/>
      </c>
      <c r="M185" s="223">
        <f>I187-H187</f>
        <v/>
      </c>
      <c r="N185" s="224">
        <f>K187/G187</f>
        <v/>
      </c>
      <c r="O185" s="222" t="n">
        <v>1112.92</v>
      </c>
      <c r="P185" s="222" t="n">
        <v>900</v>
      </c>
      <c r="Q185" s="224">
        <f>(O187-P187)/P187</f>
        <v/>
      </c>
      <c r="R185" s="223">
        <f>P187*0.9056*0.85</f>
        <v/>
      </c>
      <c r="S185" s="223">
        <f>P187*1.15</f>
        <v/>
      </c>
      <c r="T185" s="223">
        <f>IF(O187&lt;P187*0.9056*0.85,P187*0.9056*0.85,IF(O187&gt;P187*1.15,P187*1.15,O187))</f>
        <v/>
      </c>
      <c r="U185" s="223" t="n">
        <v>3338.76</v>
      </c>
      <c r="V185" s="223" t="n">
        <v>3338.76</v>
      </c>
      <c r="W185" s="223">
        <f>U187+T187*L187</f>
        <v/>
      </c>
      <c r="X185" s="223">
        <f>V187-U187</f>
        <v/>
      </c>
      <c r="Y185" s="223">
        <f>W187-U187</f>
        <v/>
      </c>
      <c r="Z185" s="223">
        <f>W187-V187</f>
        <v/>
      </c>
      <c r="AA185" s="222" t="n"/>
      <c r="AB185" s="222" t="n"/>
      <c r="AC185" s="222" t="n"/>
      <c r="AD185" s="222" t="n"/>
      <c r="AE185" s="222" t="n"/>
      <c r="AF185" s="222" t="n"/>
      <c r="AG185" s="222" t="n"/>
      <c r="AH185" s="222" t="n"/>
      <c r="AI185" s="222" t="n"/>
      <c r="AJ185" s="222" t="n"/>
    </row>
    <row r="186" ht="41.25" customHeight="1" s="166">
      <c r="A186" s="222" t="n"/>
      <c r="B186" s="222" t="inlineStr">
        <is>
          <t>综合楼</t>
        </is>
      </c>
      <c r="C186" s="222" t="inlineStr">
        <is>
          <t>011508004002</t>
        </is>
      </c>
      <c r="D186" s="222" t="inlineStr">
        <is>
          <t>金属字</t>
        </is>
      </c>
      <c r="E186" s="222" t="inlineStr">
        <is>
          <t>1.白色拉丝不锈钢喷漆奥运五环
2.外框尺寸约2.3*1.1m</t>
        </is>
      </c>
      <c r="F186" s="222" t="inlineStr">
        <is>
          <t>个</t>
        </is>
      </c>
      <c r="G186" s="223" t="n">
        <v>1</v>
      </c>
      <c r="H186" s="223" t="n">
        <v>1</v>
      </c>
      <c r="I186" s="225" t="n">
        <v>1</v>
      </c>
      <c r="J186" s="225" t="n"/>
      <c r="K186" s="223">
        <f>H188-G188</f>
        <v/>
      </c>
      <c r="L186" s="223">
        <f>I188-G188</f>
        <v/>
      </c>
      <c r="M186" s="223">
        <f>I188-H188</f>
        <v/>
      </c>
      <c r="N186" s="224">
        <f>K188/G188</f>
        <v/>
      </c>
      <c r="O186" s="222" t="n">
        <v>2574.58</v>
      </c>
      <c r="P186" s="222" t="n">
        <v>2035.4</v>
      </c>
      <c r="Q186" s="224">
        <f>(O188-P188)/P188</f>
        <v/>
      </c>
      <c r="R186" s="223">
        <f>P188*0.9056*0.85</f>
        <v/>
      </c>
      <c r="S186" s="223">
        <f>P188*1.15</f>
        <v/>
      </c>
      <c r="T186" s="223">
        <f>IF(O188&lt;P188*0.9056*0.85,P188*0.9056*0.85,IF(O188&gt;P188*1.15,P188*1.15,O188))</f>
        <v/>
      </c>
      <c r="U186" s="223" t="n">
        <v>2574.58</v>
      </c>
      <c r="V186" s="223" t="n">
        <v>2574.58</v>
      </c>
      <c r="W186" s="223">
        <f>U188+T188*L188</f>
        <v/>
      </c>
      <c r="X186" s="223">
        <f>V188-U188</f>
        <v/>
      </c>
      <c r="Y186" s="223">
        <f>W188-U188</f>
        <v/>
      </c>
      <c r="Z186" s="223">
        <f>W188-V188</f>
        <v/>
      </c>
      <c r="AA186" s="222" t="n"/>
      <c r="AB186" s="222" t="n"/>
      <c r="AC186" s="222" t="n"/>
      <c r="AD186" s="222" t="n"/>
      <c r="AE186" s="222" t="n"/>
      <c r="AF186" s="222" t="n"/>
      <c r="AG186" s="222" t="n"/>
      <c r="AH186" s="222" t="n"/>
      <c r="AI186" s="222" t="n"/>
      <c r="AJ186" s="222" t="n"/>
    </row>
    <row r="187" ht="18" customHeight="1" s="166">
      <c r="A187" s="222" t="n"/>
      <c r="B187" s="222" t="inlineStr">
        <is>
          <t>综合楼</t>
        </is>
      </c>
      <c r="C187" s="222" t="inlineStr">
        <is>
          <t>01B001</t>
        </is>
      </c>
      <c r="D187" s="222" t="inlineStr">
        <is>
          <t>白蚁防治</t>
        </is>
      </c>
      <c r="E187" s="222" t="inlineStr">
        <is>
          <t>1.白蚁防治</t>
        </is>
      </c>
      <c r="F187" s="222" t="inlineStr">
        <is>
          <t>m2</t>
        </is>
      </c>
      <c r="G187" s="223" t="n">
        <v>4762.46</v>
      </c>
      <c r="H187" s="223" t="n">
        <v>5122.46</v>
      </c>
      <c r="I187" s="223">
        <f>4994.97</f>
        <v/>
      </c>
      <c r="J187" s="223" t="n">
        <v>5122.46</v>
      </c>
      <c r="K187" s="223">
        <f>H189-G189</f>
        <v/>
      </c>
      <c r="L187" s="223">
        <f>I189-G189</f>
        <v/>
      </c>
      <c r="M187" s="223">
        <f>I189-H189</f>
        <v/>
      </c>
      <c r="N187" s="224">
        <f>K189/G189</f>
        <v/>
      </c>
      <c r="O187" s="222" t="n">
        <v>2</v>
      </c>
      <c r="P187" s="222" t="n">
        <v>3</v>
      </c>
      <c r="Q187" s="224">
        <f>(O189-P189)/P189</f>
        <v/>
      </c>
      <c r="R187" s="223">
        <f>P189*0.9056*0.85</f>
        <v/>
      </c>
      <c r="S187" s="223">
        <f>P189*1.15</f>
        <v/>
      </c>
      <c r="T187" s="223">
        <f>IF(O189&lt;P189*0.9056*0.85,P189*0.9056*0.85,IF(O189&gt;P189*1.15,P189*1.15,O189))</f>
        <v/>
      </c>
      <c r="U187" s="223" t="n">
        <v>9524.92</v>
      </c>
      <c r="V187" s="223" t="n">
        <v>10356.26</v>
      </c>
      <c r="W187" s="223">
        <f>U189+T189*L189</f>
        <v/>
      </c>
      <c r="X187" s="223">
        <f>V189-U189</f>
        <v/>
      </c>
      <c r="Y187" s="223">
        <f>W189-U189</f>
        <v/>
      </c>
      <c r="Z187" s="223">
        <f>W189-V189</f>
        <v/>
      </c>
      <c r="AA187" s="222" t="n"/>
      <c r="AB187" s="222" t="n"/>
      <c r="AC187" s="222" t="n"/>
      <c r="AD187" s="222" t="n"/>
      <c r="AE187" s="222" t="n"/>
      <c r="AF187" s="222" t="n"/>
      <c r="AG187" s="222" t="n"/>
      <c r="AH187" s="222" t="n"/>
      <c r="AI187" s="222" t="n"/>
      <c r="AJ187" s="222" t="n"/>
    </row>
    <row r="188" ht="25" customHeight="1" s="166">
      <c r="A188" s="222" t="n"/>
      <c r="B188" s="227" t="inlineStr">
        <is>
          <t>综合楼</t>
        </is>
      </c>
      <c r="C188" s="222" t="n"/>
      <c r="D188" s="222" t="inlineStr">
        <is>
          <t>分部分项合计</t>
        </is>
      </c>
      <c r="E188" s="222" t="n"/>
      <c r="F188" s="222" t="n"/>
      <c r="G188" s="222" t="n"/>
      <c r="H188" s="223" t="n"/>
      <c r="I188" s="223" t="n"/>
      <c r="J188" s="223" t="n"/>
      <c r="K188" s="223" t="n"/>
      <c r="L188" s="223" t="n"/>
      <c r="M188" s="223" t="n"/>
      <c r="N188" s="224" t="n"/>
      <c r="O188" s="228" t="n"/>
      <c r="P188" s="222" t="n"/>
      <c r="Q188" s="224" t="n"/>
      <c r="R188" s="223" t="n"/>
      <c r="S188" s="223" t="n"/>
      <c r="T188" s="223" t="n"/>
      <c r="U188" s="223" t="n">
        <v>14732579.96</v>
      </c>
      <c r="V188" s="223" t="n">
        <v>15615036.81</v>
      </c>
      <c r="W188" s="223">
        <f>+W171+W161+W133+W115+W110+W96+W74+W57+W30+W20+W13+W6</f>
        <v/>
      </c>
      <c r="X188" s="223">
        <f>+V190-U190</f>
        <v/>
      </c>
      <c r="Y188" s="223">
        <f>W190-U190</f>
        <v/>
      </c>
      <c r="Z188" s="223">
        <f>W190-V190</f>
        <v/>
      </c>
      <c r="AA188" s="222" t="n"/>
      <c r="AB188" s="222" t="n"/>
      <c r="AC188" s="222" t="n"/>
      <c r="AD188" s="222" t="n"/>
      <c r="AE188" s="222" t="n"/>
      <c r="AF188" s="222" t="n"/>
      <c r="AG188" s="222" t="n"/>
      <c r="AH188" s="222" t="n"/>
      <c r="AI188" s="222" t="n"/>
      <c r="AJ188" s="222" t="n"/>
    </row>
    <row r="189" ht="20" customHeight="1" s="166">
      <c r="A189" s="222" t="n"/>
      <c r="B189" s="227" t="inlineStr">
        <is>
          <t>综合楼</t>
        </is>
      </c>
      <c r="C189" s="222" t="n"/>
      <c r="D189" s="222" t="inlineStr">
        <is>
          <t>措施合计</t>
        </is>
      </c>
      <c r="E189" s="222" t="n"/>
      <c r="F189" s="222" t="n"/>
      <c r="G189" s="222" t="n"/>
      <c r="H189" s="223" t="n"/>
      <c r="I189" s="223" t="n"/>
      <c r="J189" s="223" t="n"/>
      <c r="K189" s="223" t="n"/>
      <c r="L189" s="223" t="n"/>
      <c r="M189" s="223" t="n"/>
      <c r="N189" s="224" t="n"/>
      <c r="O189" s="228" t="n"/>
      <c r="P189" s="222" t="n"/>
      <c r="Q189" s="224" t="n"/>
      <c r="R189" s="223" t="n"/>
      <c r="S189" s="223" t="n"/>
      <c r="T189" s="223" t="n"/>
      <c r="U189" s="223" t="n">
        <v>2214992.31</v>
      </c>
      <c r="V189" s="223" t="n">
        <v>2754116.16</v>
      </c>
      <c r="W189" s="223">
        <f>SUM(W193:W260)</f>
        <v/>
      </c>
      <c r="X189" s="223">
        <f>+V191-U191</f>
        <v/>
      </c>
      <c r="Y189" s="223">
        <f>W191-U191</f>
        <v/>
      </c>
      <c r="Z189" s="223">
        <f>W191-V191</f>
        <v/>
      </c>
      <c r="AA189" s="222" t="n"/>
      <c r="AB189" s="222" t="n"/>
      <c r="AC189" s="222" t="n"/>
      <c r="AD189" s="222" t="n"/>
      <c r="AE189" s="222" t="n"/>
      <c r="AF189" s="222" t="n"/>
      <c r="AG189" s="222" t="n"/>
      <c r="AH189" s="222" t="n"/>
      <c r="AI189" s="222" t="n"/>
      <c r="AJ189" s="222" t="n"/>
    </row>
    <row r="190" ht="26" customHeight="1" s="166">
      <c r="A190" s="222" t="n"/>
      <c r="B190" s="227" t="inlineStr">
        <is>
          <t>综合楼</t>
        </is>
      </c>
      <c r="C190" s="222" t="n"/>
      <c r="D190" s="222" t="inlineStr">
        <is>
          <t>安全文明施工措施费</t>
        </is>
      </c>
      <c r="E190" s="222" t="n"/>
      <c r="F190" s="222" t="n"/>
      <c r="G190" s="222" t="n"/>
      <c r="H190" s="223" t="n"/>
      <c r="I190" s="223" t="n"/>
      <c r="J190" s="223" t="n"/>
      <c r="K190" s="223" t="n"/>
      <c r="L190" s="223" t="n"/>
      <c r="M190" s="223" t="n"/>
      <c r="N190" s="224" t="n"/>
      <c r="O190" s="228" t="n"/>
      <c r="P190" s="222" t="n"/>
      <c r="Q190" s="224" t="n"/>
      <c r="R190" s="223" t="n"/>
      <c r="S190" s="223" t="n"/>
      <c r="T190" s="223" t="n"/>
      <c r="U190" s="223" t="n"/>
      <c r="V190" s="223" t="n"/>
      <c r="W190" s="223">
        <f>U192+T192*L192</f>
        <v/>
      </c>
      <c r="X190" s="223" t="n"/>
      <c r="Y190" s="223">
        <f>W192-U192</f>
        <v/>
      </c>
      <c r="Z190" s="223">
        <f>W192-V192</f>
        <v/>
      </c>
      <c r="AA190" s="222" t="n"/>
      <c r="AB190" s="222" t="n"/>
      <c r="AC190" s="222" t="n"/>
      <c r="AD190" s="222" t="n"/>
      <c r="AE190" s="222" t="n"/>
      <c r="AF190" s="222" t="n"/>
      <c r="AG190" s="222" t="n"/>
      <c r="AH190" s="222" t="n"/>
      <c r="AI190" s="222" t="n"/>
      <c r="AJ190" s="222" t="n"/>
    </row>
    <row r="191" ht="23" customHeight="1" s="166">
      <c r="A191" s="222" t="n"/>
      <c r="B191" s="227" t="inlineStr">
        <is>
          <t>综合楼</t>
        </is>
      </c>
      <c r="C191" s="222" t="inlineStr">
        <is>
          <t>01B001</t>
        </is>
      </c>
      <c r="D191" s="222" t="inlineStr">
        <is>
          <t>绿色施工安全防护措施费</t>
        </is>
      </c>
      <c r="E191" s="222" t="n"/>
      <c r="F191" s="222" t="n"/>
      <c r="G191" s="222" t="n"/>
      <c r="H191" s="223" t="n"/>
      <c r="I191" s="223" t="n"/>
      <c r="J191" s="223" t="n"/>
      <c r="K191" s="223" t="n"/>
      <c r="L191" s="223" t="n"/>
      <c r="M191" s="223" t="n"/>
      <c r="N191" s="224" t="n"/>
      <c r="O191" s="228" t="n"/>
      <c r="P191" s="222" t="n"/>
      <c r="Q191" s="224" t="n"/>
      <c r="R191" s="223" t="n"/>
      <c r="S191" s="223" t="n"/>
      <c r="T191" s="223" t="n"/>
      <c r="U191" s="223" t="n">
        <v>529002.35</v>
      </c>
      <c r="V191" s="223" t="n">
        <v>529002.35</v>
      </c>
      <c r="W191" s="223">
        <f>W190/V190*V193</f>
        <v/>
      </c>
      <c r="X191" s="223" t="n"/>
      <c r="Y191" s="223">
        <f>W193-U193</f>
        <v/>
      </c>
      <c r="Z191" s="223">
        <f>W193-V193</f>
        <v/>
      </c>
      <c r="AA191" s="222" t="n"/>
      <c r="AB191" s="222" t="n"/>
      <c r="AC191" s="222" t="n"/>
      <c r="AD191" s="222" t="n"/>
      <c r="AE191" s="222" t="n"/>
      <c r="AF191" s="222" t="n"/>
      <c r="AG191" s="222" t="n"/>
      <c r="AH191" s="222" t="n"/>
      <c r="AI191" s="222" t="n"/>
      <c r="AJ191" s="222" t="n"/>
    </row>
    <row r="192" ht="41.25" customHeight="1" s="166">
      <c r="A192" s="222" t="n"/>
      <c r="B192" s="222" t="inlineStr">
        <is>
          <t>综合楼</t>
        </is>
      </c>
      <c r="C192" s="222" t="inlineStr">
        <is>
          <t>粤011701008002</t>
        </is>
      </c>
      <c r="D192" s="222" t="inlineStr">
        <is>
          <t>综合钢脚手架</t>
        </is>
      </c>
      <c r="E192" s="222" t="inlineStr">
        <is>
          <t>1.搭设高度:综合钢脚手架搭拆高度(m以内)30.5
2.建筑用综合脚手架使用费</t>
        </is>
      </c>
      <c r="F192" s="222" t="inlineStr">
        <is>
          <t>m2</t>
        </is>
      </c>
      <c r="G192" s="223" t="n">
        <v>3288.12</v>
      </c>
      <c r="H192" s="223" t="n">
        <v>9179.959999999999</v>
      </c>
      <c r="I192" s="223">
        <f>3345.74</f>
        <v/>
      </c>
      <c r="J192" s="223" t="n"/>
      <c r="K192" s="223">
        <f>H194-G194</f>
        <v/>
      </c>
      <c r="L192" s="223">
        <f>I194-G194</f>
        <v/>
      </c>
      <c r="M192" s="223">
        <f>I194-H194</f>
        <v/>
      </c>
      <c r="N192" s="224">
        <f>K194/G194</f>
        <v/>
      </c>
      <c r="O192" s="222" t="n">
        <v>65.34999999999999</v>
      </c>
      <c r="P192" s="222" t="n">
        <v>69.55</v>
      </c>
      <c r="Q192" s="224">
        <f>(O194-P194)/P194</f>
        <v/>
      </c>
      <c r="R192" s="223">
        <f>P194*0.9056*0.85</f>
        <v/>
      </c>
      <c r="S192" s="223">
        <f>P194*1.15</f>
        <v/>
      </c>
      <c r="T192" s="223">
        <f>IF(O194&lt;P194*0.9056*0.85,P194*0.9056*0.85,IF(O194&gt;P194*1.15,P194*1.15,O194))</f>
        <v/>
      </c>
      <c r="U192" s="223" t="n">
        <v>214878.64</v>
      </c>
      <c r="V192" s="223" t="n">
        <v>599910.39</v>
      </c>
      <c r="W192" s="223">
        <f>U194+T194*L194</f>
        <v/>
      </c>
      <c r="X192" s="223">
        <f>V194-U194</f>
        <v/>
      </c>
      <c r="Y192" s="223">
        <f>W194-U194</f>
        <v/>
      </c>
      <c r="Z192" s="223">
        <f>W194-V194</f>
        <v/>
      </c>
      <c r="AA192" s="222" t="n"/>
      <c r="AB192" s="222" t="n"/>
      <c r="AC192" s="222" t="n"/>
      <c r="AD192" s="222" t="n"/>
      <c r="AE192" s="222" t="n"/>
      <c r="AF192" s="222" t="n"/>
      <c r="AG192" s="222" t="n"/>
      <c r="AH192" s="222" t="n"/>
      <c r="AI192" s="222" t="n"/>
      <c r="AJ192" s="222" t="n"/>
    </row>
    <row r="193" ht="28.5" customHeight="1" s="166">
      <c r="A193" s="222" t="n"/>
      <c r="B193" s="222" t="inlineStr">
        <is>
          <t>综合楼</t>
        </is>
      </c>
      <c r="C193" s="222" t="inlineStr">
        <is>
          <t>MBZC001</t>
        </is>
      </c>
      <c r="D193" s="222" t="inlineStr">
        <is>
          <t>模板的支架</t>
        </is>
      </c>
      <c r="E193" s="222" t="inlineStr">
        <is>
          <t>1.模板钢支撑</t>
        </is>
      </c>
      <c r="F193" s="222" t="inlineStr">
        <is>
          <t>t</t>
        </is>
      </c>
      <c r="G193" s="223" t="n">
        <v>14.42</v>
      </c>
      <c r="H193" s="223" t="n">
        <v>14.42</v>
      </c>
      <c r="I193" s="223" t="n">
        <v>14.42</v>
      </c>
      <c r="J193" s="223" t="n"/>
      <c r="K193" s="223">
        <f>H195-G195</f>
        <v/>
      </c>
      <c r="L193" s="223">
        <f>I195-G195</f>
        <v/>
      </c>
      <c r="M193" s="223">
        <f>I195-H195</f>
        <v/>
      </c>
      <c r="N193" s="224">
        <f>K195/G195</f>
        <v/>
      </c>
      <c r="O193" s="222" t="n">
        <v>6313.66</v>
      </c>
      <c r="P193" s="222" t="n">
        <v>6000</v>
      </c>
      <c r="Q193" s="224">
        <f>(O195-P195)/P195</f>
        <v/>
      </c>
      <c r="R193" s="223">
        <f>P195*0.9056*0.85</f>
        <v/>
      </c>
      <c r="S193" s="223">
        <f>P195*1.15</f>
        <v/>
      </c>
      <c r="T193" s="223">
        <f>IF(O195&lt;P195*0.9056*0.85,P195*0.9056*0.85,IF(O195&gt;P195*1.15,P195*1.15,O195))</f>
        <v/>
      </c>
      <c r="U193" s="223" t="n">
        <v>91023.39999999999</v>
      </c>
      <c r="V193" s="223" t="n">
        <v>91023.39999999999</v>
      </c>
      <c r="W193" s="223">
        <f>U195+T195*L195</f>
        <v/>
      </c>
      <c r="X193" s="223">
        <f>V195-U195</f>
        <v/>
      </c>
      <c r="Y193" s="223">
        <f>W195-U195</f>
        <v/>
      </c>
      <c r="Z193" s="223">
        <f>W195-V195</f>
        <v/>
      </c>
      <c r="AA193" s="222" t="n"/>
      <c r="AB193" s="222" t="n"/>
      <c r="AC193" s="222" t="n"/>
      <c r="AD193" s="222" t="n"/>
      <c r="AE193" s="222" t="n"/>
      <c r="AF193" s="222" t="n"/>
      <c r="AG193" s="222" t="n"/>
      <c r="AH193" s="222" t="n"/>
      <c r="AI193" s="222" t="n"/>
      <c r="AJ193" s="222" t="n"/>
    </row>
    <row r="194" ht="28.5" customHeight="1" s="166">
      <c r="A194" s="222" t="n"/>
      <c r="B194" s="222" t="inlineStr">
        <is>
          <t>综合楼</t>
        </is>
      </c>
      <c r="C194" s="222" t="n"/>
      <c r="D194" s="222" t="inlineStr">
        <is>
          <t>措施其他项目</t>
        </is>
      </c>
      <c r="E194" s="222" t="n"/>
      <c r="F194" s="222" t="n"/>
      <c r="G194" s="223" t="n"/>
      <c r="H194" s="223" t="n"/>
      <c r="I194" s="223" t="n"/>
      <c r="J194" s="223" t="n"/>
      <c r="K194" s="223" t="n"/>
      <c r="L194" s="223" t="n"/>
      <c r="M194" s="223" t="n"/>
      <c r="N194" s="224" t="n"/>
      <c r="O194" s="222" t="n"/>
      <c r="P194" s="222" t="n"/>
      <c r="Q194" s="224" t="n"/>
      <c r="R194" s="223" t="n"/>
      <c r="S194" s="223" t="n"/>
      <c r="T194" s="223" t="n"/>
      <c r="U194" s="223" t="n"/>
      <c r="V194" s="223" t="n"/>
      <c r="W194" s="223" t="n"/>
      <c r="X194" s="223" t="n"/>
      <c r="Y194" s="223" t="n"/>
      <c r="Z194" s="223" t="n"/>
      <c r="AA194" s="222" t="n"/>
      <c r="AB194" s="222" t="n"/>
      <c r="AC194" s="222" t="n"/>
      <c r="AD194" s="222" t="n"/>
      <c r="AE194" s="222" t="n"/>
      <c r="AF194" s="222" t="n"/>
      <c r="AG194" s="222" t="n"/>
      <c r="AH194" s="222" t="n"/>
      <c r="AI194" s="222" t="n"/>
      <c r="AJ194" s="222" t="n"/>
    </row>
    <row r="195" ht="44" customHeight="1" s="166">
      <c r="A195" s="222" t="n"/>
      <c r="B195" s="222" t="inlineStr">
        <is>
          <t>综合楼</t>
        </is>
      </c>
      <c r="C195" s="222" t="inlineStr">
        <is>
          <t>粤011701011003</t>
        </is>
      </c>
      <c r="D195" s="222" t="inlineStr">
        <is>
          <t>里脚手架</t>
        </is>
      </c>
      <c r="E195" s="222" t="inlineStr">
        <is>
          <t>1.里脚手架(钢管)民用建筑实际高度4.8m以内</t>
        </is>
      </c>
      <c r="F195" s="222" t="inlineStr">
        <is>
          <t>m2</t>
        </is>
      </c>
      <c r="G195" s="223" t="n">
        <v>1596.93</v>
      </c>
      <c r="H195" s="223" t="n">
        <v>1593.65</v>
      </c>
      <c r="I195" s="223" t="n">
        <v>1593.65</v>
      </c>
      <c r="J195" s="223" t="n"/>
      <c r="K195" s="223">
        <f>H197-G197</f>
        <v/>
      </c>
      <c r="L195" s="223">
        <f>I197-G197</f>
        <v/>
      </c>
      <c r="M195" s="223">
        <f>I197-H197</f>
        <v/>
      </c>
      <c r="N195" s="224">
        <f>K197/G197</f>
        <v/>
      </c>
      <c r="O195" s="222" t="n">
        <v>19.66</v>
      </c>
      <c r="P195" s="222" t="n">
        <v>21.74</v>
      </c>
      <c r="Q195" s="224">
        <f>(O197-P197)/P197</f>
        <v/>
      </c>
      <c r="R195" s="223">
        <f>P197*0.9056*0.85</f>
        <v/>
      </c>
      <c r="S195" s="223">
        <f>P197*1.15</f>
        <v/>
      </c>
      <c r="T195" s="223">
        <f>IF(O197&lt;P197*0.9056*0.85,P197*0.9056*0.85,IF(O197&gt;P197*1.15,P197*1.15,O197))</f>
        <v/>
      </c>
      <c r="U195" s="223" t="n">
        <v>31395.64</v>
      </c>
      <c r="V195" s="223" t="n">
        <v>31331.23</v>
      </c>
      <c r="W195" s="223">
        <f>U197+T197*L197</f>
        <v/>
      </c>
      <c r="X195" s="223">
        <f>V197-U197</f>
        <v/>
      </c>
      <c r="Y195" s="223">
        <f>W197-U197</f>
        <v/>
      </c>
      <c r="Z195" s="223">
        <f>W197-V197</f>
        <v/>
      </c>
      <c r="AA195" s="222" t="n"/>
      <c r="AB195" s="222" t="n"/>
      <c r="AC195" s="222" t="n"/>
      <c r="AD195" s="222" t="n"/>
      <c r="AE195" s="222" t="n"/>
      <c r="AF195" s="222" t="n"/>
      <c r="AG195" s="222" t="n"/>
      <c r="AH195" s="222" t="n"/>
      <c r="AI195" s="222" t="n"/>
      <c r="AJ195" s="222" t="n"/>
    </row>
    <row r="196" ht="44" customHeight="1" s="166">
      <c r="A196" s="222" t="n"/>
      <c r="B196" s="222" t="inlineStr">
        <is>
          <t>综合楼</t>
        </is>
      </c>
      <c r="C196" s="222" t="inlineStr">
        <is>
          <t>粤011701011004</t>
        </is>
      </c>
      <c r="D196" s="222" t="inlineStr">
        <is>
          <t>里脚手架</t>
        </is>
      </c>
      <c r="E196" s="222" t="inlineStr">
        <is>
          <t>1.里脚手架(钢管)民用建筑实际高度5.5m以内</t>
        </is>
      </c>
      <c r="F196" s="222" t="inlineStr">
        <is>
          <t>m2</t>
        </is>
      </c>
      <c r="G196" s="223" t="n">
        <v>54.83</v>
      </c>
      <c r="H196" s="223" t="n">
        <v>54.35</v>
      </c>
      <c r="I196" s="223" t="n">
        <v>54.35</v>
      </c>
      <c r="J196" s="223" t="n"/>
      <c r="K196" s="223">
        <f>H198-G198</f>
        <v/>
      </c>
      <c r="L196" s="223">
        <f>I198-G198</f>
        <v/>
      </c>
      <c r="M196" s="223">
        <f>I198-H198</f>
        <v/>
      </c>
      <c r="N196" s="224">
        <f>K198/G198</f>
        <v/>
      </c>
      <c r="O196" s="222" t="n">
        <v>24.63</v>
      </c>
      <c r="P196" s="222" t="n">
        <v>27.23</v>
      </c>
      <c r="Q196" s="224">
        <f>(O198-P198)/P198</f>
        <v/>
      </c>
      <c r="R196" s="223">
        <f>P198*0.9056*0.85</f>
        <v/>
      </c>
      <c r="S196" s="223">
        <f>P198*1.15</f>
        <v/>
      </c>
      <c r="T196" s="223">
        <f>IF(O198&lt;P198*0.9056*0.85,P198*0.9056*0.85,IF(O198&gt;P198*1.15,P198*1.15,O198))</f>
        <v/>
      </c>
      <c r="U196" s="223" t="n">
        <v>1350.34</v>
      </c>
      <c r="V196" s="223" t="n">
        <v>1338.64</v>
      </c>
      <c r="W196" s="223">
        <f>U198+T198*L198</f>
        <v/>
      </c>
      <c r="X196" s="223">
        <f>V198-U198</f>
        <v/>
      </c>
      <c r="Y196" s="223">
        <f>W198-U198</f>
        <v/>
      </c>
      <c r="Z196" s="223">
        <f>W198-V198</f>
        <v/>
      </c>
      <c r="AA196" s="222" t="n"/>
      <c r="AB196" s="222" t="n"/>
      <c r="AC196" s="222" t="n"/>
      <c r="AD196" s="222" t="n"/>
      <c r="AE196" s="222" t="n"/>
      <c r="AF196" s="222" t="n"/>
      <c r="AG196" s="222" t="n"/>
      <c r="AH196" s="222" t="n"/>
      <c r="AI196" s="222" t="n"/>
      <c r="AJ196" s="222" t="n"/>
    </row>
    <row r="197" ht="44" customHeight="1" s="166">
      <c r="A197" s="222" t="n"/>
      <c r="B197" s="222" t="inlineStr">
        <is>
          <t>综合楼</t>
        </is>
      </c>
      <c r="C197" s="222" t="inlineStr">
        <is>
          <t>粤011701011005</t>
        </is>
      </c>
      <c r="D197" s="222" t="inlineStr">
        <is>
          <t>里脚手架</t>
        </is>
      </c>
      <c r="E197" s="222" t="inlineStr">
        <is>
          <t>1.里脚手架(钢管)民用建筑实际高度12.15m以内</t>
        </is>
      </c>
      <c r="F197" s="222" t="inlineStr">
        <is>
          <t>m2</t>
        </is>
      </c>
      <c r="G197" s="223" t="n">
        <v>593.08</v>
      </c>
      <c r="H197" s="223" t="n">
        <v>519.33</v>
      </c>
      <c r="I197" s="223" t="n">
        <v>519.33</v>
      </c>
      <c r="J197" s="223" t="n"/>
      <c r="K197" s="223">
        <f>H199-G199</f>
        <v/>
      </c>
      <c r="L197" s="223">
        <f>I199-G199</f>
        <v/>
      </c>
      <c r="M197" s="223">
        <f>I199-H199</f>
        <v/>
      </c>
      <c r="N197" s="224">
        <f>K199/G199</f>
        <v/>
      </c>
      <c r="O197" s="222" t="n">
        <v>49.49</v>
      </c>
      <c r="P197" s="222" t="n">
        <v>54.67</v>
      </c>
      <c r="Q197" s="224">
        <f>(O199-P199)/P199</f>
        <v/>
      </c>
      <c r="R197" s="223">
        <f>P199*0.9056*0.85</f>
        <v/>
      </c>
      <c r="S197" s="223">
        <f>P199*1.15</f>
        <v/>
      </c>
      <c r="T197" s="223">
        <f>IF(O199&lt;P199*0.9056*0.85,P199*0.9056*0.85,IF(O199&gt;P199*1.15,P199*1.15,O199))</f>
        <v/>
      </c>
      <c r="U197" s="223" t="n">
        <v>29351.53</v>
      </c>
      <c r="V197" s="223" t="n">
        <v>25701.39</v>
      </c>
      <c r="W197" s="223" t="n">
        <v>25701.39</v>
      </c>
      <c r="X197" s="223">
        <f>V199-U199</f>
        <v/>
      </c>
      <c r="Y197" s="223">
        <f>W199-U199</f>
        <v/>
      </c>
      <c r="Z197" s="223">
        <f>W199-V199</f>
        <v/>
      </c>
      <c r="AA197" s="222" t="n"/>
      <c r="AB197" s="222" t="n"/>
      <c r="AC197" s="222" t="n"/>
      <c r="AD197" s="222" t="n"/>
      <c r="AE197" s="222" t="n"/>
      <c r="AF197" s="222" t="n"/>
      <c r="AG197" s="222" t="n"/>
      <c r="AH197" s="222" t="n"/>
      <c r="AI197" s="222" t="n"/>
      <c r="AJ197" s="222" t="n"/>
    </row>
    <row r="198" ht="44" customHeight="1" s="166">
      <c r="A198" s="222" t="n"/>
      <c r="B198" s="222" t="inlineStr">
        <is>
          <t>综合楼</t>
        </is>
      </c>
      <c r="C198" s="222" t="inlineStr">
        <is>
          <t>粤011701010002</t>
        </is>
      </c>
      <c r="D198" s="222" t="inlineStr">
        <is>
          <t>满堂脚手架</t>
        </is>
      </c>
      <c r="E198" s="222" t="inlineStr">
        <is>
          <t>1.满堂脚手架(钢管)5.2m以内</t>
        </is>
      </c>
      <c r="F198" s="222" t="inlineStr">
        <is>
          <t>m2</t>
        </is>
      </c>
      <c r="G198" s="223" t="n">
        <v>3466.65</v>
      </c>
      <c r="H198" s="223" t="n">
        <v>3154.87</v>
      </c>
      <c r="I198" s="223" t="n">
        <v>3018.44</v>
      </c>
      <c r="J198" s="223" t="n"/>
      <c r="K198" s="223">
        <f>H200-G200</f>
        <v/>
      </c>
      <c r="L198" s="223">
        <f>I200-G200</f>
        <v/>
      </c>
      <c r="M198" s="223">
        <f>I200-H200</f>
        <v/>
      </c>
      <c r="N198" s="224">
        <f>K200/G200</f>
        <v/>
      </c>
      <c r="O198" s="222" t="n">
        <v>12.36</v>
      </c>
      <c r="P198" s="222" t="n">
        <v>13.43</v>
      </c>
      <c r="Q198" s="224">
        <f>(O200-P200)/P200</f>
        <v/>
      </c>
      <c r="R198" s="223">
        <f>P200*0.9056*0.85</f>
        <v/>
      </c>
      <c r="S198" s="223">
        <f>P200*1.15</f>
        <v/>
      </c>
      <c r="T198" s="223">
        <f>IF(O200&lt;P200*0.9056*0.85,P200*0.9056*0.85,IF(O200&gt;P200*1.15,P200*1.15,O200))</f>
        <v/>
      </c>
      <c r="U198" s="223" t="n">
        <v>42847.84</v>
      </c>
      <c r="V198" s="223" t="n">
        <v>38994.15</v>
      </c>
      <c r="W198" s="223">
        <f>U200+T200*L200</f>
        <v/>
      </c>
      <c r="X198" s="223">
        <f>V200-U200</f>
        <v/>
      </c>
      <c r="Y198" s="223">
        <f>W200-U200</f>
        <v/>
      </c>
      <c r="Z198" s="223">
        <f>W200-V200</f>
        <v/>
      </c>
      <c r="AA198" s="222" t="n"/>
      <c r="AB198" s="222" t="inlineStr">
        <is>
          <t>是否车道是否在地下室计算</t>
        </is>
      </c>
      <c r="AC198" s="222" t="n"/>
      <c r="AD198" s="222" t="n"/>
      <c r="AE198" s="222" t="n"/>
      <c r="AF198" s="222" t="n"/>
      <c r="AG198" s="222" t="n"/>
      <c r="AH198" s="222" t="n"/>
      <c r="AI198" s="222" t="n"/>
      <c r="AJ198" s="222" t="n"/>
    </row>
    <row r="199" ht="44" customHeight="1" s="166">
      <c r="A199" s="222" t="n"/>
      <c r="B199" s="222" t="inlineStr">
        <is>
          <t>综合楼</t>
        </is>
      </c>
      <c r="C199" s="222" t="inlineStr">
        <is>
          <t>粤011701010003</t>
        </is>
      </c>
      <c r="D199" s="222" t="inlineStr">
        <is>
          <t>满堂脚手架</t>
        </is>
      </c>
      <c r="E199" s="222" t="inlineStr">
        <is>
          <t>1.满堂脚手架(钢管)5.5m以内</t>
        </is>
      </c>
      <c r="F199" s="222" t="inlineStr">
        <is>
          <t>m2</t>
        </is>
      </c>
      <c r="G199" s="223" t="n">
        <v>109.65</v>
      </c>
      <c r="H199" s="223" t="n">
        <v>110.5</v>
      </c>
      <c r="I199" s="223" t="n">
        <v>107.63</v>
      </c>
      <c r="J199" s="223" t="n"/>
      <c r="K199" s="223">
        <f>H201-G201</f>
        <v/>
      </c>
      <c r="L199" s="223">
        <f>I201-G201</f>
        <v/>
      </c>
      <c r="M199" s="223">
        <f>I201-H201</f>
        <v/>
      </c>
      <c r="N199" s="224">
        <f>K201/G201</f>
        <v/>
      </c>
      <c r="O199" s="222" t="n">
        <v>12.36</v>
      </c>
      <c r="P199" s="222" t="n">
        <v>13.43</v>
      </c>
      <c r="Q199" s="224">
        <f>(O201-P201)/P201</f>
        <v/>
      </c>
      <c r="R199" s="223">
        <f>P201*0.9056*0.85</f>
        <v/>
      </c>
      <c r="S199" s="223">
        <f>P201*1.15</f>
        <v/>
      </c>
      <c r="T199" s="223">
        <f>IF(O201&lt;P201*0.9056*0.85,P201*0.9056*0.85,IF(O201&gt;P201*1.15,P201*1.15,O201))</f>
        <v/>
      </c>
      <c r="U199" s="223" t="n">
        <v>1355.27</v>
      </c>
      <c r="V199" s="223" t="n">
        <v>1365.72</v>
      </c>
      <c r="W199" s="223">
        <f>U201+T201*L201</f>
        <v/>
      </c>
      <c r="X199" s="223">
        <f>V201-U201</f>
        <v/>
      </c>
      <c r="Y199" s="223">
        <f>W201-U201</f>
        <v/>
      </c>
      <c r="Z199" s="223">
        <f>W201-V201</f>
        <v/>
      </c>
      <c r="AA199" s="222" t="n"/>
      <c r="AB199" s="222" t="n"/>
      <c r="AC199" s="222" t="n"/>
      <c r="AD199" s="222" t="n"/>
      <c r="AE199" s="222" t="n"/>
      <c r="AF199" s="222" t="n"/>
      <c r="AG199" s="222" t="n"/>
      <c r="AH199" s="222" t="n"/>
      <c r="AI199" s="222" t="n"/>
      <c r="AJ199" s="222" t="n"/>
    </row>
    <row r="200" ht="44" customHeight="1" s="166">
      <c r="A200" s="222" t="n"/>
      <c r="B200" s="222" t="inlineStr">
        <is>
          <t>综合楼</t>
        </is>
      </c>
      <c r="C200" s="222" t="inlineStr">
        <is>
          <t>粤011701010004</t>
        </is>
      </c>
      <c r="D200" s="222" t="inlineStr">
        <is>
          <t>满堂脚手架</t>
        </is>
      </c>
      <c r="E200" s="222" t="inlineStr">
        <is>
          <t>1.满堂脚手架(钢管)12.15m以内</t>
        </is>
      </c>
      <c r="F200" s="222" t="inlineStr">
        <is>
          <t>m2</t>
        </is>
      </c>
      <c r="G200" s="223" t="n">
        <v>1186.16</v>
      </c>
      <c r="H200" s="223" t="n">
        <v>1142.45</v>
      </c>
      <c r="I200" s="223" t="n">
        <v>1142.45</v>
      </c>
      <c r="J200" s="223" t="n"/>
      <c r="K200" s="223">
        <f>H202-G202</f>
        <v/>
      </c>
      <c r="L200" s="223">
        <f>I202-G202</f>
        <v/>
      </c>
      <c r="M200" s="223">
        <f>I202-H202</f>
        <v/>
      </c>
      <c r="N200" s="224">
        <f>K202/G202</f>
        <v/>
      </c>
      <c r="O200" s="222" t="n">
        <v>36.49</v>
      </c>
      <c r="P200" s="222" t="n">
        <v>39.96</v>
      </c>
      <c r="Q200" s="224">
        <f>(O202-P202)/P202</f>
        <v/>
      </c>
      <c r="R200" s="223">
        <f>P202*0.9056*0.85</f>
        <v/>
      </c>
      <c r="S200" s="223">
        <f>P202*1.15</f>
        <v/>
      </c>
      <c r="T200" s="223">
        <f>IF(O202&lt;P202*0.9056*0.85,P202*0.9056*0.85,IF(O202&gt;P202*1.15,P202*1.15,O202))</f>
        <v/>
      </c>
      <c r="U200" s="223" t="n">
        <v>43282.98</v>
      </c>
      <c r="V200" s="223" t="n">
        <v>41688</v>
      </c>
      <c r="W200" s="223">
        <f>U202+T202*L202</f>
        <v/>
      </c>
      <c r="X200" s="223">
        <f>V202-U202</f>
        <v/>
      </c>
      <c r="Y200" s="223">
        <f>W202-U202</f>
        <v/>
      </c>
      <c r="Z200" s="223">
        <f>W202-V202</f>
        <v/>
      </c>
      <c r="AA200" s="222" t="n"/>
      <c r="AB200" s="222" t="n"/>
      <c r="AC200" s="222" t="n"/>
      <c r="AD200" s="222" t="n"/>
      <c r="AE200" s="222" t="n"/>
      <c r="AF200" s="222" t="n"/>
      <c r="AG200" s="222" t="n"/>
      <c r="AH200" s="222" t="n"/>
      <c r="AI200" s="222" t="n"/>
      <c r="AJ200" s="222" t="n"/>
    </row>
    <row r="201" ht="44" customHeight="1" s="166">
      <c r="A201" s="222" t="n"/>
      <c r="B201" s="222" t="inlineStr">
        <is>
          <t>综合楼</t>
        </is>
      </c>
      <c r="C201" s="222" t="inlineStr">
        <is>
          <t>粤011701010005</t>
        </is>
      </c>
      <c r="D201" s="222" t="inlineStr">
        <is>
          <t>满堂脚手架</t>
        </is>
      </c>
      <c r="E201" s="222" t="inlineStr">
        <is>
          <t>1.满堂脚手架(钢管)15.45m以内</t>
        </is>
      </c>
      <c r="F201" s="222" t="inlineStr">
        <is>
          <t>m2</t>
        </is>
      </c>
      <c r="G201" s="223" t="n">
        <v>315.5</v>
      </c>
      <c r="H201" s="223" t="n">
        <v>313.22</v>
      </c>
      <c r="I201" s="223" t="n">
        <v>313.22</v>
      </c>
      <c r="J201" s="223" t="n"/>
      <c r="K201" s="223">
        <f>H203-G203</f>
        <v/>
      </c>
      <c r="L201" s="223">
        <f>I203-G203</f>
        <v/>
      </c>
      <c r="M201" s="223">
        <f>I203-H203</f>
        <v/>
      </c>
      <c r="N201" s="224">
        <f>K203/G203</f>
        <v/>
      </c>
      <c r="O201" s="222" t="n">
        <v>48.55</v>
      </c>
      <c r="P201" s="222" t="n">
        <v>39.96</v>
      </c>
      <c r="Q201" s="224">
        <f>(O203-P203)/P203</f>
        <v/>
      </c>
      <c r="R201" s="223">
        <f>P203*0.9056*0.85</f>
        <v/>
      </c>
      <c r="S201" s="223">
        <f>P203*1.15</f>
        <v/>
      </c>
      <c r="T201" s="223">
        <f>IF(O203&lt;P203*0.9056*0.85,P203*0.9056*0.85,IF(O203&gt;P203*1.15,P203*1.15,O203))</f>
        <v/>
      </c>
      <c r="U201" s="223" t="n">
        <v>15317.73</v>
      </c>
      <c r="V201" s="223" t="n">
        <v>15212.72</v>
      </c>
      <c r="W201" s="223" t="n">
        <v>15212.72</v>
      </c>
      <c r="X201" s="223">
        <f>V203-U203</f>
        <v/>
      </c>
      <c r="Y201" s="223">
        <f>W203-U203</f>
        <v/>
      </c>
      <c r="Z201" s="223">
        <f>W203-V203</f>
        <v/>
      </c>
      <c r="AA201" s="222" t="n"/>
      <c r="AB201" s="222" t="n"/>
      <c r="AC201" s="222" t="n"/>
      <c r="AD201" s="222" t="n"/>
      <c r="AE201" s="222" t="n"/>
      <c r="AF201" s="222" t="n"/>
      <c r="AG201" s="222" t="n"/>
      <c r="AH201" s="222" t="n"/>
      <c r="AI201" s="222" t="n"/>
      <c r="AJ201" s="222" t="n"/>
    </row>
    <row r="202" ht="44" customHeight="1" s="166">
      <c r="A202" s="222" t="n"/>
      <c r="B202" s="222" t="inlineStr">
        <is>
          <t>综合楼</t>
        </is>
      </c>
      <c r="C202" s="222" t="inlineStr">
        <is>
          <t>粤011701010006</t>
        </is>
      </c>
      <c r="D202" s="222" t="inlineStr">
        <is>
          <t>满堂脚手架</t>
        </is>
      </c>
      <c r="E202" s="222" t="inlineStr">
        <is>
          <t>1.满堂脚手架(钢管)16.95m以内</t>
        </is>
      </c>
      <c r="F202" s="222" t="inlineStr">
        <is>
          <t>m2</t>
        </is>
      </c>
      <c r="G202" s="223" t="n">
        <v>222</v>
      </c>
      <c r="H202" s="223" t="n">
        <v>226.2</v>
      </c>
      <c r="I202" s="223" t="n">
        <v>226.2</v>
      </c>
      <c r="J202" s="223" t="n"/>
      <c r="K202" s="223">
        <f>H204-G204</f>
        <v/>
      </c>
      <c r="L202" s="223">
        <f>I204-G204</f>
        <v/>
      </c>
      <c r="M202" s="223">
        <f>I204-H204</f>
        <v/>
      </c>
      <c r="N202" s="224">
        <f>K204/G204</f>
        <v/>
      </c>
      <c r="O202" s="222" t="n">
        <v>52.57</v>
      </c>
      <c r="P202" s="222" t="n">
        <v>39.96</v>
      </c>
      <c r="Q202" s="224">
        <f>(O204-P204)/P204</f>
        <v/>
      </c>
      <c r="R202" s="223">
        <f>P204*0.9056*0.85</f>
        <v/>
      </c>
      <c r="S202" s="223">
        <f>P204*1.15</f>
        <v/>
      </c>
      <c r="T202" s="223">
        <f>IF(O204&lt;P204*0.9056*0.85,P204*0.9056*0.85,IF(O204&gt;P204*1.15,P204*1.15,O204))</f>
        <v/>
      </c>
      <c r="U202" s="223" t="n">
        <v>11670.54</v>
      </c>
      <c r="V202" s="223" t="n">
        <v>11863.55</v>
      </c>
      <c r="W202" s="223">
        <f>U204+T204*L204</f>
        <v/>
      </c>
      <c r="X202" s="223">
        <f>V204-U204</f>
        <v/>
      </c>
      <c r="Y202" s="223">
        <f>W204-U204</f>
        <v/>
      </c>
      <c r="Z202" s="223">
        <f>W204-V204</f>
        <v/>
      </c>
      <c r="AA202" s="222" t="n"/>
      <c r="AB202" s="222" t="n"/>
      <c r="AC202" s="222" t="n"/>
      <c r="AD202" s="222" t="n"/>
      <c r="AE202" s="222" t="n"/>
      <c r="AF202" s="222" t="n"/>
      <c r="AG202" s="222" t="n"/>
      <c r="AH202" s="222" t="n"/>
      <c r="AI202" s="222" t="n"/>
      <c r="AJ202" s="222" t="n"/>
    </row>
    <row r="203" ht="44" customHeight="1" s="166">
      <c r="A203" s="222" t="n"/>
      <c r="B203" s="222" t="inlineStr">
        <is>
          <t>综合楼</t>
        </is>
      </c>
      <c r="C203" s="222" t="inlineStr">
        <is>
          <t>011702001001</t>
        </is>
      </c>
      <c r="D203" s="222" t="inlineStr">
        <is>
          <t>基础</t>
        </is>
      </c>
      <c r="E203" s="222" t="inlineStr">
        <is>
          <t>1.基础垫层模板</t>
        </is>
      </c>
      <c r="F203" s="222" t="inlineStr">
        <is>
          <t>m2</t>
        </is>
      </c>
      <c r="G203" s="223" t="n">
        <v>199.69</v>
      </c>
      <c r="H203" s="223" t="n">
        <v>297.75</v>
      </c>
      <c r="I203" s="223">
        <f>269.68+1.22+15.39</f>
        <v/>
      </c>
      <c r="J203" s="223" t="n"/>
      <c r="K203" s="223">
        <f>H205-G205</f>
        <v/>
      </c>
      <c r="L203" s="223">
        <f>I205-G205</f>
        <v/>
      </c>
      <c r="M203" s="223">
        <f>I205-H205</f>
        <v/>
      </c>
      <c r="N203" s="224">
        <f>K205/G205</f>
        <v/>
      </c>
      <c r="O203" s="222" t="n">
        <v>31.42</v>
      </c>
      <c r="P203" s="222" t="n">
        <v>34.37</v>
      </c>
      <c r="Q203" s="224">
        <f>(O205-P205)/P205</f>
        <v/>
      </c>
      <c r="R203" s="223">
        <f>P205*0.9056*0.85</f>
        <v/>
      </c>
      <c r="S203" s="223">
        <f>P205*1.15</f>
        <v/>
      </c>
      <c r="T203" s="223">
        <f>IF(O205&lt;P205*0.9056*0.85,P205*0.9056*0.85,IF(O205&gt;P205*1.15,P205*1.15,O205))</f>
        <v/>
      </c>
      <c r="U203" s="223" t="n">
        <v>6274.33</v>
      </c>
      <c r="V203" s="223" t="n">
        <v>9355.290000000001</v>
      </c>
      <c r="W203" s="223">
        <f>U205+T205*L205</f>
        <v/>
      </c>
      <c r="X203" s="223">
        <f>V205-U205</f>
        <v/>
      </c>
      <c r="Y203" s="223">
        <f>W205-U205</f>
        <v/>
      </c>
      <c r="Z203" s="223">
        <f>W205-V205</f>
        <v/>
      </c>
      <c r="AA203" s="222" t="n"/>
      <c r="AB203" s="222" t="n"/>
      <c r="AC203" s="222" t="n"/>
      <c r="AD203" s="222" t="n"/>
      <c r="AE203" s="222" t="n"/>
      <c r="AF203" s="222" t="n"/>
      <c r="AG203" s="222" t="n"/>
      <c r="AH203" s="222" t="n"/>
      <c r="AI203" s="222" t="n"/>
      <c r="AJ203" s="222" t="n"/>
    </row>
    <row r="204" ht="44" customHeight="1" s="166">
      <c r="A204" s="222" t="n"/>
      <c r="B204" s="222" t="inlineStr">
        <is>
          <t>综合楼</t>
        </is>
      </c>
      <c r="C204" s="222" t="inlineStr">
        <is>
          <t>011702002011</t>
        </is>
      </c>
      <c r="D204" s="222" t="inlineStr">
        <is>
          <t>矩形柱</t>
        </is>
      </c>
      <c r="E204" s="222" t="inlineStr">
        <is>
          <t>1.矩形柱模板(周长m)支模高度3.6m内1.2内</t>
        </is>
      </c>
      <c r="F204" s="222" t="inlineStr">
        <is>
          <t>m2</t>
        </is>
      </c>
      <c r="G204" s="223" t="n">
        <v>101.01</v>
      </c>
      <c r="H204" s="223" t="n">
        <v>4.28</v>
      </c>
      <c r="I204" s="223" t="n">
        <v>4.08</v>
      </c>
      <c r="J204" s="223" t="n"/>
      <c r="K204" s="223">
        <f>H206-G206</f>
        <v/>
      </c>
      <c r="L204" s="223">
        <f>I206-G206</f>
        <v/>
      </c>
      <c r="M204" s="223">
        <f>I206-H206</f>
        <v/>
      </c>
      <c r="N204" s="224">
        <f>K206/G206</f>
        <v/>
      </c>
      <c r="O204" s="222" t="n">
        <v>66.62</v>
      </c>
      <c r="P204" s="222" t="n">
        <v>71.22</v>
      </c>
      <c r="Q204" s="224">
        <f>(O206-P206)/P206</f>
        <v/>
      </c>
      <c r="R204" s="223">
        <f>P206*0.9056*0.85</f>
        <v/>
      </c>
      <c r="S204" s="223">
        <f>P206*1.15</f>
        <v/>
      </c>
      <c r="T204" s="223">
        <f>IF(O206&lt;P206*0.9056*0.85,P206*0.9056*0.85,IF(O206&gt;P206*1.15,P206*1.15,O206))</f>
        <v/>
      </c>
      <c r="U204" s="223" t="n">
        <v>6729.43</v>
      </c>
      <c r="V204" s="223" t="n">
        <v>285.4</v>
      </c>
      <c r="W204" s="223">
        <f>U206+T206*L206</f>
        <v/>
      </c>
      <c r="X204" s="223">
        <f>V206-U206</f>
        <v/>
      </c>
      <c r="Y204" s="223">
        <f>W206-U206</f>
        <v/>
      </c>
      <c r="Z204" s="223">
        <f>W206-V206</f>
        <v/>
      </c>
      <c r="AA204" s="222" t="n"/>
      <c r="AB204" s="222" t="n"/>
      <c r="AC204" s="222" t="n"/>
      <c r="AD204" s="222" t="n"/>
      <c r="AE204" s="222" t="n"/>
      <c r="AF204" s="222" t="n"/>
      <c r="AG204" s="222" t="n"/>
      <c r="AH204" s="222" t="n"/>
      <c r="AI204" s="222" t="n"/>
      <c r="AJ204" s="222" t="n"/>
    </row>
    <row r="205" ht="44" customHeight="1" s="166">
      <c r="A205" s="222" t="n"/>
      <c r="B205" s="222" t="inlineStr">
        <is>
          <t>综合楼</t>
        </is>
      </c>
      <c r="C205" s="222" t="inlineStr">
        <is>
          <t>011702002012</t>
        </is>
      </c>
      <c r="D205" s="222" t="inlineStr">
        <is>
          <t>矩形柱</t>
        </is>
      </c>
      <c r="E205" s="222" t="inlineStr">
        <is>
          <t>1.矩形柱模板(周长m)支模高度4.6m内1.2内</t>
        </is>
      </c>
      <c r="F205" s="222" t="inlineStr">
        <is>
          <t>m2</t>
        </is>
      </c>
      <c r="G205" s="223" t="n">
        <v>289.41</v>
      </c>
      <c r="H205" s="223" t="n">
        <v>395.28</v>
      </c>
      <c r="I205" s="223">
        <f>376.15</f>
        <v/>
      </c>
      <c r="J205" s="223" t="n"/>
      <c r="K205" s="223">
        <f>H207-G207</f>
        <v/>
      </c>
      <c r="L205" s="223">
        <f>I207-G207</f>
        <v/>
      </c>
      <c r="M205" s="223">
        <f>I207-H207</f>
        <v/>
      </c>
      <c r="N205" s="224">
        <f>K207/G207</f>
        <v/>
      </c>
      <c r="O205" s="222" t="n">
        <v>70.72</v>
      </c>
      <c r="P205" s="222" t="n">
        <v>75.53</v>
      </c>
      <c r="Q205" s="224">
        <f>(O207-P207)/P207</f>
        <v/>
      </c>
      <c r="R205" s="223">
        <f>P207*0.9056*0.85</f>
        <v/>
      </c>
      <c r="S205" s="223">
        <f>P207*1.15</f>
        <v/>
      </c>
      <c r="T205" s="223">
        <f>IF(O207&lt;P207*0.9056*0.85,P207*0.9056*0.85,IF(O207&gt;P207*1.15,P207*1.15,O207))</f>
        <v/>
      </c>
      <c r="U205" s="223" t="n">
        <v>20466.86</v>
      </c>
      <c r="V205" s="223" t="n">
        <v>27954.14</v>
      </c>
      <c r="W205" s="223">
        <f>U207+T207*L207</f>
        <v/>
      </c>
      <c r="X205" s="223">
        <f>V207-U207</f>
        <v/>
      </c>
      <c r="Y205" s="223">
        <f>W207-U207</f>
        <v/>
      </c>
      <c r="Z205" s="223">
        <f>W207-V207</f>
        <v/>
      </c>
      <c r="AA205" s="222" t="n"/>
      <c r="AB205" s="222" t="n"/>
      <c r="AC205" s="222" t="n"/>
      <c r="AD205" s="222" t="n"/>
      <c r="AE205" s="222" t="n"/>
      <c r="AF205" s="222" t="n"/>
      <c r="AG205" s="222" t="n"/>
      <c r="AH205" s="222" t="n"/>
      <c r="AI205" s="222" t="n"/>
      <c r="AJ205" s="222" t="n"/>
    </row>
    <row r="206" ht="44" customHeight="1" s="166">
      <c r="A206" s="222" t="n"/>
      <c r="B206" s="222" t="inlineStr">
        <is>
          <t>综合楼</t>
        </is>
      </c>
      <c r="C206" s="222" t="inlineStr">
        <is>
          <t>011702002013</t>
        </is>
      </c>
      <c r="D206" s="222" t="inlineStr">
        <is>
          <t>矩形柱</t>
        </is>
      </c>
      <c r="E206" s="222" t="inlineStr">
        <is>
          <t>1.矩形柱模板(周长m)支模高度5.6m内1.2内</t>
        </is>
      </c>
      <c r="F206" s="222" t="inlineStr">
        <is>
          <t>m2</t>
        </is>
      </c>
      <c r="G206" s="223" t="n">
        <v>52.16</v>
      </c>
      <c r="H206" s="223" t="n">
        <v>31.12</v>
      </c>
      <c r="I206" s="223" t="n">
        <v>31.12</v>
      </c>
      <c r="J206" s="223" t="n"/>
      <c r="K206" s="223">
        <f>H208-G208</f>
        <v/>
      </c>
      <c r="L206" s="223">
        <f>I208-G208</f>
        <v/>
      </c>
      <c r="M206" s="223">
        <f>I208-H208</f>
        <v/>
      </c>
      <c r="N206" s="224">
        <f>K208/G208</f>
        <v/>
      </c>
      <c r="O206" s="222" t="n">
        <v>74.81999999999999</v>
      </c>
      <c r="P206" s="222" t="n">
        <v>79.84999999999999</v>
      </c>
      <c r="Q206" s="224">
        <f>(O208-P208)/P208</f>
        <v/>
      </c>
      <c r="R206" s="223">
        <f>P208*0.9056*0.85</f>
        <v/>
      </c>
      <c r="S206" s="223">
        <f>P208*1.15</f>
        <v/>
      </c>
      <c r="T206" s="223">
        <f>IF(O208&lt;P208*0.9056*0.85,P208*0.9056*0.85,IF(O208&gt;P208*1.15,P208*1.15,O208))</f>
        <v/>
      </c>
      <c r="U206" s="223" t="n">
        <v>3902.61</v>
      </c>
      <c r="V206" s="223" t="n">
        <v>2328.56</v>
      </c>
      <c r="W206" s="223">
        <f>U208+T208*L208</f>
        <v/>
      </c>
      <c r="X206" s="223">
        <f>V208-U208</f>
        <v/>
      </c>
      <c r="Y206" s="223">
        <f>W208-U208</f>
        <v/>
      </c>
      <c r="Z206" s="223">
        <f>W208-V208</f>
        <v/>
      </c>
      <c r="AA206" s="222" t="n"/>
      <c r="AB206" s="222" t="n"/>
      <c r="AC206" s="222" t="n"/>
      <c r="AD206" s="222" t="n"/>
      <c r="AE206" s="222" t="n"/>
      <c r="AF206" s="222" t="n"/>
      <c r="AG206" s="222" t="n"/>
      <c r="AH206" s="222" t="n"/>
      <c r="AI206" s="222" t="n"/>
      <c r="AJ206" s="222" t="n"/>
    </row>
    <row r="207" ht="44" customHeight="1" s="166">
      <c r="A207" s="222" t="n"/>
      <c r="B207" s="222" t="inlineStr">
        <is>
          <t>综合楼</t>
        </is>
      </c>
      <c r="C207" s="222" t="inlineStr">
        <is>
          <t>011702002014</t>
        </is>
      </c>
      <c r="D207" s="222" t="inlineStr">
        <is>
          <t>矩形柱</t>
        </is>
      </c>
      <c r="E207" s="222" t="inlineStr">
        <is>
          <t>1.矩形柱模板(周长m)支模高度9.4m内1.2内</t>
        </is>
      </c>
      <c r="F207" s="222" t="inlineStr">
        <is>
          <t>m2</t>
        </is>
      </c>
      <c r="G207" s="223" t="n">
        <v>64.8</v>
      </c>
      <c r="H207" s="223" t="n">
        <v>80.36</v>
      </c>
      <c r="I207" s="223">
        <f>64.44+12.09</f>
        <v/>
      </c>
      <c r="J207" s="223" t="n"/>
      <c r="K207" s="223">
        <f>H209-G209</f>
        <v/>
      </c>
      <c r="L207" s="223">
        <f>I209-G209</f>
        <v/>
      </c>
      <c r="M207" s="223">
        <f>I209-H209</f>
        <v/>
      </c>
      <c r="N207" s="224">
        <f>K209/G209</f>
        <v/>
      </c>
      <c r="O207" s="222" t="n">
        <v>100.9</v>
      </c>
      <c r="P207" s="222" t="n">
        <v>108.33</v>
      </c>
      <c r="Q207" s="224">
        <f>(O209-P209)/P209</f>
        <v/>
      </c>
      <c r="R207" s="223">
        <f>P209*0.9056*0.85</f>
        <v/>
      </c>
      <c r="S207" s="223">
        <f>P209*1.15</f>
        <v/>
      </c>
      <c r="T207" s="223">
        <f>IF(O209&lt;P209*0.9056*0.85,P209*0.9056*0.85,IF(O209&gt;P209*1.15,P209*1.15,O209))</f>
        <v/>
      </c>
      <c r="U207" s="223" t="n">
        <v>6538.32</v>
      </c>
      <c r="V207" s="223" t="n">
        <v>8108.18</v>
      </c>
      <c r="W207" s="223">
        <f>U209+T209*L209</f>
        <v/>
      </c>
      <c r="X207" s="223">
        <f>V209-U209</f>
        <v/>
      </c>
      <c r="Y207" s="223">
        <f>W209-U209</f>
        <v/>
      </c>
      <c r="Z207" s="223">
        <f>W209-V209</f>
        <v/>
      </c>
      <c r="AA207" s="222" t="n"/>
      <c r="AB207" s="222" t="n"/>
      <c r="AC207" s="222" t="n"/>
      <c r="AD207" s="222" t="n"/>
      <c r="AE207" s="222" t="n"/>
      <c r="AF207" s="222" t="n"/>
      <c r="AG207" s="222" t="n"/>
      <c r="AH207" s="222" t="n"/>
      <c r="AI207" s="222" t="n"/>
      <c r="AJ207" s="222" t="n"/>
    </row>
    <row r="208" ht="44" customHeight="1" s="166">
      <c r="A208" s="222" t="n"/>
      <c r="B208" s="222" t="inlineStr">
        <is>
          <t>综合楼</t>
        </is>
      </c>
      <c r="C208" s="222" t="inlineStr">
        <is>
          <t>011702002015</t>
        </is>
      </c>
      <c r="D208" s="222" t="inlineStr">
        <is>
          <t>矩形柱</t>
        </is>
      </c>
      <c r="E208" s="222" t="inlineStr">
        <is>
          <t>1.矩形柱模板(周长m)支模高度3.6m内1.8内</t>
        </is>
      </c>
      <c r="F208" s="222" t="inlineStr">
        <is>
          <t>m2</t>
        </is>
      </c>
      <c r="G208" s="223" t="n">
        <v>18.42</v>
      </c>
      <c r="H208" s="223" t="n">
        <v>0</v>
      </c>
      <c r="I208" s="223" t="n">
        <v>0</v>
      </c>
      <c r="J208" s="223" t="n"/>
      <c r="K208" s="223">
        <f>H210-G210</f>
        <v/>
      </c>
      <c r="L208" s="223">
        <f>I210-G210</f>
        <v/>
      </c>
      <c r="M208" s="223">
        <f>I210-H210</f>
        <v/>
      </c>
      <c r="N208" s="224">
        <f>K210/G210</f>
        <v/>
      </c>
      <c r="O208" s="222" t="n">
        <v>53.08</v>
      </c>
      <c r="P208" s="222" t="n">
        <v>57.93</v>
      </c>
      <c r="Q208" s="224">
        <f>(O210-P210)/P210</f>
        <v/>
      </c>
      <c r="R208" s="223">
        <f>P210*0.9056*0.85</f>
        <v/>
      </c>
      <c r="S208" s="223">
        <f>P210*1.15</f>
        <v/>
      </c>
      <c r="T208" s="223">
        <f>IF(O210&lt;P210*0.9056*0.85,P210*0.9056*0.85,IF(O210&gt;P210*1.15,P210*1.15,O210))</f>
        <v/>
      </c>
      <c r="U208" s="223" t="n">
        <v>977.8</v>
      </c>
      <c r="V208" s="223" t="n">
        <v>0</v>
      </c>
      <c r="W208" s="223" t="n">
        <v>0</v>
      </c>
      <c r="X208" s="223">
        <f>V210-U210</f>
        <v/>
      </c>
      <c r="Y208" s="223">
        <f>W210-U210</f>
        <v/>
      </c>
      <c r="Z208" s="223">
        <f>W210-V210</f>
        <v/>
      </c>
      <c r="AA208" s="222" t="n"/>
      <c r="AB208" s="222" t="n"/>
      <c r="AC208" s="222" t="n"/>
      <c r="AD208" s="222" t="n"/>
      <c r="AE208" s="222" t="n"/>
      <c r="AF208" s="222" t="n"/>
      <c r="AG208" s="222" t="n"/>
      <c r="AH208" s="222" t="n"/>
      <c r="AI208" s="222" t="n"/>
      <c r="AJ208" s="222" t="n"/>
    </row>
    <row r="209" ht="44" customHeight="1" s="166">
      <c r="A209" s="222" t="n"/>
      <c r="B209" s="222" t="inlineStr">
        <is>
          <t>综合楼</t>
        </is>
      </c>
      <c r="C209" s="222" t="inlineStr">
        <is>
          <t>011702002016</t>
        </is>
      </c>
      <c r="D209" s="222" t="inlineStr">
        <is>
          <t>矩形柱</t>
        </is>
      </c>
      <c r="E209" s="222" t="inlineStr">
        <is>
          <t>1.矩形柱模板(周长m)支模高度4.6m内1.8内</t>
        </is>
      </c>
      <c r="F209" s="222" t="inlineStr">
        <is>
          <t>m2</t>
        </is>
      </c>
      <c r="G209" s="223" t="n">
        <v>43.68</v>
      </c>
      <c r="H209" s="223" t="n">
        <v>0</v>
      </c>
      <c r="I209" s="223" t="n">
        <v>0</v>
      </c>
      <c r="J209" s="223" t="n"/>
      <c r="K209" s="223">
        <f>H211-G211</f>
        <v/>
      </c>
      <c r="L209" s="223">
        <f>I211-G211</f>
        <v/>
      </c>
      <c r="M209" s="223">
        <f>I211-H211</f>
        <v/>
      </c>
      <c r="N209" s="224">
        <f>K211/G211</f>
        <v/>
      </c>
      <c r="O209" s="222" t="n">
        <v>57.18</v>
      </c>
      <c r="P209" s="222" t="n">
        <v>62.24</v>
      </c>
      <c r="Q209" s="224">
        <f>(O211-P211)/P211</f>
        <v/>
      </c>
      <c r="R209" s="223">
        <f>P211*0.9056*0.85</f>
        <v/>
      </c>
      <c r="S209" s="223">
        <f>P211*1.15</f>
        <v/>
      </c>
      <c r="T209" s="223">
        <f>IF(O211&lt;P211*0.9056*0.85,P211*0.9056*0.85,IF(O211&gt;P211*1.15,P211*1.15,O211))</f>
        <v/>
      </c>
      <c r="U209" s="223" t="n">
        <v>2497.62</v>
      </c>
      <c r="V209" s="223" t="n">
        <v>0</v>
      </c>
      <c r="W209" s="223">
        <f>U211+T211*L211</f>
        <v/>
      </c>
      <c r="X209" s="223">
        <f>V211-U211</f>
        <v/>
      </c>
      <c r="Y209" s="223">
        <f>W211-U211</f>
        <v/>
      </c>
      <c r="Z209" s="223">
        <f>W211-V211</f>
        <v/>
      </c>
      <c r="AA209" s="222" t="n"/>
      <c r="AB209" s="222" t="n"/>
      <c r="AC209" s="222" t="n"/>
      <c r="AD209" s="222" t="n"/>
      <c r="AE209" s="222" t="n"/>
      <c r="AF209" s="222" t="n"/>
      <c r="AG209" s="222" t="n"/>
      <c r="AH209" s="222" t="n"/>
      <c r="AI209" s="222" t="n"/>
      <c r="AJ209" s="222" t="n"/>
    </row>
    <row r="210" ht="44" customHeight="1" s="166">
      <c r="A210" s="222" t="n"/>
      <c r="B210" s="222" t="inlineStr">
        <is>
          <t>综合楼</t>
        </is>
      </c>
      <c r="C210" s="222" t="inlineStr">
        <is>
          <t>011702002017</t>
        </is>
      </c>
      <c r="D210" s="222" t="inlineStr">
        <is>
          <t>矩形柱</t>
        </is>
      </c>
      <c r="E210" s="222" t="inlineStr">
        <is>
          <t>1.矩形柱模板(周长m)支模高度5.6m内1.8内</t>
        </is>
      </c>
      <c r="F210" s="222" t="inlineStr">
        <is>
          <t>m2</t>
        </is>
      </c>
      <c r="G210" s="223" t="n">
        <v>72.8</v>
      </c>
      <c r="H210" s="223" t="n">
        <v>0</v>
      </c>
      <c r="I210" s="223">
        <f>404.76+18.83</f>
        <v/>
      </c>
      <c r="J210" s="223" t="n"/>
      <c r="K210" s="223">
        <f>H212-G212</f>
        <v/>
      </c>
      <c r="L210" s="223">
        <f>I212-G212</f>
        <v/>
      </c>
      <c r="M210" s="223">
        <f>I212-H212</f>
        <v/>
      </c>
      <c r="N210" s="224">
        <f>K212/G212</f>
        <v/>
      </c>
      <c r="O210" s="222" t="n">
        <v>61.28</v>
      </c>
      <c r="P210" s="222" t="n">
        <v>66.56</v>
      </c>
      <c r="Q210" s="224">
        <f>(O212-P212)/P212</f>
        <v/>
      </c>
      <c r="R210" s="223">
        <f>P212*0.9056*0.85</f>
        <v/>
      </c>
      <c r="S210" s="223">
        <f>P212*1.15</f>
        <v/>
      </c>
      <c r="T210" s="223">
        <f>IF(O212&lt;P212*0.9056*0.85,P212*0.9056*0.85,IF(O212&gt;P212*1.15,P212*1.15,O212))</f>
        <v/>
      </c>
      <c r="U210" s="223" t="n">
        <v>4461.18</v>
      </c>
      <c r="V210" s="223" t="n">
        <v>0</v>
      </c>
      <c r="W210" s="223">
        <f>U212+T212*L212</f>
        <v/>
      </c>
      <c r="X210" s="223">
        <f>V212-U212</f>
        <v/>
      </c>
      <c r="Y210" s="223">
        <f>W212-U212</f>
        <v/>
      </c>
      <c r="Z210" s="223">
        <f>W212-V212</f>
        <v/>
      </c>
      <c r="AA210" s="222" t="inlineStr">
        <is>
          <t>将清单序号193工程量归到此计算</t>
        </is>
      </c>
      <c r="AB210" s="222" t="inlineStr">
        <is>
          <t>5.6、6.6m高1.8外工程量</t>
        </is>
      </c>
      <c r="AC210" s="222" t="n"/>
      <c r="AD210" s="222" t="n"/>
      <c r="AE210" s="222" t="n"/>
      <c r="AF210" s="222" t="n"/>
      <c r="AG210" s="222" t="n"/>
      <c r="AH210" s="222" t="n"/>
      <c r="AI210" s="222" t="n"/>
      <c r="AJ210" s="222" t="n"/>
    </row>
    <row r="211" ht="44" customHeight="1" s="166">
      <c r="A211" s="222" t="n"/>
      <c r="B211" s="222" t="inlineStr">
        <is>
          <t>综合楼</t>
        </is>
      </c>
      <c r="C211" s="222" t="inlineStr">
        <is>
          <t>011702002018</t>
        </is>
      </c>
      <c r="D211" s="222" t="inlineStr">
        <is>
          <t>矩形柱</t>
        </is>
      </c>
      <c r="E211" s="222" t="inlineStr">
        <is>
          <t>1.矩形柱模板(周长m)支模高度3.6m内1.8外</t>
        </is>
      </c>
      <c r="F211" s="222" t="inlineStr">
        <is>
          <t>m2</t>
        </is>
      </c>
      <c r="G211" s="223" t="n">
        <v>23.36</v>
      </c>
      <c r="H211" s="223" t="n">
        <v>21.63</v>
      </c>
      <c r="I211" s="223" t="n">
        <v>21.63</v>
      </c>
      <c r="J211" s="223" t="n"/>
      <c r="K211" s="223">
        <f>H213-G213</f>
        <v/>
      </c>
      <c r="L211" s="223">
        <f>I213-G213</f>
        <v/>
      </c>
      <c r="M211" s="223">
        <f>I213-H213</f>
        <v/>
      </c>
      <c r="N211" s="224">
        <f>K213/G213</f>
        <v/>
      </c>
      <c r="O211" s="222" t="n">
        <v>58.27</v>
      </c>
      <c r="P211" s="222" t="n">
        <v>63.57</v>
      </c>
      <c r="Q211" s="224">
        <f>(O213-P213)/P213</f>
        <v/>
      </c>
      <c r="R211" s="223">
        <f>P213*0.9056*0.85</f>
        <v/>
      </c>
      <c r="S211" s="223">
        <f>P213*1.15</f>
        <v/>
      </c>
      <c r="T211" s="223">
        <f>IF(O213&lt;P213*0.9056*0.85,P213*0.9056*0.85,IF(O213&gt;P213*1.15,P213*1.15,O213))</f>
        <v/>
      </c>
      <c r="U211" s="223" t="n">
        <v>1360.94</v>
      </c>
      <c r="V211" s="223" t="n">
        <v>1260.31</v>
      </c>
      <c r="W211" s="223">
        <f>U213+T213*L213</f>
        <v/>
      </c>
      <c r="X211" s="223">
        <f>V213-U213</f>
        <v/>
      </c>
      <c r="Y211" s="223">
        <f>W213-U213</f>
        <v/>
      </c>
      <c r="Z211" s="223">
        <f>W213-V213</f>
        <v/>
      </c>
      <c r="AA211" s="222" t="n"/>
      <c r="AB211" s="222" t="n"/>
      <c r="AC211" s="222" t="n"/>
      <c r="AD211" s="222" t="n"/>
      <c r="AE211" s="222" t="n"/>
      <c r="AF211" s="222" t="n"/>
      <c r="AG211" s="222" t="n"/>
      <c r="AH211" s="222" t="n"/>
      <c r="AI211" s="222" t="n"/>
      <c r="AJ211" s="222" t="n"/>
    </row>
    <row r="212" ht="44" customHeight="1" s="166">
      <c r="A212" s="222" t="n"/>
      <c r="B212" s="222" t="inlineStr">
        <is>
          <t>综合楼</t>
        </is>
      </c>
      <c r="C212" s="222" t="inlineStr">
        <is>
          <t>011702002019</t>
        </is>
      </c>
      <c r="D212" s="222" t="inlineStr">
        <is>
          <t>矩形柱</t>
        </is>
      </c>
      <c r="E212" s="222" t="inlineStr">
        <is>
          <t>1.矩形柱模板(周长m)支模高度4.6m内1.8外</t>
        </is>
      </c>
      <c r="F212" s="222" t="inlineStr">
        <is>
          <t>m2</t>
        </is>
      </c>
      <c r="G212" s="223" t="n">
        <v>722.53</v>
      </c>
      <c r="H212" s="223" t="n">
        <v>224.97</v>
      </c>
      <c r="I212" s="223" t="n">
        <v>219.24</v>
      </c>
      <c r="J212" s="223" t="n"/>
      <c r="K212" s="223">
        <f>H214-G214</f>
        <v/>
      </c>
      <c r="L212" s="223">
        <f>I214-G214</f>
        <v/>
      </c>
      <c r="M212" s="223">
        <f>I214-H214</f>
        <v/>
      </c>
      <c r="N212" s="224">
        <f>K214/G214</f>
        <v/>
      </c>
      <c r="O212" s="222" t="n">
        <v>62.37</v>
      </c>
      <c r="P212" s="222" t="n">
        <v>67.88</v>
      </c>
      <c r="Q212" s="224">
        <f>(O214-P214)/P214</f>
        <v/>
      </c>
      <c r="R212" s="223">
        <f>P214*0.9056*0.85</f>
        <v/>
      </c>
      <c r="S212" s="223">
        <f>P214*1.15</f>
        <v/>
      </c>
      <c r="T212" s="223">
        <f>IF(O214&lt;P214*0.9056*0.85,P214*0.9056*0.85,IF(O214&gt;P214*1.15,P214*1.15,O214))</f>
        <v/>
      </c>
      <c r="U212" s="223" t="n">
        <v>45064.47</v>
      </c>
      <c r="V212" s="223" t="n">
        <v>14031.23</v>
      </c>
      <c r="W212" s="223">
        <f>U214+T214*L214</f>
        <v/>
      </c>
      <c r="X212" s="223">
        <f>V214-U214</f>
        <v/>
      </c>
      <c r="Y212" s="223">
        <f>W214-U214</f>
        <v/>
      </c>
      <c r="Z212" s="223">
        <f>W214-V214</f>
        <v/>
      </c>
      <c r="AA212" s="222" t="n"/>
      <c r="AB212" s="222" t="n"/>
      <c r="AC212" s="222" t="n"/>
      <c r="AD212" s="222" t="n"/>
      <c r="AE212" s="222" t="n"/>
      <c r="AF212" s="222" t="n"/>
      <c r="AG212" s="222" t="n"/>
      <c r="AH212" s="222" t="n"/>
      <c r="AI212" s="222" t="n"/>
      <c r="AJ212" s="222" t="n"/>
    </row>
    <row r="213" ht="44" customHeight="1" s="166">
      <c r="A213" s="222" t="n"/>
      <c r="B213" s="222" t="inlineStr">
        <is>
          <t>综合楼</t>
        </is>
      </c>
      <c r="C213" s="222" t="inlineStr">
        <is>
          <t>011702002020</t>
        </is>
      </c>
      <c r="D213" s="222" t="inlineStr">
        <is>
          <t>矩形柱</t>
        </is>
      </c>
      <c r="E213" s="222" t="inlineStr">
        <is>
          <t>1.矩形柱模板(周长m)支模高度9.4m内1.8外</t>
        </is>
      </c>
      <c r="F213" s="222" t="inlineStr">
        <is>
          <t>m2</t>
        </is>
      </c>
      <c r="G213" s="223" t="n">
        <v>230.4</v>
      </c>
      <c r="H213" s="223" t="n">
        <v>868.28</v>
      </c>
      <c r="I213" s="223">
        <f>403.09</f>
        <v/>
      </c>
      <c r="J213" s="223" t="n"/>
      <c r="K213" s="223">
        <f>H215-G215</f>
        <v/>
      </c>
      <c r="L213" s="223">
        <f>I215-G215</f>
        <v/>
      </c>
      <c r="M213" s="223">
        <f>I215-H215</f>
        <v/>
      </c>
      <c r="N213" s="224">
        <f>K215/G215</f>
        <v/>
      </c>
      <c r="O213" s="222" t="n">
        <v>102.3</v>
      </c>
      <c r="P213" s="222" t="n">
        <v>100.46</v>
      </c>
      <c r="Q213" s="224">
        <f>(O215-P215)/P215</f>
        <v/>
      </c>
      <c r="R213" s="223">
        <f>P215*0.9056*0.85</f>
        <v/>
      </c>
      <c r="S213" s="223">
        <f>P215*1.15</f>
        <v/>
      </c>
      <c r="T213" s="223">
        <f>IF(O215&lt;P215*0.9056*0.85,P215*0.9056*0.85,IF(O215&gt;P215*1.15,P215*1.15,O215))</f>
        <v/>
      </c>
      <c r="U213" s="223" t="n">
        <v>23569.92</v>
      </c>
      <c r="V213" s="223" t="n">
        <v>88825.3</v>
      </c>
      <c r="W213" s="223">
        <f>U215+T215*L215</f>
        <v/>
      </c>
      <c r="X213" s="223">
        <f>V215-U215</f>
        <v/>
      </c>
      <c r="Y213" s="223">
        <f>W215-U215</f>
        <v/>
      </c>
      <c r="Z213" s="223">
        <f>W215-V215</f>
        <v/>
      </c>
      <c r="AA213" s="222" t="n"/>
      <c r="AB213" s="222" t="n"/>
      <c r="AC213" s="222" t="n"/>
      <c r="AD213" s="222" t="n"/>
      <c r="AE213" s="222" t="n"/>
      <c r="AF213" s="222" t="n"/>
      <c r="AG213" s="222" t="n"/>
      <c r="AH213" s="222" t="n"/>
      <c r="AI213" s="222" t="n"/>
      <c r="AJ213" s="222" t="n"/>
    </row>
    <row r="214" ht="44" customHeight="1" s="166">
      <c r="A214" s="222" t="n"/>
      <c r="B214" s="222" t="inlineStr">
        <is>
          <t>综合楼</t>
        </is>
      </c>
      <c r="C214" s="222" t="inlineStr">
        <is>
          <t>011702002021</t>
        </is>
      </c>
      <c r="D214" s="222" t="inlineStr">
        <is>
          <t>矩形柱</t>
        </is>
      </c>
      <c r="E214" s="222" t="inlineStr">
        <is>
          <t>1.矩形柱模板(周长m)支模高度11.4m内1.8外</t>
        </is>
      </c>
      <c r="F214" s="222" t="inlineStr">
        <is>
          <t>m2</t>
        </is>
      </c>
      <c r="G214" s="223" t="n">
        <v>105.49</v>
      </c>
      <c r="H214" s="223" t="n">
        <v>0</v>
      </c>
      <c r="I214" s="223" t="n">
        <v>0</v>
      </c>
      <c r="J214" s="223" t="n"/>
      <c r="K214" s="223">
        <f>H216-G216</f>
        <v/>
      </c>
      <c r="L214" s="223">
        <f>I216-G216</f>
        <v/>
      </c>
      <c r="M214" s="223">
        <f>I216-H216</f>
        <v/>
      </c>
      <c r="N214" s="224">
        <f>K216/G216</f>
        <v/>
      </c>
      <c r="O214" s="222" t="n">
        <v>106.73</v>
      </c>
      <c r="P214" s="222" t="n">
        <v>109.38</v>
      </c>
      <c r="Q214" s="224">
        <f>(O216-P216)/P216</f>
        <v/>
      </c>
      <c r="R214" s="223">
        <f>P216*0.9056*0.85</f>
        <v/>
      </c>
      <c r="S214" s="223">
        <f>P216*1.15</f>
        <v/>
      </c>
      <c r="T214" s="223">
        <f>IF(O216&lt;P216*0.9056*0.85,P216*0.9056*0.85,IF(O216&gt;P216*1.15,P216*1.15,O216))</f>
        <v/>
      </c>
      <c r="U214" s="223" t="n">
        <v>11258.74</v>
      </c>
      <c r="V214" s="223" t="n">
        <v>0</v>
      </c>
      <c r="W214" s="223">
        <f>U216+T216*L216</f>
        <v/>
      </c>
      <c r="X214" s="223">
        <f>V216-U216</f>
        <v/>
      </c>
      <c r="Y214" s="223">
        <f>W216-U216</f>
        <v/>
      </c>
      <c r="Z214" s="223">
        <f>W216-V216</f>
        <v/>
      </c>
      <c r="AA214" s="222" t="n"/>
      <c r="AB214" s="222" t="n"/>
      <c r="AC214" s="222" t="n"/>
      <c r="AD214" s="222" t="n"/>
      <c r="AE214" s="222" t="n"/>
      <c r="AF214" s="222" t="n"/>
      <c r="AG214" s="222" t="n"/>
      <c r="AH214" s="222" t="n"/>
      <c r="AI214" s="222" t="n"/>
      <c r="AJ214" s="222" t="n"/>
    </row>
    <row r="215" ht="44" customHeight="1" s="166">
      <c r="A215" s="222" t="n"/>
      <c r="B215" s="222" t="inlineStr">
        <is>
          <t>综合楼</t>
        </is>
      </c>
      <c r="C215" s="222" t="inlineStr">
        <is>
          <t>011702002022</t>
        </is>
      </c>
      <c r="D215" s="222" t="inlineStr">
        <is>
          <t>矩形柱</t>
        </is>
      </c>
      <c r="E215" s="222" t="inlineStr">
        <is>
          <t>1.矩形柱模板(周长m)支模高度12.4m内1.8外</t>
        </is>
      </c>
      <c r="F215" s="222" t="inlineStr">
        <is>
          <t>m2</t>
        </is>
      </c>
      <c r="G215" s="223" t="n">
        <v>119.71</v>
      </c>
      <c r="H215" s="223" t="n">
        <v>0</v>
      </c>
      <c r="I215" s="223" t="n">
        <v>0</v>
      </c>
      <c r="J215" s="223" t="n"/>
      <c r="K215" s="223">
        <f>H217-G217</f>
        <v/>
      </c>
      <c r="L215" s="223">
        <f>I217-G217</f>
        <v/>
      </c>
      <c r="M215" s="223">
        <f>I217-H217</f>
        <v/>
      </c>
      <c r="N215" s="224">
        <f>K217/G217</f>
        <v/>
      </c>
      <c r="O215" s="222" t="n">
        <v>111.16</v>
      </c>
      <c r="P215" s="222" t="n">
        <v>113.85</v>
      </c>
      <c r="Q215" s="224">
        <f>(O217-P217)/P217</f>
        <v/>
      </c>
      <c r="R215" s="223">
        <f>P217*0.9056*0.85</f>
        <v/>
      </c>
      <c r="S215" s="223">
        <f>P217*1.15</f>
        <v/>
      </c>
      <c r="T215" s="223">
        <f>IF(O217&lt;P217*0.9056*0.85,P217*0.9056*0.85,IF(O217&gt;P217*1.15,P217*1.15,O217))</f>
        <v/>
      </c>
      <c r="U215" s="223" t="n">
        <v>13307.02</v>
      </c>
      <c r="V215" s="223" t="n">
        <v>0</v>
      </c>
      <c r="W215" s="223" t="n">
        <v>0</v>
      </c>
      <c r="X215" s="223">
        <f>V217-U217</f>
        <v/>
      </c>
      <c r="Y215" s="223">
        <f>W217-U217</f>
        <v/>
      </c>
      <c r="Z215" s="223">
        <f>W217-V217</f>
        <v/>
      </c>
      <c r="AA215" s="222" t="n"/>
      <c r="AB215" s="222" t="n"/>
      <c r="AC215" s="222" t="n"/>
      <c r="AD215" s="222" t="n"/>
      <c r="AE215" s="222" t="n"/>
      <c r="AF215" s="222" t="n"/>
      <c r="AG215" s="222" t="n"/>
      <c r="AH215" s="222" t="n"/>
      <c r="AI215" s="222" t="n"/>
      <c r="AJ215" s="222" t="n"/>
    </row>
    <row r="216" ht="44" customHeight="1" s="166">
      <c r="A216" s="222" t="n"/>
      <c r="B216" s="222" t="inlineStr">
        <is>
          <t>综合楼</t>
        </is>
      </c>
      <c r="C216" s="222" t="inlineStr">
        <is>
          <t>011702003001</t>
        </is>
      </c>
      <c r="D216" s="222" t="inlineStr">
        <is>
          <t>构造柱</t>
        </is>
      </c>
      <c r="E216" s="222" t="inlineStr">
        <is>
          <t>1.构造柱模板(周长m)支模高度3.6m内1.2内</t>
        </is>
      </c>
      <c r="F216" s="222" t="inlineStr">
        <is>
          <t>m2</t>
        </is>
      </c>
      <c r="G216" s="223" t="n">
        <v>106.68</v>
      </c>
      <c r="H216" s="223" t="n">
        <v>323.15</v>
      </c>
      <c r="I216" s="223" t="n">
        <v>323.15</v>
      </c>
      <c r="J216" s="223" t="n"/>
      <c r="K216" s="223">
        <f>H218-G218</f>
        <v/>
      </c>
      <c r="L216" s="223">
        <f>I218-G218</f>
        <v/>
      </c>
      <c r="M216" s="223">
        <f>I218-H218</f>
        <v/>
      </c>
      <c r="N216" s="224">
        <f>K218/G218</f>
        <v/>
      </c>
      <c r="O216" s="222" t="n">
        <v>66.62</v>
      </c>
      <c r="P216" s="222" t="n">
        <v>78.81</v>
      </c>
      <c r="Q216" s="224">
        <f>(O218-P218)/P218</f>
        <v/>
      </c>
      <c r="R216" s="223">
        <f>P218*0.9056*0.85</f>
        <v/>
      </c>
      <c r="S216" s="223">
        <f>P218*1.15</f>
        <v/>
      </c>
      <c r="T216" s="223">
        <f>IF(O218&lt;P218*0.9056*0.85,P218*0.9056*0.85,IF(O218&gt;P218*1.15,P218*1.15,O218))</f>
        <v/>
      </c>
      <c r="U216" s="223" t="n">
        <v>7107.3</v>
      </c>
      <c r="V216" s="223" t="n">
        <v>21528.25</v>
      </c>
      <c r="W216" s="223" t="n">
        <v>21528.25</v>
      </c>
      <c r="X216" s="223">
        <f>V218-U218</f>
        <v/>
      </c>
      <c r="Y216" s="223">
        <f>W218-U218</f>
        <v/>
      </c>
      <c r="Z216" s="223">
        <f>W218-V218</f>
        <v/>
      </c>
      <c r="AA216" s="222" t="n"/>
      <c r="AB216" s="222" t="n"/>
      <c r="AC216" s="222" t="n"/>
      <c r="AD216" s="222" t="n"/>
      <c r="AE216" s="222" t="n"/>
      <c r="AF216" s="222" t="n"/>
      <c r="AG216" s="222" t="n"/>
      <c r="AH216" s="222" t="n"/>
      <c r="AI216" s="222" t="n"/>
      <c r="AJ216" s="222" t="n"/>
    </row>
    <row r="217" ht="44" customHeight="1" s="166">
      <c r="A217" s="222" t="n"/>
      <c r="B217" s="222" t="inlineStr">
        <is>
          <t>综合楼</t>
        </is>
      </c>
      <c r="C217" s="222" t="inlineStr">
        <is>
          <t>011702003003</t>
        </is>
      </c>
      <c r="D217" s="222" t="inlineStr">
        <is>
          <t>构造柱</t>
        </is>
      </c>
      <c r="E217" s="222" t="inlineStr">
        <is>
          <t>1.构造柱模板(周长m)支模高度4.6m内1.2内</t>
        </is>
      </c>
      <c r="F217" s="222" t="inlineStr">
        <is>
          <t>m2</t>
        </is>
      </c>
      <c r="G217" s="223" t="n">
        <v>708.62</v>
      </c>
      <c r="H217" s="223" t="n">
        <v>560.48</v>
      </c>
      <c r="I217" s="223" t="n">
        <v>560.48</v>
      </c>
      <c r="J217" s="223" t="n"/>
      <c r="K217" s="223">
        <f>H219-G219</f>
        <v/>
      </c>
      <c r="L217" s="223">
        <f>I219-G219</f>
        <v/>
      </c>
      <c r="M217" s="223">
        <f>I219-H219</f>
        <v/>
      </c>
      <c r="N217" s="224">
        <f>K219/G219</f>
        <v/>
      </c>
      <c r="O217" s="222" t="n">
        <v>70.72</v>
      </c>
      <c r="P217" s="222" t="n">
        <v>83.12</v>
      </c>
      <c r="Q217" s="224">
        <f>(O219-P219)/P219</f>
        <v/>
      </c>
      <c r="R217" s="223">
        <f>P219*0.9056*0.85</f>
        <v/>
      </c>
      <c r="S217" s="223">
        <f>P219*1.15</f>
        <v/>
      </c>
      <c r="T217" s="223">
        <f>IF(O219&lt;P219*0.9056*0.85,P219*0.9056*0.85,IF(O219&gt;P219*1.15,P219*1.15,O219))</f>
        <v/>
      </c>
      <c r="U217" s="223" t="n">
        <v>50113.95</v>
      </c>
      <c r="V217" s="223" t="n">
        <v>39637.36</v>
      </c>
      <c r="W217" s="223" t="n">
        <v>39637.36</v>
      </c>
      <c r="X217" s="223">
        <f>V219-U219</f>
        <v/>
      </c>
      <c r="Y217" s="223">
        <f>W219-U219</f>
        <v/>
      </c>
      <c r="Z217" s="223">
        <f>W219-V219</f>
        <v/>
      </c>
      <c r="AA217" s="222" t="n"/>
      <c r="AB217" s="222" t="n"/>
      <c r="AC217" s="222" t="n"/>
      <c r="AD217" s="222" t="n"/>
      <c r="AE217" s="222" t="n"/>
      <c r="AF217" s="222" t="n"/>
      <c r="AG217" s="222" t="n"/>
      <c r="AH217" s="222" t="n"/>
      <c r="AI217" s="222" t="n"/>
      <c r="AJ217" s="222" t="n"/>
    </row>
    <row r="218" ht="44" customHeight="1" s="166">
      <c r="A218" s="222" t="n"/>
      <c r="B218" s="222" t="inlineStr">
        <is>
          <t>综合楼</t>
        </is>
      </c>
      <c r="C218" s="222" t="inlineStr">
        <is>
          <t>011702004005</t>
        </is>
      </c>
      <c r="D218" s="222" t="inlineStr">
        <is>
          <t>异形柱</t>
        </is>
      </c>
      <c r="E218" s="222" t="inlineStr">
        <is>
          <t>1.圆形柱模板(周长m)支模高度4.6m内</t>
        </is>
      </c>
      <c r="F218" s="222" t="inlineStr">
        <is>
          <t>m2</t>
        </is>
      </c>
      <c r="G218" s="223" t="n">
        <v>120.09</v>
      </c>
      <c r="H218" s="223" t="n">
        <v>11.16</v>
      </c>
      <c r="I218" s="223" t="n">
        <v>11.16</v>
      </c>
      <c r="J218" s="223" t="n"/>
      <c r="K218" s="223">
        <f>H220-G220</f>
        <v/>
      </c>
      <c r="L218" s="223">
        <f>I220-G220</f>
        <v/>
      </c>
      <c r="M218" s="223">
        <f>I220-H220</f>
        <v/>
      </c>
      <c r="N218" s="224">
        <f>K220/G220</f>
        <v/>
      </c>
      <c r="O218" s="222" t="n">
        <v>78.64</v>
      </c>
      <c r="P218" s="222" t="n">
        <v>128.71</v>
      </c>
      <c r="Q218" s="224">
        <f>(O220-P220)/P220</f>
        <v/>
      </c>
      <c r="R218" s="223">
        <f>P220*0.9056*0.85</f>
        <v/>
      </c>
      <c r="S218" s="223">
        <f>P220*1.15</f>
        <v/>
      </c>
      <c r="T218" s="223">
        <f>IF(O220&lt;P220*0.9056*0.85,P220*0.9056*0.85,IF(O220&gt;P220*1.15,P220*1.15,O220))</f>
        <v/>
      </c>
      <c r="U218" s="223" t="n">
        <v>9443.85</v>
      </c>
      <c r="V218" s="223" t="n">
        <v>-1348.18</v>
      </c>
      <c r="W218" s="223">
        <f>U220+T220*L220</f>
        <v/>
      </c>
      <c r="X218" s="223">
        <f>V220-U220</f>
        <v/>
      </c>
      <c r="Y218" s="223">
        <f>W220-U220</f>
        <v/>
      </c>
      <c r="Z218" s="223">
        <f>W220-V220</f>
        <v/>
      </c>
      <c r="AA218" s="222" t="n"/>
      <c r="AB218" s="222" t="n"/>
      <c r="AC218" s="222" t="n"/>
      <c r="AD218" s="222" t="n"/>
      <c r="AE218" s="222" t="n"/>
      <c r="AF218" s="222" t="n"/>
      <c r="AG218" s="222" t="n"/>
      <c r="AH218" s="222" t="n"/>
      <c r="AI218" s="222" t="n"/>
      <c r="AJ218" s="222" t="n"/>
    </row>
    <row r="219" ht="44" customHeight="1" s="166">
      <c r="A219" s="222" t="n"/>
      <c r="B219" s="222" t="inlineStr">
        <is>
          <t>综合楼</t>
        </is>
      </c>
      <c r="C219" s="222" t="inlineStr">
        <is>
          <t>011702004006</t>
        </is>
      </c>
      <c r="D219" s="222" t="inlineStr">
        <is>
          <t>异形柱</t>
        </is>
      </c>
      <c r="E219" s="222" t="inlineStr">
        <is>
          <t>1.圆形柱模板(周长m)支模高度5.6m内</t>
        </is>
      </c>
      <c r="F219" s="222" t="inlineStr">
        <is>
          <t>m2</t>
        </is>
      </c>
      <c r="G219" s="223" t="n">
        <v>13.17</v>
      </c>
      <c r="H219" s="223" t="n">
        <v>89.83</v>
      </c>
      <c r="I219" s="223">
        <f>86.48</f>
        <v/>
      </c>
      <c r="J219" s="223" t="n"/>
      <c r="K219" s="223">
        <f>H221-G221</f>
        <v/>
      </c>
      <c r="L219" s="223">
        <f>I221-G221</f>
        <v/>
      </c>
      <c r="M219" s="223">
        <f>I221-H221</f>
        <v/>
      </c>
      <c r="N219" s="224">
        <f>K221/G221</f>
        <v/>
      </c>
      <c r="O219" s="222" t="n">
        <v>82.73999999999999</v>
      </c>
      <c r="P219" s="222" t="n">
        <v>133.03</v>
      </c>
      <c r="Q219" s="224">
        <f>(O221-P221)/P221</f>
        <v/>
      </c>
      <c r="R219" s="223">
        <f>P221*0.9056*0.85</f>
        <v/>
      </c>
      <c r="S219" s="223">
        <f>P221*1.15</f>
        <v/>
      </c>
      <c r="T219" s="223">
        <f>IF(O221&lt;P221*0.9056*0.85,P221*0.9056*0.85,IF(O221&gt;P221*1.15,P221*1.15,O221))</f>
        <v/>
      </c>
      <c r="U219" s="223" t="n">
        <v>1089.55</v>
      </c>
      <c r="V219" s="223" t="n">
        <v>8939.73</v>
      </c>
      <c r="W219" s="223">
        <f>U221+T221*L221</f>
        <v/>
      </c>
      <c r="X219" s="223">
        <f>V221-U221</f>
        <v/>
      </c>
      <c r="Y219" s="223">
        <f>W221-U221</f>
        <v/>
      </c>
      <c r="Z219" s="223">
        <f>W221-V221</f>
        <v/>
      </c>
      <c r="AA219" s="222" t="n"/>
      <c r="AB219" s="222" t="n"/>
      <c r="AC219" s="222" t="n"/>
      <c r="AD219" s="222" t="n"/>
      <c r="AE219" s="222" t="n"/>
      <c r="AF219" s="222" t="n"/>
      <c r="AG219" s="222" t="n"/>
      <c r="AH219" s="222" t="n"/>
      <c r="AI219" s="222" t="n"/>
      <c r="AJ219" s="222" t="n"/>
    </row>
    <row r="220" ht="44" customHeight="1" s="166">
      <c r="A220" s="222" t="n"/>
      <c r="B220" s="222" t="inlineStr">
        <is>
          <t>综合楼</t>
        </is>
      </c>
      <c r="C220" s="222" t="inlineStr">
        <is>
          <t>011702004007</t>
        </is>
      </c>
      <c r="D220" s="222" t="inlineStr">
        <is>
          <t>异形柱</t>
        </is>
      </c>
      <c r="E220" s="222" t="inlineStr">
        <is>
          <t>1.圆形柱模板(周长m)支模高度13.4m内</t>
        </is>
      </c>
      <c r="F220" s="222" t="inlineStr">
        <is>
          <t>m2</t>
        </is>
      </c>
      <c r="G220" s="223" t="n">
        <v>24.96</v>
      </c>
      <c r="H220" s="223" t="n">
        <v>0</v>
      </c>
      <c r="I220" s="223" t="n">
        <v>0</v>
      </c>
      <c r="J220" s="223" t="n"/>
      <c r="K220" s="223">
        <f>H222-G222</f>
        <v/>
      </c>
      <c r="L220" s="223">
        <f>I222-G222</f>
        <v/>
      </c>
      <c r="M220" s="223">
        <f>I222-H222</f>
        <v/>
      </c>
      <c r="N220" s="224">
        <f>K222/G222</f>
        <v/>
      </c>
      <c r="O220" s="222" t="n">
        <v>131.77</v>
      </c>
      <c r="P220" s="222" t="n">
        <v>172.21</v>
      </c>
      <c r="Q220" s="224">
        <f>(O222-P222)/P222</f>
        <v/>
      </c>
      <c r="R220" s="223">
        <f>P222*0.9056*0.85</f>
        <v/>
      </c>
      <c r="S220" s="223">
        <f>P222*1.15</f>
        <v/>
      </c>
      <c r="T220" s="223">
        <f>IF(O222&lt;P222*0.9056*0.85,P222*0.9056*0.85,IF(O222&gt;P222*1.15,P222*1.15,O222))</f>
        <v/>
      </c>
      <c r="U220" s="223" t="n">
        <v>3288.56</v>
      </c>
      <c r="V220" s="223" t="n">
        <v>-19.73</v>
      </c>
      <c r="W220" s="223">
        <f>U222+T222*L222</f>
        <v/>
      </c>
      <c r="X220" s="223">
        <f>V222-U222</f>
        <v/>
      </c>
      <c r="Y220" s="223">
        <f>W222-U222</f>
        <v/>
      </c>
      <c r="Z220" s="223">
        <f>W222-V222</f>
        <v/>
      </c>
      <c r="AA220" s="222" t="n"/>
      <c r="AB220" s="222" t="n"/>
      <c r="AC220" s="222" t="n"/>
      <c r="AD220" s="222" t="n"/>
      <c r="AE220" s="222" t="n"/>
      <c r="AF220" s="222" t="n"/>
      <c r="AG220" s="222" t="n"/>
      <c r="AH220" s="222" t="n"/>
      <c r="AI220" s="222" t="n"/>
      <c r="AJ220" s="222" t="n"/>
    </row>
    <row r="221" ht="44" customHeight="1" s="166">
      <c r="A221" s="222" t="n"/>
      <c r="B221" s="222" t="inlineStr">
        <is>
          <t>综合楼</t>
        </is>
      </c>
      <c r="C221" s="222" t="inlineStr">
        <is>
          <t>011702004008</t>
        </is>
      </c>
      <c r="D221" s="222" t="inlineStr">
        <is>
          <t>异形柱</t>
        </is>
      </c>
      <c r="E221" s="222" t="inlineStr">
        <is>
          <t>1.圆形柱模板(周长m)支模高度14.4m内</t>
        </is>
      </c>
      <c r="F221" s="222" t="inlineStr">
        <is>
          <t>m2</t>
        </is>
      </c>
      <c r="G221" s="223" t="n">
        <v>49.91</v>
      </c>
      <c r="H221" s="223" t="n">
        <v>0</v>
      </c>
      <c r="I221" s="223" t="n">
        <v>0</v>
      </c>
      <c r="J221" s="223" t="n"/>
      <c r="K221" s="223">
        <f>H223-G223</f>
        <v/>
      </c>
      <c r="L221" s="223">
        <f>I223-G223</f>
        <v/>
      </c>
      <c r="M221" s="223">
        <f>I223-H223</f>
        <v/>
      </c>
      <c r="N221" s="224">
        <f>K223/G223</f>
        <v/>
      </c>
      <c r="O221" s="222" t="n">
        <v>136.2</v>
      </c>
      <c r="P221" s="222" t="n">
        <v>176.67</v>
      </c>
      <c r="Q221" s="224">
        <f>(O223-P223)/P223</f>
        <v/>
      </c>
      <c r="R221" s="223">
        <f>P223*0.9056*0.85</f>
        <v/>
      </c>
      <c r="S221" s="223">
        <f>P223*1.15</f>
        <v/>
      </c>
      <c r="T221" s="223">
        <f>IF(O223&lt;P223*0.9056*0.85,P223*0.9056*0.85,IF(O223&gt;P223*1.15,P223*1.15,O223))</f>
        <v/>
      </c>
      <c r="U221" s="223" t="n">
        <v>6798.23</v>
      </c>
      <c r="V221" s="223" t="n">
        <v>0</v>
      </c>
      <c r="W221" s="223" t="n">
        <v>0</v>
      </c>
      <c r="X221" s="223">
        <f>V223-U223</f>
        <v/>
      </c>
      <c r="Y221" s="223">
        <f>W223-U223</f>
        <v/>
      </c>
      <c r="Z221" s="223">
        <f>W223-V223</f>
        <v/>
      </c>
      <c r="AA221" s="222" t="n"/>
      <c r="AB221" s="222" t="n"/>
      <c r="AC221" s="222" t="n"/>
      <c r="AD221" s="222" t="n"/>
      <c r="AE221" s="222" t="n"/>
      <c r="AF221" s="222" t="n"/>
      <c r="AG221" s="222" t="n"/>
      <c r="AH221" s="222" t="n"/>
      <c r="AI221" s="222" t="n"/>
      <c r="AJ221" s="222" t="n"/>
    </row>
    <row r="222" ht="44" customHeight="1" s="166">
      <c r="A222" s="222" t="n"/>
      <c r="B222" s="222" t="inlineStr">
        <is>
          <t>综合楼</t>
        </is>
      </c>
      <c r="C222" s="222" t="inlineStr">
        <is>
          <t>011702004009</t>
        </is>
      </c>
      <c r="D222" s="222" t="inlineStr">
        <is>
          <t>异形柱</t>
        </is>
      </c>
      <c r="E222" s="222" t="inlineStr">
        <is>
          <t>1.圆形柱模板(周长m)支模高度15.4m内</t>
        </is>
      </c>
      <c r="F222" s="222" t="inlineStr">
        <is>
          <t>m2</t>
        </is>
      </c>
      <c r="G222" s="223" t="n">
        <v>49.91</v>
      </c>
      <c r="H222" s="223" t="n">
        <v>11.53</v>
      </c>
      <c r="I222" s="223">
        <f>10.98+39.67</f>
        <v/>
      </c>
      <c r="J222" s="223" t="n"/>
      <c r="K222" s="223">
        <f>H224-G224</f>
        <v/>
      </c>
      <c r="L222" s="223">
        <f>I224-G224</f>
        <v/>
      </c>
      <c r="M222" s="223">
        <f>I224-H224</f>
        <v/>
      </c>
      <c r="N222" s="224">
        <f>K224/G224</f>
        <v/>
      </c>
      <c r="O222" s="222" t="n">
        <v>140.63</v>
      </c>
      <c r="P222" s="222" t="n">
        <v>90.56999999999999</v>
      </c>
      <c r="Q222" s="224">
        <f>(O224-P224)/P224</f>
        <v/>
      </c>
      <c r="R222" s="223">
        <f>P224*0.9056*0.85</f>
        <v/>
      </c>
      <c r="S222" s="223">
        <f>P224*1.15</f>
        <v/>
      </c>
      <c r="T222" s="223">
        <f>IF(O224&lt;P224*0.9056*0.85,P224*0.9056*0.85,IF(O224&gt;P224*1.15,P224*1.15,O224))</f>
        <v/>
      </c>
      <c r="U222" s="223" t="n">
        <v>7019.35</v>
      </c>
      <c r="V222" s="223" t="n">
        <v>3021.68</v>
      </c>
      <c r="W222" s="223">
        <f>U224+T224*L224</f>
        <v/>
      </c>
      <c r="X222" s="223">
        <f>V224-U224</f>
        <v/>
      </c>
      <c r="Y222" s="223">
        <f>W224-U224</f>
        <v/>
      </c>
      <c r="Z222" s="223">
        <f>W224-V224</f>
        <v/>
      </c>
      <c r="AA222" s="222" t="inlineStr">
        <is>
          <t>将清单序号203工程量归到此计算</t>
        </is>
      </c>
      <c r="AB222" s="222" t="inlineStr">
        <is>
          <t>16.4m高工程量</t>
        </is>
      </c>
      <c r="AC222" s="222" t="n"/>
      <c r="AD222" s="222" t="n"/>
      <c r="AE222" s="222" t="n"/>
      <c r="AF222" s="222" t="n"/>
      <c r="AG222" s="222" t="n"/>
      <c r="AH222" s="222" t="n"/>
      <c r="AI222" s="222" t="n"/>
      <c r="AJ222" s="222" t="n"/>
    </row>
    <row r="223" ht="44" customHeight="1" s="166">
      <c r="A223" s="222" t="n"/>
      <c r="B223" s="222" t="inlineStr">
        <is>
          <t>综合楼</t>
        </is>
      </c>
      <c r="C223" s="222" t="inlineStr">
        <is>
          <t>011702004010</t>
        </is>
      </c>
      <c r="D223" s="222" t="inlineStr">
        <is>
          <t>异形柱</t>
        </is>
      </c>
      <c r="E223" s="222" t="inlineStr">
        <is>
          <t>1.圆形柱模板(周长m)支模高度17.4m内</t>
        </is>
      </c>
      <c r="F223" s="222" t="inlineStr">
        <is>
          <t>m2</t>
        </is>
      </c>
      <c r="G223" s="223" t="n">
        <v>325.5</v>
      </c>
      <c r="H223" s="223" t="n">
        <v>490.53</v>
      </c>
      <c r="I223" s="223" t="n">
        <v>429.35</v>
      </c>
      <c r="J223" s="223" t="n"/>
      <c r="K223" s="223">
        <f>H225-G225</f>
        <v/>
      </c>
      <c r="L223" s="223">
        <f>I225-G225</f>
        <v/>
      </c>
      <c r="M223" s="223">
        <f>I225-H225</f>
        <v/>
      </c>
      <c r="N223" s="224">
        <f>K225/G225</f>
        <v/>
      </c>
      <c r="O223" s="222" t="n">
        <v>149.49</v>
      </c>
      <c r="P223" s="222" t="n">
        <v>190.06</v>
      </c>
      <c r="Q223" s="224">
        <f>(O225-P225)/P225</f>
        <v/>
      </c>
      <c r="R223" s="223">
        <f>P225*0.9056*0.85</f>
        <v/>
      </c>
      <c r="S223" s="223">
        <f>P225*1.15</f>
        <v/>
      </c>
      <c r="T223" s="223">
        <f>IF(O225&lt;P225*0.9056*0.85,P225*0.9056*0.85,IF(O225&gt;P225*1.15,P225*1.15,O225))</f>
        <v/>
      </c>
      <c r="U223" s="223" t="n">
        <v>48659.67</v>
      </c>
      <c r="V223" s="223" t="n">
        <v>73329.81</v>
      </c>
      <c r="W223" s="223">
        <f>U225+T225*L225</f>
        <v/>
      </c>
      <c r="X223" s="223">
        <f>V225-U225</f>
        <v/>
      </c>
      <c r="Y223" s="223">
        <f>W225-U225</f>
        <v/>
      </c>
      <c r="Z223" s="223">
        <f>W225-V225</f>
        <v/>
      </c>
      <c r="AA223" s="222" t="n"/>
      <c r="AB223" s="222" t="n"/>
      <c r="AC223" s="222" t="n"/>
      <c r="AD223" s="222" t="n"/>
      <c r="AE223" s="222" t="n"/>
      <c r="AF223" s="222" t="n"/>
      <c r="AG223" s="222" t="n"/>
      <c r="AH223" s="222" t="n"/>
      <c r="AI223" s="222" t="n"/>
      <c r="AJ223" s="222" t="n"/>
    </row>
    <row r="224" ht="44" customHeight="1" s="166">
      <c r="A224" s="222" t="n"/>
      <c r="B224" s="222" t="inlineStr">
        <is>
          <t>综合楼</t>
        </is>
      </c>
      <c r="C224" s="222" t="inlineStr">
        <is>
          <t>011702011014</t>
        </is>
      </c>
      <c r="D224" s="222" t="inlineStr">
        <is>
          <t>直形墙</t>
        </is>
      </c>
      <c r="E224" s="222" t="inlineStr">
        <is>
          <t>1.直形墙模板墙厚(cm以内)40支模高度3.6m内</t>
        </is>
      </c>
      <c r="F224" s="222" t="inlineStr">
        <is>
          <t>m2</t>
        </is>
      </c>
      <c r="G224" s="223" t="n">
        <v>271.46</v>
      </c>
      <c r="H224" s="223" t="n">
        <v>302.14</v>
      </c>
      <c r="I224" s="223">
        <f>288.35</f>
        <v/>
      </c>
      <c r="J224" s="223" t="n"/>
      <c r="K224" s="223">
        <f>H226-G226</f>
        <v/>
      </c>
      <c r="L224" s="223">
        <f>I226-G226</f>
        <v/>
      </c>
      <c r="M224" s="223">
        <f>I226-H226</f>
        <v/>
      </c>
      <c r="N224" s="224">
        <f>K226/G226</f>
        <v/>
      </c>
      <c r="O224" s="222" t="n">
        <v>43.27</v>
      </c>
      <c r="P224" s="222" t="n">
        <v>45.5</v>
      </c>
      <c r="Q224" s="224">
        <f>(O226-P226)/P226</f>
        <v/>
      </c>
      <c r="R224" s="223">
        <f>P226*0.9056*0.85</f>
        <v/>
      </c>
      <c r="S224" s="223">
        <f>P226*1.15</f>
        <v/>
      </c>
      <c r="T224" s="223">
        <f>IF(O226&lt;P226*0.9056*0.85,P226*0.9056*0.85,IF(O226&gt;P226*1.15,P226*1.15,O226))</f>
        <v/>
      </c>
      <c r="U224" s="223" t="n">
        <v>11746.07</v>
      </c>
      <c r="V224" s="223" t="n">
        <v>13073.56</v>
      </c>
      <c r="W224" s="223">
        <f>U226+T226*L226</f>
        <v/>
      </c>
      <c r="X224" s="223">
        <f>V226-U226</f>
        <v/>
      </c>
      <c r="Y224" s="223">
        <f>W226-U226</f>
        <v/>
      </c>
      <c r="Z224" s="223">
        <f>W226-V226</f>
        <v/>
      </c>
      <c r="AA224" s="222" t="n"/>
      <c r="AB224" s="222" t="n"/>
      <c r="AC224" s="222" t="n"/>
      <c r="AD224" s="222" t="n"/>
      <c r="AE224" s="222" t="n"/>
      <c r="AF224" s="222" t="n"/>
      <c r="AG224" s="222" t="n"/>
      <c r="AH224" s="222" t="n"/>
      <c r="AI224" s="222" t="n"/>
      <c r="AJ224" s="222" t="n"/>
    </row>
    <row r="225" ht="44" customHeight="1" s="166">
      <c r="A225" s="222" t="n"/>
      <c r="B225" s="222" t="inlineStr">
        <is>
          <t>综合楼</t>
        </is>
      </c>
      <c r="C225" s="222" t="inlineStr">
        <is>
          <t>011702011011</t>
        </is>
      </c>
      <c r="D225" s="222" t="inlineStr">
        <is>
          <t>直形墙</t>
        </is>
      </c>
      <c r="E225" s="222" t="inlineStr">
        <is>
          <t>1.直形墙模板墙厚(cm以内)40支模高度4.6m内</t>
        </is>
      </c>
      <c r="F225" s="222" t="inlineStr">
        <is>
          <t>m2</t>
        </is>
      </c>
      <c r="G225" s="223" t="n">
        <v>36.56</v>
      </c>
      <c r="H225" s="223" t="n">
        <v>192.98</v>
      </c>
      <c r="I225" s="223" t="n">
        <v>183.12</v>
      </c>
      <c r="J225" s="223" t="n"/>
      <c r="K225" s="223">
        <f>H227-G227</f>
        <v/>
      </c>
      <c r="L225" s="223">
        <f>I227-G227</f>
        <v/>
      </c>
      <c r="M225" s="223">
        <f>I227-H227</f>
        <v/>
      </c>
      <c r="N225" s="224">
        <f>K227/G227</f>
        <v/>
      </c>
      <c r="O225" s="222" t="n">
        <v>45.51</v>
      </c>
      <c r="P225" s="222" t="n">
        <v>45.5</v>
      </c>
      <c r="Q225" s="224">
        <f>(O227-P227)/P227</f>
        <v/>
      </c>
      <c r="R225" s="223">
        <f>P227*0.9056*0.85</f>
        <v/>
      </c>
      <c r="S225" s="223">
        <f>P227*1.15</f>
        <v/>
      </c>
      <c r="T225" s="223">
        <f>IF(O227&lt;P227*0.9056*0.85,P227*0.9056*0.85,IF(O227&gt;P227*1.15,P227*1.15,O227))</f>
        <v/>
      </c>
      <c r="U225" s="223" t="n">
        <v>1663.78</v>
      </c>
      <c r="V225" s="223" t="n">
        <v>8782.639999999999</v>
      </c>
      <c r="W225" s="223">
        <f>U227+T227*L227</f>
        <v/>
      </c>
      <c r="X225" s="223">
        <f>V227-U227</f>
        <v/>
      </c>
      <c r="Y225" s="223">
        <f>W227-U227</f>
        <v/>
      </c>
      <c r="Z225" s="223">
        <f>W227-V227</f>
        <v/>
      </c>
      <c r="AA225" s="222" t="n"/>
      <c r="AB225" s="222" t="n"/>
      <c r="AC225" s="222" t="n"/>
      <c r="AD225" s="222" t="n"/>
      <c r="AE225" s="222" t="n"/>
      <c r="AF225" s="222" t="n"/>
      <c r="AG225" s="222" t="n"/>
      <c r="AH225" s="222" t="n"/>
      <c r="AI225" s="222" t="n"/>
      <c r="AJ225" s="222" t="n"/>
    </row>
    <row r="226" ht="44" customHeight="1" s="166">
      <c r="A226" s="222" t="n"/>
      <c r="B226" s="222" t="inlineStr">
        <is>
          <t>综合楼</t>
        </is>
      </c>
      <c r="C226" s="222" t="inlineStr">
        <is>
          <t>011702011012</t>
        </is>
      </c>
      <c r="D226" s="222" t="inlineStr">
        <is>
          <t>直形墙</t>
        </is>
      </c>
      <c r="E226" s="222" t="inlineStr">
        <is>
          <t>1.直形墙模板墙厚(cm以内)40支模高度7.6m内</t>
        </is>
      </c>
      <c r="F226" s="222" t="inlineStr">
        <is>
          <t>m2</t>
        </is>
      </c>
      <c r="G226" s="223" t="n">
        <v>6.26</v>
      </c>
      <c r="H226" s="223" t="n">
        <v>0</v>
      </c>
      <c r="I226" s="223" t="n">
        <v>0</v>
      </c>
      <c r="J226" s="223" t="n"/>
      <c r="K226" s="223">
        <f>H228-G228</f>
        <v/>
      </c>
      <c r="L226" s="223">
        <f>I228-G228</f>
        <v/>
      </c>
      <c r="M226" s="223">
        <f>I228-H228</f>
        <v/>
      </c>
      <c r="N226" s="224">
        <f>K228/G228</f>
        <v/>
      </c>
      <c r="O226" s="222" t="n">
        <v>52.24</v>
      </c>
      <c r="P226" s="222" t="n">
        <v>45.5</v>
      </c>
      <c r="Q226" s="224">
        <f>(O228-P228)/P228</f>
        <v/>
      </c>
      <c r="R226" s="223">
        <f>P228*0.9056*0.85</f>
        <v/>
      </c>
      <c r="S226" s="223">
        <f>P228*1.15</f>
        <v/>
      </c>
      <c r="T226" s="223">
        <f>IF(O228&lt;P228*0.9056*0.85,P228*0.9056*0.85,IF(O228&gt;P228*1.15,P228*1.15,O228))</f>
        <v/>
      </c>
      <c r="U226" s="223" t="n">
        <v>327.13</v>
      </c>
      <c r="V226" s="223" t="n">
        <v>0</v>
      </c>
      <c r="W226" s="223" t="n">
        <v>0</v>
      </c>
      <c r="X226" s="223">
        <f>V228-U228</f>
        <v/>
      </c>
      <c r="Y226" s="223">
        <f>W228-U228</f>
        <v/>
      </c>
      <c r="Z226" s="223">
        <f>W228-V228</f>
        <v/>
      </c>
      <c r="AA226" s="222" t="n"/>
      <c r="AB226" s="222" t="n"/>
      <c r="AC226" s="222" t="n"/>
      <c r="AD226" s="222" t="n"/>
      <c r="AE226" s="222" t="n"/>
      <c r="AF226" s="222" t="n"/>
      <c r="AG226" s="222" t="n"/>
      <c r="AH226" s="222" t="n"/>
      <c r="AI226" s="222" t="n"/>
      <c r="AJ226" s="222" t="n"/>
    </row>
    <row r="227" ht="44" customHeight="1" s="166">
      <c r="A227" s="222" t="n"/>
      <c r="B227" s="222" t="inlineStr">
        <is>
          <t>综合楼</t>
        </is>
      </c>
      <c r="C227" s="222" t="inlineStr">
        <is>
          <t>011702011013</t>
        </is>
      </c>
      <c r="D227" s="222" t="inlineStr">
        <is>
          <t>直形墙</t>
        </is>
      </c>
      <c r="E227" s="222" t="inlineStr">
        <is>
          <t>1.直形墙模板墙厚(cm以内)40支模高度17.4m内</t>
        </is>
      </c>
      <c r="F227" s="222" t="inlineStr">
        <is>
          <t>m2</t>
        </is>
      </c>
      <c r="G227" s="223" t="n">
        <v>184.81</v>
      </c>
      <c r="H227" s="223" t="n">
        <v>0</v>
      </c>
      <c r="I227" s="223" t="n">
        <v>0</v>
      </c>
      <c r="J227" s="223" t="n"/>
      <c r="K227" s="223">
        <f>H229-G229</f>
        <v/>
      </c>
      <c r="L227" s="223">
        <f>I229-G229</f>
        <v/>
      </c>
      <c r="M227" s="223">
        <f>I229-H229</f>
        <v/>
      </c>
      <c r="N227" s="224">
        <f>K229/G229</f>
        <v/>
      </c>
      <c r="O227" s="222" t="n">
        <v>84.7</v>
      </c>
      <c r="P227" s="222" t="n">
        <v>84.13</v>
      </c>
      <c r="Q227" s="224">
        <f>(O229-P229)/P229</f>
        <v/>
      </c>
      <c r="R227" s="223">
        <f>P229*0.9056*0.85</f>
        <v/>
      </c>
      <c r="S227" s="223">
        <f>P229*1.15</f>
        <v/>
      </c>
      <c r="T227" s="223">
        <f>IF(O229&lt;P229*0.9056*0.85,P229*0.9056*0.85,IF(O229&gt;P229*1.15,P229*1.15,O229))</f>
        <v/>
      </c>
      <c r="U227" s="223" t="n">
        <v>15653.07</v>
      </c>
      <c r="V227" s="223" t="n">
        <v>0</v>
      </c>
      <c r="W227" s="223">
        <f>U229+T229*L229</f>
        <v/>
      </c>
      <c r="X227" s="223">
        <f>V229-U229</f>
        <v/>
      </c>
      <c r="Y227" s="223">
        <f>W229-U229</f>
        <v/>
      </c>
      <c r="Z227" s="223">
        <f>W229-V229</f>
        <v/>
      </c>
      <c r="AA227" s="222" t="n"/>
      <c r="AB227" s="222" t="n"/>
      <c r="AC227" s="222" t="n"/>
      <c r="AD227" s="222" t="n"/>
      <c r="AE227" s="222" t="n"/>
      <c r="AF227" s="222" t="n"/>
      <c r="AG227" s="222" t="n"/>
      <c r="AH227" s="222" t="n"/>
      <c r="AI227" s="222" t="n"/>
      <c r="AJ227" s="222" t="n"/>
    </row>
    <row r="228" ht="44" customHeight="1" s="166">
      <c r="A228" s="222" t="n"/>
      <c r="B228" s="222" t="inlineStr">
        <is>
          <t>综合楼</t>
        </is>
      </c>
      <c r="C228" s="222" t="inlineStr">
        <is>
          <t>011702014001</t>
        </is>
      </c>
      <c r="D228" s="222" t="inlineStr">
        <is>
          <t>有梁板</t>
        </is>
      </c>
      <c r="E228" s="222" t="inlineStr">
        <is>
          <t>1.有梁板模板支模高度3.6m内</t>
        </is>
      </c>
      <c r="F228" s="222" t="inlineStr">
        <is>
          <t>m2</t>
        </is>
      </c>
      <c r="G228" s="223" t="n">
        <v>137.31</v>
      </c>
      <c r="H228" s="223" t="n">
        <v>27.34</v>
      </c>
      <c r="I228" s="223">
        <f>27.34+52.06</f>
        <v/>
      </c>
      <c r="J228" s="223" t="n"/>
      <c r="K228" s="223">
        <f>H230-G230</f>
        <v/>
      </c>
      <c r="L228" s="223">
        <f>I230-G230</f>
        <v/>
      </c>
      <c r="M228" s="223">
        <f>I230-H230</f>
        <v/>
      </c>
      <c r="N228" s="224">
        <f>K230/G230</f>
        <v/>
      </c>
      <c r="O228" s="222" t="n">
        <v>59.25</v>
      </c>
      <c r="P228" s="222" t="n">
        <v>63.21</v>
      </c>
      <c r="Q228" s="224">
        <f>(O230-P230)/P230</f>
        <v/>
      </c>
      <c r="R228" s="223">
        <f>P230*0.9056*0.85</f>
        <v/>
      </c>
      <c r="S228" s="223">
        <f>P230*1.15</f>
        <v/>
      </c>
      <c r="T228" s="223">
        <f>IF(O230&lt;P230*0.9056*0.85,P230*0.9056*0.85,IF(O230&gt;P230*1.15,P230*1.15,O230))</f>
        <v/>
      </c>
      <c r="U228" s="223" t="n">
        <v>8135.84</v>
      </c>
      <c r="V228" s="223" t="n">
        <v>1619.79</v>
      </c>
      <c r="W228" s="223">
        <f>U230+T230*L230</f>
        <v/>
      </c>
      <c r="X228" s="223">
        <f>V230-U230</f>
        <v/>
      </c>
      <c r="Y228" s="223">
        <f>W230-U230</f>
        <v/>
      </c>
      <c r="Z228" s="223">
        <f>W230-V230</f>
        <v/>
      </c>
      <c r="AA228" s="222" t="inlineStr">
        <is>
          <t>将清单序号213工程量归到此计算</t>
        </is>
      </c>
      <c r="AB228" s="222" t="n"/>
      <c r="AC228" s="222" t="n"/>
      <c r="AD228" s="222" t="n"/>
      <c r="AE228" s="222" t="n"/>
      <c r="AF228" s="222" t="n"/>
      <c r="AG228" s="222" t="n"/>
      <c r="AH228" s="222" t="n"/>
      <c r="AI228" s="222" t="n"/>
      <c r="AJ228" s="222" t="n"/>
    </row>
    <row r="229" ht="44" customHeight="1" s="166">
      <c r="A229" s="222" t="n"/>
      <c r="B229" s="222" t="inlineStr">
        <is>
          <t>综合楼</t>
        </is>
      </c>
      <c r="C229" s="222" t="inlineStr">
        <is>
          <t>011702014002</t>
        </is>
      </c>
      <c r="D229" s="222" t="inlineStr">
        <is>
          <t>有梁板</t>
        </is>
      </c>
      <c r="E229" s="222" t="inlineStr">
        <is>
          <t>1.有梁板模板支模高度4.6m内</t>
        </is>
      </c>
      <c r="F229" s="222" t="inlineStr">
        <is>
          <t>m2</t>
        </is>
      </c>
      <c r="G229" s="223" t="n">
        <v>2425.67</v>
      </c>
      <c r="H229" s="223" t="n">
        <v>2800.8</v>
      </c>
      <c r="I229" s="223">
        <f>2768.33+47.89</f>
        <v/>
      </c>
      <c r="J229" s="223" t="n"/>
      <c r="K229" s="223">
        <f>H231-G231</f>
        <v/>
      </c>
      <c r="L229" s="223">
        <f>I231-G231</f>
        <v/>
      </c>
      <c r="M229" s="223">
        <f>I231-H231</f>
        <v/>
      </c>
      <c r="N229" s="224">
        <f>K231/G231</f>
        <v/>
      </c>
      <c r="O229" s="222" t="n">
        <v>67.34</v>
      </c>
      <c r="P229" s="222" t="n">
        <v>71.47</v>
      </c>
      <c r="Q229" s="224">
        <f>(O231-P231)/P231</f>
        <v/>
      </c>
      <c r="R229" s="223">
        <f>P231*0.9056*0.85</f>
        <v/>
      </c>
      <c r="S229" s="223">
        <f>P231*1.15</f>
        <v/>
      </c>
      <c r="T229" s="223">
        <f>IF(O231&lt;P231*0.9056*0.85,P231*0.9056*0.85,IF(O231&gt;P231*1.15,P231*1.15,O231))</f>
        <v/>
      </c>
      <c r="U229" s="223" t="n">
        <v>163344.85</v>
      </c>
      <c r="V229" s="223" t="n">
        <v>188605.61</v>
      </c>
      <c r="W229" s="223">
        <f>U231+T231*L231</f>
        <v/>
      </c>
      <c r="X229" s="223">
        <f>V231-U231</f>
        <v/>
      </c>
      <c r="Y229" s="223">
        <f>W231-U231</f>
        <v/>
      </c>
      <c r="Z229" s="223">
        <f>W231-V231</f>
        <v/>
      </c>
      <c r="AA229" s="222" t="inlineStr">
        <is>
          <t>将清单序号213工程量归到此计算</t>
        </is>
      </c>
      <c r="AB229" s="222" t="n"/>
      <c r="AC229" s="222" t="n"/>
      <c r="AD229" s="222" t="n"/>
      <c r="AE229" s="222" t="n"/>
      <c r="AF229" s="222" t="n"/>
      <c r="AG229" s="222" t="n"/>
      <c r="AH229" s="222" t="n"/>
      <c r="AI229" s="222" t="n"/>
      <c r="AJ229" s="222" t="n"/>
    </row>
    <row r="230" ht="44" customHeight="1" s="166">
      <c r="A230" s="222" t="n"/>
      <c r="B230" s="222" t="inlineStr">
        <is>
          <t>综合楼</t>
        </is>
      </c>
      <c r="C230" s="222" t="inlineStr">
        <is>
          <t>011702014003</t>
        </is>
      </c>
      <c r="D230" s="222" t="inlineStr">
        <is>
          <t>有梁板</t>
        </is>
      </c>
      <c r="E230" s="222" t="inlineStr">
        <is>
          <t>1.有梁板模板支模高度5.6m内</t>
        </is>
      </c>
      <c r="F230" s="222" t="inlineStr">
        <is>
          <t>m2</t>
        </is>
      </c>
      <c r="G230" s="223" t="n">
        <v>107.85</v>
      </c>
      <c r="H230" s="223" t="n">
        <v>101.46</v>
      </c>
      <c r="I230" s="223" t="n">
        <v>96.63</v>
      </c>
      <c r="J230" s="223" t="n"/>
      <c r="K230" s="223">
        <f>H232-G232</f>
        <v/>
      </c>
      <c r="L230" s="223">
        <f>I232-G232</f>
        <v/>
      </c>
      <c r="M230" s="223">
        <f>I232-H232</f>
        <v/>
      </c>
      <c r="N230" s="224">
        <f>K232/G232</f>
        <v/>
      </c>
      <c r="O230" s="222" t="n">
        <v>75.42</v>
      </c>
      <c r="P230" s="222" t="n">
        <v>79.73</v>
      </c>
      <c r="Q230" s="224">
        <f>(O232-P232)/P232</f>
        <v/>
      </c>
      <c r="R230" s="223">
        <f>P232*0.9056*0.85</f>
        <v/>
      </c>
      <c r="S230" s="223">
        <f>P232*1.15</f>
        <v/>
      </c>
      <c r="T230" s="223">
        <f>IF(O232&lt;P232*0.9056*0.85,P232*0.9056*0.85,IF(O232&gt;P232*1.15,P232*1.15,O232))</f>
        <v/>
      </c>
      <c r="U230" s="223" t="n">
        <v>8134.05</v>
      </c>
      <c r="V230" s="223" t="n">
        <v>7652.23</v>
      </c>
      <c r="W230" s="223">
        <f>U232+T232*L232</f>
        <v/>
      </c>
      <c r="X230" s="223">
        <f>V232-U232</f>
        <v/>
      </c>
      <c r="Y230" s="223">
        <f>W232-U232</f>
        <v/>
      </c>
      <c r="Z230" s="223">
        <f>W232-V232</f>
        <v/>
      </c>
      <c r="AA230" s="222" t="n"/>
      <c r="AB230" s="222" t="n"/>
      <c r="AC230" s="222" t="n"/>
      <c r="AD230" s="222" t="n"/>
      <c r="AE230" s="222" t="n"/>
      <c r="AF230" s="222" t="n"/>
      <c r="AG230" s="222" t="n"/>
      <c r="AH230" s="222" t="n"/>
      <c r="AI230" s="222" t="n"/>
      <c r="AJ230" s="222" t="n"/>
    </row>
    <row r="231" ht="44" customHeight="1" s="166">
      <c r="A231" s="222" t="n"/>
      <c r="B231" s="222" t="inlineStr">
        <is>
          <t>综合楼</t>
        </is>
      </c>
      <c r="C231" s="222" t="inlineStr">
        <is>
          <t>011702014004</t>
        </is>
      </c>
      <c r="D231" s="222" t="inlineStr">
        <is>
          <t>有梁板</t>
        </is>
      </c>
      <c r="E231" s="222" t="inlineStr">
        <is>
          <t>1.有梁板模板支模高度9.6m内</t>
        </is>
      </c>
      <c r="F231" s="222" t="inlineStr">
        <is>
          <t>m2</t>
        </is>
      </c>
      <c r="G231" s="223" t="n">
        <v>29.53</v>
      </c>
      <c r="H231" s="223" t="n">
        <v>0</v>
      </c>
      <c r="I231" s="223" t="n">
        <v>0</v>
      </c>
      <c r="J231" s="223" t="n"/>
      <c r="K231" s="223">
        <f>H233-G233</f>
        <v/>
      </c>
      <c r="L231" s="223">
        <f>I233-G233</f>
        <v/>
      </c>
      <c r="M231" s="223">
        <f>I233-H233</f>
        <v/>
      </c>
      <c r="N231" s="224">
        <f>K233/G233</f>
        <v/>
      </c>
      <c r="O231" s="222" t="n">
        <v>142.61</v>
      </c>
      <c r="P231" s="222" t="n">
        <v>136.94</v>
      </c>
      <c r="Q231" s="224">
        <f>(O233-P233)/P233</f>
        <v/>
      </c>
      <c r="R231" s="223">
        <f>P233*0.9056*0.85</f>
        <v/>
      </c>
      <c r="S231" s="223">
        <f>P233*1.15</f>
        <v/>
      </c>
      <c r="T231" s="223">
        <f>IF(O233&lt;P233*0.9056*0.85,P233*0.9056*0.85,IF(O233&gt;P233*1.15,P233*1.15,O233))</f>
        <v/>
      </c>
      <c r="U231" s="223" t="n">
        <v>4211.27</v>
      </c>
      <c r="V231" s="223" t="n">
        <v>0</v>
      </c>
      <c r="W231" s="223">
        <f>U233+T233*L233</f>
        <v/>
      </c>
      <c r="X231" s="223">
        <f>V233-U233</f>
        <v/>
      </c>
      <c r="Y231" s="223">
        <f>W233-U233</f>
        <v/>
      </c>
      <c r="Z231" s="223">
        <f>W233-V233</f>
        <v/>
      </c>
      <c r="AA231" s="222" t="n"/>
      <c r="AB231" s="222" t="n"/>
      <c r="AC231" s="222" t="n"/>
      <c r="AD231" s="222" t="n"/>
      <c r="AE231" s="222" t="n"/>
      <c r="AF231" s="222" t="n"/>
      <c r="AG231" s="222" t="n"/>
      <c r="AH231" s="222" t="n"/>
      <c r="AI231" s="222" t="n"/>
      <c r="AJ231" s="222" t="n"/>
    </row>
    <row r="232" ht="44" customHeight="1" s="166">
      <c r="A232" s="222" t="n"/>
      <c r="B232" s="222" t="inlineStr">
        <is>
          <t>综合楼</t>
        </is>
      </c>
      <c r="C232" s="222" t="inlineStr">
        <is>
          <t>011702014005</t>
        </is>
      </c>
      <c r="D232" s="222" t="inlineStr">
        <is>
          <t>有梁板</t>
        </is>
      </c>
      <c r="E232" s="222" t="inlineStr">
        <is>
          <t>1.有梁板模板支模高度14.6m内</t>
        </is>
      </c>
      <c r="F232" s="222" t="inlineStr">
        <is>
          <t>m2</t>
        </is>
      </c>
      <c r="G232" s="223" t="n">
        <v>95.67</v>
      </c>
      <c r="H232" s="223" t="n">
        <v>0</v>
      </c>
      <c r="I232" s="223" t="n">
        <v>0</v>
      </c>
      <c r="J232" s="223" t="n"/>
      <c r="K232" s="223">
        <f>H234-G234</f>
        <v/>
      </c>
      <c r="L232" s="223">
        <f>I234-G234</f>
        <v/>
      </c>
      <c r="M232" s="223">
        <f>I234-H234</f>
        <v/>
      </c>
      <c r="N232" s="224">
        <f>K234/G234</f>
        <v/>
      </c>
      <c r="O232" s="222" t="n">
        <v>192.07</v>
      </c>
      <c r="P232" s="222" t="n">
        <v>179.5</v>
      </c>
      <c r="Q232" s="224">
        <f>(O234-P234)/P234</f>
        <v/>
      </c>
      <c r="R232" s="223">
        <f>P234*0.9056*0.85</f>
        <v/>
      </c>
      <c r="S232" s="223">
        <f>P234*1.15</f>
        <v/>
      </c>
      <c r="T232" s="223">
        <f>IF(O234&lt;P234*0.9056*0.85,P234*0.9056*0.85,IF(O234&gt;P234*1.15,P234*1.15,O234))</f>
        <v/>
      </c>
      <c r="U232" s="223" t="n">
        <v>18375.34</v>
      </c>
      <c r="V232" s="223" t="n">
        <v>0</v>
      </c>
      <c r="W232" s="223">
        <f>U234+T234*L234</f>
        <v/>
      </c>
      <c r="X232" s="223">
        <f>V234-U234</f>
        <v/>
      </c>
      <c r="Y232" s="223">
        <f>W234-U234</f>
        <v/>
      </c>
      <c r="Z232" s="223">
        <f>W234-V234</f>
        <v/>
      </c>
      <c r="AA232" s="222" t="n"/>
      <c r="AB232" s="222" t="n"/>
      <c r="AC232" s="222" t="n"/>
      <c r="AD232" s="222" t="n"/>
      <c r="AE232" s="222" t="n"/>
      <c r="AF232" s="222" t="n"/>
      <c r="AG232" s="222" t="n"/>
      <c r="AH232" s="222" t="n"/>
      <c r="AI232" s="222" t="n"/>
      <c r="AJ232" s="222" t="n"/>
    </row>
    <row r="233" ht="44" customHeight="1" s="166">
      <c r="A233" s="222" t="n"/>
      <c r="B233" s="222" t="inlineStr">
        <is>
          <t>综合楼</t>
        </is>
      </c>
      <c r="C233" s="222" t="inlineStr">
        <is>
          <t>011702014010</t>
        </is>
      </c>
      <c r="D233" s="222" t="inlineStr">
        <is>
          <t>有梁板（斜板）</t>
        </is>
      </c>
      <c r="E233" s="222" t="inlineStr">
        <is>
          <t>1.有梁板模板支模高度7.6m内</t>
        </is>
      </c>
      <c r="F233" s="222" t="inlineStr">
        <is>
          <t>m2</t>
        </is>
      </c>
      <c r="G233" s="223" t="n">
        <v>137.73</v>
      </c>
      <c r="H233" s="223" t="n">
        <v>207.7</v>
      </c>
      <c r="I233" s="223" t="n">
        <v>0</v>
      </c>
      <c r="J233" s="223" t="n"/>
      <c r="K233" s="223">
        <f>H235-G235</f>
        <v/>
      </c>
      <c r="L233" s="223">
        <f>I235-G235</f>
        <v/>
      </c>
      <c r="M233" s="223">
        <f>I235-H235</f>
        <v/>
      </c>
      <c r="N233" s="224">
        <f>K235/G235</f>
        <v/>
      </c>
      <c r="O233" s="222" t="n">
        <v>101.92</v>
      </c>
      <c r="P233" s="222" t="n">
        <v>111.72</v>
      </c>
      <c r="Q233" s="224">
        <f>(O235-P235)/P235</f>
        <v/>
      </c>
      <c r="R233" s="223">
        <f>P235*0.9056*0.85</f>
        <v/>
      </c>
      <c r="S233" s="223">
        <f>P235*1.15</f>
        <v/>
      </c>
      <c r="T233" s="223">
        <f>IF(O235&lt;P235*0.9056*0.85,P235*0.9056*0.85,IF(O235&gt;P235*1.15,P235*1.15,O235))</f>
        <v/>
      </c>
      <c r="U233" s="223" t="n">
        <v>14037.38</v>
      </c>
      <c r="V233" s="223" t="n">
        <v>21168.65</v>
      </c>
      <c r="W233" s="223">
        <f>U235+T235*L235</f>
        <v/>
      </c>
      <c r="X233" s="223">
        <f>V235-U235</f>
        <v/>
      </c>
      <c r="Y233" s="223">
        <f>W235-U235</f>
        <v/>
      </c>
      <c r="Z233" s="223">
        <f>W235-V235</f>
        <v/>
      </c>
      <c r="AA233" s="222" t="n"/>
      <c r="AB233" s="222" t="n"/>
      <c r="AC233" s="222" t="n"/>
      <c r="AD233" s="222" t="n"/>
      <c r="AE233" s="222" t="n"/>
      <c r="AF233" s="222" t="n"/>
      <c r="AG233" s="222" t="n"/>
      <c r="AH233" s="222" t="n"/>
      <c r="AI233" s="222" t="n"/>
      <c r="AJ233" s="222" t="n"/>
    </row>
    <row r="234" ht="44" customHeight="1" s="166">
      <c r="A234" s="222" t="n"/>
      <c r="B234" s="222" t="inlineStr">
        <is>
          <t>综合楼</t>
        </is>
      </c>
      <c r="C234" s="222" t="inlineStr">
        <is>
          <t>011702006009</t>
        </is>
      </c>
      <c r="D234" s="222" t="inlineStr">
        <is>
          <t>矩形梁（斜梁）</t>
        </is>
      </c>
      <c r="E234" s="222" t="inlineStr">
        <is>
          <t>1.单梁、连续梁模板(梁宽cm)25以内支模高度4.6m内</t>
        </is>
      </c>
      <c r="F234" s="222" t="inlineStr">
        <is>
          <t>m2</t>
        </is>
      </c>
      <c r="G234" s="223" t="n">
        <v>136.19</v>
      </c>
      <c r="H234" s="223" t="n">
        <v>82.72</v>
      </c>
      <c r="I234" s="223">
        <f>56.79</f>
        <v/>
      </c>
      <c r="J234" s="223" t="n"/>
      <c r="K234" s="223">
        <f>H236-G236</f>
        <v/>
      </c>
      <c r="L234" s="223">
        <f>I236-G236</f>
        <v/>
      </c>
      <c r="M234" s="223">
        <f>I236-H236</f>
        <v/>
      </c>
      <c r="N234" s="224">
        <f>K236/G236</f>
        <v/>
      </c>
      <c r="O234" s="222" t="n">
        <v>77.06999999999999</v>
      </c>
      <c r="P234" s="222" t="n">
        <v>84.98999999999999</v>
      </c>
      <c r="Q234" s="224">
        <f>(O236-P236)/P236</f>
        <v/>
      </c>
      <c r="R234" s="223">
        <f>P236*0.9056*0.85</f>
        <v/>
      </c>
      <c r="S234" s="223">
        <f>P236*1.15</f>
        <v/>
      </c>
      <c r="T234" s="223">
        <f>IF(O236&lt;P236*0.9056*0.85,P236*0.9056*0.85,IF(O236&gt;P236*1.15,P236*1.15,O236))</f>
        <v/>
      </c>
      <c r="U234" s="223" t="n">
        <v>10495.97</v>
      </c>
      <c r="V234" s="223" t="n">
        <v>6374.91</v>
      </c>
      <c r="W234" s="223">
        <f>U236+T236*L236</f>
        <v/>
      </c>
      <c r="X234" s="223">
        <f>V236-U236</f>
        <v/>
      </c>
      <c r="Y234" s="223">
        <f>W236-U236</f>
        <v/>
      </c>
      <c r="Z234" s="223">
        <f>W236-V236</f>
        <v/>
      </c>
      <c r="AA234" s="222" t="n"/>
      <c r="AB234" s="222" t="n"/>
      <c r="AC234" s="222" t="n"/>
      <c r="AD234" s="222" t="n"/>
      <c r="AE234" s="222" t="n"/>
      <c r="AF234" s="222" t="n"/>
      <c r="AG234" s="222" t="n"/>
      <c r="AH234" s="222" t="n"/>
      <c r="AI234" s="222" t="n"/>
      <c r="AJ234" s="222" t="n"/>
    </row>
    <row r="235" ht="44" customHeight="1" s="166">
      <c r="A235" s="222" t="n"/>
      <c r="B235" s="222" t="inlineStr">
        <is>
          <t>综合楼</t>
        </is>
      </c>
      <c r="C235" s="222" t="inlineStr">
        <is>
          <t>011702006010</t>
        </is>
      </c>
      <c r="D235" s="222" t="inlineStr">
        <is>
          <t>矩形梁（斜梁）</t>
        </is>
      </c>
      <c r="E235" s="222" t="inlineStr">
        <is>
          <t>1.单梁、连续梁模板(梁宽cm)25以内支模高度5.6m内</t>
        </is>
      </c>
      <c r="F235" s="222" t="inlineStr">
        <is>
          <t>m2</t>
        </is>
      </c>
      <c r="G235" s="223" t="n">
        <v>1.59</v>
      </c>
      <c r="H235" s="223" t="n">
        <v>0</v>
      </c>
      <c r="I235" s="223" t="n">
        <v>0</v>
      </c>
      <c r="J235" s="223" t="n"/>
      <c r="K235" s="223">
        <f>H237-G237</f>
        <v/>
      </c>
      <c r="L235" s="223">
        <f>I237-G237</f>
        <v/>
      </c>
      <c r="M235" s="223">
        <f>I237-H237</f>
        <v/>
      </c>
      <c r="N235" s="224">
        <f>K237/G237</f>
        <v/>
      </c>
      <c r="O235" s="222" t="n">
        <v>85.41</v>
      </c>
      <c r="P235" s="222" t="n">
        <v>93.73999999999999</v>
      </c>
      <c r="Q235" s="224">
        <f>(O237-P237)/P237</f>
        <v/>
      </c>
      <c r="R235" s="223">
        <f>P237*0.9056*0.85</f>
        <v/>
      </c>
      <c r="S235" s="223">
        <f>P237*1.15</f>
        <v/>
      </c>
      <c r="T235" s="223">
        <f>IF(O237&lt;P237*0.9056*0.85,P237*0.9056*0.85,IF(O237&gt;P237*1.15,P237*1.15,O237))</f>
        <v/>
      </c>
      <c r="U235" s="223" t="n">
        <v>135.72</v>
      </c>
      <c r="V235" s="223" t="n">
        <v>0</v>
      </c>
      <c r="W235" s="223">
        <f>U237+T237*L237</f>
        <v/>
      </c>
      <c r="X235" s="223">
        <f>V237-U237</f>
        <v/>
      </c>
      <c r="Y235" s="223">
        <f>W237-U237</f>
        <v/>
      </c>
      <c r="Z235" s="223">
        <f>W237-V237</f>
        <v/>
      </c>
      <c r="AA235" s="222" t="n"/>
      <c r="AB235" s="222" t="n"/>
      <c r="AC235" s="222" t="n"/>
      <c r="AD235" s="222" t="n"/>
      <c r="AE235" s="222" t="n"/>
      <c r="AF235" s="222" t="n"/>
      <c r="AG235" s="222" t="n"/>
      <c r="AH235" s="222" t="n"/>
      <c r="AI235" s="222" t="n"/>
      <c r="AJ235" s="222" t="n"/>
    </row>
    <row r="236" ht="44" customHeight="1" s="166">
      <c r="A236" s="222" t="n"/>
      <c r="B236" s="222" t="inlineStr">
        <is>
          <t>综合楼</t>
        </is>
      </c>
      <c r="C236" s="222" t="inlineStr">
        <is>
          <t>011702006011</t>
        </is>
      </c>
      <c r="D236" s="222" t="inlineStr">
        <is>
          <t>矩形梁（斜梁）</t>
        </is>
      </c>
      <c r="E236" s="222" t="inlineStr">
        <is>
          <t>1.单梁、连续梁模板(梁宽cm)25以内支模高度6.6m内</t>
        </is>
      </c>
      <c r="F236" s="222" t="inlineStr">
        <is>
          <t>m2</t>
        </is>
      </c>
      <c r="G236" s="223" t="n">
        <v>38.08</v>
      </c>
      <c r="H236" s="223" t="n">
        <v>25.4</v>
      </c>
      <c r="I236" s="223" t="n">
        <v>24.19</v>
      </c>
      <c r="J236" s="223" t="n"/>
      <c r="K236" s="223">
        <f>H238-G238</f>
        <v/>
      </c>
      <c r="L236" s="223">
        <f>I238-G238</f>
        <v/>
      </c>
      <c r="M236" s="223">
        <f>I238-H238</f>
        <v/>
      </c>
      <c r="N236" s="224">
        <f>K238/G238</f>
        <v/>
      </c>
      <c r="O236" s="222" t="n">
        <v>93.75</v>
      </c>
      <c r="P236" s="222" t="n">
        <v>93.73999999999999</v>
      </c>
      <c r="Q236" s="224">
        <f>(O238-P238)/P238</f>
        <v/>
      </c>
      <c r="R236" s="223">
        <f>P238*0.9056*0.85</f>
        <v/>
      </c>
      <c r="S236" s="223">
        <f>P238*1.15</f>
        <v/>
      </c>
      <c r="T236" s="223">
        <f>IF(O238&lt;P238*0.9056*0.85,P238*0.9056*0.85,IF(O238&gt;P238*1.15,P238*1.15,O238))</f>
        <v/>
      </c>
      <c r="U236" s="223" t="n">
        <v>3569.61</v>
      </c>
      <c r="V236" s="223" t="n">
        <v>2381.64</v>
      </c>
      <c r="W236" s="223">
        <f>U238+T238*L238</f>
        <v/>
      </c>
      <c r="X236" s="223">
        <f>V238-U238</f>
        <v/>
      </c>
      <c r="Y236" s="223">
        <f>W238-U238</f>
        <v/>
      </c>
      <c r="Z236" s="223">
        <f>W238-V238</f>
        <v/>
      </c>
      <c r="AA236" s="222" t="n"/>
      <c r="AB236" s="222" t="n"/>
      <c r="AC236" s="222" t="n"/>
      <c r="AD236" s="222" t="n"/>
      <c r="AE236" s="222" t="n"/>
      <c r="AF236" s="222" t="n"/>
      <c r="AG236" s="222" t="n"/>
      <c r="AH236" s="222" t="n"/>
      <c r="AI236" s="222" t="n"/>
      <c r="AJ236" s="222" t="n"/>
    </row>
    <row r="237" ht="44" customHeight="1" s="166">
      <c r="A237" s="222" t="n"/>
      <c r="B237" s="222" t="inlineStr">
        <is>
          <t>综合楼</t>
        </is>
      </c>
      <c r="C237" s="222" t="inlineStr">
        <is>
          <t>011702006012</t>
        </is>
      </c>
      <c r="D237" s="222" t="inlineStr">
        <is>
          <t>矩形梁（斜梁）</t>
        </is>
      </c>
      <c r="E237" s="222" t="inlineStr">
        <is>
          <t>1.单梁、连续梁模板(梁宽cm)25以内支模高度7.6m内</t>
        </is>
      </c>
      <c r="F237" s="222" t="inlineStr">
        <is>
          <t>m2</t>
        </is>
      </c>
      <c r="G237" s="223" t="n">
        <v>4.76</v>
      </c>
      <c r="H237" s="223" t="n">
        <v>0</v>
      </c>
      <c r="I237" s="223" t="n">
        <v>0</v>
      </c>
      <c r="J237" s="223" t="n"/>
      <c r="K237" s="223">
        <f>H239-G239</f>
        <v/>
      </c>
      <c r="L237" s="223">
        <f>I239-G239</f>
        <v/>
      </c>
      <c r="M237" s="223">
        <f>I239-H239</f>
        <v/>
      </c>
      <c r="N237" s="224">
        <f>K239/G239</f>
        <v/>
      </c>
      <c r="O237" s="222" t="n">
        <v>102.09</v>
      </c>
      <c r="P237" s="222" t="n">
        <v>111.25</v>
      </c>
      <c r="Q237" s="224">
        <f>(O239-P239)/P239</f>
        <v/>
      </c>
      <c r="R237" s="223">
        <f>P239*0.9056*0.85</f>
        <v/>
      </c>
      <c r="S237" s="223">
        <f>P239*1.15</f>
        <v/>
      </c>
      <c r="T237" s="223">
        <f>IF(O239&lt;P239*0.9056*0.85,P239*0.9056*0.85,IF(O239&gt;P239*1.15,P239*1.15,O239))</f>
        <v/>
      </c>
      <c r="U237" s="223" t="n">
        <v>485.66</v>
      </c>
      <c r="V237" s="223" t="n">
        <v>0</v>
      </c>
      <c r="W237" s="223">
        <f>U239+T239*L239</f>
        <v/>
      </c>
      <c r="X237" s="223">
        <f>V239-U239</f>
        <v/>
      </c>
      <c r="Y237" s="223">
        <f>W239-U239</f>
        <v/>
      </c>
      <c r="Z237" s="223">
        <f>W239-V239</f>
        <v/>
      </c>
      <c r="AA237" s="222" t="n"/>
      <c r="AB237" s="222" t="n"/>
      <c r="AC237" s="222" t="n"/>
      <c r="AD237" s="222" t="n"/>
      <c r="AE237" s="222" t="n"/>
      <c r="AF237" s="222" t="n"/>
      <c r="AG237" s="222" t="n"/>
      <c r="AH237" s="222" t="n"/>
      <c r="AI237" s="222" t="n"/>
      <c r="AJ237" s="222" t="n"/>
    </row>
    <row r="238" ht="44" customHeight="1" s="166">
      <c r="A238" s="222" t="n"/>
      <c r="B238" s="222" t="inlineStr">
        <is>
          <t>综合楼</t>
        </is>
      </c>
      <c r="C238" s="222" t="inlineStr">
        <is>
          <t>011702006013</t>
        </is>
      </c>
      <c r="D238" s="222" t="inlineStr">
        <is>
          <t>矩形梁</t>
        </is>
      </c>
      <c r="E238" s="222" t="inlineStr">
        <is>
          <t>1.单梁、连续梁模板(梁宽cm)25以内支模高度3.6m内</t>
        </is>
      </c>
      <c r="F238" s="222" t="inlineStr">
        <is>
          <t>m2</t>
        </is>
      </c>
      <c r="G238" s="223" t="n">
        <v>3.64</v>
      </c>
      <c r="H238" s="223" t="n">
        <v>274.75</v>
      </c>
      <c r="I238" s="223">
        <f>159.64+17+89.87+21.99</f>
        <v/>
      </c>
      <c r="J238" s="223" t="n"/>
      <c r="K238" s="223">
        <f>H240-G240</f>
        <v/>
      </c>
      <c r="L238" s="223">
        <f>I240-G240</f>
        <v/>
      </c>
      <c r="M238" s="223">
        <f>I240-H240</f>
        <v/>
      </c>
      <c r="N238" s="224">
        <f>K240/G240</f>
        <v/>
      </c>
      <c r="O238" s="222" t="n">
        <v>61.79</v>
      </c>
      <c r="P238" s="222" t="n">
        <v>65.84</v>
      </c>
      <c r="Q238" s="224">
        <f>(O240-P240)/P240</f>
        <v/>
      </c>
      <c r="R238" s="223">
        <f>P240*0.9056*0.85</f>
        <v/>
      </c>
      <c r="S238" s="223">
        <f>P240*1.15</f>
        <v/>
      </c>
      <c r="T238" s="223">
        <f>IF(O240&lt;P240*0.9056*0.85,P240*0.9056*0.85,IF(O240&gt;P240*1.15,P240*1.15,O240))</f>
        <v/>
      </c>
      <c r="U238" s="223" t="n">
        <v>224.92</v>
      </c>
      <c r="V238" s="223" t="n">
        <v>16976.97</v>
      </c>
      <c r="W238" s="223">
        <f>U240+T240*L240</f>
        <v/>
      </c>
      <c r="X238" s="223">
        <f>V240-U240</f>
        <v/>
      </c>
      <c r="Y238" s="223">
        <f>W240-U240</f>
        <v/>
      </c>
      <c r="Z238" s="223">
        <f>W240-V240</f>
        <v/>
      </c>
      <c r="AA238" s="222" t="inlineStr">
        <is>
          <t>将清单序号214工程量归到此计算</t>
        </is>
      </c>
      <c r="AB238" s="222" t="n"/>
      <c r="AC238" s="222" t="n"/>
      <c r="AD238" s="222" t="n"/>
      <c r="AE238" s="222" t="n"/>
      <c r="AF238" s="222" t="n"/>
      <c r="AG238" s="222" t="n"/>
      <c r="AH238" s="222" t="n"/>
      <c r="AI238" s="222" t="n"/>
      <c r="AJ238" s="222" t="n"/>
    </row>
    <row r="239" ht="44" customHeight="1" s="166">
      <c r="A239" s="222" t="n"/>
      <c r="B239" s="222" t="inlineStr">
        <is>
          <t>综合楼</t>
        </is>
      </c>
      <c r="C239" s="222" t="inlineStr">
        <is>
          <t>011702006014</t>
        </is>
      </c>
      <c r="D239" s="222" t="inlineStr">
        <is>
          <t>矩形梁</t>
        </is>
      </c>
      <c r="E239" s="222" t="inlineStr">
        <is>
          <t>1.单梁、连续梁模板(梁宽cm)25以内支模高度4.6m内</t>
        </is>
      </c>
      <c r="F239" s="222" t="inlineStr">
        <is>
          <t>m2</t>
        </is>
      </c>
      <c r="G239" s="223" t="n">
        <v>1379.94</v>
      </c>
      <c r="H239" s="223" t="n">
        <v>1057.1</v>
      </c>
      <c r="I239" s="223">
        <f>1006.77</f>
        <v/>
      </c>
      <c r="J239" s="223" t="n"/>
      <c r="K239" s="223">
        <f>H241-G241</f>
        <v/>
      </c>
      <c r="L239" s="223">
        <f>I241-G241</f>
        <v/>
      </c>
      <c r="M239" s="223">
        <f>I241-H241</f>
        <v/>
      </c>
      <c r="N239" s="224">
        <f>K241/G241</f>
        <v/>
      </c>
      <c r="O239" s="222" t="n">
        <v>77.06999999999999</v>
      </c>
      <c r="P239" s="222" t="n">
        <v>73.20999999999999</v>
      </c>
      <c r="Q239" s="224">
        <f>(O241-P241)/P241</f>
        <v/>
      </c>
      <c r="R239" s="223">
        <f>P241*0.9056*0.85</f>
        <v/>
      </c>
      <c r="S239" s="223">
        <f>P241*1.15</f>
        <v/>
      </c>
      <c r="T239" s="223">
        <f>IF(O241&lt;P241*0.9056*0.85,P241*0.9056*0.85,IF(O241&gt;P241*1.15,P241*1.15,O241))</f>
        <v/>
      </c>
      <c r="U239" s="223" t="n">
        <v>106351.71</v>
      </c>
      <c r="V239" s="223" t="n">
        <v>81471.08</v>
      </c>
      <c r="W239" s="223">
        <f>U241+T241*L241</f>
        <v/>
      </c>
      <c r="X239" s="223">
        <f>V241-U241</f>
        <v/>
      </c>
      <c r="Y239" s="223">
        <f>W241-U241</f>
        <v/>
      </c>
      <c r="Z239" s="223">
        <f>W241-V241</f>
        <v/>
      </c>
      <c r="AA239" s="222" t="n"/>
      <c r="AB239" s="222" t="n"/>
      <c r="AC239" s="222" t="n"/>
      <c r="AD239" s="222" t="n"/>
      <c r="AE239" s="222" t="n"/>
      <c r="AF239" s="222" t="n"/>
      <c r="AG239" s="222" t="n"/>
      <c r="AH239" s="222" t="n"/>
      <c r="AI239" s="222" t="n"/>
      <c r="AJ239" s="222" t="n"/>
    </row>
    <row r="240" ht="44" customHeight="1" s="166">
      <c r="A240" s="222" t="n"/>
      <c r="B240" s="222" t="inlineStr">
        <is>
          <t>综合楼</t>
        </is>
      </c>
      <c r="C240" s="222" t="inlineStr">
        <is>
          <t>011702006015</t>
        </is>
      </c>
      <c r="D240" s="222" t="inlineStr">
        <is>
          <t>矩形梁</t>
        </is>
      </c>
      <c r="E240" s="222" t="inlineStr">
        <is>
          <t>1.单梁、连续梁模板(梁宽cm)25以内支模高度5.6m内</t>
        </is>
      </c>
      <c r="F240" s="222" t="inlineStr">
        <is>
          <t>m2</t>
        </is>
      </c>
      <c r="G240" s="223" t="n">
        <v>69.63</v>
      </c>
      <c r="H240" s="223" t="n">
        <v>1113.39</v>
      </c>
      <c r="I240" s="223">
        <f>734.08+326.3</f>
        <v/>
      </c>
      <c r="J240" s="223" t="n"/>
      <c r="K240" s="223">
        <f>H242-G242</f>
        <v/>
      </c>
      <c r="L240" s="223">
        <f>I242-G242</f>
        <v/>
      </c>
      <c r="M240" s="223">
        <f>I242-H242</f>
        <v/>
      </c>
      <c r="N240" s="224">
        <f>K242/G242</f>
        <v/>
      </c>
      <c r="O240" s="222" t="n">
        <v>85.41</v>
      </c>
      <c r="P240" s="222" t="n">
        <v>80.59</v>
      </c>
      <c r="Q240" s="224">
        <f>(O242-P242)/P242</f>
        <v/>
      </c>
      <c r="R240" s="223">
        <f>P242*0.9056*0.85</f>
        <v/>
      </c>
      <c r="S240" s="223">
        <f>P242*1.15</f>
        <v/>
      </c>
      <c r="T240" s="223">
        <f>IF(O242&lt;P242*0.9056*0.85,P242*0.9056*0.85,IF(O242&gt;P242*1.15,P242*1.15,O242))</f>
        <v/>
      </c>
      <c r="U240" s="223" t="n">
        <v>5947.1</v>
      </c>
      <c r="V240" s="223" t="n">
        <v>95094.97</v>
      </c>
      <c r="W240" s="223">
        <f>U242+T242*L242</f>
        <v/>
      </c>
      <c r="X240" s="223">
        <f>V242-U242</f>
        <v/>
      </c>
      <c r="Y240" s="223">
        <f>W242-U242</f>
        <v/>
      </c>
      <c r="Z240" s="223">
        <f>W242-V242</f>
        <v/>
      </c>
      <c r="AA240" s="222" t="n"/>
      <c r="AB240" s="222" t="n"/>
      <c r="AC240" s="222" t="n"/>
      <c r="AD240" s="222" t="n"/>
      <c r="AE240" s="222" t="n"/>
      <c r="AF240" s="222" t="n"/>
      <c r="AG240" s="222" t="n"/>
      <c r="AH240" s="222" t="n"/>
      <c r="AI240" s="222" t="n"/>
      <c r="AJ240" s="222" t="n"/>
    </row>
    <row r="241" ht="44" customHeight="1" s="166">
      <c r="A241" s="222" t="n"/>
      <c r="B241" s="222" t="inlineStr">
        <is>
          <t>综合楼</t>
        </is>
      </c>
      <c r="C241" s="222" t="inlineStr">
        <is>
          <t>011702006016</t>
        </is>
      </c>
      <c r="D241" s="222" t="inlineStr">
        <is>
          <t>矩形梁</t>
        </is>
      </c>
      <c r="E241" s="222" t="inlineStr">
        <is>
          <t>1.单梁、连续梁模板(梁宽cm)25以内支模高度9.4m内</t>
        </is>
      </c>
      <c r="F241" s="222" t="inlineStr">
        <is>
          <t>m2</t>
        </is>
      </c>
      <c r="G241" s="223" t="n">
        <v>7.49</v>
      </c>
      <c r="H241" s="223" t="n">
        <v>293.37</v>
      </c>
      <c r="I241" s="223" t="n">
        <v>279.4</v>
      </c>
      <c r="J241" s="223" t="n"/>
      <c r="K241" s="223">
        <f>H243-G243</f>
        <v/>
      </c>
      <c r="L241" s="223">
        <f>I243-G243</f>
        <v/>
      </c>
      <c r="M241" s="223">
        <f>I243-H243</f>
        <v/>
      </c>
      <c r="N241" s="224">
        <f>K243/G243</f>
        <v/>
      </c>
      <c r="O241" s="222" t="n">
        <v>142.8</v>
      </c>
      <c r="P241" s="222" t="n">
        <v>126.98</v>
      </c>
      <c r="Q241" s="224">
        <f>(O243-P243)/P243</f>
        <v/>
      </c>
      <c r="R241" s="223">
        <f>P243*0.9056*0.85</f>
        <v/>
      </c>
      <c r="S241" s="223">
        <f>P243*1.15</f>
        <v/>
      </c>
      <c r="T241" s="223">
        <f>IF(O243&lt;P243*0.9056*0.85,P243*0.9056*0.85,IF(O243&gt;P243*1.15,P243*1.15,O243))</f>
        <v/>
      </c>
      <c r="U241" s="223" t="n">
        <v>1069.57</v>
      </c>
      <c r="V241" s="223" t="n">
        <v>41893.24</v>
      </c>
      <c r="W241" s="223">
        <f>U243+T243*L243</f>
        <v/>
      </c>
      <c r="X241" s="223">
        <f>V243-U243</f>
        <v/>
      </c>
      <c r="Y241" s="223">
        <f>W243-U243</f>
        <v/>
      </c>
      <c r="Z241" s="223">
        <f>W243-V243</f>
        <v/>
      </c>
      <c r="AA241" s="222" t="n"/>
      <c r="AB241" s="222" t="n"/>
      <c r="AC241" s="222" t="n"/>
      <c r="AD241" s="222" t="n"/>
      <c r="AE241" s="222" t="n"/>
      <c r="AF241" s="222" t="n"/>
      <c r="AG241" s="222" t="n"/>
      <c r="AH241" s="222" t="n"/>
      <c r="AI241" s="222" t="n"/>
      <c r="AJ241" s="222" t="n"/>
    </row>
    <row r="242" ht="44" customHeight="1" s="166">
      <c r="A242" s="222" t="n"/>
      <c r="B242" s="222" t="inlineStr">
        <is>
          <t>综合楼</t>
        </is>
      </c>
      <c r="C242" s="222" t="inlineStr">
        <is>
          <t>011702006017</t>
        </is>
      </c>
      <c r="D242" s="222" t="inlineStr">
        <is>
          <t>矩形梁</t>
        </is>
      </c>
      <c r="E242" s="222" t="inlineStr">
        <is>
          <t>1.单梁、连续梁模板(梁宽cm)25以内支模高度12.4m内</t>
        </is>
      </c>
      <c r="F242" s="222" t="inlineStr">
        <is>
          <t>m2</t>
        </is>
      </c>
      <c r="G242" s="223" t="n">
        <v>83.04000000000001</v>
      </c>
      <c r="H242" s="223" t="n">
        <v>100.34</v>
      </c>
      <c r="I242" s="223" t="n">
        <v>95.56</v>
      </c>
      <c r="J242" s="223" t="n"/>
      <c r="K242" s="223">
        <f>H244-G244</f>
        <v/>
      </c>
      <c r="L242" s="223">
        <f>I244-G244</f>
        <v/>
      </c>
      <c r="M242" s="223">
        <f>I244-H244</f>
        <v/>
      </c>
      <c r="N242" s="224">
        <f>K244/G244</f>
        <v/>
      </c>
      <c r="O242" s="222" t="n">
        <v>171.41</v>
      </c>
      <c r="P242" s="222" t="n">
        <v>150.05</v>
      </c>
      <c r="Q242" s="224">
        <f>(O244-P244)/P244</f>
        <v/>
      </c>
      <c r="R242" s="223">
        <f>P244*0.9056*0.85</f>
        <v/>
      </c>
      <c r="S242" s="223">
        <f>P244*1.15</f>
        <v/>
      </c>
      <c r="T242" s="223">
        <f>IF(O244&lt;P244*0.9056*0.85,P244*0.9056*0.85,IF(O244&gt;P244*1.15,P244*1.15,O244))</f>
        <v/>
      </c>
      <c r="U242" s="223" t="n">
        <v>14233.89</v>
      </c>
      <c r="V242" s="223" t="n">
        <v>17198.94</v>
      </c>
      <c r="W242" s="223">
        <f>U244+T244*L244</f>
        <v/>
      </c>
      <c r="X242" s="223">
        <f>V244-U244</f>
        <v/>
      </c>
      <c r="Y242" s="223">
        <f>W244-U244</f>
        <v/>
      </c>
      <c r="Z242" s="223">
        <f>W244-V244</f>
        <v/>
      </c>
      <c r="AA242" s="222" t="n"/>
      <c r="AB242" s="222" t="n"/>
      <c r="AC242" s="222" t="n"/>
      <c r="AD242" s="222" t="n"/>
      <c r="AE242" s="222" t="n"/>
      <c r="AF242" s="222" t="n"/>
      <c r="AG242" s="222" t="n"/>
      <c r="AH242" s="222" t="n"/>
      <c r="AI242" s="222" t="n"/>
      <c r="AJ242" s="222" t="n"/>
    </row>
    <row r="243" ht="44" customHeight="1" s="166">
      <c r="A243" s="222" t="n"/>
      <c r="B243" s="222" t="inlineStr">
        <is>
          <t>综合楼</t>
        </is>
      </c>
      <c r="C243" s="222" t="inlineStr">
        <is>
          <t>011702006018</t>
        </is>
      </c>
      <c r="D243" s="222" t="inlineStr">
        <is>
          <t>矩形梁</t>
        </is>
      </c>
      <c r="E243" s="222" t="inlineStr">
        <is>
          <t>1.单梁、连续梁模板(梁宽cm)25以外支模高度3.6m内</t>
        </is>
      </c>
      <c r="F243" s="222" t="inlineStr">
        <is>
          <t>m2</t>
        </is>
      </c>
      <c r="G243" s="223" t="n">
        <v>38.11</v>
      </c>
      <c r="H243" s="223" t="n">
        <v>0</v>
      </c>
      <c r="I243" s="223" t="n">
        <v>0</v>
      </c>
      <c r="J243" s="223" t="n"/>
      <c r="K243" s="223">
        <f>H245-G245</f>
        <v/>
      </c>
      <c r="L243" s="223">
        <f>I245-G245</f>
        <v/>
      </c>
      <c r="M243" s="223">
        <f>I245-H245</f>
        <v/>
      </c>
      <c r="N243" s="224">
        <f>K245/G245</f>
        <v/>
      </c>
      <c r="O243" s="222" t="n">
        <v>67.90000000000001</v>
      </c>
      <c r="P243" s="222" t="n">
        <v>72.20999999999999</v>
      </c>
      <c r="Q243" s="224">
        <f>(O245-P245)/P245</f>
        <v/>
      </c>
      <c r="R243" s="223">
        <f>P245*0.9056*0.85</f>
        <v/>
      </c>
      <c r="S243" s="223">
        <f>P245*1.15</f>
        <v/>
      </c>
      <c r="T243" s="223">
        <f>IF(O245&lt;P245*0.9056*0.85,P245*0.9056*0.85,IF(O245&gt;P245*1.15,P245*1.15,O245))</f>
        <v/>
      </c>
      <c r="U243" s="223" t="n">
        <v>2587.72</v>
      </c>
      <c r="V243" s="223" t="n">
        <v>0</v>
      </c>
      <c r="W243" s="223" t="n">
        <v>0</v>
      </c>
      <c r="X243" s="223">
        <f>V245-U245</f>
        <v/>
      </c>
      <c r="Y243" s="223">
        <f>W245-U245</f>
        <v/>
      </c>
      <c r="Z243" s="223">
        <f>W245-V245</f>
        <v/>
      </c>
      <c r="AA243" s="222" t="n"/>
      <c r="AB243" s="222" t="n"/>
      <c r="AC243" s="222" t="n"/>
      <c r="AD243" s="222" t="n"/>
      <c r="AE243" s="222" t="n"/>
      <c r="AF243" s="222" t="n"/>
      <c r="AG243" s="222" t="n"/>
      <c r="AH243" s="222" t="n"/>
      <c r="AI243" s="222" t="n"/>
      <c r="AJ243" s="222" t="n"/>
    </row>
    <row r="244" ht="44" customHeight="1" s="166">
      <c r="A244" s="222" t="n"/>
      <c r="B244" s="222" t="inlineStr">
        <is>
          <t>综合楼</t>
        </is>
      </c>
      <c r="C244" s="222" t="inlineStr">
        <is>
          <t>011702006019</t>
        </is>
      </c>
      <c r="D244" s="222" t="inlineStr">
        <is>
          <t>矩形梁</t>
        </is>
      </c>
      <c r="E244" s="222" t="inlineStr">
        <is>
          <t>1.单梁、连续梁模板(梁宽cm)25以外支模高度4.6m内</t>
        </is>
      </c>
      <c r="F244" s="222" t="inlineStr">
        <is>
          <t>m2</t>
        </is>
      </c>
      <c r="G244" s="223" t="n">
        <v>1354.79</v>
      </c>
      <c r="H244" s="223" t="n">
        <v>622.0700000000001</v>
      </c>
      <c r="I244" s="223">
        <f>592.45</f>
        <v/>
      </c>
      <c r="J244" s="223" t="n"/>
      <c r="K244" s="223">
        <f>H246-G246</f>
        <v/>
      </c>
      <c r="L244" s="223">
        <f>I246-G246</f>
        <v/>
      </c>
      <c r="M244" s="223">
        <f>I246-H246</f>
        <v/>
      </c>
      <c r="N244" s="224">
        <f>K246/G246</f>
        <v/>
      </c>
      <c r="O244" s="222" t="n">
        <v>75.31999999999999</v>
      </c>
      <c r="P244" s="222" t="n">
        <v>79.58</v>
      </c>
      <c r="Q244" s="224">
        <f>(O246-P246)/P246</f>
        <v/>
      </c>
      <c r="R244" s="223">
        <f>P246*0.9056*0.85</f>
        <v/>
      </c>
      <c r="S244" s="223">
        <f>P246*1.15</f>
        <v/>
      </c>
      <c r="T244" s="223">
        <f>IF(O246&lt;P246*0.9056*0.85,P246*0.9056*0.85,IF(O246&gt;P246*1.15,P246*1.15,O246))</f>
        <v/>
      </c>
      <c r="U244" s="223" t="n">
        <v>102042.97</v>
      </c>
      <c r="V244" s="223" t="n">
        <v>46854.37</v>
      </c>
      <c r="W244" s="223">
        <f>U246+T246*L246</f>
        <v/>
      </c>
      <c r="X244" s="223">
        <f>V246-U246</f>
        <v/>
      </c>
      <c r="Y244" s="223">
        <f>W246-U246</f>
        <v/>
      </c>
      <c r="Z244" s="223">
        <f>W246-V246</f>
        <v/>
      </c>
      <c r="AA244" s="222" t="n"/>
      <c r="AB244" s="222" t="n"/>
      <c r="AC244" s="222" t="n"/>
      <c r="AD244" s="222" t="n"/>
      <c r="AE244" s="222" t="n"/>
      <c r="AF244" s="222" t="n"/>
      <c r="AG244" s="222" t="n"/>
      <c r="AH244" s="222" t="n"/>
      <c r="AI244" s="222" t="n"/>
      <c r="AJ244" s="222" t="n"/>
    </row>
    <row r="245" ht="44" customHeight="1" s="166">
      <c r="A245" s="222" t="n"/>
      <c r="B245" s="222" t="inlineStr">
        <is>
          <t>综合楼</t>
        </is>
      </c>
      <c r="C245" s="222" t="inlineStr">
        <is>
          <t>011702006020</t>
        </is>
      </c>
      <c r="D245" s="222" t="inlineStr">
        <is>
          <t>矩形梁</t>
        </is>
      </c>
      <c r="E245" s="222" t="inlineStr">
        <is>
          <t>1.单梁、连续梁模板(梁宽cm)25以外支模高度5.6m内</t>
        </is>
      </c>
      <c r="F245" s="222" t="inlineStr">
        <is>
          <t>m2</t>
        </is>
      </c>
      <c r="G245" s="223" t="n">
        <v>218.76</v>
      </c>
      <c r="H245" s="223" t="n">
        <v>788.4</v>
      </c>
      <c r="I245" s="223">
        <f>750.85</f>
        <v/>
      </c>
      <c r="J245" s="223" t="n"/>
      <c r="K245" s="223">
        <f>H247-G247</f>
        <v/>
      </c>
      <c r="L245" s="223">
        <f>I247-G247</f>
        <v/>
      </c>
      <c r="M245" s="223">
        <f>I247-H247</f>
        <v/>
      </c>
      <c r="N245" s="224">
        <f>K247/G247</f>
        <v/>
      </c>
      <c r="O245" s="222" t="n">
        <v>82.73999999999999</v>
      </c>
      <c r="P245" s="222" t="n">
        <v>86.95999999999999</v>
      </c>
      <c r="Q245" s="224">
        <f>(O247-P247)/P247</f>
        <v/>
      </c>
      <c r="R245" s="223">
        <f>P247*0.9056*0.85</f>
        <v/>
      </c>
      <c r="S245" s="223">
        <f>P247*1.15</f>
        <v/>
      </c>
      <c r="T245" s="223">
        <f>IF(O247&lt;P247*0.9056*0.85,P247*0.9056*0.85,IF(O247&gt;P247*1.15,P247*1.15,O247))</f>
        <v/>
      </c>
      <c r="U245" s="223" t="n">
        <v>18099.87</v>
      </c>
      <c r="V245" s="223" t="n">
        <v>65231.93</v>
      </c>
      <c r="W245" s="223">
        <f>U247+T247*L247</f>
        <v/>
      </c>
      <c r="X245" s="223">
        <f>V247-U247</f>
        <v/>
      </c>
      <c r="Y245" s="223">
        <f>W247-U247</f>
        <v/>
      </c>
      <c r="Z245" s="223">
        <f>W247-V247</f>
        <v/>
      </c>
      <c r="AA245" s="222" t="n"/>
      <c r="AB245" s="222" t="n"/>
      <c r="AC245" s="222" t="n"/>
      <c r="AD245" s="222" t="n"/>
      <c r="AE245" s="222" t="n"/>
      <c r="AF245" s="222" t="n"/>
      <c r="AG245" s="222" t="n"/>
      <c r="AH245" s="222" t="n"/>
      <c r="AI245" s="222" t="n"/>
      <c r="AJ245" s="222" t="n"/>
    </row>
    <row r="246" ht="44" customHeight="1" s="166">
      <c r="A246" s="222" t="n"/>
      <c r="B246" s="222" t="inlineStr">
        <is>
          <t>综合楼</t>
        </is>
      </c>
      <c r="C246" s="222" t="inlineStr">
        <is>
          <t>011702006021</t>
        </is>
      </c>
      <c r="D246" s="222" t="inlineStr">
        <is>
          <t>矩形梁</t>
        </is>
      </c>
      <c r="E246" s="222" t="inlineStr">
        <is>
          <t>1.单梁、连续梁模板(梁宽cm)25以外支模高度9.4m内</t>
        </is>
      </c>
      <c r="F246" s="222" t="inlineStr">
        <is>
          <t>m2</t>
        </is>
      </c>
      <c r="G246" s="223" t="n">
        <v>122.08</v>
      </c>
      <c r="H246" s="223" t="n">
        <v>0</v>
      </c>
      <c r="I246" s="223" t="n">
        <v>0</v>
      </c>
      <c r="J246" s="223" t="n"/>
      <c r="K246" s="223">
        <f>H248-G248</f>
        <v/>
      </c>
      <c r="L246" s="223">
        <f>I248-G248</f>
        <v/>
      </c>
      <c r="M246" s="223">
        <f>I248-H248</f>
        <v/>
      </c>
      <c r="N246" s="224">
        <f>K248/G248</f>
        <v/>
      </c>
      <c r="O246" s="222" t="n">
        <v>155.36</v>
      </c>
      <c r="P246" s="222" t="n">
        <v>141.13</v>
      </c>
      <c r="Q246" s="224">
        <f>(O248-P248)/P248</f>
        <v/>
      </c>
      <c r="R246" s="223">
        <f>P248*0.9056*0.85</f>
        <v/>
      </c>
      <c r="S246" s="223">
        <f>P248*1.15</f>
        <v/>
      </c>
      <c r="T246" s="223">
        <f>IF(O248&lt;P248*0.9056*0.85,P248*0.9056*0.85,IF(O248&gt;P248*1.15,P248*1.15,O248))</f>
        <v/>
      </c>
      <c r="U246" s="223" t="n">
        <v>18966.35</v>
      </c>
      <c r="V246" s="223" t="n">
        <v>0</v>
      </c>
      <c r="W246" s="223">
        <f>U248+T248*L248</f>
        <v/>
      </c>
      <c r="X246" s="223">
        <f>V248-U248</f>
        <v/>
      </c>
      <c r="Y246" s="223">
        <f>W248-U248</f>
        <v/>
      </c>
      <c r="Z246" s="223">
        <f>W248-V248</f>
        <v/>
      </c>
      <c r="AA246" s="222" t="n"/>
      <c r="AB246" s="222" t="n"/>
      <c r="AC246" s="222" t="n"/>
      <c r="AD246" s="222" t="n"/>
      <c r="AE246" s="222" t="n"/>
      <c r="AF246" s="222" t="n"/>
      <c r="AG246" s="222" t="n"/>
      <c r="AH246" s="222" t="n"/>
      <c r="AI246" s="222" t="n"/>
      <c r="AJ246" s="222" t="n"/>
    </row>
    <row r="247" ht="44" customHeight="1" s="166">
      <c r="A247" s="222" t="n"/>
      <c r="B247" s="222" t="inlineStr">
        <is>
          <t>综合楼</t>
        </is>
      </c>
      <c r="C247" s="222" t="inlineStr">
        <is>
          <t>011702006022</t>
        </is>
      </c>
      <c r="D247" s="222" t="inlineStr">
        <is>
          <t>矩形梁</t>
        </is>
      </c>
      <c r="E247" s="222" t="inlineStr">
        <is>
          <t>1.单梁、连续梁模板(梁宽cm)25以外支模高度10.4m内</t>
        </is>
      </c>
      <c r="F247" s="222" t="inlineStr">
        <is>
          <t>m2</t>
        </is>
      </c>
      <c r="G247" s="223" t="n">
        <v>94.98</v>
      </c>
      <c r="H247" s="223" t="n">
        <v>0</v>
      </c>
      <c r="I247" s="223" t="n">
        <v>0</v>
      </c>
      <c r="J247" s="223" t="n"/>
      <c r="K247" s="223">
        <f>H249-G249</f>
        <v/>
      </c>
      <c r="L247" s="223">
        <f>I249-G249</f>
        <v/>
      </c>
      <c r="M247" s="223">
        <f>I249-H249</f>
        <v/>
      </c>
      <c r="N247" s="224">
        <f>K249/G249</f>
        <v/>
      </c>
      <c r="O247" s="222" t="n">
        <v>164.9</v>
      </c>
      <c r="P247" s="222" t="n">
        <v>148.82</v>
      </c>
      <c r="Q247" s="224">
        <f>(O249-P249)/P249</f>
        <v/>
      </c>
      <c r="R247" s="223">
        <f>P249*0.9056*0.85</f>
        <v/>
      </c>
      <c r="S247" s="223">
        <f>P249*1.15</f>
        <v/>
      </c>
      <c r="T247" s="223">
        <f>IF(O249&lt;P249*0.9056*0.85,P249*0.9056*0.85,IF(O249&gt;P249*1.15,P249*1.15,O249))</f>
        <v/>
      </c>
      <c r="U247" s="223" t="n">
        <v>15662.2</v>
      </c>
      <c r="V247" s="223" t="n">
        <v>0</v>
      </c>
      <c r="W247" s="223">
        <f>U249+T249*L249</f>
        <v/>
      </c>
      <c r="X247" s="223">
        <f>V249-U249</f>
        <v/>
      </c>
      <c r="Y247" s="223">
        <f>W249-U249</f>
        <v/>
      </c>
      <c r="Z247" s="223">
        <f>W249-V249</f>
        <v/>
      </c>
      <c r="AA247" s="222" t="n"/>
      <c r="AB247" s="222" t="n"/>
      <c r="AC247" s="222" t="n"/>
      <c r="AD247" s="222" t="n"/>
      <c r="AE247" s="222" t="n"/>
      <c r="AF247" s="222" t="n"/>
      <c r="AG247" s="222" t="n"/>
      <c r="AH247" s="222" t="n"/>
      <c r="AI247" s="222" t="n"/>
      <c r="AJ247" s="222" t="n"/>
    </row>
    <row r="248" ht="44" customHeight="1" s="166">
      <c r="A248" s="222" t="n"/>
      <c r="B248" s="222" t="inlineStr">
        <is>
          <t>综合楼</t>
        </is>
      </c>
      <c r="C248" s="222" t="inlineStr">
        <is>
          <t>011702006023</t>
        </is>
      </c>
      <c r="D248" s="222" t="inlineStr">
        <is>
          <t>矩形梁</t>
        </is>
      </c>
      <c r="E248" s="222" t="inlineStr">
        <is>
          <t>1.单梁、连续梁模板(梁宽cm)25以外支模高度11.4m内</t>
        </is>
      </c>
      <c r="F248" s="222" t="inlineStr">
        <is>
          <t>m2</t>
        </is>
      </c>
      <c r="G248" s="223" t="n">
        <v>99.22</v>
      </c>
      <c r="H248" s="223" t="n">
        <v>0</v>
      </c>
      <c r="I248" s="223" t="n">
        <v>0</v>
      </c>
      <c r="J248" s="223" t="n"/>
      <c r="K248" s="223">
        <f>H250-G250</f>
        <v/>
      </c>
      <c r="L248" s="223">
        <f>I250-G250</f>
        <v/>
      </c>
      <c r="M248" s="223">
        <f>I250-H250</f>
        <v/>
      </c>
      <c r="N248" s="224">
        <f>K250/G250</f>
        <v/>
      </c>
      <c r="O248" s="222" t="n">
        <v>174.44</v>
      </c>
      <c r="P248" s="222" t="n">
        <v>156.51</v>
      </c>
      <c r="Q248" s="224">
        <f>(O250-P250)/P250</f>
        <v/>
      </c>
      <c r="R248" s="223">
        <f>P250*0.9056*0.85</f>
        <v/>
      </c>
      <c r="S248" s="223">
        <f>P250*1.15</f>
        <v/>
      </c>
      <c r="T248" s="223">
        <f>IF(O250&lt;P250*0.9056*0.85,P250*0.9056*0.85,IF(O250&gt;P250*1.15,P250*1.15,O250))</f>
        <v/>
      </c>
      <c r="U248" s="223" t="n">
        <v>17307.94</v>
      </c>
      <c r="V248" s="223" t="n">
        <v>0</v>
      </c>
      <c r="W248" s="223">
        <f>U250+T250*L250</f>
        <v/>
      </c>
      <c r="X248" s="223">
        <f>V250-U250</f>
        <v/>
      </c>
      <c r="Y248" s="223">
        <f>W250-U250</f>
        <v/>
      </c>
      <c r="Z248" s="223">
        <f>W250-V250</f>
        <v/>
      </c>
      <c r="AA248" s="222" t="n"/>
      <c r="AB248" s="222" t="n"/>
      <c r="AC248" s="222" t="n"/>
      <c r="AD248" s="222" t="n"/>
      <c r="AE248" s="222" t="n"/>
      <c r="AF248" s="222" t="n"/>
      <c r="AG248" s="222" t="n"/>
      <c r="AH248" s="222" t="n"/>
      <c r="AI248" s="222" t="n"/>
      <c r="AJ248" s="222" t="n"/>
    </row>
    <row r="249" ht="66.75" customHeight="1" s="166">
      <c r="A249" s="222" t="n"/>
      <c r="B249" s="222" t="inlineStr">
        <is>
          <t>综合楼</t>
        </is>
      </c>
      <c r="C249" s="222" t="inlineStr">
        <is>
          <t>011702030001</t>
        </is>
      </c>
      <c r="D249" s="222" t="inlineStr">
        <is>
          <t>后浇带（梁）</t>
        </is>
      </c>
      <c r="E249" s="222" t="inlineStr">
        <is>
          <t>1.单梁、连续梁模板支模高度3.6m以内
2.在洞内、地下室内、库内或暗室内进行施工（模板拆除）</t>
        </is>
      </c>
      <c r="F249" s="222" t="inlineStr">
        <is>
          <t>m2</t>
        </is>
      </c>
      <c r="G249" s="223" t="n">
        <v>0.64</v>
      </c>
      <c r="H249" s="223" t="n">
        <v>37.77</v>
      </c>
      <c r="I249" s="223">
        <f>0.29+34.04</f>
        <v/>
      </c>
      <c r="J249" s="223" t="n"/>
      <c r="K249" s="223">
        <f>H251-G251</f>
        <v/>
      </c>
      <c r="L249" s="223">
        <f>I251-G251</f>
        <v/>
      </c>
      <c r="M249" s="223">
        <f>I251-H251</f>
        <v/>
      </c>
      <c r="N249" s="224">
        <f>K251/G251</f>
        <v/>
      </c>
      <c r="O249" s="222" t="n">
        <v>61.79</v>
      </c>
      <c r="P249" s="222" t="n">
        <v>72.20999999999999</v>
      </c>
      <c r="Q249" s="224">
        <f>(O251-P251)/P251</f>
        <v/>
      </c>
      <c r="R249" s="223">
        <f>P251*0.9056*0.85</f>
        <v/>
      </c>
      <c r="S249" s="223">
        <f>P251*1.15</f>
        <v/>
      </c>
      <c r="T249" s="223">
        <f>IF(O251&lt;P251*0.9056*0.85,P251*0.9056*0.85,IF(O251&gt;P251*1.15,P251*1.15,O251))</f>
        <v/>
      </c>
      <c r="U249" s="223" t="n">
        <v>39.55</v>
      </c>
      <c r="V249" s="223" t="n">
        <v>2333.74</v>
      </c>
      <c r="W249" s="223">
        <f>U251+T251*L251</f>
        <v/>
      </c>
      <c r="X249" s="223">
        <f>V251-U251</f>
        <v/>
      </c>
      <c r="Y249" s="223">
        <f>W251-U251</f>
        <v/>
      </c>
      <c r="Z249" s="223">
        <f>W251-V251</f>
        <v/>
      </c>
      <c r="AA249" s="222" t="n"/>
      <c r="AB249" s="222" t="n"/>
      <c r="AC249" s="222" t="n"/>
      <c r="AD249" s="222" t="n"/>
      <c r="AE249" s="222" t="n"/>
      <c r="AF249" s="222" t="n"/>
      <c r="AG249" s="222" t="n"/>
      <c r="AH249" s="222" t="n"/>
      <c r="AI249" s="222" t="n"/>
      <c r="AJ249" s="222" t="n"/>
    </row>
    <row r="250" ht="66.75" customHeight="1" s="166">
      <c r="A250" s="222" t="n"/>
      <c r="B250" s="222" t="inlineStr">
        <is>
          <t>综合楼</t>
        </is>
      </c>
      <c r="C250" s="222" t="inlineStr">
        <is>
          <t>011702030002</t>
        </is>
      </c>
      <c r="D250" s="222" t="inlineStr">
        <is>
          <t>后浇带（板）</t>
        </is>
      </c>
      <c r="E250" s="222" t="inlineStr">
        <is>
          <t>1.有梁板模板支模高度3.6m以内
2.在洞内、地下室内、库内或暗室内进行施工（模板拆除）</t>
        </is>
      </c>
      <c r="F250" s="222" t="inlineStr">
        <is>
          <t>m2</t>
        </is>
      </c>
      <c r="G250" s="223" t="n">
        <v>49.6</v>
      </c>
      <c r="H250" s="223" t="n">
        <v>100.4</v>
      </c>
      <c r="I250" s="223">
        <f>46.02</f>
        <v/>
      </c>
      <c r="J250" s="223" t="n"/>
      <c r="K250" s="223">
        <f>H252-G252</f>
        <v/>
      </c>
      <c r="L250" s="223">
        <f>I252-G252</f>
        <v/>
      </c>
      <c r="M250" s="223">
        <f>I252-H252</f>
        <v/>
      </c>
      <c r="N250" s="224">
        <f>K252/G252</f>
        <v/>
      </c>
      <c r="O250" s="222" t="n">
        <v>59.25</v>
      </c>
      <c r="P250" s="222" t="n">
        <v>63.21</v>
      </c>
      <c r="Q250" s="224">
        <f>(O252-P252)/P252</f>
        <v/>
      </c>
      <c r="R250" s="223">
        <f>P252*0.9056*0.85</f>
        <v/>
      </c>
      <c r="S250" s="223">
        <f>P252*1.15</f>
        <v/>
      </c>
      <c r="T250" s="223">
        <f>IF(O252&lt;P252*0.9056*0.85,P252*0.9056*0.85,IF(O252&gt;P252*1.15,P252*1.15,O252))</f>
        <v/>
      </c>
      <c r="U250" s="223" t="n">
        <v>2938.8</v>
      </c>
      <c r="V250" s="223" t="n">
        <v>5948.57</v>
      </c>
      <c r="W250" s="223">
        <f>U252+T252*L252</f>
        <v/>
      </c>
      <c r="X250" s="223">
        <f>V252-U252</f>
        <v/>
      </c>
      <c r="Y250" s="223">
        <f>W252-U252</f>
        <v/>
      </c>
      <c r="Z250" s="223">
        <f>W252-V252</f>
        <v/>
      </c>
      <c r="AA250" s="222" t="n"/>
      <c r="AB250" s="222" t="n"/>
      <c r="AC250" s="222" t="n"/>
      <c r="AD250" s="222" t="n"/>
      <c r="AE250" s="222" t="n"/>
      <c r="AF250" s="222" t="n"/>
      <c r="AG250" s="222" t="n"/>
      <c r="AH250" s="222" t="n"/>
      <c r="AI250" s="222" t="n"/>
      <c r="AJ250" s="222" t="n"/>
    </row>
    <row r="251" ht="66.75" customHeight="1" s="166">
      <c r="A251" s="222" t="n"/>
      <c r="B251" s="222" t="inlineStr">
        <is>
          <t>综合楼</t>
        </is>
      </c>
      <c r="C251" s="222" t="inlineStr">
        <is>
          <t>011702030003</t>
        </is>
      </c>
      <c r="D251" s="222" t="inlineStr">
        <is>
          <t>后浇带(墙)</t>
        </is>
      </c>
      <c r="E251" s="222" t="inlineStr">
        <is>
          <t>1.直形墙模板墙厚(cm以内)40支模高度3.6m以内
2.在洞内、地下室内、库内或暗室内进行施工（模板拆除）</t>
        </is>
      </c>
      <c r="F251" s="222" t="inlineStr">
        <is>
          <t>m2</t>
        </is>
      </c>
      <c r="G251" s="223" t="n">
        <v>29.62</v>
      </c>
      <c r="H251" s="223" t="n">
        <v>29.4</v>
      </c>
      <c r="I251" s="223" t="n">
        <v>0</v>
      </c>
      <c r="J251" s="223" t="n"/>
      <c r="K251" s="223">
        <f>H253-G253</f>
        <v/>
      </c>
      <c r="L251" s="223">
        <f>I253-G253</f>
        <v/>
      </c>
      <c r="M251" s="223">
        <f>I253-H253</f>
        <v/>
      </c>
      <c r="N251" s="224">
        <f>K253/G253</f>
        <v/>
      </c>
      <c r="O251" s="222" t="n">
        <v>43.27</v>
      </c>
      <c r="P251" s="222" t="n">
        <v>45.5</v>
      </c>
      <c r="Q251" s="224">
        <f>(O253-P253)/P253</f>
        <v/>
      </c>
      <c r="R251" s="223">
        <f>P253*0.9056*0.85</f>
        <v/>
      </c>
      <c r="S251" s="223">
        <f>P253*1.15</f>
        <v/>
      </c>
      <c r="T251" s="223">
        <f>IF(O253&lt;P253*0.9056*0.85,P253*0.9056*0.85,IF(O253&gt;P253*1.15,P253*1.15,O253))</f>
        <v/>
      </c>
      <c r="U251" s="223" t="n">
        <v>1281.48</v>
      </c>
      <c r="V251" s="223" t="n">
        <v>1272.14</v>
      </c>
      <c r="W251" s="223">
        <f>U253+T253*L253</f>
        <v/>
      </c>
      <c r="X251" s="223">
        <f>V253-U253</f>
        <v/>
      </c>
      <c r="Y251" s="223">
        <f>W253-U253</f>
        <v/>
      </c>
      <c r="Z251" s="223">
        <f>W253-V253</f>
        <v/>
      </c>
      <c r="AA251" s="222" t="n"/>
      <c r="AB251" s="222" t="n"/>
      <c r="AC251" s="222" t="n"/>
      <c r="AD251" s="222" t="n"/>
      <c r="AE251" s="222" t="n"/>
      <c r="AF251" s="222" t="n"/>
      <c r="AG251" s="222" t="n"/>
      <c r="AH251" s="222" t="n"/>
      <c r="AI251" s="222" t="n"/>
      <c r="AJ251" s="222" t="n"/>
    </row>
    <row r="252" ht="36" customHeight="1" s="166">
      <c r="A252" s="222" t="n"/>
      <c r="B252" s="222" t="inlineStr">
        <is>
          <t>综合楼</t>
        </is>
      </c>
      <c r="C252" s="222" t="inlineStr">
        <is>
          <t>011702023001</t>
        </is>
      </c>
      <c r="D252" s="222" t="inlineStr">
        <is>
          <t>雨篷、悬挑板、阳台板</t>
        </is>
      </c>
      <c r="E252" s="222" t="inlineStr">
        <is>
          <t>1.雨篷、悬挑板、阳台板</t>
        </is>
      </c>
      <c r="F252" s="222" t="inlineStr">
        <is>
          <t>m2</t>
        </is>
      </c>
      <c r="G252" s="223" t="n">
        <v>33.74</v>
      </c>
      <c r="H252" s="223" t="n">
        <v>125.57</v>
      </c>
      <c r="I252" s="223">
        <f>49.57+69.98</f>
        <v/>
      </c>
      <c r="J252" s="223" t="n"/>
      <c r="K252" s="223">
        <f>H254-G254</f>
        <v/>
      </c>
      <c r="L252" s="223">
        <f>I254-G254</f>
        <v/>
      </c>
      <c r="M252" s="223">
        <f>I254-H254</f>
        <v/>
      </c>
      <c r="N252" s="224">
        <f>K254/G254</f>
        <v/>
      </c>
      <c r="O252" s="222" t="n">
        <v>69.34999999999999</v>
      </c>
      <c r="P252" s="222" t="n">
        <v>74.27</v>
      </c>
      <c r="Q252" s="224">
        <f>(O254-P254)/P254</f>
        <v/>
      </c>
      <c r="R252" s="223">
        <f>P254*0.9056*0.85</f>
        <v/>
      </c>
      <c r="S252" s="223">
        <f>P254*1.15</f>
        <v/>
      </c>
      <c r="T252" s="223">
        <f>IF(O254&lt;P254*0.9056*0.85,P254*0.9056*0.85,IF(O254&gt;P254*1.15,P254*1.15,O254))</f>
        <v/>
      </c>
      <c r="U252" s="223" t="n">
        <v>2339.87</v>
      </c>
      <c r="V252" s="223" t="n">
        <v>8708.139999999999</v>
      </c>
      <c r="W252" s="223">
        <f>U254+T254*L254</f>
        <v/>
      </c>
      <c r="X252" s="223">
        <f>V254-U254</f>
        <v/>
      </c>
      <c r="Y252" s="223">
        <f>W254-U254</f>
        <v/>
      </c>
      <c r="Z252" s="223">
        <f>W254-V254</f>
        <v/>
      </c>
      <c r="AA252" s="222" t="n"/>
      <c r="AB252" s="222" t="n"/>
      <c r="AC252" s="222" t="n"/>
      <c r="AD252" s="222" t="n"/>
      <c r="AE252" s="222" t="n"/>
      <c r="AF252" s="222" t="n"/>
      <c r="AG252" s="222" t="n"/>
      <c r="AH252" s="222" t="n"/>
      <c r="AI252" s="222" t="n"/>
      <c r="AJ252" s="222" t="n"/>
    </row>
    <row r="253" ht="18" customHeight="1" s="166">
      <c r="A253" s="222" t="n"/>
      <c r="B253" s="222" t="inlineStr">
        <is>
          <t>综合楼</t>
        </is>
      </c>
      <c r="C253" s="222" t="inlineStr">
        <is>
          <t>011702021001</t>
        </is>
      </c>
      <c r="D253" s="222" t="inlineStr">
        <is>
          <t>栏板、反檐</t>
        </is>
      </c>
      <c r="E253" s="222" t="inlineStr">
        <is>
          <t>1.栏板、反檐模板</t>
        </is>
      </c>
      <c r="F253" s="222" t="inlineStr">
        <is>
          <t>m2</t>
        </is>
      </c>
      <c r="G253" s="223" t="n">
        <v>15.96</v>
      </c>
      <c r="H253" s="223" t="n">
        <v>933.23</v>
      </c>
      <c r="I253" s="223">
        <f>889.27+7.52</f>
        <v/>
      </c>
      <c r="J253" s="223" t="n"/>
      <c r="K253" s="223">
        <f>H255-G255</f>
        <v/>
      </c>
      <c r="L253" s="223">
        <f>I255-G255</f>
        <v/>
      </c>
      <c r="M253" s="223">
        <f>I255-H255</f>
        <v/>
      </c>
      <c r="N253" s="224">
        <f>K255/G255</f>
        <v/>
      </c>
      <c r="O253" s="222" t="n">
        <v>64.39</v>
      </c>
      <c r="P253" s="222" t="n">
        <v>69.66</v>
      </c>
      <c r="Q253" s="224">
        <f>(O255-P255)/P255</f>
        <v/>
      </c>
      <c r="R253" s="223">
        <f>P255*0.9056*0.85</f>
        <v/>
      </c>
      <c r="S253" s="223">
        <f>P255*1.15</f>
        <v/>
      </c>
      <c r="T253" s="223">
        <f>IF(O255&lt;P255*0.9056*0.85,P255*0.9056*0.85,IF(O255&gt;P255*1.15,P255*1.15,O255))</f>
        <v/>
      </c>
      <c r="U253" s="223" t="n">
        <v>1027.66</v>
      </c>
      <c r="V253" s="223" t="n">
        <v>60090.92</v>
      </c>
      <c r="W253" s="223">
        <f>U255+T255*L255</f>
        <v/>
      </c>
      <c r="X253" s="223">
        <f>V255-U255</f>
        <v/>
      </c>
      <c r="Y253" s="223">
        <f>W255-U255</f>
        <v/>
      </c>
      <c r="Z253" s="223">
        <f>W255-V255</f>
        <v/>
      </c>
      <c r="AA253" s="222" t="n"/>
      <c r="AB253" s="222" t="n"/>
      <c r="AC253" s="222" t="n"/>
      <c r="AD253" s="222" t="n"/>
      <c r="AE253" s="222" t="n"/>
      <c r="AF253" s="222" t="n"/>
      <c r="AG253" s="222" t="n"/>
      <c r="AH253" s="222" t="n"/>
      <c r="AI253" s="222" t="n"/>
      <c r="AJ253" s="222" t="n"/>
    </row>
    <row r="254" ht="28.5" customHeight="1" s="166">
      <c r="A254" s="222" t="n"/>
      <c r="B254" s="222" t="inlineStr">
        <is>
          <t>综合楼</t>
        </is>
      </c>
      <c r="C254" s="222" t="inlineStr">
        <is>
          <t>011702022001</t>
        </is>
      </c>
      <c r="D254" s="222" t="inlineStr">
        <is>
          <t>天沟、檐沟</t>
        </is>
      </c>
      <c r="E254" s="222" t="inlineStr">
        <is>
          <t>1.外墙造型、挑檐</t>
        </is>
      </c>
      <c r="F254" s="222" t="inlineStr">
        <is>
          <t>m2</t>
        </is>
      </c>
      <c r="G254" s="223" t="n">
        <v>1274.33</v>
      </c>
      <c r="H254" s="223" t="n">
        <v>736.6</v>
      </c>
      <c r="I254" s="223">
        <f>701.95</f>
        <v/>
      </c>
      <c r="J254" s="223" t="n"/>
      <c r="K254" s="223">
        <f>H256-G256</f>
        <v/>
      </c>
      <c r="L254" s="223">
        <f>I256-G256</f>
        <v/>
      </c>
      <c r="M254" s="223">
        <f>I256-H256</f>
        <v/>
      </c>
      <c r="N254" s="224">
        <f>K256/G256</f>
        <v/>
      </c>
      <c r="O254" s="222" t="n">
        <v>62.33</v>
      </c>
      <c r="P254" s="222" t="n">
        <v>66.94</v>
      </c>
      <c r="Q254" s="224">
        <f>(O256-P256)/P256</f>
        <v/>
      </c>
      <c r="R254" s="223">
        <f>P256*0.9056*0.85</f>
        <v/>
      </c>
      <c r="S254" s="223">
        <f>P256*1.15</f>
        <v/>
      </c>
      <c r="T254" s="223">
        <f>IF(O256&lt;P256*0.9056*0.85,P256*0.9056*0.85,IF(O256&gt;P256*1.15,P256*1.15,O256))</f>
        <v/>
      </c>
      <c r="U254" s="223" t="n">
        <v>79429.11</v>
      </c>
      <c r="V254" s="223" t="n">
        <v>45912.24</v>
      </c>
      <c r="W254" s="223">
        <f>U256+T256*L256</f>
        <v/>
      </c>
      <c r="X254" s="223">
        <f>V256-U256</f>
        <v/>
      </c>
      <c r="Y254" s="223">
        <f>W256-U256</f>
        <v/>
      </c>
      <c r="Z254" s="223">
        <f>W256-V256</f>
        <v/>
      </c>
      <c r="AA254" s="222" t="n"/>
      <c r="AB254" s="222" t="n"/>
      <c r="AC254" s="222" t="n"/>
      <c r="AD254" s="222" t="n"/>
      <c r="AE254" s="222" t="n"/>
      <c r="AF254" s="222" t="n"/>
      <c r="AG254" s="222" t="n"/>
      <c r="AH254" s="222" t="n"/>
      <c r="AI254" s="222" t="n"/>
      <c r="AJ254" s="222" t="n"/>
    </row>
    <row r="255" ht="28.5" customHeight="1" s="166">
      <c r="A255" s="222" t="n"/>
      <c r="B255" s="222" t="inlineStr">
        <is>
          <t>综合楼</t>
        </is>
      </c>
      <c r="C255" s="222" t="inlineStr">
        <is>
          <t>011702008001</t>
        </is>
      </c>
      <c r="D255" s="222" t="inlineStr">
        <is>
          <t>圈梁、压顶、过梁</t>
        </is>
      </c>
      <c r="E255" s="222" t="inlineStr">
        <is>
          <t>1.圈梁、压顶、过梁模板支模高度3.6m内</t>
        </is>
      </c>
      <c r="F255" s="222" t="inlineStr">
        <is>
          <t>m2</t>
        </is>
      </c>
      <c r="G255" s="223" t="n">
        <v>208.37</v>
      </c>
      <c r="H255" s="223" t="n">
        <v>448.94</v>
      </c>
      <c r="I255" s="223">
        <f>173.62+36.08+162.51+26.92+13.23+25.53</f>
        <v/>
      </c>
      <c r="J255" s="223" t="n"/>
      <c r="K255" s="223">
        <f>H257-G257</f>
        <v/>
      </c>
      <c r="L255" s="223">
        <f>I257-G257</f>
        <v/>
      </c>
      <c r="M255" s="223">
        <f>I257-H257</f>
        <v/>
      </c>
      <c r="N255" s="224">
        <f>K257/G257</f>
        <v/>
      </c>
      <c r="O255" s="222" t="n">
        <v>48.71</v>
      </c>
      <c r="P255" s="222" t="n">
        <v>69.5</v>
      </c>
      <c r="Q255" s="224">
        <f>(O257-P257)/P257</f>
        <v/>
      </c>
      <c r="R255" s="223">
        <f>P257*0.9056*0.85</f>
        <v/>
      </c>
      <c r="S255" s="223">
        <f>P257*1.15</f>
        <v/>
      </c>
      <c r="T255" s="223">
        <f>IF(O257&lt;P257*0.9056*0.85,P257*0.9056*0.85,IF(O257&gt;P257*1.15,P257*1.15,O257))</f>
        <v/>
      </c>
      <c r="U255" s="223" t="n">
        <v>10149.8</v>
      </c>
      <c r="V255" s="223" t="n">
        <v>23019.9</v>
      </c>
      <c r="W255" s="223">
        <f>U257+T257*L257</f>
        <v/>
      </c>
      <c r="X255" s="223">
        <f>V257-U257</f>
        <v/>
      </c>
      <c r="Y255" s="223">
        <f>W257-U257</f>
        <v/>
      </c>
      <c r="Z255" s="223">
        <f>W257-V257</f>
        <v/>
      </c>
      <c r="AA255" s="222" t="n"/>
      <c r="AB255" s="222" t="n"/>
      <c r="AC255" s="222" t="n"/>
      <c r="AD255" s="222" t="n"/>
      <c r="AE255" s="222" t="n"/>
      <c r="AF255" s="222" t="n"/>
      <c r="AG255" s="222" t="n"/>
      <c r="AH255" s="222" t="n"/>
      <c r="AI255" s="222" t="n"/>
      <c r="AJ255" s="222" t="n"/>
    </row>
    <row r="256" ht="28.5" customHeight="1" s="166">
      <c r="A256" s="222" t="n"/>
      <c r="B256" s="222" t="inlineStr">
        <is>
          <t>综合楼</t>
        </is>
      </c>
      <c r="C256" s="222" t="inlineStr">
        <is>
          <t>011702024002</t>
        </is>
      </c>
      <c r="D256" s="222" t="inlineStr">
        <is>
          <t>楼梯</t>
        </is>
      </c>
      <c r="E256" s="222" t="inlineStr">
        <is>
          <t>1.楼梯模板直形</t>
        </is>
      </c>
      <c r="F256" s="222" t="inlineStr">
        <is>
          <t>m2</t>
        </is>
      </c>
      <c r="G256" s="223" t="n">
        <v>376.43</v>
      </c>
      <c r="H256" s="223" t="n">
        <v>502.95</v>
      </c>
      <c r="I256" s="223">
        <f>487.65</f>
        <v/>
      </c>
      <c r="J256" s="223" t="n"/>
      <c r="K256" s="223">
        <f>H258-G258</f>
        <v/>
      </c>
      <c r="L256" s="223">
        <f>I258-G258</f>
        <v/>
      </c>
      <c r="M256" s="223">
        <f>I258-H258</f>
        <v/>
      </c>
      <c r="N256" s="224">
        <f>K258/G258</f>
        <v/>
      </c>
      <c r="O256" s="222" t="n">
        <v>174.23</v>
      </c>
      <c r="P256" s="222" t="n">
        <v>190.32</v>
      </c>
      <c r="Q256" s="224">
        <f>(O258-P258)/P258</f>
        <v/>
      </c>
      <c r="R256" s="223">
        <f>P258*0.9056*0.85</f>
        <v/>
      </c>
      <c r="S256" s="223">
        <f>P258*1.15</f>
        <v/>
      </c>
      <c r="T256" s="223">
        <f>IF(O258&lt;P258*0.9056*0.85,P258*0.9056*0.85,IF(O258&gt;P258*1.15,P258*1.15,O258))</f>
        <v/>
      </c>
      <c r="U256" s="223" t="n">
        <v>65585.39999999999</v>
      </c>
      <c r="V256" s="223" t="n">
        <v>87629.66</v>
      </c>
      <c r="W256" s="223">
        <f>U258+T258*L258</f>
        <v/>
      </c>
      <c r="X256" s="223">
        <f>V258-U258</f>
        <v/>
      </c>
      <c r="Y256" s="223">
        <f>W258-U258</f>
        <v/>
      </c>
      <c r="Z256" s="223">
        <f>W258-V258</f>
        <v/>
      </c>
      <c r="AA256" s="222" t="n"/>
      <c r="AB256" s="222" t="n"/>
      <c r="AC256" s="222" t="n"/>
      <c r="AD256" s="222" t="n"/>
      <c r="AE256" s="222" t="n"/>
      <c r="AF256" s="222" t="n"/>
      <c r="AG256" s="222" t="n"/>
      <c r="AH256" s="222" t="n"/>
      <c r="AI256" s="222" t="n"/>
      <c r="AJ256" s="222" t="n"/>
    </row>
    <row r="257" ht="48" customHeight="1" s="166">
      <c r="A257" s="222" t="n"/>
      <c r="B257" s="222" t="inlineStr">
        <is>
          <t>综合楼</t>
        </is>
      </c>
      <c r="C257" s="222" t="inlineStr">
        <is>
          <t>011703001001</t>
        </is>
      </c>
      <c r="D257" s="222" t="inlineStr">
        <is>
          <t>垂直运输</t>
        </is>
      </c>
      <c r="E257" s="222" t="inlineStr">
        <is>
          <t>1.建筑物30m以内的垂直运输现浇框架结构</t>
        </is>
      </c>
      <c r="F257" s="222" t="inlineStr">
        <is>
          <t>m2</t>
        </is>
      </c>
      <c r="G257" s="223" t="n">
        <v>4489.67</v>
      </c>
      <c r="H257" s="223" t="n">
        <v>5122.46</v>
      </c>
      <c r="I257" s="223">
        <f>4994.97</f>
        <v/>
      </c>
      <c r="J257" s="223" t="n"/>
      <c r="K257" s="223">
        <f>H259-G259</f>
        <v/>
      </c>
      <c r="L257" s="223">
        <f>I259-G259</f>
        <v/>
      </c>
      <c r="M257" s="223">
        <f>I259-H259</f>
        <v/>
      </c>
      <c r="N257" s="224">
        <f>K259/G259</f>
        <v/>
      </c>
      <c r="O257" s="222" t="n">
        <v>35.03</v>
      </c>
      <c r="P257" s="222" t="n">
        <v>37.72</v>
      </c>
      <c r="Q257" s="224">
        <f>(O259-P259)/P259</f>
        <v/>
      </c>
      <c r="R257" s="223">
        <f>P259*0.9056*0.85</f>
        <v/>
      </c>
      <c r="S257" s="223">
        <f>P259*1.15</f>
        <v/>
      </c>
      <c r="T257" s="223">
        <f>IF(O259&lt;P259*0.9056*0.85,P259*0.9056*0.85,IF(O259&gt;P259*1.15,P259*1.15,O259))</f>
        <v/>
      </c>
      <c r="U257" s="223" t="n">
        <v>157273</v>
      </c>
      <c r="V257" s="223" t="n">
        <v>179439.77</v>
      </c>
      <c r="W257" s="223">
        <f>U259+T259*L259</f>
        <v/>
      </c>
      <c r="X257" s="223">
        <f>V259-U259</f>
        <v/>
      </c>
      <c r="Y257" s="223">
        <f>W259-U259</f>
        <v/>
      </c>
      <c r="Z257" s="223">
        <f>W259-V259</f>
        <v/>
      </c>
      <c r="AA257" s="222" t="n"/>
      <c r="AB257" s="222" t="inlineStr">
        <is>
          <t>按工规证</t>
        </is>
      </c>
      <c r="AC257" s="222" t="n"/>
      <c r="AD257" s="222" t="n"/>
      <c r="AE257" s="222" t="n"/>
      <c r="AF257" s="222" t="n"/>
      <c r="AG257" s="222" t="n"/>
      <c r="AH257" s="222" t="n"/>
      <c r="AI257" s="222" t="n"/>
      <c r="AJ257" s="222" t="n"/>
    </row>
    <row r="258" ht="48" customHeight="1" s="166">
      <c r="A258" s="222" t="n"/>
      <c r="B258" s="222" t="inlineStr">
        <is>
          <t>综合楼</t>
        </is>
      </c>
      <c r="C258" s="222" t="inlineStr">
        <is>
          <t>011704001001</t>
        </is>
      </c>
      <c r="D258" s="222" t="inlineStr">
        <is>
          <t>超高施工增加</t>
        </is>
      </c>
      <c r="E258" s="222" t="inlineStr">
        <is>
          <t>1.建筑物超高增加人工、机械降效率高度30m以内</t>
        </is>
      </c>
      <c r="F258" s="222" t="inlineStr">
        <is>
          <t>项</t>
        </is>
      </c>
      <c r="G258" s="223" t="n">
        <v>1</v>
      </c>
      <c r="H258" s="223" t="n">
        <v>1</v>
      </c>
      <c r="I258" s="225" t="n">
        <v>1</v>
      </c>
      <c r="J258" s="225" t="n"/>
      <c r="K258" s="223">
        <f>H260-G260</f>
        <v/>
      </c>
      <c r="L258" s="223">
        <f>I260-G260</f>
        <v/>
      </c>
      <c r="M258" s="223">
        <f>I260-H260</f>
        <v/>
      </c>
      <c r="N258" s="224">
        <f>K260/G260</f>
        <v/>
      </c>
      <c r="O258" s="222" t="n">
        <v>40711.69</v>
      </c>
      <c r="P258" s="222" t="n">
        <v>57645.41</v>
      </c>
      <c r="Q258" s="224">
        <f>(O260-P260)/P260</f>
        <v/>
      </c>
      <c r="R258" s="223">
        <f>P260*0.9056*0.85</f>
        <v/>
      </c>
      <c r="S258" s="223">
        <f>P260*1.15</f>
        <v/>
      </c>
      <c r="T258" s="223">
        <f>IF(O260&lt;P260*0.9056*0.85,P260*0.9056*0.85,IF(O260&gt;P260*1.15,P260*1.15,O260))</f>
        <v/>
      </c>
      <c r="U258" s="223" t="n">
        <v>40711.69</v>
      </c>
      <c r="V258" s="223" t="n">
        <v>40711.69</v>
      </c>
      <c r="W258" s="223">
        <f>U260+T260*L260</f>
        <v/>
      </c>
      <c r="X258" s="223">
        <f>V260-U260</f>
        <v/>
      </c>
      <c r="Y258" s="223">
        <f>W260-U260</f>
        <v/>
      </c>
      <c r="Z258" s="223">
        <f>W260-V260</f>
        <v/>
      </c>
      <c r="AA258" s="222" t="n"/>
      <c r="AB258" s="222" t="n"/>
      <c r="AC258" s="222" t="n"/>
      <c r="AD258" s="222" t="n"/>
      <c r="AE258" s="222" t="n"/>
      <c r="AF258" s="222" t="n"/>
      <c r="AG258" s="222" t="n"/>
      <c r="AH258" s="222" t="n"/>
      <c r="AI258" s="222" t="n"/>
      <c r="AJ258" s="222" t="n"/>
    </row>
    <row r="259" ht="23" customHeight="1" s="166">
      <c r="A259" s="222" t="n"/>
      <c r="B259" s="222" t="inlineStr">
        <is>
          <t>综合楼</t>
        </is>
      </c>
      <c r="C259" s="222" t="n"/>
      <c r="D259" s="222" t="inlineStr">
        <is>
          <t>不含税造价</t>
        </is>
      </c>
      <c r="E259" s="222" t="n"/>
      <c r="F259" s="222" t="n"/>
      <c r="G259" s="222" t="n"/>
      <c r="H259" s="222" t="n"/>
      <c r="I259" s="223" t="n"/>
      <c r="J259" s="223" t="n"/>
      <c r="K259" s="222" t="n"/>
      <c r="L259" s="223" t="n"/>
      <c r="M259" s="223" t="n"/>
      <c r="N259" s="224" t="n"/>
      <c r="O259" s="222" t="n"/>
      <c r="P259" s="222" t="n"/>
      <c r="Q259" s="224" t="n"/>
      <c r="R259" s="223" t="n"/>
      <c r="S259" s="223" t="n"/>
      <c r="T259" s="223" t="n"/>
      <c r="U259" s="223" t="n">
        <v>16947572.28</v>
      </c>
      <c r="V259" s="223" t="n">
        <v>18369152.96</v>
      </c>
      <c r="W259" s="223">
        <f>W190+W191</f>
        <v/>
      </c>
      <c r="X259" s="223">
        <f>+V261-U261</f>
        <v/>
      </c>
      <c r="Y259" s="223">
        <f>W261-U261</f>
        <v/>
      </c>
      <c r="Z259" s="223">
        <f>W261-V261</f>
        <v/>
      </c>
      <c r="AA259" s="223" t="n"/>
      <c r="AB259" s="222" t="n"/>
      <c r="AC259" s="222" t="n"/>
      <c r="AD259" s="222" t="n"/>
      <c r="AE259" s="222" t="n"/>
      <c r="AF259" s="222" t="n"/>
      <c r="AG259" s="222" t="n"/>
      <c r="AH259" s="222" t="n"/>
      <c r="AI259" s="222" t="n"/>
      <c r="AJ259" s="222" t="n"/>
    </row>
    <row r="260" ht="23" customHeight="1" s="166">
      <c r="A260" s="222" t="n"/>
      <c r="B260" s="222" t="inlineStr">
        <is>
          <t>综合楼</t>
        </is>
      </c>
      <c r="C260" s="222" t="n"/>
      <c r="D260" s="222" t="inlineStr">
        <is>
          <t>税金（9%）</t>
        </is>
      </c>
      <c r="E260" s="222" t="n"/>
      <c r="F260" s="222" t="n"/>
      <c r="G260" s="222" t="n"/>
      <c r="H260" s="222" t="n"/>
      <c r="I260" s="223" t="n"/>
      <c r="J260" s="223" t="n"/>
      <c r="K260" s="222" t="n"/>
      <c r="L260" s="223" t="n"/>
      <c r="M260" s="223" t="n"/>
      <c r="N260" s="224" t="n"/>
      <c r="O260" s="222" t="n"/>
      <c r="P260" s="222" t="n"/>
      <c r="Q260" s="224" t="n"/>
      <c r="R260" s="223" t="n"/>
      <c r="S260" s="223" t="n"/>
      <c r="T260" s="223" t="n"/>
      <c r="U260" s="223" t="n">
        <v>1525281.51</v>
      </c>
      <c r="V260" s="223" t="n">
        <v>1653223.77</v>
      </c>
      <c r="W260" s="223">
        <f>W261*0.09</f>
        <v/>
      </c>
      <c r="X260" s="223">
        <f>+V262-U262</f>
        <v/>
      </c>
      <c r="Y260" s="223">
        <f>W262-U262</f>
        <v/>
      </c>
      <c r="Z260" s="223">
        <f>W262-V262</f>
        <v/>
      </c>
      <c r="AA260" s="223" t="n"/>
      <c r="AB260" s="222" t="n"/>
      <c r="AC260" s="222" t="n"/>
      <c r="AD260" s="222" t="n"/>
      <c r="AE260" s="222" t="n"/>
      <c r="AF260" s="222" t="n"/>
      <c r="AG260" s="222" t="n"/>
      <c r="AH260" s="222" t="n"/>
      <c r="AI260" s="222" t="n"/>
      <c r="AJ260" s="222" t="n"/>
    </row>
    <row r="261" ht="21" customHeight="1" s="166">
      <c r="A261" s="222" t="n"/>
      <c r="B261" s="222" t="inlineStr">
        <is>
          <t>综合楼</t>
        </is>
      </c>
      <c r="C261" s="222" t="n"/>
      <c r="D261" s="222" t="inlineStr">
        <is>
          <t>含税造价</t>
        </is>
      </c>
      <c r="E261" s="222" t="n"/>
      <c r="F261" s="222" t="n"/>
      <c r="G261" s="228" t="n"/>
      <c r="H261" s="228" t="n"/>
      <c r="I261" s="223" t="n"/>
      <c r="J261" s="223" t="n"/>
      <c r="K261" s="228" t="n"/>
      <c r="L261" s="223" t="n"/>
      <c r="M261" s="223" t="n"/>
      <c r="N261" s="224" t="n"/>
      <c r="O261" s="228" t="n"/>
      <c r="P261" s="228" t="n"/>
      <c r="Q261" s="224" t="n"/>
      <c r="R261" s="223" t="n"/>
      <c r="S261" s="223" t="n"/>
      <c r="T261" s="223" t="n"/>
      <c r="U261" s="223" t="n">
        <v>18472853.78</v>
      </c>
      <c r="V261" s="223" t="n">
        <v>20022376.73</v>
      </c>
      <c r="W261" s="223">
        <f>W261+W262</f>
        <v/>
      </c>
      <c r="X261" s="223">
        <f>+V263-U263</f>
        <v/>
      </c>
      <c r="Y261" s="223">
        <f>W263-U263</f>
        <v/>
      </c>
      <c r="Z261" s="223">
        <f>W263-V263</f>
        <v/>
      </c>
      <c r="AA261" s="223" t="n"/>
      <c r="AB261" s="222" t="n"/>
      <c r="AC261" s="222" t="n"/>
      <c r="AD261" s="222" t="n"/>
      <c r="AE261" s="222" t="n"/>
      <c r="AF261" s="222" t="n"/>
      <c r="AG261" s="222" t="n"/>
      <c r="AH261" s="222" t="n"/>
      <c r="AI261" s="222" t="n"/>
      <c r="AJ261" s="222" t="n"/>
    </row>
    <row r="262">
      <c r="A262" s="222" t="n"/>
      <c r="B262" s="222" t="inlineStr">
        <is>
          <t>综合楼</t>
        </is>
      </c>
      <c r="C262" s="222" t="n"/>
      <c r="D262" s="222" t="n"/>
      <c r="E262" s="222" t="n"/>
      <c r="F262" s="222" t="n"/>
      <c r="G262" s="222" t="n"/>
      <c r="H262" s="222" t="n"/>
      <c r="I262" s="222" t="n"/>
      <c r="J262" s="222" t="n"/>
      <c r="K262" s="222" t="n"/>
      <c r="L262" s="222" t="n"/>
      <c r="M262" s="222" t="n"/>
      <c r="N262" s="222" t="n"/>
      <c r="O262" s="222" t="n"/>
      <c r="P262" s="222" t="n"/>
      <c r="Q262" s="222" t="n"/>
      <c r="R262" s="222" t="n"/>
      <c r="S262" s="222" t="n"/>
      <c r="T262" s="222" t="n"/>
      <c r="U262" s="222" t="n"/>
      <c r="V262" s="222" t="n"/>
      <c r="W262" s="222" t="n"/>
      <c r="X262" s="222" t="n"/>
      <c r="Y262" s="222" t="n"/>
      <c r="Z262" s="222" t="n"/>
      <c r="AA262" s="222" t="n"/>
      <c r="AB262" s="222" t="n"/>
      <c r="AC262" s="222" t="n"/>
      <c r="AD262" s="222" t="n"/>
      <c r="AE262" s="222" t="n"/>
      <c r="AF262" s="222" t="n"/>
      <c r="AG262" s="222" t="n"/>
      <c r="AH262" s="222" t="n"/>
      <c r="AI262" s="222" t="n"/>
      <c r="AJ262" s="222" t="n"/>
    </row>
    <row r="263">
      <c r="A263" s="222" t="n"/>
      <c r="B263" s="222" t="inlineStr">
        <is>
          <t>综合楼</t>
        </is>
      </c>
      <c r="C263" s="222" t="n"/>
      <c r="D263" s="222" t="n"/>
      <c r="E263" s="222" t="n"/>
      <c r="F263" s="222" t="n"/>
      <c r="G263" s="222" t="n"/>
      <c r="H263" s="222" t="n"/>
      <c r="I263" s="223">
        <f>8676-3554.49</f>
        <v/>
      </c>
      <c r="J263" s="222" t="n"/>
      <c r="K263" s="222" t="n"/>
      <c r="L263" s="222" t="n"/>
      <c r="M263" s="222" t="n"/>
      <c r="N263" s="222" t="n"/>
      <c r="O263" s="222" t="n"/>
      <c r="P263" s="222" t="n"/>
      <c r="Q263" s="222" t="n"/>
      <c r="R263" s="222" t="n"/>
      <c r="S263" s="222" t="n"/>
      <c r="T263" s="222" t="n"/>
      <c r="U263" s="222" t="n"/>
      <c r="V263" s="222" t="n"/>
      <c r="W263" s="222" t="n"/>
      <c r="X263" s="222" t="n"/>
      <c r="Y263" s="222" t="n"/>
      <c r="Z263" s="222" t="n"/>
      <c r="AA263" s="222" t="n"/>
      <c r="AB263" s="222" t="n"/>
      <c r="AC263" s="222" t="n"/>
      <c r="AD263" s="222" t="n"/>
      <c r="AE263" s="222" t="n"/>
      <c r="AF263" s="222" t="n"/>
      <c r="AG263" s="222" t="n"/>
      <c r="AH263" s="222" t="n"/>
      <c r="AI263" s="222" t="n"/>
      <c r="AJ263" s="222" t="n"/>
    </row>
    <row r="264">
      <c r="A264" s="222" t="n"/>
      <c r="B264" s="222" t="inlineStr">
        <is>
          <t>综合楼</t>
        </is>
      </c>
      <c r="C264" s="222" t="n"/>
      <c r="D264" s="222" t="n"/>
      <c r="E264" s="222" t="n"/>
      <c r="F264" s="222" t="n"/>
      <c r="G264" s="222" t="n"/>
      <c r="H264" s="222" t="n"/>
      <c r="I264" s="222" t="n"/>
      <c r="J264" s="222" t="n"/>
      <c r="K264" s="222" t="n"/>
      <c r="L264" s="222" t="n"/>
      <c r="M264" s="222" t="n"/>
      <c r="N264" s="222" t="n"/>
      <c r="O264" s="222" t="n"/>
      <c r="P264" s="222" t="n"/>
      <c r="Q264" s="222" t="n"/>
      <c r="R264" s="222" t="n"/>
      <c r="S264" s="222" t="n"/>
      <c r="T264" s="222" t="n"/>
      <c r="U264" s="222" t="n"/>
      <c r="V264" s="222" t="n"/>
      <c r="W264" s="222" t="n"/>
      <c r="X264" s="222" t="n"/>
      <c r="Y264" s="222" t="n"/>
      <c r="Z264" s="222" t="n"/>
      <c r="AA264" s="222" t="n"/>
      <c r="AB264" s="222" t="n"/>
      <c r="AC264" s="222" t="n"/>
      <c r="AD264" s="222" t="n"/>
      <c r="AE264" s="222" t="n"/>
      <c r="AF264" s="222" t="n"/>
      <c r="AG264" s="222" t="n"/>
      <c r="AH264" s="222" t="n"/>
      <c r="AI264" s="222" t="n"/>
      <c r="AJ264" s="222" t="n"/>
    </row>
    <row r="265">
      <c r="A265" s="222" t="n"/>
      <c r="B265" s="222" t="inlineStr">
        <is>
          <t>综合楼</t>
        </is>
      </c>
      <c r="C265" s="222" t="n"/>
      <c r="D265" s="222" t="n"/>
      <c r="E265" s="222" t="n"/>
      <c r="F265" s="222" t="n"/>
      <c r="G265" s="222" t="n"/>
      <c r="H265" s="222" t="n"/>
      <c r="I265" s="222" t="n"/>
      <c r="J265" s="222" t="n"/>
      <c r="K265" s="222" t="n"/>
      <c r="L265" s="222" t="n"/>
      <c r="M265" s="222" t="n"/>
      <c r="N265" s="222" t="n"/>
      <c r="O265" s="222" t="n"/>
      <c r="P265" s="222" t="n"/>
      <c r="Q265" s="222" t="n"/>
      <c r="R265" s="222" t="n"/>
      <c r="S265" s="222" t="n"/>
      <c r="T265" s="222" t="n"/>
      <c r="U265" s="222" t="n"/>
      <c r="V265" s="222" t="n"/>
      <c r="W265" s="222" t="n"/>
      <c r="X265" s="222" t="n"/>
      <c r="Y265" s="222" t="n"/>
      <c r="Z265" s="222" t="n"/>
      <c r="AA265" s="222" t="n"/>
      <c r="AB265" s="222" t="n"/>
      <c r="AC265" s="222" t="n"/>
      <c r="AD265" s="222" t="n"/>
      <c r="AE265" s="222" t="n"/>
      <c r="AF265" s="222" t="n"/>
      <c r="AG265" s="222" t="n"/>
      <c r="AH265" s="222" t="n"/>
      <c r="AI265" s="222" t="n"/>
      <c r="AJ265" s="222" t="n"/>
    </row>
    <row r="266">
      <c r="A266" s="222" t="n"/>
      <c r="B266" s="222" t="inlineStr">
        <is>
          <t>综合楼</t>
        </is>
      </c>
      <c r="C266" s="222" t="n"/>
      <c r="D266" s="222" t="n"/>
      <c r="E266" s="222" t="n"/>
      <c r="F266" s="222" t="n"/>
      <c r="G266" s="222" t="n"/>
      <c r="H266" s="222" t="n"/>
      <c r="I266" s="222" t="n"/>
      <c r="J266" s="222" t="n"/>
      <c r="K266" s="222" t="n"/>
      <c r="L266" s="222" t="n"/>
      <c r="M266" s="222" t="n"/>
      <c r="N266" s="222" t="n"/>
      <c r="O266" s="222" t="n"/>
      <c r="P266" s="222" t="n"/>
      <c r="Q266" s="222" t="n"/>
      <c r="R266" s="222" t="n"/>
      <c r="S266" s="222" t="n"/>
      <c r="T266" s="222" t="n"/>
      <c r="U266" s="222" t="n"/>
      <c r="V266" s="222" t="n"/>
      <c r="W266" s="222" t="n"/>
      <c r="X266" s="222" t="n"/>
      <c r="Y266" s="222" t="n"/>
      <c r="Z266" s="224">
        <f>Z263/V263</f>
        <v/>
      </c>
      <c r="AA266" s="222" t="n"/>
      <c r="AB266" s="222" t="n"/>
      <c r="AC266" s="222" t="n"/>
      <c r="AD266" s="222" t="n"/>
      <c r="AE266" s="222" t="n"/>
      <c r="AF266" s="222" t="n"/>
      <c r="AG266" s="222" t="n"/>
      <c r="AH266" s="222" t="n"/>
      <c r="AI266" s="222" t="n"/>
      <c r="AJ266" s="222" t="n"/>
    </row>
    <row r="267" ht="28.5" customHeight="1" s="166">
      <c r="A267" s="222" t="n"/>
      <c r="B267" s="222" t="inlineStr">
        <is>
          <t>教学楼</t>
        </is>
      </c>
      <c r="C267" s="222" t="n"/>
      <c r="D267" s="222" t="inlineStr">
        <is>
          <t>土石方工程</t>
        </is>
      </c>
      <c r="E267" s="222" t="n"/>
      <c r="F267" s="222" t="n"/>
      <c r="G267" s="222" t="n"/>
      <c r="H267" s="222" t="n"/>
      <c r="I267" s="229" t="n"/>
      <c r="J267" s="222" t="n"/>
      <c r="K267" s="222" t="n"/>
      <c r="L267" s="222" t="n"/>
      <c r="M267" s="222" t="n"/>
      <c r="N267" s="222" t="n"/>
      <c r="O267" s="222" t="n"/>
      <c r="P267" s="222" t="n"/>
      <c r="Q267" s="222" t="n"/>
      <c r="R267" s="222" t="n"/>
      <c r="S267" s="222" t="n"/>
      <c r="T267" s="222" t="n">
        <v>45309.76</v>
      </c>
      <c r="U267" s="223">
        <f>+SUM(U268:U272)</f>
        <v/>
      </c>
      <c r="V267" s="230">
        <f>+SUM(V268:V272)</f>
        <v/>
      </c>
      <c r="W267" s="223" t="n"/>
      <c r="X267" s="230" t="n"/>
      <c r="Y267" s="231">
        <f>V267-U267</f>
        <v/>
      </c>
      <c r="Z267" s="222" t="n"/>
      <c r="AA267" s="222" t="n"/>
      <c r="AB267" s="222" t="n"/>
      <c r="AC267" s="222" t="n"/>
      <c r="AD267" s="222" t="n"/>
      <c r="AE267" s="222" t="n"/>
      <c r="AF267" s="222" t="n"/>
      <c r="AG267" s="222" t="n"/>
      <c r="AH267" s="222" t="n"/>
      <c r="AI267" s="222" t="n"/>
      <c r="AJ267" s="222" t="n"/>
    </row>
    <row r="268" ht="18" customHeight="1" s="166">
      <c r="A268" s="222" t="n"/>
      <c r="B268" s="222" t="inlineStr">
        <is>
          <t>教学楼</t>
        </is>
      </c>
      <c r="C268" s="222" t="inlineStr">
        <is>
          <t>010101001001</t>
        </is>
      </c>
      <c r="D268" s="222" t="inlineStr">
        <is>
          <t>平整场地</t>
        </is>
      </c>
      <c r="E268" s="222" t="inlineStr">
        <is>
          <t>1.平整场地</t>
        </is>
      </c>
      <c r="F268" s="222" t="inlineStr">
        <is>
          <t>m2</t>
        </is>
      </c>
      <c r="G268" s="222" t="n">
        <v>1860.25</v>
      </c>
      <c r="H268" s="223" t="n">
        <v>1860.25</v>
      </c>
      <c r="I268" s="230" t="n">
        <v>1860.25</v>
      </c>
      <c r="J268" s="223">
        <f>H268-G268</f>
        <v/>
      </c>
      <c r="K268" s="223">
        <f>I268-G268</f>
        <v/>
      </c>
      <c r="L268" s="223">
        <f>+I268-H268</f>
        <v/>
      </c>
      <c r="M268" s="224">
        <f>K268/G268</f>
        <v/>
      </c>
      <c r="N268" s="222" t="n">
        <v>2.32</v>
      </c>
      <c r="O268" s="222" t="n">
        <v>2.49</v>
      </c>
      <c r="P268" s="224">
        <f>(N268-O268)/O268</f>
        <v/>
      </c>
      <c r="Q268" s="223">
        <f>O268*0.9056*0.85</f>
        <v/>
      </c>
      <c r="R268" s="223">
        <f>O268*1.15</f>
        <v/>
      </c>
      <c r="S268" s="223">
        <f>IF(N268&lt;O268*0.9056*0.85,O268*0.9056*0.85,IF(N268&gt;O268*1.15,O268*1.15,N268))</f>
        <v/>
      </c>
      <c r="T268" s="222">
        <f>+G268*N268</f>
        <v/>
      </c>
      <c r="U268" s="223">
        <f>T268+S268*J268</f>
        <v/>
      </c>
      <c r="V268" s="230">
        <f>T268+S268*K268</f>
        <v/>
      </c>
      <c r="W268" s="223">
        <f>V268-T268</f>
        <v/>
      </c>
      <c r="X268" s="230">
        <f>+V268-U268</f>
        <v/>
      </c>
      <c r="Y268" s="231">
        <f>+V268-U268</f>
        <v/>
      </c>
      <c r="Z268" s="222" t="inlineStr">
        <is>
          <t>包干</t>
        </is>
      </c>
      <c r="AA268" s="222" t="n"/>
      <c r="AB268" s="222" t="n"/>
      <c r="AC268" s="222" t="n"/>
      <c r="AD268" s="222" t="n"/>
      <c r="AE268" s="222" t="n"/>
      <c r="AF268" s="222" t="n"/>
      <c r="AG268" s="222" t="n"/>
      <c r="AH268" s="222" t="n"/>
      <c r="AI268" s="222" t="n"/>
      <c r="AJ268" s="222" t="n"/>
    </row>
    <row r="269" ht="28.5" customHeight="1" s="166">
      <c r="A269" s="222" t="n"/>
      <c r="B269" s="222" t="inlineStr">
        <is>
          <t>教学楼</t>
        </is>
      </c>
      <c r="C269" s="222" t="inlineStr">
        <is>
          <t>010101003001</t>
        </is>
      </c>
      <c r="D269" s="222" t="inlineStr">
        <is>
          <t>挖沟槽土方</t>
        </is>
      </c>
      <c r="E269" s="222" t="inlineStr">
        <is>
          <t>1.土壤类别:综合考虑
2.挖土深度:综合考虑</t>
        </is>
      </c>
      <c r="F269" s="222" t="inlineStr">
        <is>
          <t>m3</t>
        </is>
      </c>
      <c r="G269" s="222" t="n">
        <v>371.95</v>
      </c>
      <c r="H269" s="223" t="n">
        <v>371.95</v>
      </c>
      <c r="I269" s="230" t="n">
        <v>371.95</v>
      </c>
      <c r="J269" s="223">
        <f>H269-G269</f>
        <v/>
      </c>
      <c r="K269" s="223">
        <f>I269-G269</f>
        <v/>
      </c>
      <c r="L269" s="223">
        <f>+I269-H269</f>
        <v/>
      </c>
      <c r="M269" s="224">
        <f>K269/G269</f>
        <v/>
      </c>
      <c r="N269" s="222" t="n">
        <v>9.859999999999999</v>
      </c>
      <c r="O269" s="222" t="n">
        <v>9.32</v>
      </c>
      <c r="P269" s="224">
        <f>(N269-O269)/O269</f>
        <v/>
      </c>
      <c r="Q269" s="223">
        <f>O269*0.9056*0.85</f>
        <v/>
      </c>
      <c r="R269" s="223">
        <f>O269*1.15</f>
        <v/>
      </c>
      <c r="S269" s="223">
        <f>IF(N269&lt;O269*0.9056*0.85,O269*0.9056*0.85,IF(N269&gt;O269*1.15,O269*1.15,N269))</f>
        <v/>
      </c>
      <c r="T269" s="222" t="n">
        <v>3667.43</v>
      </c>
      <c r="U269" s="223">
        <f>T269+S269*J269</f>
        <v/>
      </c>
      <c r="V269" s="230">
        <f>T269+S269*K269</f>
        <v/>
      </c>
      <c r="W269" s="223">
        <f>V269-T269</f>
        <v/>
      </c>
      <c r="X269" s="230">
        <f>+V269-U269</f>
        <v/>
      </c>
      <c r="Y269" s="231">
        <f>+V269-U269</f>
        <v/>
      </c>
      <c r="Z269" s="222" t="n"/>
      <c r="AA269" s="222" t="n"/>
      <c r="AB269" s="222" t="n"/>
      <c r="AC269" s="222" t="n"/>
      <c r="AD269" s="222" t="n"/>
      <c r="AE269" s="222" t="n"/>
      <c r="AF269" s="222" t="n"/>
      <c r="AG269" s="222" t="n"/>
      <c r="AH269" s="222" t="n"/>
      <c r="AI269" s="222" t="n"/>
      <c r="AJ269" s="222" t="n"/>
    </row>
    <row r="270" ht="28.5" customHeight="1" s="166">
      <c r="A270" s="222" t="n"/>
      <c r="B270" s="222" t="inlineStr">
        <is>
          <t>教学楼</t>
        </is>
      </c>
      <c r="C270" s="222" t="inlineStr">
        <is>
          <t>010101004002</t>
        </is>
      </c>
      <c r="D270" s="222" t="inlineStr">
        <is>
          <t>挖基坑土方</t>
        </is>
      </c>
      <c r="E270" s="222" t="inlineStr">
        <is>
          <t>1.土壤类别:综合考虑
2.挖土深度:综合考虑</t>
        </is>
      </c>
      <c r="F270" s="222" t="inlineStr">
        <is>
          <t>m3</t>
        </is>
      </c>
      <c r="G270" s="222" t="n">
        <v>872.09</v>
      </c>
      <c r="H270" s="223" t="n">
        <v>872.09</v>
      </c>
      <c r="I270" s="230" t="n">
        <v>872.09</v>
      </c>
      <c r="J270" s="223">
        <f>H270-G270</f>
        <v/>
      </c>
      <c r="K270" s="223">
        <f>I270-G270</f>
        <v/>
      </c>
      <c r="L270" s="223">
        <f>+I270-H270</f>
        <v/>
      </c>
      <c r="M270" s="224">
        <f>K270/G270</f>
        <v/>
      </c>
      <c r="N270" s="222" t="n">
        <v>8.25</v>
      </c>
      <c r="O270" s="222" t="n">
        <v>9.449999999999999</v>
      </c>
      <c r="P270" s="224">
        <f>(N270-O270)/O270</f>
        <v/>
      </c>
      <c r="Q270" s="223">
        <f>O270*0.9056*0.85</f>
        <v/>
      </c>
      <c r="R270" s="223">
        <f>O270*1.15</f>
        <v/>
      </c>
      <c r="S270" s="223">
        <f>IF(N270&lt;O270*0.9056*0.85,O270*0.9056*0.85,IF(N270&gt;O270*1.15,O270*1.15,N270))</f>
        <v/>
      </c>
      <c r="T270" s="222" t="n">
        <v>7194.74</v>
      </c>
      <c r="U270" s="223">
        <f>T270+S270*J270</f>
        <v/>
      </c>
      <c r="V270" s="230">
        <f>T270+S270*K270</f>
        <v/>
      </c>
      <c r="W270" s="223">
        <f>V270-T270</f>
        <v/>
      </c>
      <c r="X270" s="230">
        <f>+V270-U270</f>
        <v/>
      </c>
      <c r="Y270" s="231">
        <f>+V270-U270</f>
        <v/>
      </c>
      <c r="Z270" s="222" t="n"/>
      <c r="AA270" s="222" t="n"/>
      <c r="AB270" s="222" t="n"/>
      <c r="AC270" s="222" t="n"/>
      <c r="AD270" s="222" t="n"/>
      <c r="AE270" s="222" t="n"/>
      <c r="AF270" s="222" t="n"/>
      <c r="AG270" s="222" t="n"/>
      <c r="AH270" s="222" t="n"/>
      <c r="AI270" s="222" t="n"/>
      <c r="AJ270" s="222" t="n"/>
    </row>
    <row r="271" ht="41.25" customHeight="1" s="166">
      <c r="A271" s="222" t="n"/>
      <c r="B271" s="222" t="inlineStr">
        <is>
          <t>教学楼</t>
        </is>
      </c>
      <c r="C271" s="222" t="inlineStr">
        <is>
          <t>010103001001</t>
        </is>
      </c>
      <c r="D271" s="222" t="inlineStr">
        <is>
          <t>回填方</t>
        </is>
      </c>
      <c r="E271" s="222" t="inlineStr">
        <is>
          <t>1.填方材料品种:原土
2.密实度要求:按设计及规范要求</t>
        </is>
      </c>
      <c r="F271" s="222" t="inlineStr">
        <is>
          <t>m3</t>
        </is>
      </c>
      <c r="G271" s="222" t="n">
        <v>851.99</v>
      </c>
      <c r="H271" s="223" t="n">
        <v>851.99</v>
      </c>
      <c r="I271" s="230" t="n">
        <v>851.99</v>
      </c>
      <c r="J271" s="223">
        <f>H271-G271</f>
        <v/>
      </c>
      <c r="K271" s="223">
        <f>I271-G271</f>
        <v/>
      </c>
      <c r="L271" s="223">
        <f>+I271-H271</f>
        <v/>
      </c>
      <c r="M271" s="224">
        <f>K271/G271</f>
        <v/>
      </c>
      <c r="N271" s="222" t="n">
        <v>17.92</v>
      </c>
      <c r="O271" s="222" t="n">
        <v>19.89</v>
      </c>
      <c r="P271" s="224">
        <f>(N271-O271)/O271</f>
        <v/>
      </c>
      <c r="Q271" s="223">
        <f>O271*0.9056*0.85</f>
        <v/>
      </c>
      <c r="R271" s="223">
        <f>O271*1.15</f>
        <v/>
      </c>
      <c r="S271" s="223">
        <f>IF(N271&lt;O271*0.9056*0.85,O271*0.9056*0.85,IF(N271&gt;O271*1.15,O271*1.15,N271))</f>
        <v/>
      </c>
      <c r="T271" s="222" t="n">
        <v>15267.66</v>
      </c>
      <c r="U271" s="223">
        <f>T271+S271*J271</f>
        <v/>
      </c>
      <c r="V271" s="230">
        <f>T271+S271*K271</f>
        <v/>
      </c>
      <c r="W271" s="223">
        <f>V271-T271</f>
        <v/>
      </c>
      <c r="X271" s="230">
        <f>+V271-U271</f>
        <v/>
      </c>
      <c r="Y271" s="231">
        <f>+V271-U271</f>
        <v/>
      </c>
      <c r="Z271" s="222" t="n"/>
      <c r="AA271" s="222" t="n"/>
      <c r="AB271" s="222" t="n"/>
      <c r="AC271" s="222" t="n"/>
      <c r="AD271" s="222" t="n"/>
      <c r="AE271" s="222" t="n"/>
      <c r="AF271" s="222" t="n"/>
      <c r="AG271" s="222" t="n"/>
      <c r="AH271" s="222" t="n"/>
      <c r="AI271" s="222" t="n"/>
      <c r="AJ271" s="222" t="n"/>
    </row>
    <row r="272" ht="41.25" customHeight="1" s="166">
      <c r="A272" s="222" t="n"/>
      <c r="B272" s="222" t="inlineStr">
        <is>
          <t>教学楼</t>
        </is>
      </c>
      <c r="C272" s="222" t="inlineStr">
        <is>
          <t>010103002002</t>
        </is>
      </c>
      <c r="D272" s="222" t="inlineStr">
        <is>
          <t>余方弃置</t>
        </is>
      </c>
      <c r="E272" s="222" t="inlineStr">
        <is>
          <t>1.余方弃置
2.运距:智能渣土车运输运距综合考虑</t>
        </is>
      </c>
      <c r="F272" s="222" t="inlineStr">
        <is>
          <t>m3</t>
        </is>
      </c>
      <c r="G272" s="222" t="n">
        <v>264.2515</v>
      </c>
      <c r="H272" s="223" t="n">
        <v>264.25</v>
      </c>
      <c r="I272" s="230" t="n">
        <v>264.25</v>
      </c>
      <c r="J272" s="223">
        <f>H272-G272</f>
        <v/>
      </c>
      <c r="K272" s="223">
        <f>I272-G272</f>
        <v/>
      </c>
      <c r="L272" s="223">
        <f>+I272-H272</f>
        <v/>
      </c>
      <c r="M272" s="224">
        <f>K272/G272</f>
        <v/>
      </c>
      <c r="N272" s="222" t="n">
        <v>56.25</v>
      </c>
      <c r="O272" s="222" t="n">
        <v>59.2</v>
      </c>
      <c r="P272" s="224">
        <f>(N272-O272)/O272</f>
        <v/>
      </c>
      <c r="Q272" s="223">
        <f>O272*0.9056*0.85</f>
        <v/>
      </c>
      <c r="R272" s="223">
        <f>O272*1.15</f>
        <v/>
      </c>
      <c r="S272" s="223">
        <f>IF(N272&lt;O272*0.9056*0.85,O272*0.9056*0.85,IF(N272&gt;O272*1.15,O272*1.15,N272))</f>
        <v/>
      </c>
      <c r="T272" s="222" t="n">
        <v>14864.15</v>
      </c>
      <c r="U272" s="223">
        <f>T272+S272*J272</f>
        <v/>
      </c>
      <c r="V272" s="230">
        <f>T272+S272*K272</f>
        <v/>
      </c>
      <c r="W272" s="223">
        <f>V272-T272</f>
        <v/>
      </c>
      <c r="X272" s="230">
        <f>+V272-U272</f>
        <v/>
      </c>
      <c r="Y272" s="231">
        <f>+V272-U272</f>
        <v/>
      </c>
      <c r="Z272" s="222" t="n"/>
      <c r="AA272" s="222" t="n"/>
      <c r="AB272" s="222" t="n"/>
      <c r="AC272" s="222" t="n"/>
      <c r="AD272" s="222" t="n"/>
      <c r="AE272" s="222" t="n"/>
      <c r="AF272" s="222" t="n"/>
      <c r="AG272" s="222" t="n"/>
      <c r="AH272" s="222" t="n"/>
      <c r="AI272" s="222" t="n"/>
      <c r="AJ272" s="222" t="n"/>
    </row>
    <row r="273" ht="28.5" customHeight="1" s="166">
      <c r="A273" s="222" t="n"/>
      <c r="B273" s="222" t="inlineStr">
        <is>
          <t>教学楼</t>
        </is>
      </c>
      <c r="C273" s="222" t="n"/>
      <c r="D273" s="222" t="inlineStr">
        <is>
          <t>桩基工程</t>
        </is>
      </c>
      <c r="E273" s="222" t="n"/>
      <c r="F273" s="222" t="n"/>
      <c r="G273" s="222" t="n"/>
      <c r="H273" s="223" t="n"/>
      <c r="I273" s="229" t="n"/>
      <c r="J273" s="223" t="n"/>
      <c r="K273" s="223" t="n"/>
      <c r="L273" s="223" t="n"/>
      <c r="M273" s="224" t="n"/>
      <c r="N273" s="222" t="n"/>
      <c r="O273" s="222" t="n"/>
      <c r="P273" s="222" t="n"/>
      <c r="Q273" s="222" t="n"/>
      <c r="R273" s="222" t="n"/>
      <c r="S273" s="223" t="n"/>
      <c r="T273" s="223">
        <f>+SUM(T274:T279)</f>
        <v/>
      </c>
      <c r="U273" s="223">
        <f>+SUM(U274:U279)</f>
        <v/>
      </c>
      <c r="V273" s="230">
        <f>SUM(V274:V279)</f>
        <v/>
      </c>
      <c r="W273" s="223">
        <f>V273-T273</f>
        <v/>
      </c>
      <c r="X273" s="230">
        <f>+V273-U273</f>
        <v/>
      </c>
      <c r="Y273" s="231">
        <f>V273-U273</f>
        <v/>
      </c>
      <c r="Z273" s="222" t="n"/>
      <c r="AA273" s="222" t="n"/>
      <c r="AB273" s="222" t="n"/>
      <c r="AC273" s="222" t="n"/>
      <c r="AD273" s="222" t="n"/>
      <c r="AE273" s="222" t="n"/>
      <c r="AF273" s="222" t="n"/>
      <c r="AG273" s="222" t="n"/>
      <c r="AH273" s="222" t="n"/>
      <c r="AI273" s="222" t="n"/>
      <c r="AJ273" s="222" t="n"/>
    </row>
    <row r="274" ht="110" customHeight="1" s="166">
      <c r="A274" s="222" t="n"/>
      <c r="B274" s="222" t="inlineStr">
        <is>
          <t>教学楼</t>
        </is>
      </c>
      <c r="C274" s="222" t="inlineStr">
        <is>
          <t>010301002004</t>
        </is>
      </c>
      <c r="D274" s="222" t="inlineStr">
        <is>
          <t>预制钢筋混凝土管桩</t>
        </is>
      </c>
      <c r="E274" s="222" t="inlineStr">
        <is>
          <t>1.桩外径、壁厚:Φ400PHC80预应力管桩AB型壁厚95mm（综合考虑抗拔桩）
2.沉桩方法:静压
3.混凝土强度等级:C30C40
4.填充材料种类:微膨胀混凝土
5.接桩
6.预埋钢板</t>
        </is>
      </c>
      <c r="F274" s="222" t="inlineStr">
        <is>
          <t>m</t>
        </is>
      </c>
      <c r="G274" s="223" t="n">
        <v>4149.5</v>
      </c>
      <c r="H274" s="223" t="n">
        <v>4342.6</v>
      </c>
      <c r="I274" s="230" t="n">
        <v>4099.4</v>
      </c>
      <c r="J274" s="223">
        <f>H274-G274</f>
        <v/>
      </c>
      <c r="K274" s="223">
        <f>I274-G274</f>
        <v/>
      </c>
      <c r="L274" s="223">
        <f>+I274-H274</f>
        <v/>
      </c>
      <c r="M274" s="224">
        <f>J274/G274</f>
        <v/>
      </c>
      <c r="N274" s="222" t="n">
        <v>270.2</v>
      </c>
      <c r="O274" s="222" t="n">
        <v>319.38</v>
      </c>
      <c r="P274" s="224">
        <f>(N274-O274)/O274</f>
        <v/>
      </c>
      <c r="Q274" s="223">
        <f>O274*0.9056*0.85</f>
        <v/>
      </c>
      <c r="R274" s="223">
        <f>O274*1.15</f>
        <v/>
      </c>
      <c r="S274" s="223">
        <f>IF(N274&lt;O274*0.9056*0.85,O274*0.9056*0.85,IF(N274&gt;O274*1.15,O274*1.15,N274))</f>
        <v/>
      </c>
      <c r="T274" s="222">
        <f>+G274*N274</f>
        <v/>
      </c>
      <c r="U274" s="223">
        <f>T274+S274*J274</f>
        <v/>
      </c>
      <c r="V274" s="230">
        <f>T274+S274*K274</f>
        <v/>
      </c>
      <c r="W274" s="223">
        <f>V274-T274</f>
        <v/>
      </c>
      <c r="X274" s="230">
        <f>+V274-U274</f>
        <v/>
      </c>
      <c r="Y274" s="231">
        <f>+V274-U274</f>
        <v/>
      </c>
      <c r="Z274" s="222" t="n"/>
      <c r="AA274" s="222" t="n"/>
      <c r="AB274" s="222" t="n"/>
      <c r="AC274" s="222" t="n"/>
      <c r="AD274" s="222" t="n"/>
      <c r="AE274" s="222" t="n"/>
      <c r="AF274" s="222" t="n"/>
      <c r="AG274" s="222" t="n"/>
      <c r="AH274" s="222" t="n"/>
      <c r="AI274" s="222" t="n"/>
      <c r="AJ274" s="222" t="n"/>
    </row>
    <row r="275" ht="101" customHeight="1" s="166">
      <c r="A275" s="222" t="n"/>
      <c r="B275" s="222" t="inlineStr">
        <is>
          <t>教学楼</t>
        </is>
      </c>
      <c r="C275" s="222" t="inlineStr">
        <is>
          <t>010301002006</t>
        </is>
      </c>
      <c r="D275" s="222" t="inlineStr">
        <is>
          <t>预制钢筋混凝土管桩（试验桩）</t>
        </is>
      </c>
      <c r="E275" s="222" t="inlineStr">
        <is>
          <t>1.桩外径、壁厚:Φ400PHC80预应力管桩AB型壁厚95mm
2.沉桩方法:静压
3.混凝土强度等级:C30C40
4.填充材料种类:微膨胀混凝土
5.接桩
6.预埋钢板</t>
        </is>
      </c>
      <c r="F275" s="222" t="inlineStr">
        <is>
          <t>m</t>
        </is>
      </c>
      <c r="G275" s="223" t="n">
        <v>107.5</v>
      </c>
      <c r="H275" s="223" t="n">
        <v>0</v>
      </c>
      <c r="I275" s="230" t="n">
        <v>0</v>
      </c>
      <c r="J275" s="223">
        <f>H275-G275</f>
        <v/>
      </c>
      <c r="K275" s="223">
        <f>I275-G275</f>
        <v/>
      </c>
      <c r="L275" s="223">
        <f>+I275-H275</f>
        <v/>
      </c>
      <c r="M275" s="224">
        <f>J275/G275</f>
        <v/>
      </c>
      <c r="N275" s="222" t="n">
        <v>314.72</v>
      </c>
      <c r="O275" s="222" t="n">
        <v>356.32</v>
      </c>
      <c r="P275" s="224">
        <f>(N275-O275)/O275</f>
        <v/>
      </c>
      <c r="Q275" s="223">
        <f>O275*0.9056*0.85</f>
        <v/>
      </c>
      <c r="R275" s="223">
        <f>O275*1.15</f>
        <v/>
      </c>
      <c r="S275" s="223">
        <f>IF(N275&lt;O275*0.9056*0.85,O275*0.9056*0.85,IF(N275&gt;O275*1.15,O275*1.15,N275))</f>
        <v/>
      </c>
      <c r="T275" s="222">
        <f>+G275*N275</f>
        <v/>
      </c>
      <c r="U275" s="223">
        <f>T275+S275*J275</f>
        <v/>
      </c>
      <c r="V275" s="230">
        <f>T275+S275*K275</f>
        <v/>
      </c>
      <c r="W275" s="223">
        <f>V275-T275</f>
        <v/>
      </c>
      <c r="X275" s="230">
        <f>+V275-U275</f>
        <v/>
      </c>
      <c r="Y275" s="231">
        <f>+V275-U275</f>
        <v/>
      </c>
      <c r="Z275" s="222" t="n"/>
      <c r="AA275" s="222" t="n"/>
      <c r="AB275" s="222" t="n"/>
      <c r="AC275" s="222" t="n"/>
      <c r="AD275" s="222" t="n"/>
      <c r="AE275" s="222" t="n"/>
      <c r="AF275" s="222" t="n"/>
      <c r="AG275" s="222" t="n"/>
      <c r="AH275" s="222" t="n"/>
      <c r="AI275" s="222" t="n"/>
      <c r="AJ275" s="222" t="n"/>
    </row>
    <row r="276" ht="31" customHeight="1" s="166">
      <c r="A276" s="222" t="n"/>
      <c r="B276" s="222" t="inlineStr">
        <is>
          <t>教学楼</t>
        </is>
      </c>
      <c r="C276" s="222" t="inlineStr">
        <is>
          <t>010301002003</t>
        </is>
      </c>
      <c r="D276" s="222" t="inlineStr">
        <is>
          <t>预制钢筋混凝土管桩（送桩）</t>
        </is>
      </c>
      <c r="E276" s="222" t="inlineStr">
        <is>
          <t>1.桩外径、壁厚:Φ400PHC80预应力管桩AB型壁厚95mm</t>
        </is>
      </c>
      <c r="F276" s="222" t="inlineStr">
        <is>
          <t>m</t>
        </is>
      </c>
      <c r="G276" s="223" t="n">
        <v>396</v>
      </c>
      <c r="H276" s="223" t="n">
        <v>113.5</v>
      </c>
      <c r="I276" s="230" t="n">
        <v>113.5</v>
      </c>
      <c r="J276" s="223">
        <f>H276-G276</f>
        <v/>
      </c>
      <c r="K276" s="223">
        <f>I276-G276</f>
        <v/>
      </c>
      <c r="L276" s="223">
        <f>+I276-H276</f>
        <v/>
      </c>
      <c r="M276" s="224">
        <f>J276/G276</f>
        <v/>
      </c>
      <c r="N276" s="222" t="n">
        <v>56.37</v>
      </c>
      <c r="O276" s="222" t="n">
        <v>58.71</v>
      </c>
      <c r="P276" s="224">
        <f>(N276-O276)/O276</f>
        <v/>
      </c>
      <c r="Q276" s="223">
        <f>O276*0.9056*0.85</f>
        <v/>
      </c>
      <c r="R276" s="223">
        <f>O276*1.15</f>
        <v/>
      </c>
      <c r="S276" s="223">
        <f>IF(N276&lt;O276*0.9056*0.85,O276*0.9056*0.85,IF(N276&gt;O276*1.15,O276*1.15,N276))</f>
        <v/>
      </c>
      <c r="T276" s="222">
        <f>+G276*N276</f>
        <v/>
      </c>
      <c r="U276" s="223">
        <f>T276+S276*J276</f>
        <v/>
      </c>
      <c r="V276" s="230">
        <f>T276+S276*K276</f>
        <v/>
      </c>
      <c r="W276" s="223">
        <f>V276-T276</f>
        <v/>
      </c>
      <c r="X276" s="230">
        <f>+V276-U276</f>
        <v/>
      </c>
      <c r="Y276" s="231">
        <f>+V276-U276</f>
        <v/>
      </c>
      <c r="Z276" s="222" t="n"/>
      <c r="AA276" s="222" t="n"/>
      <c r="AB276" s="222" t="n"/>
      <c r="AC276" s="222" t="n"/>
      <c r="AD276" s="222" t="n"/>
      <c r="AE276" s="222" t="n"/>
      <c r="AF276" s="222" t="n"/>
      <c r="AG276" s="222" t="n"/>
      <c r="AH276" s="222" t="n"/>
      <c r="AI276" s="222" t="n"/>
      <c r="AJ276" s="222" t="n"/>
    </row>
    <row r="277" ht="52" customHeight="1" s="166">
      <c r="A277" s="222" t="n"/>
      <c r="B277" s="222" t="inlineStr">
        <is>
          <t>教学楼</t>
        </is>
      </c>
      <c r="C277" s="222" t="inlineStr">
        <is>
          <t>010301004001</t>
        </is>
      </c>
      <c r="D277" s="222" t="inlineStr">
        <is>
          <t>截(凿)桩头</t>
        </is>
      </c>
      <c r="E277" s="222" t="inlineStr">
        <is>
          <t>1.桩类型:管桩
2.桩头截面、高度:桩径D为400
3.场外运输:综合考虑</t>
        </is>
      </c>
      <c r="F277" s="222" t="inlineStr">
        <is>
          <t>根</t>
        </is>
      </c>
      <c r="G277" s="225" t="n">
        <v>198</v>
      </c>
      <c r="H277" s="225" t="n">
        <v>191</v>
      </c>
      <c r="I277" s="232" t="n">
        <v>191</v>
      </c>
      <c r="J277" s="225">
        <f>H277-G277</f>
        <v/>
      </c>
      <c r="K277" s="225">
        <f>I277-G277</f>
        <v/>
      </c>
      <c r="L277" s="225">
        <f>+I277-H277</f>
        <v/>
      </c>
      <c r="M277" s="224">
        <f>J277/G277</f>
        <v/>
      </c>
      <c r="N277" s="222" t="n">
        <v>78.16</v>
      </c>
      <c r="O277" s="222" t="n">
        <v>95.36</v>
      </c>
      <c r="P277" s="224">
        <f>(N277-O277)/O277</f>
        <v/>
      </c>
      <c r="Q277" s="223">
        <f>O277*0.9056*0.85</f>
        <v/>
      </c>
      <c r="R277" s="223">
        <f>O277*1.15</f>
        <v/>
      </c>
      <c r="S277" s="223">
        <f>IF(N277&lt;O277*0.9056*0.85,O277*0.9056*0.85,IF(N277&gt;O277*1.15,O277*1.15,N277))</f>
        <v/>
      </c>
      <c r="T277" s="222">
        <f>+G277*N277</f>
        <v/>
      </c>
      <c r="U277" s="223">
        <f>T277+S277*J277</f>
        <v/>
      </c>
      <c r="V277" s="230">
        <f>T277+S277*K277</f>
        <v/>
      </c>
      <c r="W277" s="223">
        <f>V277-T277</f>
        <v/>
      </c>
      <c r="X277" s="230">
        <f>+V277-U277</f>
        <v/>
      </c>
      <c r="Y277" s="231">
        <f>+V277-U277</f>
        <v/>
      </c>
      <c r="Z277" s="222" t="n"/>
      <c r="AA277" s="222" t="n"/>
      <c r="AB277" s="222" t="n"/>
      <c r="AC277" s="222" t="n"/>
      <c r="AD277" s="222" t="n"/>
      <c r="AE277" s="222" t="n"/>
      <c r="AF277" s="222" t="n"/>
      <c r="AG277" s="222" t="n"/>
      <c r="AH277" s="222" t="n"/>
      <c r="AI277" s="222" t="n"/>
      <c r="AJ277" s="222" t="n"/>
    </row>
    <row r="278" ht="41.25" customHeight="1" s="166">
      <c r="A278" s="222" t="n"/>
      <c r="B278" s="222" t="inlineStr">
        <is>
          <t>教学楼</t>
        </is>
      </c>
      <c r="C278" s="222" t="inlineStr">
        <is>
          <t>粤010301005001</t>
        </is>
      </c>
      <c r="D278" s="222" t="inlineStr">
        <is>
          <t>桩尖</t>
        </is>
      </c>
      <c r="E278" s="222" t="inlineStr">
        <is>
          <t>1.钢桩尖制作
2.桩径:400
3.具体做法详见图纸</t>
        </is>
      </c>
      <c r="F278" s="222" t="inlineStr">
        <is>
          <t>个</t>
        </is>
      </c>
      <c r="G278" s="222" t="n">
        <v>198</v>
      </c>
      <c r="H278" s="223" t="n">
        <v>191</v>
      </c>
      <c r="I278" s="229" t="n">
        <v>191</v>
      </c>
      <c r="J278" s="225">
        <f>H278-G278</f>
        <v/>
      </c>
      <c r="K278" s="225">
        <f>I278-G278</f>
        <v/>
      </c>
      <c r="L278" s="225">
        <f>+I278-H278</f>
        <v/>
      </c>
      <c r="M278" s="224">
        <f>J278/G278</f>
        <v/>
      </c>
      <c r="N278" s="222" t="n">
        <v>268.05</v>
      </c>
      <c r="O278" s="222" t="n">
        <v>259.06</v>
      </c>
      <c r="P278" s="224">
        <f>(N278-O278)/O278</f>
        <v/>
      </c>
      <c r="Q278" s="223">
        <f>O278*0.9056*0.85</f>
        <v/>
      </c>
      <c r="R278" s="223">
        <f>O278*1.15</f>
        <v/>
      </c>
      <c r="S278" s="223">
        <f>IF(N278&lt;O278*0.9056*0.85,O278*0.9056*0.85,IF(N278&gt;O278*1.15,O278*1.15,N278))</f>
        <v/>
      </c>
      <c r="T278" s="222">
        <f>+G278*N278</f>
        <v/>
      </c>
      <c r="U278" s="223">
        <f>T278+S278*J278</f>
        <v/>
      </c>
      <c r="V278" s="230">
        <f>T278+S278*K278</f>
        <v/>
      </c>
      <c r="W278" s="223">
        <f>V278-T278</f>
        <v/>
      </c>
      <c r="X278" s="230">
        <f>+V278-U278</f>
        <v/>
      </c>
      <c r="Y278" s="231">
        <f>+V278-U278</f>
        <v/>
      </c>
      <c r="Z278" s="222" t="n"/>
      <c r="AA278" s="222" t="n"/>
      <c r="AB278" s="222" t="n"/>
      <c r="AC278" s="222" t="n"/>
      <c r="AD278" s="222" t="n"/>
      <c r="AE278" s="222" t="n"/>
      <c r="AF278" s="222" t="n"/>
      <c r="AG278" s="222" t="n"/>
      <c r="AH278" s="222" t="n"/>
      <c r="AI278" s="222" t="n"/>
      <c r="AJ278" s="222" t="n"/>
    </row>
    <row r="279" ht="28.5" customHeight="1" s="166">
      <c r="A279" s="222" t="n"/>
      <c r="B279" s="222" t="inlineStr">
        <is>
          <t>教学楼</t>
        </is>
      </c>
      <c r="C279" s="222" t="inlineStr">
        <is>
          <t>010515001013</t>
        </is>
      </c>
      <c r="D279" s="222" t="inlineStr">
        <is>
          <t>现浇构件钢筋</t>
        </is>
      </c>
      <c r="E279" s="222" t="inlineStr">
        <is>
          <t>1.桩头插筋</t>
        </is>
      </c>
      <c r="F279" s="222" t="inlineStr">
        <is>
          <t>t</t>
        </is>
      </c>
      <c r="G279" s="222" t="n">
        <v>4.5728</v>
      </c>
      <c r="H279" s="223" t="n">
        <v>0.95</v>
      </c>
      <c r="I279" s="233" t="n">
        <v>0.945</v>
      </c>
      <c r="J279" s="226">
        <f>H279-G279</f>
        <v/>
      </c>
      <c r="K279" s="226">
        <f>I279-G279</f>
        <v/>
      </c>
      <c r="L279" s="223">
        <f>+I279-H279</f>
        <v/>
      </c>
      <c r="M279" s="224">
        <f>J279/G279</f>
        <v/>
      </c>
      <c r="N279" s="222" t="n">
        <v>5341.14</v>
      </c>
      <c r="O279" s="222" t="n">
        <v>6492.43</v>
      </c>
      <c r="P279" s="224">
        <f>(N279-O279)/O279</f>
        <v/>
      </c>
      <c r="Q279" s="223">
        <f>O279*0.9056*0.85</f>
        <v/>
      </c>
      <c r="R279" s="223">
        <f>O279*1.15</f>
        <v/>
      </c>
      <c r="S279" s="223">
        <f>IF(N279&lt;O279*0.9056*0.85,O279*0.9056*0.85,IF(N279&gt;O279*1.15,O279*1.15,N279))</f>
        <v/>
      </c>
      <c r="T279" s="223">
        <f>+G279*N279</f>
        <v/>
      </c>
      <c r="U279" s="223">
        <f>T279+S279*J279</f>
        <v/>
      </c>
      <c r="V279" s="230">
        <f>T279+S279*K279</f>
        <v/>
      </c>
      <c r="W279" s="223">
        <f>V279-T279</f>
        <v/>
      </c>
      <c r="X279" s="230">
        <f>+V279-U279</f>
        <v/>
      </c>
      <c r="Y279" s="231">
        <f>+V279-U279</f>
        <v/>
      </c>
      <c r="Z279" s="222" t="n"/>
      <c r="AA279" s="222" t="n"/>
      <c r="AB279" s="222" t="n"/>
      <c r="AC279" s="222" t="n"/>
      <c r="AD279" s="222" t="n"/>
      <c r="AE279" s="222" t="n"/>
      <c r="AF279" s="222" t="n"/>
      <c r="AG279" s="222" t="n"/>
      <c r="AH279" s="222" t="n"/>
      <c r="AI279" s="222" t="n"/>
      <c r="AJ279" s="222" t="n"/>
    </row>
    <row r="280" ht="28.5" customHeight="1" s="166">
      <c r="A280" s="222" t="n"/>
      <c r="B280" s="222" t="inlineStr">
        <is>
          <t>教学楼</t>
        </is>
      </c>
      <c r="C280" s="222" t="n"/>
      <c r="D280" s="222" t="inlineStr">
        <is>
          <t>砌筑工程</t>
        </is>
      </c>
      <c r="E280" s="222" t="n"/>
      <c r="F280" s="222" t="n"/>
      <c r="G280" s="222" t="n"/>
      <c r="H280" s="223" t="n"/>
      <c r="I280" s="229" t="n"/>
      <c r="J280" s="223" t="n"/>
      <c r="K280" s="223" t="n"/>
      <c r="L280" s="223" t="n"/>
      <c r="M280" s="224" t="n"/>
      <c r="N280" s="222" t="n"/>
      <c r="O280" s="222" t="n"/>
      <c r="P280" s="222" t="n"/>
      <c r="Q280" s="222" t="n"/>
      <c r="R280" s="222" t="n"/>
      <c r="S280" s="223" t="n"/>
      <c r="T280" s="223">
        <f>+SUM(T281:T289)</f>
        <v/>
      </c>
      <c r="U280" s="223">
        <f>+SUM(U281:U289)</f>
        <v/>
      </c>
      <c r="V280" s="230">
        <f>SUM(V281:V289)</f>
        <v/>
      </c>
      <c r="W280" s="223">
        <f>V280-T280</f>
        <v/>
      </c>
      <c r="X280" s="230">
        <f>+V280-U280</f>
        <v/>
      </c>
      <c r="Y280" s="231">
        <f>V280-U280</f>
        <v/>
      </c>
      <c r="Z280" s="222" t="n"/>
      <c r="AA280" s="222" t="n"/>
      <c r="AB280" s="222" t="n"/>
      <c r="AC280" s="222" t="n"/>
      <c r="AD280" s="222" t="n"/>
      <c r="AE280" s="222" t="n"/>
      <c r="AF280" s="222" t="n"/>
      <c r="AG280" s="222" t="n"/>
      <c r="AH280" s="222" t="n"/>
      <c r="AI280" s="222" t="n"/>
      <c r="AJ280" s="222" t="n"/>
    </row>
    <row r="281" ht="66.75" customHeight="1" s="166">
      <c r="A281" s="222" t="n"/>
      <c r="B281" s="234" t="inlineStr">
        <is>
          <t>教学楼</t>
        </is>
      </c>
      <c r="C281" s="234" t="inlineStr">
        <is>
          <t>010103001002</t>
        </is>
      </c>
      <c r="D281" s="234" t="inlineStr">
        <is>
          <t>回填方</t>
        </is>
      </c>
      <c r="E281" s="234" t="inlineStr">
        <is>
          <t>1.卫生间回填
2.20厚WSM15找平层
3.陶粒混凝土(水泥:陶粒=1:8)回填兼找坡
4.20厚M20水泥砂浆找平层</t>
        </is>
      </c>
      <c r="F281" s="234" t="inlineStr">
        <is>
          <t>m3</t>
        </is>
      </c>
      <c r="G281" s="234" t="n">
        <v>197.372</v>
      </c>
      <c r="H281" s="235" t="n">
        <v>286.11</v>
      </c>
      <c r="I281" s="230" t="n">
        <v>230.85</v>
      </c>
      <c r="J281" s="235">
        <f>H281-G281</f>
        <v/>
      </c>
      <c r="K281" s="235">
        <f>I281-G281</f>
        <v/>
      </c>
      <c r="L281" s="235">
        <f>+I281-H281</f>
        <v/>
      </c>
      <c r="M281" s="236">
        <f>J281/G281</f>
        <v/>
      </c>
      <c r="N281" s="234" t="n">
        <v>793.8099999999999</v>
      </c>
      <c r="O281" s="234" t="n">
        <v>754.16</v>
      </c>
      <c r="P281" s="236">
        <f>(N281-O281)/O281</f>
        <v/>
      </c>
      <c r="Q281" s="235">
        <f>O281*0.9056*0.85</f>
        <v/>
      </c>
      <c r="R281" s="235">
        <f>O281*1.15</f>
        <v/>
      </c>
      <c r="S281" s="235">
        <f>IF(N281&lt;O281*0.9056*0.85,O281*0.9056*0.85,IF(N281&gt;O281*1.15,O281*1.15,N281))</f>
        <v/>
      </c>
      <c r="T281" s="235">
        <f>+G281*N281</f>
        <v/>
      </c>
      <c r="U281" s="235">
        <f>T281+S281*J281</f>
        <v/>
      </c>
      <c r="V281" s="230">
        <f>T281+S281*K281</f>
        <v/>
      </c>
      <c r="W281" s="223">
        <f>V281-T281</f>
        <v/>
      </c>
      <c r="X281" s="230">
        <f>+V281-U281</f>
        <v/>
      </c>
      <c r="Y281" s="231">
        <f>+V281-U281</f>
        <v/>
      </c>
      <c r="Z281" s="234" t="n"/>
      <c r="AA281" s="234" t="n"/>
      <c r="AB281" s="222" t="n"/>
      <c r="AC281" s="222" t="n"/>
      <c r="AD281" s="222" t="n"/>
      <c r="AE281" s="222" t="n"/>
      <c r="AF281" s="222" t="n"/>
      <c r="AG281" s="222" t="n"/>
      <c r="AH281" s="222" t="n"/>
      <c r="AI281" s="222" t="n"/>
      <c r="AJ281" s="222" t="n"/>
    </row>
    <row r="282" ht="78" customHeight="1" s="166">
      <c r="A282" s="222" t="n"/>
      <c r="B282" s="222" t="inlineStr">
        <is>
          <t>教学楼</t>
        </is>
      </c>
      <c r="C282" s="222" t="inlineStr">
        <is>
          <t>010402001002</t>
        </is>
      </c>
      <c r="D282" s="222" t="inlineStr">
        <is>
          <t>砌块墙</t>
        </is>
      </c>
      <c r="E282" s="222" t="inlineStr">
        <is>
          <t>1.砌块品种、规格、强度等级:A5.0蒸压加气混凝土砌块
2.墙体类型:外墙
3.厚度:200
4.砂浆强度等级、配合比:DMM5专用砌筑砂浆</t>
        </is>
      </c>
      <c r="F282" s="222" t="inlineStr">
        <is>
          <t>m3</t>
        </is>
      </c>
      <c r="G282" s="222" t="n">
        <v>1133.36</v>
      </c>
      <c r="H282" s="223" t="n">
        <v>1141.36</v>
      </c>
      <c r="I282" s="230" t="n">
        <v>1015.03</v>
      </c>
      <c r="J282" s="223">
        <f>H282-G282</f>
        <v/>
      </c>
      <c r="K282" s="223">
        <f>I282-G282</f>
        <v/>
      </c>
      <c r="L282" s="223">
        <f>+I282-H282</f>
        <v/>
      </c>
      <c r="M282" s="224">
        <f>J282/G282</f>
        <v/>
      </c>
      <c r="N282" s="222" t="n">
        <v>589.41</v>
      </c>
      <c r="O282" s="222" t="n">
        <v>676.12</v>
      </c>
      <c r="P282" s="224">
        <f>(N282-O282)/O282</f>
        <v/>
      </c>
      <c r="Q282" s="223">
        <f>O282*0.9056*0.85</f>
        <v/>
      </c>
      <c r="R282" s="223">
        <f>O282*1.15</f>
        <v/>
      </c>
      <c r="S282" s="223">
        <f>IF(N282&lt;O282*0.9056*0.85,O282*0.9056*0.85,IF(N282&gt;O282*1.15,O282*1.15,N282))</f>
        <v/>
      </c>
      <c r="T282" s="223">
        <f>+G282*N282</f>
        <v/>
      </c>
      <c r="U282" s="223">
        <f>T282+S282*J282</f>
        <v/>
      </c>
      <c r="V282" s="230">
        <f>T282+S282*K282</f>
        <v/>
      </c>
      <c r="W282" s="223">
        <f>V282-T282</f>
        <v/>
      </c>
      <c r="X282" s="230">
        <f>+V282-U282</f>
        <v/>
      </c>
      <c r="Y282" s="231">
        <f>+V282-U282</f>
        <v/>
      </c>
      <c r="Z282" s="222" t="n"/>
      <c r="AA282" s="222" t="n"/>
      <c r="AB282" s="222" t="n"/>
      <c r="AC282" s="222" t="n"/>
      <c r="AD282" s="222" t="n"/>
      <c r="AE282" s="222" t="n"/>
      <c r="AF282" s="222" t="n"/>
      <c r="AG282" s="222" t="n"/>
      <c r="AH282" s="222" t="n"/>
      <c r="AI282" s="222" t="n"/>
      <c r="AJ282" s="222" t="n"/>
    </row>
    <row r="283" ht="76" customHeight="1" s="166">
      <c r="A283" s="222" t="n"/>
      <c r="B283" s="222" t="inlineStr">
        <is>
          <t>教学楼</t>
        </is>
      </c>
      <c r="C283" s="222" t="inlineStr">
        <is>
          <t>010402001003</t>
        </is>
      </c>
      <c r="D283" s="222" t="inlineStr">
        <is>
          <t>砌块墙</t>
        </is>
      </c>
      <c r="E283" s="222" t="inlineStr">
        <is>
          <t>1.砌块品种、规格、强度等级:A5.0蒸压加气混凝土砌块
2.墙体类型:内墙
3.厚度:200
4.砂浆强度等级、配合比:DMM5专用砌筑砂浆</t>
        </is>
      </c>
      <c r="F283" s="222" t="inlineStr">
        <is>
          <t>m3</t>
        </is>
      </c>
      <c r="G283" s="222" t="n">
        <v>284.54</v>
      </c>
      <c r="H283" s="223" t="n">
        <v>307.27</v>
      </c>
      <c r="I283" s="230" t="n">
        <v>307.27</v>
      </c>
      <c r="J283" s="223">
        <f>H283-G283</f>
        <v/>
      </c>
      <c r="K283" s="223">
        <f>I283-G283</f>
        <v/>
      </c>
      <c r="L283" s="223">
        <f>+I283-H283</f>
        <v/>
      </c>
      <c r="M283" s="224">
        <f>J283/G283</f>
        <v/>
      </c>
      <c r="N283" s="222" t="n">
        <v>576.98</v>
      </c>
      <c r="O283" s="222" t="n">
        <v>661.47</v>
      </c>
      <c r="P283" s="224">
        <f>(N283-O283)/O283</f>
        <v/>
      </c>
      <c r="Q283" s="223">
        <f>O283*0.9056*0.85</f>
        <v/>
      </c>
      <c r="R283" s="223">
        <f>O283*1.15</f>
        <v/>
      </c>
      <c r="S283" s="223">
        <f>IF(N283&lt;O283*0.9056*0.85,O283*0.9056*0.85,IF(N283&gt;O283*1.15,O283*1.15,N283))</f>
        <v/>
      </c>
      <c r="T283" s="223">
        <f>+G283*N283</f>
        <v/>
      </c>
      <c r="U283" s="223">
        <f>T283+S283*J283</f>
        <v/>
      </c>
      <c r="V283" s="230">
        <f>T283+S283*K283</f>
        <v/>
      </c>
      <c r="W283" s="223">
        <f>V283-T283</f>
        <v/>
      </c>
      <c r="X283" s="230">
        <f>+V283-U283</f>
        <v/>
      </c>
      <c r="Y283" s="231">
        <f>+V283-U283</f>
        <v/>
      </c>
      <c r="Z283" s="222" t="n"/>
      <c r="AA283" s="222" t="n"/>
      <c r="AB283" s="222" t="n"/>
      <c r="AC283" s="222" t="n"/>
      <c r="AD283" s="222" t="n"/>
      <c r="AE283" s="222" t="n"/>
      <c r="AF283" s="222" t="n"/>
      <c r="AG283" s="222" t="n"/>
      <c r="AH283" s="222" t="n"/>
      <c r="AI283" s="222" t="n"/>
      <c r="AJ283" s="222" t="n"/>
    </row>
    <row r="284" ht="76" customHeight="1" s="166">
      <c r="A284" s="222" t="n"/>
      <c r="B284" s="222" t="inlineStr">
        <is>
          <t>教学楼</t>
        </is>
      </c>
      <c r="C284" s="222" t="inlineStr">
        <is>
          <t>010402001004</t>
        </is>
      </c>
      <c r="D284" s="222" t="inlineStr">
        <is>
          <t>砌块墙</t>
        </is>
      </c>
      <c r="E284" s="222" t="inlineStr">
        <is>
          <t>1.砌块品种、规格、强度等级:A5.0蒸压加气混凝土砌块
2.墙体类型:内墙
3.厚度:100
4.砂浆强度等级、配合比:DMM5专用砌筑砂浆</t>
        </is>
      </c>
      <c r="F284" s="222" t="inlineStr">
        <is>
          <t>m3</t>
        </is>
      </c>
      <c r="G284" s="222" t="n">
        <v>9.087</v>
      </c>
      <c r="H284" s="223" t="n">
        <v>12.09</v>
      </c>
      <c r="I284" s="230" t="n">
        <v>12.09</v>
      </c>
      <c r="J284" s="223">
        <f>H284-G284</f>
        <v/>
      </c>
      <c r="K284" s="223">
        <f>I284-G284</f>
        <v/>
      </c>
      <c r="L284" s="223">
        <f>+I284-H284</f>
        <v/>
      </c>
      <c r="M284" s="224">
        <f>J284/G284</f>
        <v/>
      </c>
      <c r="N284" s="222" t="n">
        <v>599.54</v>
      </c>
      <c r="O284" s="222" t="n">
        <v>686.9</v>
      </c>
      <c r="P284" s="224">
        <f>(N284-O284)/O284</f>
        <v/>
      </c>
      <c r="Q284" s="223">
        <f>O284*0.9056*0.85</f>
        <v/>
      </c>
      <c r="R284" s="223">
        <f>O284*1.15</f>
        <v/>
      </c>
      <c r="S284" s="223">
        <f>IF(N284&lt;O284*0.9056*0.85,O284*0.9056*0.85,IF(N284&gt;O284*1.15,O284*1.15,N284))</f>
        <v/>
      </c>
      <c r="T284" s="223">
        <f>+G284*N284</f>
        <v/>
      </c>
      <c r="U284" s="223">
        <f>T284+S284*J284</f>
        <v/>
      </c>
      <c r="V284" s="230">
        <f>T284+S284*K284</f>
        <v/>
      </c>
      <c r="W284" s="223">
        <f>V284-T284</f>
        <v/>
      </c>
      <c r="X284" s="230">
        <f>+V284-U284</f>
        <v/>
      </c>
      <c r="Y284" s="231">
        <f>+V284-U284</f>
        <v/>
      </c>
      <c r="Z284" s="222" t="n"/>
      <c r="AA284" s="222" t="n"/>
      <c r="AB284" s="222" t="n"/>
      <c r="AC284" s="222" t="n"/>
      <c r="AD284" s="222" t="n"/>
      <c r="AE284" s="222" t="n"/>
      <c r="AF284" s="222" t="n"/>
      <c r="AG284" s="222" t="n"/>
      <c r="AH284" s="222" t="n"/>
      <c r="AI284" s="222" t="n"/>
      <c r="AJ284" s="222" t="n"/>
    </row>
    <row r="285" ht="76" customHeight="1" s="166">
      <c r="A285" s="222" t="n"/>
      <c r="B285" s="222" t="inlineStr">
        <is>
          <t>教学楼</t>
        </is>
      </c>
      <c r="C285" s="222" t="inlineStr">
        <is>
          <t>010402001007</t>
        </is>
      </c>
      <c r="D285" s="222" t="inlineStr">
        <is>
          <t>砌块墙</t>
        </is>
      </c>
      <c r="E285" s="222" t="inlineStr">
        <is>
          <t>1.砌块品种、规格、强度等级:A5.0蒸压加气混凝土砌块
2.墙体类型:装饰墙
3.厚度:100
4.砂浆强度等级、配合比:DMM5专用砌筑砂浆</t>
        </is>
      </c>
      <c r="F285" s="222" t="inlineStr">
        <is>
          <t>m3</t>
        </is>
      </c>
      <c r="G285" s="222" t="n">
        <v>45.56</v>
      </c>
      <c r="H285" s="223" t="n">
        <v>83.18000000000001</v>
      </c>
      <c r="I285" s="230" t="n">
        <v>83.18000000000001</v>
      </c>
      <c r="J285" s="223">
        <f>H285-G285</f>
        <v/>
      </c>
      <c r="K285" s="223">
        <f>I285-G285</f>
        <v/>
      </c>
      <c r="L285" s="223">
        <f>+I285-H285</f>
        <v/>
      </c>
      <c r="M285" s="224">
        <f>J285/G285</f>
        <v/>
      </c>
      <c r="N285" s="222" t="n">
        <v>599.53</v>
      </c>
      <c r="O285" s="222" t="n">
        <v>686.9</v>
      </c>
      <c r="P285" s="224">
        <f>(N285-O285)/O285</f>
        <v/>
      </c>
      <c r="Q285" s="223">
        <f>O285*0.9056*0.85</f>
        <v/>
      </c>
      <c r="R285" s="223">
        <f>O285*1.15</f>
        <v/>
      </c>
      <c r="S285" s="223">
        <f>IF(N285&lt;O285*0.9056*0.85,O285*0.9056*0.85,IF(N285&gt;O285*1.15,O285*1.15,N285))</f>
        <v/>
      </c>
      <c r="T285" s="223">
        <f>+G285*N285</f>
        <v/>
      </c>
      <c r="U285" s="223">
        <f>T285+S285*J285</f>
        <v/>
      </c>
      <c r="V285" s="230">
        <f>T285+S285*K285</f>
        <v/>
      </c>
      <c r="W285" s="223">
        <f>V285-T285</f>
        <v/>
      </c>
      <c r="X285" s="230">
        <f>+V285-U285</f>
        <v/>
      </c>
      <c r="Y285" s="231">
        <f>+V285-U285</f>
        <v/>
      </c>
      <c r="Z285" s="222" t="n"/>
      <c r="AA285" s="222" t="n"/>
      <c r="AB285" s="222" t="n"/>
      <c r="AC285" s="222" t="n"/>
      <c r="AD285" s="222" t="n"/>
      <c r="AE285" s="222" t="n"/>
      <c r="AF285" s="222" t="n"/>
      <c r="AG285" s="222" t="n"/>
      <c r="AH285" s="222" t="n"/>
      <c r="AI285" s="222" t="n"/>
      <c r="AJ285" s="222" t="n"/>
    </row>
    <row r="286" ht="75" customHeight="1" s="166">
      <c r="A286" s="222" t="n"/>
      <c r="B286" s="222" t="inlineStr">
        <is>
          <t>教学楼</t>
        </is>
      </c>
      <c r="C286" s="222" t="inlineStr">
        <is>
          <t>010402001006</t>
        </is>
      </c>
      <c r="D286" s="222" t="inlineStr">
        <is>
          <t>砌块墙</t>
        </is>
      </c>
      <c r="E286" s="222" t="inlineStr">
        <is>
          <t>1.砌块品种、规格、强度等级:MU15混凝土实心砖
2.墙体类型:女儿墙
3.厚度:200
4.砂浆强度等级、配合比:DMM10专用砌筑砂浆</t>
        </is>
      </c>
      <c r="F286" s="222" t="inlineStr">
        <is>
          <t>m3</t>
        </is>
      </c>
      <c r="G286" s="222" t="n">
        <v>23.9</v>
      </c>
      <c r="H286" s="223" t="n">
        <v>28.9</v>
      </c>
      <c r="I286" s="230" t="n">
        <v>19.78</v>
      </c>
      <c r="J286" s="223">
        <f>H286-G286</f>
        <v/>
      </c>
      <c r="K286" s="223">
        <f>I286-G286</f>
        <v/>
      </c>
      <c r="L286" s="223">
        <f>+I286-H286</f>
        <v/>
      </c>
      <c r="M286" s="224">
        <f>J286/G286</f>
        <v/>
      </c>
      <c r="N286" s="222" t="n">
        <v>591.21</v>
      </c>
      <c r="O286" s="222" t="n">
        <v>677</v>
      </c>
      <c r="P286" s="224">
        <f>(N286-O286)/O286</f>
        <v/>
      </c>
      <c r="Q286" s="223">
        <f>O286*0.9056*0.85</f>
        <v/>
      </c>
      <c r="R286" s="223">
        <f>O286*1.15</f>
        <v/>
      </c>
      <c r="S286" s="223">
        <f>IF(N286&lt;O286*0.9056*0.85,O286*0.9056*0.85,IF(N286&gt;O286*1.15,O286*1.15,N286))</f>
        <v/>
      </c>
      <c r="T286" s="223">
        <f>+G286*N286</f>
        <v/>
      </c>
      <c r="U286" s="223">
        <f>T286+S286*J286</f>
        <v/>
      </c>
      <c r="V286" s="230">
        <f>T286+S286*K286</f>
        <v/>
      </c>
      <c r="W286" s="223">
        <f>V286-T286</f>
        <v/>
      </c>
      <c r="X286" s="230">
        <f>+V286-U286</f>
        <v/>
      </c>
      <c r="Y286" s="231">
        <f>+V286-U286</f>
        <v/>
      </c>
      <c r="Z286" s="222" t="n"/>
      <c r="AA286" s="222" t="n"/>
      <c r="AB286" s="222" t="n"/>
      <c r="AC286" s="222" t="n"/>
      <c r="AD286" s="222" t="n"/>
      <c r="AE286" s="222" t="n"/>
      <c r="AF286" s="222" t="n"/>
      <c r="AG286" s="222" t="n"/>
      <c r="AH286" s="222" t="n"/>
      <c r="AI286" s="222" t="n"/>
      <c r="AJ286" s="222" t="n"/>
    </row>
    <row r="287" ht="54" customHeight="1" s="166">
      <c r="A287" s="222" t="n"/>
      <c r="B287" s="222" t="inlineStr">
        <is>
          <t>教学楼</t>
        </is>
      </c>
      <c r="C287" s="222" t="inlineStr">
        <is>
          <t>010401012002</t>
        </is>
      </c>
      <c r="D287" s="222" t="inlineStr">
        <is>
          <t>零星砌砖</t>
        </is>
      </c>
      <c r="E287" s="222" t="inlineStr">
        <is>
          <t>1.砖砌台阶
2.MU10轻质砖
3.砂浆强度等级、配合比:M7.5水泥砂浆</t>
        </is>
      </c>
      <c r="F287" s="222" t="inlineStr">
        <is>
          <t>m2</t>
        </is>
      </c>
      <c r="G287" s="222" t="n">
        <v>22.87</v>
      </c>
      <c r="H287" s="223" t="n">
        <v>22.87</v>
      </c>
      <c r="I287" s="230" t="n">
        <v>13.34</v>
      </c>
      <c r="J287" s="223">
        <f>H287-G287</f>
        <v/>
      </c>
      <c r="K287" s="223">
        <f>I287-G287</f>
        <v/>
      </c>
      <c r="L287" s="223">
        <f>+I287-H287</f>
        <v/>
      </c>
      <c r="M287" s="224">
        <f>J287/G287</f>
        <v/>
      </c>
      <c r="N287" s="222" t="n">
        <v>159.51</v>
      </c>
      <c r="O287" s="222" t="n">
        <v>189.88</v>
      </c>
      <c r="P287" s="224">
        <f>(N287-O287)/O287</f>
        <v/>
      </c>
      <c r="Q287" s="223">
        <f>O287*0.9056*0.85</f>
        <v/>
      </c>
      <c r="R287" s="223">
        <f>O287*1.15</f>
        <v/>
      </c>
      <c r="S287" s="223">
        <f>IF(N287&lt;O287*0.9056*0.85,O287*0.9056*0.85,IF(N287&gt;O287*1.15,O287*1.15,N287))</f>
        <v/>
      </c>
      <c r="T287" s="223">
        <f>+G287*N287</f>
        <v/>
      </c>
      <c r="U287" s="223">
        <f>T287+S287*J287</f>
        <v/>
      </c>
      <c r="V287" s="230">
        <f>T287+S287*K287</f>
        <v/>
      </c>
      <c r="W287" s="223">
        <f>V287-T287</f>
        <v/>
      </c>
      <c r="X287" s="230">
        <f>+V287-U287</f>
        <v/>
      </c>
      <c r="Y287" s="231">
        <f>+V287-U287</f>
        <v/>
      </c>
      <c r="Z287" s="222" t="n"/>
      <c r="AA287" s="222" t="n"/>
      <c r="AB287" s="222" t="n"/>
      <c r="AC287" s="222" t="n"/>
      <c r="AD287" s="222" t="n"/>
      <c r="AE287" s="222" t="n"/>
      <c r="AF287" s="222" t="n"/>
      <c r="AG287" s="222" t="n"/>
      <c r="AH287" s="222" t="n"/>
      <c r="AI287" s="222" t="n"/>
      <c r="AJ287" s="222" t="n"/>
    </row>
    <row r="288" ht="54" customHeight="1" s="166">
      <c r="A288" s="222" t="n"/>
      <c r="B288" s="234" t="inlineStr">
        <is>
          <t>教学楼</t>
        </is>
      </c>
      <c r="C288" s="234" t="inlineStr">
        <is>
          <t>010401012004</t>
        </is>
      </c>
      <c r="D288" s="234" t="inlineStr">
        <is>
          <t>零星砌砖</t>
        </is>
      </c>
      <c r="E288" s="234" t="inlineStr">
        <is>
          <t>1.花池
2.MU10轻质砖
3.砂浆强度等级、配合比:M7.5水泥砂浆</t>
        </is>
      </c>
      <c r="F288" s="234" t="inlineStr">
        <is>
          <t>m3</t>
        </is>
      </c>
      <c r="G288" s="234" t="n">
        <v>17.01</v>
      </c>
      <c r="H288" s="235" t="n">
        <v>20.5</v>
      </c>
      <c r="I288" s="230" t="n">
        <v>18.49</v>
      </c>
      <c r="J288" s="235">
        <f>H288-G288</f>
        <v/>
      </c>
      <c r="K288" s="235">
        <f>I288-G288</f>
        <v/>
      </c>
      <c r="L288" s="235">
        <f>+I288-H288</f>
        <v/>
      </c>
      <c r="M288" s="236">
        <f>J288/G288</f>
        <v/>
      </c>
      <c r="N288" s="234" t="n">
        <v>722.98</v>
      </c>
      <c r="O288" s="234" t="n">
        <v>864.65</v>
      </c>
      <c r="P288" s="236">
        <f>(N288-O288)/O288</f>
        <v/>
      </c>
      <c r="Q288" s="235">
        <f>O288*0.9056*0.85</f>
        <v/>
      </c>
      <c r="R288" s="235">
        <f>O288*1.15</f>
        <v/>
      </c>
      <c r="S288" s="235">
        <f>IF(N288&lt;O288*0.9056*0.85,O288*0.9056*0.85,IF(N288&gt;O288*1.15,O288*1.15,N288))</f>
        <v/>
      </c>
      <c r="T288" s="235">
        <f>+G288*N288</f>
        <v/>
      </c>
      <c r="U288" s="235">
        <f>T288+S288*J288</f>
        <v/>
      </c>
      <c r="V288" s="230">
        <f>T288+S288*K288</f>
        <v/>
      </c>
      <c r="W288" s="223">
        <f>V288-T288</f>
        <v/>
      </c>
      <c r="X288" s="230">
        <f>+V288-U288</f>
        <v/>
      </c>
      <c r="Y288" s="231">
        <f>+V288-U288</f>
        <v/>
      </c>
      <c r="Z288" s="234" t="n"/>
      <c r="AA288" s="222" t="n"/>
      <c r="AB288" s="222" t="n"/>
      <c r="AC288" s="222" t="n"/>
      <c r="AD288" s="222" t="n"/>
      <c r="AE288" s="222" t="n"/>
      <c r="AF288" s="222" t="n"/>
      <c r="AG288" s="222" t="n"/>
      <c r="AH288" s="222" t="n"/>
      <c r="AI288" s="222" t="n"/>
      <c r="AJ288" s="222" t="n"/>
    </row>
    <row r="289" ht="65" customHeight="1" s="166">
      <c r="A289" s="222" t="n"/>
      <c r="B289" s="222" t="inlineStr">
        <is>
          <t>教学楼</t>
        </is>
      </c>
      <c r="C289" s="222" t="inlineStr">
        <is>
          <t>010401003001</t>
        </is>
      </c>
      <c r="D289" s="222" t="inlineStr">
        <is>
          <t>实心砖墙</t>
        </is>
      </c>
      <c r="E289" s="222" t="inlineStr">
        <is>
          <t>1.轻质砖
2.墙体类型:内墙
3.120
4.砂浆强度等级、配合比:DMM5专用砌筑砂浆</t>
        </is>
      </c>
      <c r="F289" s="222" t="inlineStr">
        <is>
          <t>m3</t>
        </is>
      </c>
      <c r="G289" s="222" t="n">
        <v>5.6117</v>
      </c>
      <c r="H289" s="223" t="n">
        <v>5.61</v>
      </c>
      <c r="I289" s="230" t="n">
        <v>3.93</v>
      </c>
      <c r="J289" s="223">
        <f>H289-G289</f>
        <v/>
      </c>
      <c r="K289" s="223">
        <f>I289-G289</f>
        <v/>
      </c>
      <c r="L289" s="223">
        <f>+I289-H289</f>
        <v/>
      </c>
      <c r="M289" s="224">
        <f>J289/G289</f>
        <v/>
      </c>
      <c r="N289" s="222" t="n">
        <v>586.04</v>
      </c>
      <c r="O289" s="222" t="n">
        <v>735.46</v>
      </c>
      <c r="P289" s="224">
        <f>(N289-O289)/O289</f>
        <v/>
      </c>
      <c r="Q289" s="223">
        <f>O289*0.9056*0.85</f>
        <v/>
      </c>
      <c r="R289" s="223">
        <f>O289*1.15</f>
        <v/>
      </c>
      <c r="S289" s="223">
        <f>IF(N289&lt;O289*0.9056*0.85,O289*0.9056*0.85,IF(N289&gt;O289*1.15,O289*1.15,N289))</f>
        <v/>
      </c>
      <c r="T289" s="223">
        <f>+G289*N289</f>
        <v/>
      </c>
      <c r="U289" s="223">
        <f>T289+S289*J289</f>
        <v/>
      </c>
      <c r="V289" s="230">
        <f>T289+S289*K289</f>
        <v/>
      </c>
      <c r="W289" s="223">
        <f>V289-T289</f>
        <v/>
      </c>
      <c r="X289" s="230">
        <f>+V289-U289</f>
        <v/>
      </c>
      <c r="Y289" s="231">
        <f>+V289-U289</f>
        <v/>
      </c>
      <c r="Z289" s="222" t="n"/>
      <c r="AA289" s="222" t="n"/>
      <c r="AB289" s="222" t="n"/>
      <c r="AC289" s="222" t="n"/>
      <c r="AD289" s="222" t="n"/>
      <c r="AE289" s="222" t="n"/>
      <c r="AF289" s="222" t="n"/>
      <c r="AG289" s="222" t="n"/>
      <c r="AH289" s="222" t="n"/>
      <c r="AI289" s="222" t="n"/>
      <c r="AJ289" s="222" t="n"/>
    </row>
    <row r="290" ht="28.5" customHeight="1" s="166">
      <c r="A290" s="222" t="n"/>
      <c r="B290" s="222" t="inlineStr">
        <is>
          <t>教学楼</t>
        </is>
      </c>
      <c r="C290" s="222" t="n"/>
      <c r="D290" s="222" t="inlineStr">
        <is>
          <t>混凝土及钢筋混凝土工程</t>
        </is>
      </c>
      <c r="E290" s="222" t="n"/>
      <c r="F290" s="222" t="n"/>
      <c r="G290" s="222" t="n"/>
      <c r="H290" s="223" t="n"/>
      <c r="I290" s="229" t="n"/>
      <c r="J290" s="223" t="n"/>
      <c r="K290" s="223" t="n"/>
      <c r="L290" s="223" t="n"/>
      <c r="M290" s="224" t="n"/>
      <c r="N290" s="222" t="n"/>
      <c r="O290" s="222" t="n"/>
      <c r="P290" s="222" t="n"/>
      <c r="Q290" s="222" t="n"/>
      <c r="R290" s="222" t="n"/>
      <c r="S290" s="223" t="n"/>
      <c r="T290" s="223">
        <f>+SUM(T291:T321)</f>
        <v/>
      </c>
      <c r="U290" s="223">
        <f>+SUM(U291:U321)</f>
        <v/>
      </c>
      <c r="V290" s="230">
        <f>SUM(V291:V321)</f>
        <v/>
      </c>
      <c r="W290" s="223">
        <f>V290-T290</f>
        <v/>
      </c>
      <c r="X290" s="230">
        <f>+V290-U290</f>
        <v/>
      </c>
      <c r="Y290" s="231">
        <f>V290-U290</f>
        <v/>
      </c>
      <c r="Z290" s="222" t="n"/>
      <c r="AA290" s="222" t="n"/>
      <c r="AB290" s="222" t="n"/>
      <c r="AC290" s="222" t="n"/>
      <c r="AD290" s="222" t="n"/>
      <c r="AE290" s="222" t="n"/>
      <c r="AF290" s="222" t="n"/>
      <c r="AG290" s="222" t="n"/>
      <c r="AH290" s="222" t="n"/>
      <c r="AI290" s="222" t="n"/>
      <c r="AJ290" s="222" t="n"/>
    </row>
    <row r="291" ht="54" customHeight="1" s="166">
      <c r="A291" s="222" t="n"/>
      <c r="B291" s="234" t="inlineStr">
        <is>
          <t>教学楼</t>
        </is>
      </c>
      <c r="C291" s="234" t="inlineStr">
        <is>
          <t>010501001002</t>
        </is>
      </c>
      <c r="D291" s="234" t="inlineStr">
        <is>
          <t>垫层</t>
        </is>
      </c>
      <c r="E291" s="234" t="inlineStr">
        <is>
          <t>1.垫层
2.混凝土种类:预拌混凝土
3.混凝土强度等级:C15
4.含混凝土泵送费用</t>
        </is>
      </c>
      <c r="F291" s="234" t="inlineStr">
        <is>
          <t>m3</t>
        </is>
      </c>
      <c r="G291" s="234" t="n">
        <v>214.32</v>
      </c>
      <c r="H291" s="235" t="n">
        <v>218.67</v>
      </c>
      <c r="I291" s="230" t="n">
        <v>218.67</v>
      </c>
      <c r="J291" s="235">
        <f>H291-G291</f>
        <v/>
      </c>
      <c r="K291" s="235">
        <f>I291-G291</f>
        <v/>
      </c>
      <c r="L291" s="235">
        <f>+I291-H291</f>
        <v/>
      </c>
      <c r="M291" s="236">
        <f>J291/G291</f>
        <v/>
      </c>
      <c r="N291" s="234" t="n">
        <v>626.1799999999999</v>
      </c>
      <c r="O291" s="234" t="n">
        <v>830</v>
      </c>
      <c r="P291" s="236">
        <f>(N291-O291)/O291</f>
        <v/>
      </c>
      <c r="Q291" s="235">
        <f>O291*0.9056*0.85</f>
        <v/>
      </c>
      <c r="R291" s="235">
        <f>O291*1.15</f>
        <v/>
      </c>
      <c r="S291" s="235">
        <f>IF(N291&lt;O291*0.9056*0.85,O291*0.9056*0.85,IF(N291&gt;O291*1.15,O291*1.15,N291))</f>
        <v/>
      </c>
      <c r="T291" s="235">
        <f>+G291*N291</f>
        <v/>
      </c>
      <c r="U291" s="235">
        <f>T291+S291*J291</f>
        <v/>
      </c>
      <c r="V291" s="230">
        <f>T291+S291*K291</f>
        <v/>
      </c>
      <c r="W291" s="223">
        <f>V291-T291</f>
        <v/>
      </c>
      <c r="X291" s="230">
        <f>+V291-U291</f>
        <v/>
      </c>
      <c r="Y291" s="231">
        <f>+V291-U291</f>
        <v/>
      </c>
      <c r="Z291" s="234" t="n"/>
      <c r="AA291" s="222" t="n"/>
      <c r="AB291" s="222" t="n"/>
      <c r="AC291" s="222" t="n"/>
      <c r="AD291" s="222" t="n"/>
      <c r="AE291" s="222" t="n"/>
      <c r="AF291" s="222" t="n"/>
      <c r="AG291" s="222" t="n"/>
      <c r="AH291" s="222" t="n"/>
      <c r="AI291" s="222" t="n"/>
      <c r="AJ291" s="222" t="n"/>
    </row>
    <row r="292" ht="54" customHeight="1" s="166">
      <c r="A292" s="222" t="n"/>
      <c r="B292" s="234" t="inlineStr">
        <is>
          <t>教学楼</t>
        </is>
      </c>
      <c r="C292" s="234" t="inlineStr">
        <is>
          <t>010501005001</t>
        </is>
      </c>
      <c r="D292" s="234" t="inlineStr">
        <is>
          <t>桩承台基础</t>
        </is>
      </c>
      <c r="E292" s="234" t="inlineStr">
        <is>
          <t>1.桩承台
2.混凝土种类:预拌混凝土
3.混凝土强度等级:C35
4.含混凝土泵送费用</t>
        </is>
      </c>
      <c r="F292" s="234" t="inlineStr">
        <is>
          <t>m3</t>
        </is>
      </c>
      <c r="G292" s="234" t="n">
        <v>207.67</v>
      </c>
      <c r="H292" s="235" t="n">
        <v>302.65</v>
      </c>
      <c r="I292" s="230">
        <f>202.46+85.77</f>
        <v/>
      </c>
      <c r="J292" s="235">
        <f>H292-G292</f>
        <v/>
      </c>
      <c r="K292" s="235">
        <f>I292-G292</f>
        <v/>
      </c>
      <c r="L292" s="235">
        <f>+I292-H292</f>
        <v/>
      </c>
      <c r="M292" s="236">
        <f>J292/G292</f>
        <v/>
      </c>
      <c r="N292" s="234" t="n">
        <v>687.16</v>
      </c>
      <c r="O292" s="234" t="n">
        <v>861.01</v>
      </c>
      <c r="P292" s="236">
        <f>(N292-O292)/O292</f>
        <v/>
      </c>
      <c r="Q292" s="235">
        <f>O292*0.9056*0.85</f>
        <v/>
      </c>
      <c r="R292" s="235">
        <f>O292*1.15</f>
        <v/>
      </c>
      <c r="S292" s="235">
        <f>IF(N292&lt;O292*0.9056*0.85,O292*0.9056*0.85,IF(N292&gt;O292*1.15,O292*1.15,N292))</f>
        <v/>
      </c>
      <c r="T292" s="235">
        <f>+G292*N292</f>
        <v/>
      </c>
      <c r="U292" s="235">
        <f>T292+S292*J292</f>
        <v/>
      </c>
      <c r="V292" s="230">
        <f>T292+S292*K292</f>
        <v/>
      </c>
      <c r="W292" s="223">
        <f>V292-T292</f>
        <v/>
      </c>
      <c r="X292" s="230">
        <f>+V292-U292</f>
        <v/>
      </c>
      <c r="Y292" s="231">
        <f>+V292-U292</f>
        <v/>
      </c>
      <c r="Z292" s="234" t="n"/>
      <c r="AA292" s="222" t="n"/>
      <c r="AB292" s="222" t="n"/>
      <c r="AC292" s="222" t="n"/>
      <c r="AD292" s="222" t="n"/>
      <c r="AE292" s="222" t="n"/>
      <c r="AF292" s="222" t="n"/>
      <c r="AG292" s="222" t="n"/>
      <c r="AH292" s="222" t="n"/>
      <c r="AI292" s="222" t="n"/>
      <c r="AJ292" s="222" t="n"/>
    </row>
    <row r="293" ht="75" customHeight="1" s="166">
      <c r="A293" s="222" t="n"/>
      <c r="B293" s="222" t="inlineStr">
        <is>
          <t>教学楼</t>
        </is>
      </c>
      <c r="C293" s="222" t="inlineStr">
        <is>
          <t>010503001001</t>
        </is>
      </c>
      <c r="D293" s="222" t="inlineStr">
        <is>
          <t>基础梁</t>
        </is>
      </c>
      <c r="E293" s="222" t="inlineStr">
        <is>
          <t>1.基础梁
2.混凝土种类:预拌混凝土
3.混凝土强度等级:C35
4.含混凝土泵送费用</t>
        </is>
      </c>
      <c r="F293" s="222" t="inlineStr">
        <is>
          <t>m3</t>
        </is>
      </c>
      <c r="G293" s="222" t="n">
        <v>147.955</v>
      </c>
      <c r="H293" s="223" t="n">
        <v>129.16</v>
      </c>
      <c r="I293" s="230" t="n">
        <v>129.16</v>
      </c>
      <c r="J293" s="223">
        <f>H293-G293</f>
        <v/>
      </c>
      <c r="K293" s="223">
        <f>I293-G293</f>
        <v/>
      </c>
      <c r="L293" s="223">
        <f>+I293-H293</f>
        <v/>
      </c>
      <c r="M293" s="224">
        <f>J293/G293</f>
        <v/>
      </c>
      <c r="N293" s="222" t="n">
        <v>679.67</v>
      </c>
      <c r="O293" s="222" t="n">
        <v>853.6900000000001</v>
      </c>
      <c r="P293" s="224">
        <f>(N293-O293)/O293</f>
        <v/>
      </c>
      <c r="Q293" s="223">
        <f>O293*0.9056*0.85</f>
        <v/>
      </c>
      <c r="R293" s="223">
        <f>O293*1.15</f>
        <v/>
      </c>
      <c r="S293" s="223">
        <f>IF(N293&lt;O293*0.9056*0.85,O293*0.9056*0.85,IF(N293&gt;O293*1.15,O293*1.15,N293))</f>
        <v/>
      </c>
      <c r="T293" s="223">
        <f>+G293*N293</f>
        <v/>
      </c>
      <c r="U293" s="223">
        <f>T293+S293*J293</f>
        <v/>
      </c>
      <c r="V293" s="230">
        <f>T293+S293*K293</f>
        <v/>
      </c>
      <c r="W293" s="223">
        <f>V293-T293</f>
        <v/>
      </c>
      <c r="X293" s="230">
        <f>+V293-U293</f>
        <v/>
      </c>
      <c r="Y293" s="231">
        <f>+V293-U293</f>
        <v/>
      </c>
      <c r="Z293" s="222" t="n"/>
      <c r="AA293" s="222" t="n"/>
      <c r="AB293" s="222" t="n"/>
      <c r="AC293" s="222" t="n"/>
      <c r="AD293" s="222" t="n"/>
      <c r="AE293" s="222" t="n"/>
      <c r="AF293" s="222" t="n"/>
      <c r="AG293" s="222" t="n"/>
      <c r="AH293" s="222" t="n"/>
      <c r="AI293" s="222" t="n"/>
      <c r="AJ293" s="222" t="n"/>
    </row>
    <row r="294" ht="54" customHeight="1" s="166">
      <c r="A294" s="222" t="n"/>
      <c r="B294" s="222" t="inlineStr">
        <is>
          <t>教学楼</t>
        </is>
      </c>
      <c r="C294" s="222" t="inlineStr">
        <is>
          <t>010501004002</t>
        </is>
      </c>
      <c r="D294" s="222" t="inlineStr">
        <is>
          <t>满堂基础</t>
        </is>
      </c>
      <c r="E294" s="222" t="inlineStr">
        <is>
          <t>1.满堂基础
2.预拌混凝土
3.混凝土强度等级:C35
4.含混凝土泵送费用</t>
        </is>
      </c>
      <c r="F294" s="222" t="inlineStr">
        <is>
          <t>m3</t>
        </is>
      </c>
      <c r="G294" s="222" t="n">
        <v>190.44</v>
      </c>
      <c r="H294" s="223" t="n">
        <v>218.73</v>
      </c>
      <c r="I294" s="230" t="n">
        <v>208.31</v>
      </c>
      <c r="J294" s="223">
        <f>H294-G294</f>
        <v/>
      </c>
      <c r="K294" s="223">
        <f>I294-G294</f>
        <v/>
      </c>
      <c r="L294" s="223">
        <f>+I294-H294</f>
        <v/>
      </c>
      <c r="M294" s="224">
        <f>J294/G294</f>
        <v/>
      </c>
      <c r="N294" s="222" t="n">
        <v>686.38</v>
      </c>
      <c r="O294" s="222" t="n">
        <v>909.17</v>
      </c>
      <c r="P294" s="224">
        <f>(N294-O294)/O294</f>
        <v/>
      </c>
      <c r="Q294" s="223">
        <f>O294*0.9056*0.85</f>
        <v/>
      </c>
      <c r="R294" s="223">
        <f>O294*1.15</f>
        <v/>
      </c>
      <c r="S294" s="223">
        <f>IF(N294&lt;O294*0.9056*0.85,O294*0.9056*0.85,IF(N294&gt;O294*1.15,O294*1.15,N294))</f>
        <v/>
      </c>
      <c r="T294" s="223">
        <f>+G294*N294</f>
        <v/>
      </c>
      <c r="U294" s="223">
        <f>T294+S294*J294</f>
        <v/>
      </c>
      <c r="V294" s="230">
        <f>T294+S294*K294</f>
        <v/>
      </c>
      <c r="W294" s="223">
        <f>V294-T294</f>
        <v/>
      </c>
      <c r="X294" s="230">
        <f>+V294-U294</f>
        <v/>
      </c>
      <c r="Y294" s="231">
        <f>+V294-U294</f>
        <v/>
      </c>
      <c r="Z294" s="222" t="n"/>
      <c r="AA294" s="222" t="n"/>
      <c r="AB294" s="222" t="n"/>
      <c r="AC294" s="222" t="n"/>
      <c r="AD294" s="222" t="n"/>
      <c r="AE294" s="222" t="n"/>
      <c r="AF294" s="222" t="n"/>
      <c r="AG294" s="222" t="n"/>
      <c r="AH294" s="222" t="n"/>
      <c r="AI294" s="222" t="n"/>
      <c r="AJ294" s="222" t="n"/>
    </row>
    <row r="295" ht="54" customHeight="1" s="166">
      <c r="A295" s="222" t="n"/>
      <c r="B295" s="222" t="inlineStr">
        <is>
          <t>教学楼</t>
        </is>
      </c>
      <c r="C295" s="222" t="inlineStr">
        <is>
          <t>010502001002</t>
        </is>
      </c>
      <c r="D295" s="222" t="inlineStr">
        <is>
          <t>矩形柱</t>
        </is>
      </c>
      <c r="E295" s="222" t="inlineStr">
        <is>
          <t>1.现浇建筑物混凝土矩形柱
2.混凝土种类:预拌混凝土
3.混凝土强度等级:C40
4.含混凝土泵送费用</t>
        </is>
      </c>
      <c r="F295" s="222" t="inlineStr">
        <is>
          <t>m3</t>
        </is>
      </c>
      <c r="G295" s="222" t="n">
        <v>191.488</v>
      </c>
      <c r="H295" s="223" t="n">
        <v>184.33</v>
      </c>
      <c r="I295" s="230" t="n">
        <v>175.55</v>
      </c>
      <c r="J295" s="223">
        <f>H295-G295</f>
        <v/>
      </c>
      <c r="K295" s="223">
        <f>I295-G295</f>
        <v/>
      </c>
      <c r="L295" s="223">
        <f>+I295-H295</f>
        <v/>
      </c>
      <c r="M295" s="224">
        <f>J295/G295</f>
        <v/>
      </c>
      <c r="N295" s="222" t="n">
        <v>787.99</v>
      </c>
      <c r="O295" s="222" t="n">
        <v>990.83</v>
      </c>
      <c r="P295" s="224">
        <f>(N295-O295)/O295</f>
        <v/>
      </c>
      <c r="Q295" s="223">
        <f>O295*0.9056*0.85</f>
        <v/>
      </c>
      <c r="R295" s="223">
        <f>O295*1.15</f>
        <v/>
      </c>
      <c r="S295" s="223">
        <f>IF(N295&lt;O295*0.9056*0.85,O295*0.9056*0.85,IF(N295&gt;O295*1.15,O295*1.15,N295))</f>
        <v/>
      </c>
      <c r="T295" s="223">
        <f>+G295*N295</f>
        <v/>
      </c>
      <c r="U295" s="223">
        <f>T295+S295*J295</f>
        <v/>
      </c>
      <c r="V295" s="230">
        <f>T295+S295*K295</f>
        <v/>
      </c>
      <c r="W295" s="223">
        <f>V295-T295</f>
        <v/>
      </c>
      <c r="X295" s="230">
        <f>+V295-U295</f>
        <v/>
      </c>
      <c r="Y295" s="231">
        <f>+V295-U295</f>
        <v/>
      </c>
      <c r="Z295" s="222" t="n"/>
      <c r="AA295" s="222" t="n"/>
      <c r="AB295" s="222" t="n"/>
      <c r="AC295" s="222" t="n"/>
      <c r="AD295" s="222" t="n"/>
      <c r="AE295" s="222" t="n"/>
      <c r="AF295" s="222" t="n"/>
      <c r="AG295" s="222" t="n"/>
      <c r="AH295" s="222" t="n"/>
      <c r="AI295" s="222" t="n"/>
      <c r="AJ295" s="222" t="n"/>
    </row>
    <row r="296" ht="54" customHeight="1" s="166">
      <c r="A296" s="222" t="n"/>
      <c r="B296" s="222" t="inlineStr">
        <is>
          <t>教学楼</t>
        </is>
      </c>
      <c r="C296" s="222" t="inlineStr">
        <is>
          <t>010502001006</t>
        </is>
      </c>
      <c r="D296" s="222" t="inlineStr">
        <is>
          <t>矩形柱</t>
        </is>
      </c>
      <c r="E296" s="222" t="inlineStr">
        <is>
          <t>1.现浇建筑物混凝土矩形柱
2.混凝土种类:预拌混凝土
3.混凝土强度等级:C35
4.含混凝土泵送费用</t>
        </is>
      </c>
      <c r="F296" s="222" t="inlineStr">
        <is>
          <t>m3</t>
        </is>
      </c>
      <c r="G296" s="222" t="n">
        <v>133.32</v>
      </c>
      <c r="H296" s="223" t="n">
        <v>140.88</v>
      </c>
      <c r="I296" s="230" t="n">
        <v>134.17</v>
      </c>
      <c r="J296" s="223">
        <f>H296-G296</f>
        <v/>
      </c>
      <c r="K296" s="223">
        <f>I296-G296</f>
        <v/>
      </c>
      <c r="L296" s="223">
        <f>+I296-H296</f>
        <v/>
      </c>
      <c r="M296" s="224">
        <f>J296/G296</f>
        <v/>
      </c>
      <c r="N296" s="222" t="n">
        <v>777.84</v>
      </c>
      <c r="O296" s="222" t="n">
        <v>975.54</v>
      </c>
      <c r="P296" s="224">
        <f>(N296-O296)/O296</f>
        <v/>
      </c>
      <c r="Q296" s="223">
        <f>O296*0.9056*0.85</f>
        <v/>
      </c>
      <c r="R296" s="223">
        <f>O296*1.15</f>
        <v/>
      </c>
      <c r="S296" s="223">
        <f>IF(N296&lt;O296*0.9056*0.85,O296*0.9056*0.85,IF(N296&gt;O296*1.15,O296*1.15,N296))</f>
        <v/>
      </c>
      <c r="T296" s="223">
        <f>+G296*N296</f>
        <v/>
      </c>
      <c r="U296" s="223">
        <f>T296+S296*J296</f>
        <v/>
      </c>
      <c r="V296" s="230">
        <f>T296+S296*K296</f>
        <v/>
      </c>
      <c r="W296" s="223">
        <f>V296-T296</f>
        <v/>
      </c>
      <c r="X296" s="230">
        <f>+V296-U296</f>
        <v/>
      </c>
      <c r="Y296" s="231">
        <f>+V296-U296</f>
        <v/>
      </c>
      <c r="Z296" s="222" t="n"/>
      <c r="AA296" s="222" t="n"/>
      <c r="AB296" s="222" t="n"/>
      <c r="AC296" s="222" t="n"/>
      <c r="AD296" s="222" t="n"/>
      <c r="AE296" s="222" t="n"/>
      <c r="AF296" s="222" t="n"/>
      <c r="AG296" s="222" t="n"/>
      <c r="AH296" s="222" t="n"/>
      <c r="AI296" s="222" t="n"/>
      <c r="AJ296" s="222" t="n"/>
    </row>
    <row r="297" ht="54" customHeight="1" s="166">
      <c r="A297" s="222" t="n"/>
      <c r="B297" s="234" t="inlineStr">
        <is>
          <t>教学楼</t>
        </is>
      </c>
      <c r="C297" s="234" t="inlineStr">
        <is>
          <t>010502001004</t>
        </is>
      </c>
      <c r="D297" s="234" t="inlineStr">
        <is>
          <t>矩形柱</t>
        </is>
      </c>
      <c r="E297" s="234" t="inlineStr">
        <is>
          <t>1.现浇建筑物混凝土矩形柱
2.混凝土种类:预拌混凝土
3.混凝土强度等级:C30
4.含混凝土泵送费用</t>
        </is>
      </c>
      <c r="F297" s="234" t="inlineStr">
        <is>
          <t>m3</t>
        </is>
      </c>
      <c r="G297" s="234" t="n">
        <v>167.06</v>
      </c>
      <c r="H297" s="235" t="n">
        <v>195.11</v>
      </c>
      <c r="I297" s="230" t="n">
        <v>185.82</v>
      </c>
      <c r="J297" s="235">
        <f>H297-G297</f>
        <v/>
      </c>
      <c r="K297" s="235">
        <f>I297-G297</f>
        <v/>
      </c>
      <c r="L297" s="235">
        <f>+I297-H297</f>
        <v/>
      </c>
      <c r="M297" s="236">
        <f>J297/G297</f>
        <v/>
      </c>
      <c r="N297" s="234" t="n">
        <v>767.6900000000001</v>
      </c>
      <c r="O297" s="234" t="n">
        <v>959.74</v>
      </c>
      <c r="P297" s="236">
        <f>(N297-O297)/O297</f>
        <v/>
      </c>
      <c r="Q297" s="235">
        <f>O297*0.9056*0.85</f>
        <v/>
      </c>
      <c r="R297" s="235">
        <f>O297*1.15</f>
        <v/>
      </c>
      <c r="S297" s="235">
        <f>IF(N297&lt;O297*0.9056*0.85,O297*0.9056*0.85,IF(N297&gt;O297*1.15,O297*1.15,N297))</f>
        <v/>
      </c>
      <c r="T297" s="235">
        <f>+G297*N297</f>
        <v/>
      </c>
      <c r="U297" s="235">
        <f>T297+S297*J297</f>
        <v/>
      </c>
      <c r="V297" s="230">
        <f>T297+S297*K297</f>
        <v/>
      </c>
      <c r="W297" s="223">
        <f>V297-T297</f>
        <v/>
      </c>
      <c r="X297" s="230">
        <f>+V297-U297</f>
        <v/>
      </c>
      <c r="Y297" s="231">
        <f>+V297-U297</f>
        <v/>
      </c>
      <c r="Z297" s="234" t="n"/>
      <c r="AA297" s="222" t="n"/>
      <c r="AB297" s="222" t="n"/>
      <c r="AC297" s="222" t="n"/>
      <c r="AD297" s="222" t="n"/>
      <c r="AE297" s="222" t="n"/>
      <c r="AF297" s="222" t="n"/>
      <c r="AG297" s="222" t="n"/>
      <c r="AH297" s="222" t="n"/>
      <c r="AI297" s="222" t="n"/>
      <c r="AJ297" s="222" t="n"/>
    </row>
    <row r="298" ht="54" customHeight="1" s="166">
      <c r="A298" s="222" t="n"/>
      <c r="B298" s="222" t="inlineStr">
        <is>
          <t>教学楼</t>
        </is>
      </c>
      <c r="C298" s="222" t="inlineStr">
        <is>
          <t>010502001007</t>
        </is>
      </c>
      <c r="D298" s="222" t="inlineStr">
        <is>
          <t>异形柱</t>
        </is>
      </c>
      <c r="E298" s="222" t="inlineStr">
        <is>
          <t>1.现浇建筑物混凝土异形柱
2.混凝土种类:预拌混凝土
3.混凝土强度等级:C40
4.含混凝土泵送费用</t>
        </is>
      </c>
      <c r="F298" s="222" t="inlineStr">
        <is>
          <t>m3</t>
        </is>
      </c>
      <c r="G298" s="222" t="n">
        <v>43.022</v>
      </c>
      <c r="H298" s="223" t="n">
        <v>57.83</v>
      </c>
      <c r="I298" s="230" t="n">
        <v>57.83</v>
      </c>
      <c r="J298" s="223">
        <f>H298-G298</f>
        <v/>
      </c>
      <c r="K298" s="223">
        <f>I298-G298</f>
        <v/>
      </c>
      <c r="L298" s="223">
        <f>+I298-H298</f>
        <v/>
      </c>
      <c r="M298" s="224">
        <f>J298/G298</f>
        <v/>
      </c>
      <c r="N298" s="222" t="n">
        <v>787.99</v>
      </c>
      <c r="O298" s="222" t="n">
        <v>990.83</v>
      </c>
      <c r="P298" s="224">
        <f>(N298-O298)/O298</f>
        <v/>
      </c>
      <c r="Q298" s="223">
        <f>O298*0.9056*0.85</f>
        <v/>
      </c>
      <c r="R298" s="223">
        <f>O298*1.15</f>
        <v/>
      </c>
      <c r="S298" s="223">
        <f>IF(N298&lt;O298*0.9056*0.85,O298*0.9056*0.85,IF(N298&gt;O298*1.15,O298*1.15,N298))</f>
        <v/>
      </c>
      <c r="T298" s="223">
        <f>+G298*N298</f>
        <v/>
      </c>
      <c r="U298" s="223">
        <f>T298+S298*J298</f>
        <v/>
      </c>
      <c r="V298" s="230">
        <f>T298+S298*K298</f>
        <v/>
      </c>
      <c r="W298" s="223">
        <f>V298-T298</f>
        <v/>
      </c>
      <c r="X298" s="230">
        <f>+V298-U298</f>
        <v/>
      </c>
      <c r="Y298" s="231">
        <f>+V298-U298</f>
        <v/>
      </c>
      <c r="Z298" s="222" t="n"/>
      <c r="AA298" s="222" t="n"/>
      <c r="AB298" s="222" t="n"/>
      <c r="AC298" s="222" t="n"/>
      <c r="AD298" s="222" t="n"/>
      <c r="AE298" s="222" t="n"/>
      <c r="AF298" s="222" t="n"/>
      <c r="AG298" s="222" t="n"/>
      <c r="AH298" s="222" t="n"/>
      <c r="AI298" s="222" t="n"/>
      <c r="AJ298" s="222" t="n"/>
    </row>
    <row r="299" ht="54" customHeight="1" s="166">
      <c r="A299" s="222" t="n"/>
      <c r="B299" s="222" t="inlineStr">
        <is>
          <t>教学楼</t>
        </is>
      </c>
      <c r="C299" s="222" t="inlineStr">
        <is>
          <t>010502001008</t>
        </is>
      </c>
      <c r="D299" s="222" t="inlineStr">
        <is>
          <t>异形柱</t>
        </is>
      </c>
      <c r="E299" s="222" t="inlineStr">
        <is>
          <t>1.现浇建筑物混凝土异形柱
2.混凝土种类:预拌混凝土
3.混凝土强度等级:C35
4.含混凝土泵送费用</t>
        </is>
      </c>
      <c r="F299" s="222" t="inlineStr">
        <is>
          <t>m3</t>
        </is>
      </c>
      <c r="G299" s="222" t="n">
        <v>18.55</v>
      </c>
      <c r="H299" s="223" t="n">
        <v>12.89</v>
      </c>
      <c r="I299" s="230" t="n">
        <v>12.89</v>
      </c>
      <c r="J299" s="223">
        <f>H299-G299</f>
        <v/>
      </c>
      <c r="K299" s="223">
        <f>I299-G299</f>
        <v/>
      </c>
      <c r="L299" s="223">
        <f>+I299-H299</f>
        <v/>
      </c>
      <c r="M299" s="224">
        <f>J299/G299</f>
        <v/>
      </c>
      <c r="N299" s="222" t="n">
        <v>777.84</v>
      </c>
      <c r="O299" s="222" t="n">
        <v>975.54</v>
      </c>
      <c r="P299" s="224">
        <f>(N299-O299)/O299</f>
        <v/>
      </c>
      <c r="Q299" s="223">
        <f>O299*0.9056*0.85</f>
        <v/>
      </c>
      <c r="R299" s="223">
        <f>O299*1.15</f>
        <v/>
      </c>
      <c r="S299" s="223">
        <f>IF(N299&lt;O299*0.9056*0.85,O299*0.9056*0.85,IF(N299&gt;O299*1.15,O299*1.15,N299))</f>
        <v/>
      </c>
      <c r="T299" s="223">
        <f>+G299*N299</f>
        <v/>
      </c>
      <c r="U299" s="223">
        <f>T299+S299*J299</f>
        <v/>
      </c>
      <c r="V299" s="230">
        <f>T299+S299*K299</f>
        <v/>
      </c>
      <c r="W299" s="223">
        <f>V299-T299</f>
        <v/>
      </c>
      <c r="X299" s="230">
        <f>+V299-U299</f>
        <v/>
      </c>
      <c r="Y299" s="231">
        <f>+V299-U299</f>
        <v/>
      </c>
      <c r="Z299" s="222" t="n"/>
      <c r="AA299" s="222" t="n"/>
      <c r="AB299" s="222" t="n"/>
      <c r="AC299" s="222" t="n"/>
      <c r="AD299" s="222" t="n"/>
      <c r="AE299" s="222" t="n"/>
      <c r="AF299" s="222" t="n"/>
      <c r="AG299" s="222" t="n"/>
      <c r="AH299" s="222" t="n"/>
      <c r="AI299" s="222" t="n"/>
      <c r="AJ299" s="222" t="n"/>
    </row>
    <row r="300" ht="41.25" customHeight="1" s="166">
      <c r="A300" s="222" t="n"/>
      <c r="B300" s="222" t="inlineStr">
        <is>
          <t>教学楼</t>
        </is>
      </c>
      <c r="C300" s="222" t="inlineStr">
        <is>
          <t>010502002001</t>
        </is>
      </c>
      <c r="D300" s="222" t="inlineStr">
        <is>
          <t>构造柱</t>
        </is>
      </c>
      <c r="E300" s="222" t="inlineStr">
        <is>
          <t>1.构造柱
2.混凝土种类:预拌混凝土
3.混凝土强度等级:C25</t>
        </is>
      </c>
      <c r="F300" s="222" t="inlineStr">
        <is>
          <t>m3</t>
        </is>
      </c>
      <c r="G300" s="222" t="n">
        <v>142.86</v>
      </c>
      <c r="H300" s="223" t="n">
        <v>142.86</v>
      </c>
      <c r="I300" s="230" t="n">
        <v>130.02</v>
      </c>
      <c r="J300" s="223">
        <f>H300-G300</f>
        <v/>
      </c>
      <c r="K300" s="223">
        <f>I300-G300</f>
        <v/>
      </c>
      <c r="L300" s="223">
        <f>+I300-H300</f>
        <v/>
      </c>
      <c r="M300" s="224">
        <f>J300/G300</f>
        <v/>
      </c>
      <c r="N300" s="222" t="n">
        <v>820.9400000000001</v>
      </c>
      <c r="O300" s="222" t="n">
        <v>1006.12</v>
      </c>
      <c r="P300" s="224">
        <f>(N300-O300)/O300</f>
        <v/>
      </c>
      <c r="Q300" s="223">
        <f>O300*0.9056*0.85</f>
        <v/>
      </c>
      <c r="R300" s="223">
        <f>O300*1.15</f>
        <v/>
      </c>
      <c r="S300" s="223">
        <f>IF(N300&lt;O300*0.9056*0.85,O300*0.9056*0.85,IF(N300&gt;O300*1.15,O300*1.15,N300))</f>
        <v/>
      </c>
      <c r="T300" s="223">
        <f>+G300*N300</f>
        <v/>
      </c>
      <c r="U300" s="223">
        <f>T300+S300*J300</f>
        <v/>
      </c>
      <c r="V300" s="230">
        <f>T300+S300*K300</f>
        <v/>
      </c>
      <c r="W300" s="223">
        <f>V300-T300</f>
        <v/>
      </c>
      <c r="X300" s="230">
        <f>+V300-U300</f>
        <v/>
      </c>
      <c r="Y300" s="231">
        <f>+V300-U300</f>
        <v/>
      </c>
      <c r="Z300" s="222" t="n"/>
      <c r="AA300" s="222" t="n"/>
      <c r="AB300" s="222" t="n"/>
      <c r="AC300" s="222" t="n"/>
      <c r="AD300" s="222" t="n"/>
      <c r="AE300" s="222" t="n"/>
      <c r="AF300" s="222" t="n"/>
      <c r="AG300" s="222" t="n"/>
      <c r="AH300" s="222" t="n"/>
      <c r="AI300" s="222" t="n"/>
      <c r="AJ300" s="222" t="n"/>
    </row>
    <row r="301" ht="54" customHeight="1" s="166">
      <c r="A301" s="222" t="n"/>
      <c r="B301" s="222" t="inlineStr">
        <is>
          <t>教学楼</t>
        </is>
      </c>
      <c r="C301" s="222" t="inlineStr">
        <is>
          <t>010504001001</t>
        </is>
      </c>
      <c r="D301" s="222" t="inlineStr">
        <is>
          <t>直形墙</t>
        </is>
      </c>
      <c r="E301" s="222" t="inlineStr">
        <is>
          <t>1.装饰墙
2.混凝土种类:预拌混凝土
3.混凝土强度等级:C25
4.含混凝土泵送费用</t>
        </is>
      </c>
      <c r="F301" s="222" t="inlineStr">
        <is>
          <t>m3</t>
        </is>
      </c>
      <c r="G301" s="222" t="n">
        <v>112.42</v>
      </c>
      <c r="H301" s="223" t="n">
        <v>116.14</v>
      </c>
      <c r="I301" s="230" t="n">
        <v>116.14</v>
      </c>
      <c r="J301" s="223">
        <f>H301-G301</f>
        <v/>
      </c>
      <c r="K301" s="223">
        <f>I301-G301</f>
        <v/>
      </c>
      <c r="L301" s="223">
        <f>+I301-H301</f>
        <v/>
      </c>
      <c r="M301" s="224">
        <f>J301/G301</f>
        <v/>
      </c>
      <c r="N301" s="222" t="n">
        <v>688.86</v>
      </c>
      <c r="O301" s="222" t="n">
        <v>830.73</v>
      </c>
      <c r="P301" s="224">
        <f>(N301-O301)/O301</f>
        <v/>
      </c>
      <c r="Q301" s="223">
        <f>O301*0.9056*0.85</f>
        <v/>
      </c>
      <c r="R301" s="223">
        <f>O301*1.15</f>
        <v/>
      </c>
      <c r="S301" s="223">
        <f>IF(N301&lt;O301*0.9056*0.85,O301*0.9056*0.85,IF(N301&gt;O301*1.15,O301*1.15,N301))</f>
        <v/>
      </c>
      <c r="T301" s="223">
        <f>+G301*N301</f>
        <v/>
      </c>
      <c r="U301" s="223">
        <f>T301+S301*J301</f>
        <v/>
      </c>
      <c r="V301" s="230">
        <f>T301+S301*K301</f>
        <v/>
      </c>
      <c r="W301" s="223">
        <f>V301-T301</f>
        <v/>
      </c>
      <c r="X301" s="230">
        <f>+V301-U301</f>
        <v/>
      </c>
      <c r="Y301" s="231">
        <f>+V301-U301</f>
        <v/>
      </c>
      <c r="Z301" s="222" t="n"/>
      <c r="AA301" s="222" t="n"/>
      <c r="AB301" s="222" t="n"/>
      <c r="AC301" s="222" t="n"/>
      <c r="AD301" s="222" t="n"/>
      <c r="AE301" s="222" t="n"/>
      <c r="AF301" s="222" t="n"/>
      <c r="AG301" s="222" t="n"/>
      <c r="AH301" s="222" t="n"/>
      <c r="AI301" s="222" t="n"/>
      <c r="AJ301" s="222" t="n"/>
    </row>
    <row r="302" ht="54" customHeight="1" s="166">
      <c r="A302" s="222" t="n"/>
      <c r="B302" s="222" t="inlineStr">
        <is>
          <t>教学楼</t>
        </is>
      </c>
      <c r="C302" s="222" t="inlineStr">
        <is>
          <t>010504001002</t>
        </is>
      </c>
      <c r="D302" s="222" t="inlineStr">
        <is>
          <t>直形墙</t>
        </is>
      </c>
      <c r="E302" s="222" t="inlineStr">
        <is>
          <t>1.电梯井
2.混凝土种类:预拌混凝土
3.混凝土强度等级:C30
4.含混凝土泵送费用</t>
        </is>
      </c>
      <c r="F302" s="222" t="inlineStr">
        <is>
          <t>m3</t>
        </is>
      </c>
      <c r="G302" s="222" t="n">
        <v>1.118</v>
      </c>
      <c r="H302" s="223" t="n">
        <v>2.43</v>
      </c>
      <c r="I302" s="230" t="n">
        <v>2.31</v>
      </c>
      <c r="J302" s="223">
        <f>H302-G302</f>
        <v/>
      </c>
      <c r="K302" s="223">
        <f>I302-G302</f>
        <v/>
      </c>
      <c r="L302" s="223">
        <f>+I302-H302</f>
        <v/>
      </c>
      <c r="M302" s="224">
        <f>J302/G302</f>
        <v/>
      </c>
      <c r="N302" s="222" t="n">
        <v>699.01</v>
      </c>
      <c r="O302" s="222" t="n">
        <v>882.4400000000001</v>
      </c>
      <c r="P302" s="224">
        <f>(N302-O302)/O302</f>
        <v/>
      </c>
      <c r="Q302" s="223">
        <f>O302*0.9056*0.85</f>
        <v/>
      </c>
      <c r="R302" s="223">
        <f>O302*1.15</f>
        <v/>
      </c>
      <c r="S302" s="223">
        <f>IF(N302&lt;O302*0.9056*0.85,O302*0.9056*0.85,IF(N302&gt;O302*1.15,O302*1.15,N302))</f>
        <v/>
      </c>
      <c r="T302" s="223">
        <f>+G302*N302</f>
        <v/>
      </c>
      <c r="U302" s="223">
        <f>T302+S302*J302</f>
        <v/>
      </c>
      <c r="V302" s="230">
        <f>T302+S302*K302</f>
        <v/>
      </c>
      <c r="W302" s="223">
        <f>V302-T302</f>
        <v/>
      </c>
      <c r="X302" s="230">
        <f>+V302-U302</f>
        <v/>
      </c>
      <c r="Y302" s="231">
        <f>+V302-U302</f>
        <v/>
      </c>
      <c r="Z302" s="222" t="n"/>
      <c r="AA302" s="222" t="n"/>
      <c r="AB302" s="222" t="n"/>
      <c r="AC302" s="222" t="n"/>
      <c r="AD302" s="222" t="n"/>
      <c r="AE302" s="222" t="n"/>
      <c r="AF302" s="222" t="n"/>
      <c r="AG302" s="222" t="n"/>
      <c r="AH302" s="222" t="n"/>
      <c r="AI302" s="222" t="n"/>
      <c r="AJ302" s="222" t="n"/>
    </row>
    <row r="303" ht="54" customHeight="1" s="166">
      <c r="A303" s="222" t="n"/>
      <c r="B303" s="222" t="inlineStr">
        <is>
          <t>教学楼</t>
        </is>
      </c>
      <c r="C303" s="222" t="inlineStr">
        <is>
          <t>010505001002</t>
        </is>
      </c>
      <c r="D303" s="222" t="inlineStr">
        <is>
          <t>有梁板</t>
        </is>
      </c>
      <c r="E303" s="222" t="inlineStr">
        <is>
          <t>1.有梁板
2.混凝土种类:预拌混凝土
3.混凝土强度等级:C30
4.含混凝土泵送费用</t>
        </is>
      </c>
      <c r="F303" s="222" t="inlineStr">
        <is>
          <t>m3</t>
        </is>
      </c>
      <c r="G303" s="222" t="n">
        <v>1987.3127</v>
      </c>
      <c r="H303" s="223" t="n">
        <v>2199.78</v>
      </c>
      <c r="I303" s="230">
        <f>2342.86-I304</f>
        <v/>
      </c>
      <c r="J303" s="223">
        <f>H303-G303</f>
        <v/>
      </c>
      <c r="K303" s="223">
        <f>I303-G303</f>
        <v/>
      </c>
      <c r="L303" s="223">
        <f>+I303-H303</f>
        <v/>
      </c>
      <c r="M303" s="224">
        <f>J303/G303</f>
        <v/>
      </c>
      <c r="N303" s="222" t="n">
        <v>674.8</v>
      </c>
      <c r="O303" s="222" t="n">
        <v>855.35</v>
      </c>
      <c r="P303" s="224">
        <f>(N303-O303)/O303</f>
        <v/>
      </c>
      <c r="Q303" s="223">
        <f>O303*0.9056*0.85</f>
        <v/>
      </c>
      <c r="R303" s="223">
        <f>O303*1.15</f>
        <v/>
      </c>
      <c r="S303" s="223">
        <f>IF(N303&lt;O303*0.9056*0.85,O303*0.9056*0.85,IF(N303&gt;O303*1.15,O303*1.15,N303))</f>
        <v/>
      </c>
      <c r="T303" s="223">
        <f>+G303*N303</f>
        <v/>
      </c>
      <c r="U303" s="223">
        <f>T303+S303*J303</f>
        <v/>
      </c>
      <c r="V303" s="230">
        <f>T303+S303*K303</f>
        <v/>
      </c>
      <c r="W303" s="223">
        <f>V303-T303</f>
        <v/>
      </c>
      <c r="X303" s="230">
        <f>+V303-U303</f>
        <v/>
      </c>
      <c r="Y303" s="231">
        <f>+V303-U303</f>
        <v/>
      </c>
      <c r="Z303" s="222" t="n"/>
      <c r="AA303" s="222" t="n"/>
      <c r="AB303" s="222" t="n"/>
      <c r="AC303" s="222" t="n"/>
      <c r="AD303" s="222" t="n"/>
      <c r="AE303" s="222" t="n"/>
      <c r="AF303" s="222" t="n"/>
      <c r="AG303" s="222" t="n"/>
      <c r="AH303" s="222" t="n"/>
      <c r="AI303" s="222" t="n"/>
      <c r="AJ303" s="222" t="n"/>
    </row>
    <row r="304" ht="54" customHeight="1" s="166">
      <c r="A304" s="222" t="n"/>
      <c r="B304" s="222" t="inlineStr">
        <is>
          <t>教学楼</t>
        </is>
      </c>
      <c r="C304" s="222" t="inlineStr">
        <is>
          <t>010505001004</t>
        </is>
      </c>
      <c r="D304" s="222" t="inlineStr">
        <is>
          <t>有梁板（斜板）</t>
        </is>
      </c>
      <c r="E304" s="222" t="inlineStr">
        <is>
          <t>1.有梁板
2.混凝土种类:预拌混凝土
3.混凝土强度等级:C30
4.含混凝土泵送费用</t>
        </is>
      </c>
      <c r="F304" s="222" t="inlineStr">
        <is>
          <t>m3</t>
        </is>
      </c>
      <c r="G304" s="222" t="n">
        <v>325.8433</v>
      </c>
      <c r="H304" s="223" t="n">
        <v>272.63</v>
      </c>
      <c r="I304" s="230" t="n">
        <v>272.63</v>
      </c>
      <c r="J304" s="223">
        <f>H304-G304</f>
        <v/>
      </c>
      <c r="K304" s="223">
        <f>I304-G304</f>
        <v/>
      </c>
      <c r="L304" s="223">
        <f>+I304-H304</f>
        <v/>
      </c>
      <c r="M304" s="224">
        <f>J304/G304</f>
        <v/>
      </c>
      <c r="N304" s="222" t="n">
        <v>674.8</v>
      </c>
      <c r="O304" s="222" t="n">
        <v>869.35</v>
      </c>
      <c r="P304" s="224">
        <f>(N304-O304)/O304</f>
        <v/>
      </c>
      <c r="Q304" s="223">
        <f>O304*0.9056*0.85</f>
        <v/>
      </c>
      <c r="R304" s="223">
        <f>O304*1.15</f>
        <v/>
      </c>
      <c r="S304" s="223">
        <f>IF(N304&lt;O304*0.9056*0.85,O304*0.9056*0.85,IF(N304&gt;O304*1.15,O304*1.15,N304))</f>
        <v/>
      </c>
      <c r="T304" s="223">
        <f>+G304*N304</f>
        <v/>
      </c>
      <c r="U304" s="223">
        <f>T304+S304*J304</f>
        <v/>
      </c>
      <c r="V304" s="230">
        <f>T304+S304*K304</f>
        <v/>
      </c>
      <c r="W304" s="223">
        <f>V304-T304</f>
        <v/>
      </c>
      <c r="X304" s="230">
        <f>+V304-U304</f>
        <v/>
      </c>
      <c r="Y304" s="231">
        <f>+V304-U304</f>
        <v/>
      </c>
      <c r="Z304" s="222" t="n"/>
      <c r="AA304" s="222" t="n"/>
      <c r="AB304" s="222" t="n"/>
      <c r="AC304" s="222" t="n"/>
      <c r="AD304" s="222" t="n"/>
      <c r="AE304" s="222" t="n"/>
      <c r="AF304" s="222" t="n"/>
      <c r="AG304" s="222" t="n"/>
      <c r="AH304" s="222" t="n"/>
      <c r="AI304" s="222" t="n"/>
      <c r="AJ304" s="222" t="n"/>
    </row>
    <row r="305" ht="41.25" customHeight="1" s="166">
      <c r="A305" s="222" t="n"/>
      <c r="B305" s="222" t="inlineStr">
        <is>
          <t>教学楼</t>
        </is>
      </c>
      <c r="C305" s="222" t="inlineStr">
        <is>
          <t>010505008002</t>
        </is>
      </c>
      <c r="D305" s="222" t="inlineStr">
        <is>
          <t>飘板</t>
        </is>
      </c>
      <c r="E305" s="222" t="inlineStr">
        <is>
          <t>1.部位:空调板、装饰飘板
2.混凝土种类:预拌混凝土
3.混凝土强度等级:C30</t>
        </is>
      </c>
      <c r="F305" s="222" t="inlineStr">
        <is>
          <t>m3</t>
        </is>
      </c>
      <c r="G305" s="222" t="n">
        <v>134.61</v>
      </c>
      <c r="H305" s="223" t="n">
        <v>110.91</v>
      </c>
      <c r="I305" s="230">
        <f>7.58+79.07+18.96</f>
        <v/>
      </c>
      <c r="J305" s="223">
        <f>H305-G305</f>
        <v/>
      </c>
      <c r="K305" s="223">
        <f>I305-G305</f>
        <v/>
      </c>
      <c r="L305" s="223">
        <f>+I305-H305</f>
        <v/>
      </c>
      <c r="M305" s="224">
        <f>J305/G305</f>
        <v/>
      </c>
      <c r="N305" s="222" t="n">
        <v>838.64</v>
      </c>
      <c r="O305" s="222" t="n">
        <v>1007.51</v>
      </c>
      <c r="P305" s="224">
        <f>(N305-O305)/O305</f>
        <v/>
      </c>
      <c r="Q305" s="223">
        <f>O305*0.9056*0.85</f>
        <v/>
      </c>
      <c r="R305" s="223">
        <f>O305*1.15</f>
        <v/>
      </c>
      <c r="S305" s="223">
        <f>IF(N305&lt;O305*0.9056*0.85,O305*0.9056*0.85,IF(N305&gt;O305*1.15,O305*1.15,N305))</f>
        <v/>
      </c>
      <c r="T305" s="223">
        <f>+G305*N305</f>
        <v/>
      </c>
      <c r="U305" s="223">
        <f>T305+S305*J305</f>
        <v/>
      </c>
      <c r="V305" s="230">
        <f>T305+S305*K305</f>
        <v/>
      </c>
      <c r="W305" s="223">
        <f>V305-T305</f>
        <v/>
      </c>
      <c r="X305" s="230">
        <f>+V305-U305</f>
        <v/>
      </c>
      <c r="Y305" s="231">
        <f>+V305-U305</f>
        <v/>
      </c>
      <c r="Z305" s="222" t="n"/>
      <c r="AA305" s="222" t="n"/>
      <c r="AB305" s="222" t="n"/>
      <c r="AC305" s="222" t="n"/>
      <c r="AD305" s="222" t="n"/>
      <c r="AE305" s="222" t="n"/>
      <c r="AF305" s="222" t="n"/>
      <c r="AG305" s="222" t="n"/>
      <c r="AH305" s="222" t="n"/>
      <c r="AI305" s="222" t="n"/>
      <c r="AJ305" s="222" t="n"/>
    </row>
    <row r="306" ht="41.25" customHeight="1" s="166">
      <c r="A306" s="222" t="n"/>
      <c r="B306" s="222" t="inlineStr">
        <is>
          <t>教学楼</t>
        </is>
      </c>
      <c r="C306" s="222" t="inlineStr">
        <is>
          <t>010505006004</t>
        </is>
      </c>
      <c r="D306" s="222" t="inlineStr">
        <is>
          <t>栏板、反檐</t>
        </is>
      </c>
      <c r="E306" s="222" t="inlineStr">
        <is>
          <t>1.部位:栏板、反坎
2.混凝土强度等级:C25商品混凝土</t>
        </is>
      </c>
      <c r="F306" s="222" t="inlineStr">
        <is>
          <t>m3</t>
        </is>
      </c>
      <c r="G306" s="222" t="n">
        <v>28.37</v>
      </c>
      <c r="H306" s="223" t="n">
        <v>2.89</v>
      </c>
      <c r="I306" s="230" t="n">
        <v>2.89</v>
      </c>
      <c r="J306" s="223">
        <f>H306-G306</f>
        <v/>
      </c>
      <c r="K306" s="223">
        <f>I306-G306</f>
        <v/>
      </c>
      <c r="L306" s="223">
        <f>+I306-H306</f>
        <v/>
      </c>
      <c r="M306" s="224">
        <f>J306/G306</f>
        <v/>
      </c>
      <c r="N306" s="222" t="n">
        <v>826.88</v>
      </c>
      <c r="O306" s="222" t="n">
        <v>982.99</v>
      </c>
      <c r="P306" s="224">
        <f>(N306-O306)/O306</f>
        <v/>
      </c>
      <c r="Q306" s="223">
        <f>O306*0.9056*0.85</f>
        <v/>
      </c>
      <c r="R306" s="223">
        <f>O306*1.15</f>
        <v/>
      </c>
      <c r="S306" s="223">
        <f>IF(N306&lt;O306*0.9056*0.85,O306*0.9056*0.85,IF(N306&gt;O306*1.15,O306*1.15,N306))</f>
        <v/>
      </c>
      <c r="T306" s="223">
        <f>+G306*N306</f>
        <v/>
      </c>
      <c r="U306" s="223">
        <f>T306+S306*J306</f>
        <v/>
      </c>
      <c r="V306" s="230">
        <f>T306+S306*K306</f>
        <v/>
      </c>
      <c r="W306" s="223">
        <f>V306-T306</f>
        <v/>
      </c>
      <c r="X306" s="230">
        <f>+V306-U306</f>
        <v/>
      </c>
      <c r="Y306" s="231">
        <f>+V306-U306</f>
        <v/>
      </c>
      <c r="Z306" s="222" t="n"/>
      <c r="AA306" s="222" t="n"/>
      <c r="AB306" s="222" t="n"/>
      <c r="AC306" s="222" t="n"/>
      <c r="AD306" s="222" t="n"/>
      <c r="AE306" s="222" t="n"/>
      <c r="AF306" s="222" t="n"/>
      <c r="AG306" s="222" t="n"/>
      <c r="AH306" s="222" t="n"/>
      <c r="AI306" s="222" t="n"/>
      <c r="AJ306" s="222" t="n"/>
    </row>
    <row r="307" ht="41.25" customHeight="1" s="166">
      <c r="A307" s="222" t="n"/>
      <c r="B307" s="222" t="inlineStr">
        <is>
          <t>教学楼</t>
        </is>
      </c>
      <c r="C307" s="222" t="inlineStr">
        <is>
          <t>010503004001</t>
        </is>
      </c>
      <c r="D307" s="222" t="inlineStr">
        <is>
          <t>圈梁（女儿墙压顶、窗台压顶）</t>
        </is>
      </c>
      <c r="E307" s="222" t="inlineStr">
        <is>
          <t>1.部位:圈梁
2.混凝土种类:预拌混凝土
3.混凝土强度等级:C25</t>
        </is>
      </c>
      <c r="F307" s="222" t="inlineStr">
        <is>
          <t>m3</t>
        </is>
      </c>
      <c r="G307" s="222" t="n">
        <v>44.62</v>
      </c>
      <c r="H307" s="223" t="n">
        <v>44.62</v>
      </c>
      <c r="I307" s="230" t="n">
        <v>44.62</v>
      </c>
      <c r="J307" s="223">
        <f>H307-G307</f>
        <v/>
      </c>
      <c r="K307" s="223">
        <f>I307-G307</f>
        <v/>
      </c>
      <c r="L307" s="223">
        <f>+I307-H307</f>
        <v/>
      </c>
      <c r="M307" s="224">
        <f>J307/G307</f>
        <v/>
      </c>
      <c r="N307" s="222" t="n">
        <v>730.1</v>
      </c>
      <c r="O307" s="222" t="n">
        <v>906.2</v>
      </c>
      <c r="P307" s="224">
        <f>(N307-O307)/O307</f>
        <v/>
      </c>
      <c r="Q307" s="223">
        <f>O307*0.9056*0.85</f>
        <v/>
      </c>
      <c r="R307" s="223">
        <f>O307*1.15</f>
        <v/>
      </c>
      <c r="S307" s="223">
        <f>IF(N307&lt;O307*0.9056*0.85,O307*0.9056*0.85,IF(N307&gt;O307*1.15,O307*1.15,N307))</f>
        <v/>
      </c>
      <c r="T307" s="223">
        <f>+G307*N307</f>
        <v/>
      </c>
      <c r="U307" s="223">
        <f>T307+S307*J307</f>
        <v/>
      </c>
      <c r="V307" s="230">
        <f>T307+S307*K307</f>
        <v/>
      </c>
      <c r="W307" s="223">
        <f>V307-T307</f>
        <v/>
      </c>
      <c r="X307" s="230">
        <f>+V307-U307</f>
        <v/>
      </c>
      <c r="Y307" s="231">
        <f>+V307-U307</f>
        <v/>
      </c>
      <c r="Z307" s="222" t="n"/>
      <c r="AA307" s="222" t="n"/>
      <c r="AB307" s="222" t="n"/>
      <c r="AC307" s="222" t="n"/>
      <c r="AD307" s="222" t="n"/>
      <c r="AE307" s="222" t="n"/>
      <c r="AF307" s="222" t="n"/>
      <c r="AG307" s="222" t="n"/>
      <c r="AH307" s="222" t="n"/>
      <c r="AI307" s="222" t="n"/>
      <c r="AJ307" s="222" t="n"/>
    </row>
    <row r="308" ht="41.25" customHeight="1" s="166">
      <c r="A308" s="222" t="n"/>
      <c r="B308" s="222" t="inlineStr">
        <is>
          <t>教学楼</t>
        </is>
      </c>
      <c r="C308" s="222" t="inlineStr">
        <is>
          <t>010503005002</t>
        </is>
      </c>
      <c r="D308" s="222" t="inlineStr">
        <is>
          <t>过梁</t>
        </is>
      </c>
      <c r="E308" s="222" t="inlineStr">
        <is>
          <t>1.过梁
2.混凝土种类:预拌混凝土
3.混凝土强度等级:C25</t>
        </is>
      </c>
      <c r="F308" s="222" t="inlineStr">
        <is>
          <t>m3</t>
        </is>
      </c>
      <c r="G308" s="222" t="n">
        <v>10.13</v>
      </c>
      <c r="H308" s="223" t="n">
        <v>10.13</v>
      </c>
      <c r="I308" s="230" t="n">
        <v>10.13</v>
      </c>
      <c r="J308" s="223">
        <f>H308-G308</f>
        <v/>
      </c>
      <c r="K308" s="223">
        <f>I308-G308</f>
        <v/>
      </c>
      <c r="L308" s="223">
        <f>+I308-H308</f>
        <v/>
      </c>
      <c r="M308" s="224">
        <f>J308/G308</f>
        <v/>
      </c>
      <c r="N308" s="222" t="n">
        <v>730.1</v>
      </c>
      <c r="O308" s="222" t="n">
        <v>906.2</v>
      </c>
      <c r="P308" s="224">
        <f>(N308-O308)/O308</f>
        <v/>
      </c>
      <c r="Q308" s="223">
        <f>O308*0.9056*0.85</f>
        <v/>
      </c>
      <c r="R308" s="223">
        <f>O308*1.15</f>
        <v/>
      </c>
      <c r="S308" s="223">
        <f>IF(N308&lt;O308*0.9056*0.85,O308*0.9056*0.85,IF(N308&gt;O308*1.15,O308*1.15,N308))</f>
        <v/>
      </c>
      <c r="T308" s="223">
        <f>+G308*N308</f>
        <v/>
      </c>
      <c r="U308" s="223">
        <f>T308+S308*J308</f>
        <v/>
      </c>
      <c r="V308" s="230">
        <f>T308+S308*K308</f>
        <v/>
      </c>
      <c r="W308" s="223">
        <f>V308-T308</f>
        <v/>
      </c>
      <c r="X308" s="230">
        <f>+V308-U308</f>
        <v/>
      </c>
      <c r="Y308" s="231">
        <f>+V308-U308</f>
        <v/>
      </c>
      <c r="Z308" s="222" t="n"/>
      <c r="AA308" s="222" t="n"/>
      <c r="AB308" s="222" t="n"/>
      <c r="AC308" s="222" t="n"/>
      <c r="AD308" s="222" t="n"/>
      <c r="AE308" s="222" t="n"/>
      <c r="AF308" s="222" t="n"/>
      <c r="AG308" s="222" t="n"/>
      <c r="AH308" s="222" t="n"/>
      <c r="AI308" s="222" t="n"/>
      <c r="AJ308" s="222" t="n"/>
    </row>
    <row r="309" ht="41.25" customHeight="1" s="166">
      <c r="A309" s="222" t="n"/>
      <c r="B309" s="222" t="inlineStr">
        <is>
          <t>教学楼</t>
        </is>
      </c>
      <c r="C309" s="222" t="inlineStr">
        <is>
          <t>010507007001</t>
        </is>
      </c>
      <c r="D309" s="222" t="inlineStr">
        <is>
          <t>其他构件</t>
        </is>
      </c>
      <c r="E309" s="222" t="inlineStr">
        <is>
          <t>1.反坎
2.混凝土种类:预拌混凝土
3.混凝土强度等级:C25</t>
        </is>
      </c>
      <c r="F309" s="222" t="inlineStr">
        <is>
          <t>m3</t>
        </is>
      </c>
      <c r="G309" s="222" t="n">
        <v>18.106</v>
      </c>
      <c r="H309" s="223" t="n">
        <v>0</v>
      </c>
      <c r="I309" s="230" t="n">
        <v>0</v>
      </c>
      <c r="J309" s="223">
        <f>H309-G309</f>
        <v/>
      </c>
      <c r="K309" s="223">
        <f>I309-G309</f>
        <v/>
      </c>
      <c r="L309" s="223">
        <f>+I309-H309</f>
        <v/>
      </c>
      <c r="M309" s="224">
        <f>J309/G309</f>
        <v/>
      </c>
      <c r="N309" s="222" t="n">
        <v>957.9</v>
      </c>
      <c r="O309" s="222" t="n">
        <v>1157.57</v>
      </c>
      <c r="P309" s="224">
        <f>(N309-O309)/O309</f>
        <v/>
      </c>
      <c r="Q309" s="223">
        <f>O309*0.9056*0.85</f>
        <v/>
      </c>
      <c r="R309" s="223">
        <f>O309*1.15</f>
        <v/>
      </c>
      <c r="S309" s="223">
        <f>IF(N309&lt;O309*0.9056*0.85,O309*0.9056*0.85,IF(N309&gt;O309*1.15,O309*1.15,N309))</f>
        <v/>
      </c>
      <c r="T309" s="223">
        <f>+G309*N309</f>
        <v/>
      </c>
      <c r="U309" s="223">
        <f>T309+S309*J309</f>
        <v/>
      </c>
      <c r="V309" s="230">
        <f>T309+S309*K309</f>
        <v/>
      </c>
      <c r="W309" s="223">
        <f>V309-T309</f>
        <v/>
      </c>
      <c r="X309" s="230">
        <f>+V309-U309</f>
        <v/>
      </c>
      <c r="Y309" s="231">
        <f>+V309-U309</f>
        <v/>
      </c>
      <c r="Z309" s="222" t="n"/>
      <c r="AA309" s="222" t="n"/>
      <c r="AB309" s="222" t="n"/>
      <c r="AC309" s="222" t="n"/>
      <c r="AD309" s="222" t="n"/>
      <c r="AE309" s="222" t="n"/>
      <c r="AF309" s="222" t="n"/>
      <c r="AG309" s="222" t="n"/>
      <c r="AH309" s="222" t="n"/>
      <c r="AI309" s="222" t="n"/>
      <c r="AJ309" s="222" t="n"/>
    </row>
    <row r="310" ht="41.25" customHeight="1" s="166">
      <c r="A310" s="222" t="n"/>
      <c r="B310" s="222" t="inlineStr">
        <is>
          <t>教学楼</t>
        </is>
      </c>
      <c r="C310" s="222" t="inlineStr">
        <is>
          <t>010506001001</t>
        </is>
      </c>
      <c r="D310" s="222" t="inlineStr">
        <is>
          <t>直形楼梯</t>
        </is>
      </c>
      <c r="E310" s="222" t="inlineStr">
        <is>
          <t>1.混凝土种类:预拌混凝土
2.混凝土强度等级:C30
3.含混凝土泵送费用</t>
        </is>
      </c>
      <c r="F310" s="222" t="inlineStr">
        <is>
          <t>m3</t>
        </is>
      </c>
      <c r="G310" s="222" t="n">
        <v>102.36</v>
      </c>
      <c r="H310" s="223" t="n">
        <v>113.33</v>
      </c>
      <c r="I310" s="230" t="n">
        <v>107.93</v>
      </c>
      <c r="J310" s="223">
        <f>H310-G310</f>
        <v/>
      </c>
      <c r="K310" s="223">
        <f>I310-G310</f>
        <v/>
      </c>
      <c r="L310" s="223">
        <f>+I310-H310</f>
        <v/>
      </c>
      <c r="M310" s="224">
        <f>J310/G310</f>
        <v/>
      </c>
      <c r="N310" s="222" t="n">
        <v>726.66</v>
      </c>
      <c r="O310" s="222" t="n">
        <v>913.95</v>
      </c>
      <c r="P310" s="224">
        <f>(N310-O310)/O310</f>
        <v/>
      </c>
      <c r="Q310" s="223">
        <f>O310*0.9056*0.85</f>
        <v/>
      </c>
      <c r="R310" s="223">
        <f>O310*1.15</f>
        <v/>
      </c>
      <c r="S310" s="223">
        <f>IF(N310&lt;O310*0.9056*0.85,O310*0.9056*0.85,IF(N310&gt;O310*1.15,O310*1.15,N310))</f>
        <v/>
      </c>
      <c r="T310" s="223">
        <f>+G310*N310</f>
        <v/>
      </c>
      <c r="U310" s="223">
        <f>T310+S310*J310</f>
        <v/>
      </c>
      <c r="V310" s="230">
        <f>T310+S310*K310</f>
        <v/>
      </c>
      <c r="W310" s="223">
        <f>V310-T310</f>
        <v/>
      </c>
      <c r="X310" s="230">
        <f>+V310-U310</f>
        <v/>
      </c>
      <c r="Y310" s="231">
        <f>+V310-U310</f>
        <v/>
      </c>
      <c r="Z310" s="222" t="n"/>
      <c r="AA310" s="222" t="n"/>
      <c r="AB310" s="222" t="n"/>
      <c r="AC310" s="222" t="n"/>
      <c r="AD310" s="222" t="n"/>
      <c r="AE310" s="222" t="n"/>
      <c r="AF310" s="222" t="n"/>
      <c r="AG310" s="222" t="n"/>
      <c r="AH310" s="222" t="n"/>
      <c r="AI310" s="222" t="n"/>
      <c r="AJ310" s="222" t="n"/>
    </row>
    <row r="311" ht="41.25" customHeight="1" s="166">
      <c r="A311" s="222" t="n"/>
      <c r="B311" s="234" t="inlineStr">
        <is>
          <t>教学楼</t>
        </is>
      </c>
      <c r="C311" s="234" t="inlineStr">
        <is>
          <t>010401013006</t>
        </is>
      </c>
      <c r="D311" s="234" t="inlineStr">
        <is>
          <t>砖散水、地坪</t>
        </is>
      </c>
      <c r="E311" s="234" t="inlineStr">
        <is>
          <t>1.散水
2.C20素砼垫层60厚
3.150厚3:7灰土</t>
        </is>
      </c>
      <c r="F311" s="234" t="inlineStr">
        <is>
          <t>m2</t>
        </is>
      </c>
      <c r="G311" s="234" t="n">
        <v>141.6688</v>
      </c>
      <c r="H311" s="235" t="n">
        <v>239.87</v>
      </c>
      <c r="I311" s="230" t="n">
        <v>0</v>
      </c>
      <c r="J311" s="235">
        <f>H311-G311</f>
        <v/>
      </c>
      <c r="K311" s="235">
        <f>I311-G311</f>
        <v/>
      </c>
      <c r="L311" s="235">
        <f>+I311-H311</f>
        <v/>
      </c>
      <c r="M311" s="236">
        <f>J311/G311</f>
        <v/>
      </c>
      <c r="N311" s="234" t="n">
        <v>80.23999999999999</v>
      </c>
      <c r="O311" s="234" t="n">
        <v>95.34</v>
      </c>
      <c r="P311" s="236">
        <f>(N311-O311)/O311</f>
        <v/>
      </c>
      <c r="Q311" s="235">
        <f>O311*0.9056*0.85</f>
        <v/>
      </c>
      <c r="R311" s="235">
        <f>O311*1.15</f>
        <v/>
      </c>
      <c r="S311" s="235">
        <f>IF(N311&lt;O311*0.9056*0.85,O311*0.9056*0.85,IF(N311&gt;O311*1.15,O311*1.15,N311))</f>
        <v/>
      </c>
      <c r="T311" s="235">
        <f>+G311*N311</f>
        <v/>
      </c>
      <c r="U311" s="235">
        <f>T311+S311*J311</f>
        <v/>
      </c>
      <c r="V311" s="230">
        <f>T311+S311*K311</f>
        <v/>
      </c>
      <c r="W311" s="223">
        <f>V311-T311</f>
        <v/>
      </c>
      <c r="X311" s="230">
        <f>+V311-U311</f>
        <v/>
      </c>
      <c r="Y311" s="231">
        <f>+V311-U311</f>
        <v/>
      </c>
      <c r="Z311" s="234" t="n"/>
      <c r="AA311" s="234" t="n"/>
      <c r="AB311" s="222" t="n"/>
      <c r="AC311" s="222" t="n"/>
      <c r="AD311" s="222" t="n"/>
      <c r="AE311" s="222" t="n"/>
      <c r="AF311" s="222" t="n"/>
      <c r="AG311" s="222" t="n"/>
      <c r="AH311" s="222" t="n"/>
      <c r="AI311" s="222" t="n"/>
      <c r="AJ311" s="222" t="n"/>
    </row>
    <row r="312" ht="41.25" customHeight="1" s="166">
      <c r="A312" s="222" t="n"/>
      <c r="B312" s="222" t="inlineStr">
        <is>
          <t>教学楼</t>
        </is>
      </c>
      <c r="C312" s="222" t="inlineStr">
        <is>
          <t>010515001015</t>
        </is>
      </c>
      <c r="D312" s="222" t="inlineStr">
        <is>
          <t>现浇构件钢筋</t>
        </is>
      </c>
      <c r="E312" s="222" t="inlineStr">
        <is>
          <t>1.钢筋种类、规格:现浇构件带肋钢筋(HRB400)φ10以内</t>
        </is>
      </c>
      <c r="F312" s="222" t="inlineStr">
        <is>
          <t>t</t>
        </is>
      </c>
      <c r="G312" s="222" t="n">
        <v>178.2</v>
      </c>
      <c r="H312" s="223" t="n">
        <v>163.8</v>
      </c>
      <c r="I312" s="233" t="n">
        <v>163.799</v>
      </c>
      <c r="J312" s="223">
        <f>H312-G312</f>
        <v/>
      </c>
      <c r="K312" s="223">
        <f>I312-G312</f>
        <v/>
      </c>
      <c r="L312" s="223">
        <f>+I312-H312</f>
        <v/>
      </c>
      <c r="M312" s="224">
        <f>J312/G312</f>
        <v/>
      </c>
      <c r="N312" s="222" t="n">
        <v>5708.81</v>
      </c>
      <c r="O312" s="222" t="n">
        <v>6995.45</v>
      </c>
      <c r="P312" s="224">
        <f>(N312-O312)/O312</f>
        <v/>
      </c>
      <c r="Q312" s="223">
        <f>O312*0.9056*0.85</f>
        <v/>
      </c>
      <c r="R312" s="223">
        <f>O312*1.15</f>
        <v/>
      </c>
      <c r="S312" s="223">
        <f>IF(N312&lt;O312*0.9056*0.85,O312*0.9056*0.85,IF(N312&gt;O312*1.15,O312*1.15,N312))</f>
        <v/>
      </c>
      <c r="T312" s="223">
        <f>+G312*N312</f>
        <v/>
      </c>
      <c r="U312" s="223">
        <f>T312+S312*J312</f>
        <v/>
      </c>
      <c r="V312" s="230">
        <f>T312+S312*K312</f>
        <v/>
      </c>
      <c r="W312" s="223">
        <f>V312-T312</f>
        <v/>
      </c>
      <c r="X312" s="230">
        <f>+V312-U312</f>
        <v/>
      </c>
      <c r="Y312" s="231">
        <f>+V312-U312</f>
        <v/>
      </c>
      <c r="Z312" s="222" t="n"/>
      <c r="AA312" s="222" t="n"/>
      <c r="AB312" s="222" t="n"/>
      <c r="AC312" s="222" t="n"/>
      <c r="AD312" s="222" t="n"/>
      <c r="AE312" s="222" t="n"/>
      <c r="AF312" s="222" t="n"/>
      <c r="AG312" s="222" t="n"/>
      <c r="AH312" s="222" t="n"/>
      <c r="AI312" s="222" t="n"/>
      <c r="AJ312" s="222" t="n"/>
    </row>
    <row r="313" ht="41.25" customHeight="1" s="166">
      <c r="A313" s="222" t="n"/>
      <c r="B313" s="222" t="inlineStr">
        <is>
          <t>教学楼</t>
        </is>
      </c>
      <c r="C313" s="222" t="inlineStr">
        <is>
          <t>010515001016</t>
        </is>
      </c>
      <c r="D313" s="222" t="inlineStr">
        <is>
          <t>现浇构件钢筋</t>
        </is>
      </c>
      <c r="E313" s="222" t="inlineStr">
        <is>
          <t>1.钢筋种类、规格:现浇构件带肋钢筋(HRB400E)φ10以内</t>
        </is>
      </c>
      <c r="F313" s="222" t="inlineStr">
        <is>
          <t>t</t>
        </is>
      </c>
      <c r="G313" s="222" t="n">
        <v>6.982</v>
      </c>
      <c r="H313" s="223" t="n">
        <v>11.74</v>
      </c>
      <c r="I313" s="233" t="n">
        <v>11.744</v>
      </c>
      <c r="J313" s="223">
        <f>H313-G313</f>
        <v/>
      </c>
      <c r="K313" s="223">
        <f>I313-G313</f>
        <v/>
      </c>
      <c r="L313" s="223">
        <f>+I313-H313</f>
        <v/>
      </c>
      <c r="M313" s="224">
        <f>J313/G313</f>
        <v/>
      </c>
      <c r="N313" s="222" t="n">
        <v>5708.81</v>
      </c>
      <c r="O313" s="222" t="n">
        <v>7085.72</v>
      </c>
      <c r="P313" s="224">
        <f>(N313-O313)/O313</f>
        <v/>
      </c>
      <c r="Q313" s="223">
        <f>O313*0.9056*0.85</f>
        <v/>
      </c>
      <c r="R313" s="223">
        <f>O313*1.15</f>
        <v/>
      </c>
      <c r="S313" s="223">
        <f>IF(N313&lt;O313*0.9056*0.85,O313*0.9056*0.85,IF(N313&gt;O313*1.15,O313*1.15,N313))</f>
        <v/>
      </c>
      <c r="T313" s="223">
        <f>+G313*N313</f>
        <v/>
      </c>
      <c r="U313" s="223">
        <f>T313+S313*J313</f>
        <v/>
      </c>
      <c r="V313" s="230">
        <f>T313+S313*K313</f>
        <v/>
      </c>
      <c r="W313" s="223">
        <f>V313-T313</f>
        <v/>
      </c>
      <c r="X313" s="230">
        <f>+V313-U313</f>
        <v/>
      </c>
      <c r="Y313" s="231">
        <f>+V313-U313</f>
        <v/>
      </c>
      <c r="Z313" s="222" t="n"/>
      <c r="AA313" s="222" t="n"/>
      <c r="AB313" s="222" t="n"/>
      <c r="AC313" s="222" t="n"/>
      <c r="AD313" s="222" t="n"/>
      <c r="AE313" s="222" t="n"/>
      <c r="AF313" s="222" t="n"/>
      <c r="AG313" s="222" t="n"/>
      <c r="AH313" s="222" t="n"/>
      <c r="AI313" s="222" t="n"/>
      <c r="AJ313" s="222" t="n"/>
    </row>
    <row r="314" ht="41.25" customHeight="1" s="166">
      <c r="A314" s="222" t="n"/>
      <c r="B314" s="222" t="inlineStr">
        <is>
          <t>教学楼</t>
        </is>
      </c>
      <c r="C314" s="222" t="inlineStr">
        <is>
          <t>010515001017</t>
        </is>
      </c>
      <c r="D314" s="222" t="inlineStr">
        <is>
          <t>现浇构件钢筋</t>
        </is>
      </c>
      <c r="E314" s="222" t="inlineStr">
        <is>
          <t>1.钢筋种类、规格:现浇构件带肋钢筋(HRB400)φ25以内</t>
        </is>
      </c>
      <c r="F314" s="222" t="inlineStr">
        <is>
          <t>t</t>
        </is>
      </c>
      <c r="G314" s="222" t="n">
        <v>30.489</v>
      </c>
      <c r="H314" s="223" t="n">
        <v>65.31999999999999</v>
      </c>
      <c r="I314" s="233" t="n">
        <v>65.324</v>
      </c>
      <c r="J314" s="223">
        <f>H314-G314</f>
        <v/>
      </c>
      <c r="K314" s="223">
        <f>I314-G314</f>
        <v/>
      </c>
      <c r="L314" s="223">
        <f>+I314-H314</f>
        <v/>
      </c>
      <c r="M314" s="224">
        <f>J314/G314</f>
        <v/>
      </c>
      <c r="N314" s="222" t="n">
        <v>5570.86</v>
      </c>
      <c r="O314" s="222" t="n">
        <v>6793.55</v>
      </c>
      <c r="P314" s="224">
        <f>(N314-O314)/O314</f>
        <v/>
      </c>
      <c r="Q314" s="223">
        <f>O314*0.9056*0.85</f>
        <v/>
      </c>
      <c r="R314" s="223">
        <f>O314*1.15</f>
        <v/>
      </c>
      <c r="S314" s="223">
        <f>IF(N314&lt;O314*0.9056*0.85,O314*0.9056*0.85,IF(N314&gt;O314*1.15,O314*1.15,N314))</f>
        <v/>
      </c>
      <c r="T314" s="223">
        <f>+G314*N314</f>
        <v/>
      </c>
      <c r="U314" s="223">
        <f>T314+S314*J314</f>
        <v/>
      </c>
      <c r="V314" s="230">
        <f>T314+S314*K314</f>
        <v/>
      </c>
      <c r="W314" s="223">
        <f>V314-T314</f>
        <v/>
      </c>
      <c r="X314" s="230">
        <f>+V314-U314</f>
        <v/>
      </c>
      <c r="Y314" s="231">
        <f>+V314-U314</f>
        <v/>
      </c>
      <c r="Z314" s="222" t="n"/>
      <c r="AA314" s="222" t="n"/>
      <c r="AB314" s="222" t="n"/>
      <c r="AC314" s="222" t="n"/>
      <c r="AD314" s="222" t="n"/>
      <c r="AE314" s="222" t="n"/>
      <c r="AF314" s="222" t="n"/>
      <c r="AG314" s="222" t="n"/>
      <c r="AH314" s="222" t="n"/>
      <c r="AI314" s="222" t="n"/>
      <c r="AJ314" s="222" t="n"/>
    </row>
    <row r="315" ht="41.25" customHeight="1" s="166">
      <c r="A315" s="222" t="n"/>
      <c r="B315" s="222" t="inlineStr">
        <is>
          <t>教学楼</t>
        </is>
      </c>
      <c r="C315" s="222" t="inlineStr">
        <is>
          <t>010515001026</t>
        </is>
      </c>
      <c r="D315" s="222" t="inlineStr">
        <is>
          <t>现浇构件钢筋</t>
        </is>
      </c>
      <c r="E315" s="222" t="inlineStr">
        <is>
          <t>1.钢筋种类、规格:现浇构件带肋钢筋(HRB400E)φ25以内</t>
        </is>
      </c>
      <c r="F315" s="222" t="inlineStr">
        <is>
          <t>t</t>
        </is>
      </c>
      <c r="G315" s="222" t="n">
        <v>205.801</v>
      </c>
      <c r="H315" s="223" t="n">
        <v>180.93</v>
      </c>
      <c r="I315" s="233" t="n">
        <v>180.929</v>
      </c>
      <c r="J315" s="223">
        <f>H315-G315</f>
        <v/>
      </c>
      <c r="K315" s="223">
        <f>I315-G315</f>
        <v/>
      </c>
      <c r="L315" s="223">
        <f>+I315-H315</f>
        <v/>
      </c>
      <c r="M315" s="224">
        <f>J315/G315</f>
        <v/>
      </c>
      <c r="N315" s="222" t="n">
        <v>5570.86</v>
      </c>
      <c r="O315" s="222" t="n">
        <v>6884.26</v>
      </c>
      <c r="P315" s="224">
        <f>(N315-O315)/O315</f>
        <v/>
      </c>
      <c r="Q315" s="223">
        <f>O315*0.9056*0.85</f>
        <v/>
      </c>
      <c r="R315" s="223">
        <f>O315*1.15</f>
        <v/>
      </c>
      <c r="S315" s="223">
        <f>IF(N315&lt;O315*0.9056*0.85,O315*0.9056*0.85,IF(N315&gt;O315*1.15,O315*1.15,N315))</f>
        <v/>
      </c>
      <c r="T315" s="223">
        <f>+G315*N315</f>
        <v/>
      </c>
      <c r="U315" s="223">
        <f>T315+S315*J315</f>
        <v/>
      </c>
      <c r="V315" s="230">
        <f>T315+S315*K315</f>
        <v/>
      </c>
      <c r="W315" s="223">
        <f>V315-T315</f>
        <v/>
      </c>
      <c r="X315" s="230">
        <f>+V315-U315</f>
        <v/>
      </c>
      <c r="Y315" s="231">
        <f>+V315-U315</f>
        <v/>
      </c>
      <c r="Z315" s="222" t="n"/>
      <c r="AA315" s="222" t="n"/>
      <c r="AB315" s="222" t="n"/>
      <c r="AC315" s="222" t="n"/>
      <c r="AD315" s="222" t="n"/>
      <c r="AE315" s="222" t="n"/>
      <c r="AF315" s="222" t="n"/>
      <c r="AG315" s="222" t="n"/>
      <c r="AH315" s="222" t="n"/>
      <c r="AI315" s="222" t="n"/>
      <c r="AJ315" s="222" t="n"/>
    </row>
    <row r="316" ht="41.25" customHeight="1" s="166">
      <c r="A316" s="222" t="n"/>
      <c r="B316" s="222" t="inlineStr">
        <is>
          <t>教学楼</t>
        </is>
      </c>
      <c r="C316" s="222" t="inlineStr">
        <is>
          <t>010515001025</t>
        </is>
      </c>
      <c r="D316" s="222" t="inlineStr">
        <is>
          <t>现浇构件钢筋</t>
        </is>
      </c>
      <c r="E316" s="222" t="inlineStr">
        <is>
          <t>1.钢筋种类、规格:现浇构件带肋钢筋(HRB400E)φ25以外</t>
        </is>
      </c>
      <c r="F316" s="222" t="inlineStr">
        <is>
          <t>t</t>
        </is>
      </c>
      <c r="G316" s="222" t="n">
        <v>9.881</v>
      </c>
      <c r="H316" s="223" t="n">
        <v>8.130000000000001</v>
      </c>
      <c r="I316" s="233" t="n">
        <v>8.125999999999999</v>
      </c>
      <c r="J316" s="223">
        <f>H316-G316</f>
        <v/>
      </c>
      <c r="K316" s="223">
        <f>I316-G316</f>
        <v/>
      </c>
      <c r="L316" s="223">
        <f>+I316-H316</f>
        <v/>
      </c>
      <c r="M316" s="224">
        <f>J316/G316</f>
        <v/>
      </c>
      <c r="N316" s="222" t="n">
        <v>5507.01</v>
      </c>
      <c r="O316" s="222" t="n">
        <v>6766.86</v>
      </c>
      <c r="P316" s="224">
        <f>(N316-O316)/O316</f>
        <v/>
      </c>
      <c r="Q316" s="223">
        <f>O316*0.9056*0.85</f>
        <v/>
      </c>
      <c r="R316" s="223">
        <f>O316*1.15</f>
        <v/>
      </c>
      <c r="S316" s="223">
        <f>IF(N316&lt;O316*0.9056*0.85,O316*0.9056*0.85,IF(N316&gt;O316*1.15,O316*1.15,N316))</f>
        <v/>
      </c>
      <c r="T316" s="223">
        <f>+G316*N316</f>
        <v/>
      </c>
      <c r="U316" s="223">
        <f>T316+S316*J316</f>
        <v/>
      </c>
      <c r="V316" s="230">
        <f>T316+S316*K316</f>
        <v/>
      </c>
      <c r="W316" s="223">
        <f>V316-T316</f>
        <v/>
      </c>
      <c r="X316" s="230">
        <f>+V316-U316</f>
        <v/>
      </c>
      <c r="Y316" s="231">
        <f>+V316-U316</f>
        <v/>
      </c>
      <c r="Z316" s="222" t="n"/>
      <c r="AA316" s="222" t="n"/>
      <c r="AB316" s="222" t="n"/>
      <c r="AC316" s="222" t="n"/>
      <c r="AD316" s="222" t="n"/>
      <c r="AE316" s="222" t="n"/>
      <c r="AF316" s="222" t="n"/>
      <c r="AG316" s="222" t="n"/>
      <c r="AH316" s="222" t="n"/>
      <c r="AI316" s="222" t="n"/>
      <c r="AJ316" s="222" t="n"/>
    </row>
    <row r="317" ht="41.25" customHeight="1" s="166">
      <c r="A317" s="222" t="n"/>
      <c r="B317" s="222" t="inlineStr">
        <is>
          <t>教学楼</t>
        </is>
      </c>
      <c r="C317" s="222" t="inlineStr">
        <is>
          <t>010515001022</t>
        </is>
      </c>
      <c r="D317" s="222" t="inlineStr">
        <is>
          <t>现浇构件钢筋</t>
        </is>
      </c>
      <c r="E317" s="222" t="inlineStr">
        <is>
          <t>1.钢筋种类、规格:现浇构件箍筋带肋钢筋(HRB400)φ10以内</t>
        </is>
      </c>
      <c r="F317" s="222" t="inlineStr">
        <is>
          <t>t</t>
        </is>
      </c>
      <c r="G317" s="222" t="n">
        <v>97.663</v>
      </c>
      <c r="H317" s="223" t="n">
        <v>109.47</v>
      </c>
      <c r="I317" s="233" t="n">
        <v>109.473</v>
      </c>
      <c r="J317" s="223">
        <f>H317-G317</f>
        <v/>
      </c>
      <c r="K317" s="223">
        <f>I317-G317</f>
        <v/>
      </c>
      <c r="L317" s="223">
        <f>+I317-H317</f>
        <v/>
      </c>
      <c r="M317" s="224">
        <f>J317/G317</f>
        <v/>
      </c>
      <c r="N317" s="222" t="n">
        <v>6837.26</v>
      </c>
      <c r="O317" s="222" t="n">
        <v>8255.91</v>
      </c>
      <c r="P317" s="224">
        <f>(N317-O317)/O317</f>
        <v/>
      </c>
      <c r="Q317" s="223">
        <f>O317*0.9056*0.85</f>
        <v/>
      </c>
      <c r="R317" s="223">
        <f>O317*1.15</f>
        <v/>
      </c>
      <c r="S317" s="223">
        <f>IF(N317&lt;O317*0.9056*0.85,O317*0.9056*0.85,IF(N317&gt;O317*1.15,O317*1.15,N317))</f>
        <v/>
      </c>
      <c r="T317" s="223">
        <f>+G317*N317</f>
        <v/>
      </c>
      <c r="U317" s="223">
        <f>T317+S317*J317</f>
        <v/>
      </c>
      <c r="V317" s="230">
        <f>T317+S317*K317</f>
        <v/>
      </c>
      <c r="W317" s="223">
        <f>V317-T317</f>
        <v/>
      </c>
      <c r="X317" s="230">
        <f>+V317-U317</f>
        <v/>
      </c>
      <c r="Y317" s="231">
        <f>+V317-U317</f>
        <v/>
      </c>
      <c r="Z317" s="222" t="n"/>
      <c r="AA317" s="222" t="n"/>
      <c r="AB317" s="222" t="n"/>
      <c r="AC317" s="222" t="n"/>
      <c r="AD317" s="222" t="n"/>
      <c r="AE317" s="222" t="n"/>
      <c r="AF317" s="222" t="n"/>
      <c r="AG317" s="222" t="n"/>
      <c r="AH317" s="222" t="n"/>
      <c r="AI317" s="222" t="n"/>
      <c r="AJ317" s="222" t="n"/>
    </row>
    <row r="318" ht="41.25" customHeight="1" s="166">
      <c r="A318" s="222" t="n"/>
      <c r="B318" s="222" t="inlineStr">
        <is>
          <t>教学楼</t>
        </is>
      </c>
      <c r="C318" s="222" t="inlineStr">
        <is>
          <t>010515001023</t>
        </is>
      </c>
      <c r="D318" s="222" t="inlineStr">
        <is>
          <t>现浇构件钢筋</t>
        </is>
      </c>
      <c r="E318" s="222" t="inlineStr">
        <is>
          <t>1.钢筋种类、规格:现浇构件箍筋带肋钢筋(HRB400)φ10以外</t>
        </is>
      </c>
      <c r="F318" s="222" t="inlineStr">
        <is>
          <t>t</t>
        </is>
      </c>
      <c r="G318" s="222" t="n">
        <v>3.526</v>
      </c>
      <c r="H318" s="223" t="n">
        <v>4.1</v>
      </c>
      <c r="I318" s="233" t="n">
        <v>4.104</v>
      </c>
      <c r="J318" s="223">
        <f>H318-G318</f>
        <v/>
      </c>
      <c r="K318" s="223">
        <f>I318-G318</f>
        <v/>
      </c>
      <c r="L318" s="223">
        <f>+I318-H318</f>
        <v/>
      </c>
      <c r="M318" s="224">
        <f>J318/G318</f>
        <v/>
      </c>
      <c r="N318" s="222" t="n">
        <v>5844.44</v>
      </c>
      <c r="O318" s="222" t="n">
        <v>7106.92</v>
      </c>
      <c r="P318" s="224">
        <f>(N318-O318)/O318</f>
        <v/>
      </c>
      <c r="Q318" s="223">
        <f>O318*0.9056*0.85</f>
        <v/>
      </c>
      <c r="R318" s="223">
        <f>O318*1.15</f>
        <v/>
      </c>
      <c r="S318" s="223">
        <f>IF(N318&lt;O318*0.9056*0.85,O318*0.9056*0.85,IF(N318&gt;O318*1.15,O318*1.15,N318))</f>
        <v/>
      </c>
      <c r="T318" s="223">
        <f>+G318*N318</f>
        <v/>
      </c>
      <c r="U318" s="223">
        <f>T318+S318*J318</f>
        <v/>
      </c>
      <c r="V318" s="230">
        <f>T318+S318*K318</f>
        <v/>
      </c>
      <c r="W318" s="223">
        <f>V318-T318</f>
        <v/>
      </c>
      <c r="X318" s="230">
        <f>+V318-U318</f>
        <v/>
      </c>
      <c r="Y318" s="231">
        <f>+V318-U318</f>
        <v/>
      </c>
      <c r="Z318" s="222" t="n"/>
      <c r="AA318" s="222" t="n"/>
      <c r="AB318" s="222" t="n"/>
      <c r="AC318" s="222" t="n"/>
      <c r="AD318" s="222" t="n"/>
      <c r="AE318" s="222" t="n"/>
      <c r="AF318" s="222" t="n"/>
      <c r="AG318" s="222" t="n"/>
      <c r="AH318" s="222" t="n"/>
      <c r="AI318" s="222" t="n"/>
      <c r="AJ318" s="222" t="n"/>
    </row>
    <row r="319" ht="28.5" customHeight="1" s="166">
      <c r="A319" s="222" t="n"/>
      <c r="B319" s="222" t="inlineStr">
        <is>
          <t>教学楼</t>
        </is>
      </c>
      <c r="C319" s="222" t="inlineStr">
        <is>
          <t>010516003001</t>
        </is>
      </c>
      <c r="D319" s="222" t="inlineStr">
        <is>
          <t>钢筋连接</t>
        </is>
      </c>
      <c r="E319" s="222" t="inlineStr">
        <is>
          <t>1.连接方式:电渣压力焊接
2.规格:φ18以内</t>
        </is>
      </c>
      <c r="F319" s="222" t="inlineStr">
        <is>
          <t>个</t>
        </is>
      </c>
      <c r="G319" s="222" t="n">
        <v>2456</v>
      </c>
      <c r="H319" s="223" t="n">
        <v>0</v>
      </c>
      <c r="I319" s="232" t="n">
        <v>0</v>
      </c>
      <c r="J319" s="223">
        <f>H319-G319</f>
        <v/>
      </c>
      <c r="K319" s="223">
        <f>I319-G319</f>
        <v/>
      </c>
      <c r="L319" s="223">
        <f>+I319-H319</f>
        <v/>
      </c>
      <c r="M319" s="224">
        <f>J319/G319</f>
        <v/>
      </c>
      <c r="N319" s="222" t="n">
        <v>7.47</v>
      </c>
      <c r="O319" s="222" t="n">
        <v>8.25</v>
      </c>
      <c r="P319" s="224">
        <f>(N319-O319)/O319</f>
        <v/>
      </c>
      <c r="Q319" s="223">
        <f>O319*0.9056*0.85</f>
        <v/>
      </c>
      <c r="R319" s="223">
        <f>O319*1.15</f>
        <v/>
      </c>
      <c r="S319" s="223">
        <f>IF(N319&lt;O319*0.9056*0.85,O319*0.9056*0.85,IF(N319&gt;O319*1.15,O319*1.15,N319))</f>
        <v/>
      </c>
      <c r="T319" s="223">
        <f>+G319*N319</f>
        <v/>
      </c>
      <c r="U319" s="223">
        <f>T319+S319*J319</f>
        <v/>
      </c>
      <c r="V319" s="230">
        <f>T319+S319*K319</f>
        <v/>
      </c>
      <c r="W319" s="223">
        <f>V319-T319</f>
        <v/>
      </c>
      <c r="X319" s="230">
        <f>+V319-U319</f>
        <v/>
      </c>
      <c r="Y319" s="231">
        <f>+V319-U319</f>
        <v/>
      </c>
      <c r="Z319" s="222" t="n"/>
      <c r="AA319" s="222" t="n"/>
      <c r="AB319" s="222" t="n"/>
      <c r="AC319" s="222" t="n"/>
      <c r="AD319" s="222" t="n"/>
      <c r="AE319" s="222" t="n"/>
      <c r="AF319" s="222" t="n"/>
      <c r="AG319" s="222" t="n"/>
      <c r="AH319" s="222" t="n"/>
      <c r="AI319" s="222" t="n"/>
      <c r="AJ319" s="222" t="n"/>
    </row>
    <row r="320" ht="28.5" customHeight="1" s="166">
      <c r="A320" s="222" t="n"/>
      <c r="B320" s="222" t="inlineStr">
        <is>
          <t>教学楼</t>
        </is>
      </c>
      <c r="C320" s="222" t="inlineStr">
        <is>
          <t>010516003002</t>
        </is>
      </c>
      <c r="D320" s="222" t="inlineStr">
        <is>
          <t>钢筋连接</t>
        </is>
      </c>
      <c r="E320" s="222" t="inlineStr">
        <is>
          <t>1.连接方式:电渣压力焊接
2.规格:φ32以内</t>
        </is>
      </c>
      <c r="F320" s="222" t="inlineStr">
        <is>
          <t>个</t>
        </is>
      </c>
      <c r="G320" s="222" t="n">
        <v>2572</v>
      </c>
      <c r="H320" s="223" t="n">
        <v>0</v>
      </c>
      <c r="I320" s="232" t="n">
        <v>0</v>
      </c>
      <c r="J320" s="223">
        <f>H320-G320</f>
        <v/>
      </c>
      <c r="K320" s="223">
        <f>I320-G320</f>
        <v/>
      </c>
      <c r="L320" s="223">
        <f>+I320-H320</f>
        <v/>
      </c>
      <c r="M320" s="224">
        <f>J320/G320</f>
        <v/>
      </c>
      <c r="N320" s="222" t="n">
        <v>9.460000000000001</v>
      </c>
      <c r="O320" s="222" t="n">
        <v>10.44</v>
      </c>
      <c r="P320" s="224">
        <f>(N320-O320)/O320</f>
        <v/>
      </c>
      <c r="Q320" s="223">
        <f>O320*0.9056*0.85</f>
        <v/>
      </c>
      <c r="R320" s="223">
        <f>O320*1.15</f>
        <v/>
      </c>
      <c r="S320" s="223">
        <f>IF(N320&lt;O320*0.9056*0.85,O320*0.9056*0.85,IF(N320&gt;O320*1.15,O320*1.15,N320))</f>
        <v/>
      </c>
      <c r="T320" s="223">
        <f>+G320*N320</f>
        <v/>
      </c>
      <c r="U320" s="223">
        <f>T320+S320*J320</f>
        <v/>
      </c>
      <c r="V320" s="230">
        <f>T320+S320*K320</f>
        <v/>
      </c>
      <c r="W320" s="223">
        <f>V320-T320</f>
        <v/>
      </c>
      <c r="X320" s="230">
        <f>+V320-U320</f>
        <v/>
      </c>
      <c r="Y320" s="231">
        <f>+V320-U320</f>
        <v/>
      </c>
      <c r="Z320" s="222" t="n"/>
      <c r="AA320" s="222" t="n"/>
      <c r="AB320" s="222" t="n"/>
      <c r="AC320" s="222" t="n"/>
      <c r="AD320" s="222" t="n"/>
      <c r="AE320" s="222" t="n"/>
      <c r="AF320" s="222" t="n"/>
      <c r="AG320" s="222" t="n"/>
      <c r="AH320" s="222" t="n"/>
      <c r="AI320" s="222" t="n"/>
      <c r="AJ320" s="222" t="n"/>
    </row>
    <row r="321" ht="41.25" customHeight="1" s="166">
      <c r="A321" s="222" t="n"/>
      <c r="B321" s="222" t="inlineStr">
        <is>
          <t>教学楼</t>
        </is>
      </c>
      <c r="C321" s="222" t="inlineStr">
        <is>
          <t>010516003003</t>
        </is>
      </c>
      <c r="D321" s="222" t="inlineStr">
        <is>
          <t>机械连接</t>
        </is>
      </c>
      <c r="E321" s="222" t="inlineStr">
        <is>
          <t>1.连接方式:套筒直螺纹钢筋接头
2.规格:φ32以内</t>
        </is>
      </c>
      <c r="F321" s="222" t="inlineStr">
        <is>
          <t>个</t>
        </is>
      </c>
      <c r="G321" s="222" t="n">
        <v>3536</v>
      </c>
      <c r="H321" s="223" t="n">
        <v>0</v>
      </c>
      <c r="I321" s="232" t="n">
        <v>0</v>
      </c>
      <c r="J321" s="223">
        <f>H321-G321</f>
        <v/>
      </c>
      <c r="K321" s="223">
        <f>I321-G321</f>
        <v/>
      </c>
      <c r="L321" s="223">
        <f>+I321-H321</f>
        <v/>
      </c>
      <c r="M321" s="224">
        <f>J321/G321</f>
        <v/>
      </c>
      <c r="N321" s="222" t="n">
        <v>16.67</v>
      </c>
      <c r="O321" s="222" t="n">
        <v>21.53</v>
      </c>
      <c r="P321" s="224">
        <f>(N321-O321)/O321</f>
        <v/>
      </c>
      <c r="Q321" s="223">
        <f>O321*0.9056*0.85</f>
        <v/>
      </c>
      <c r="R321" s="223">
        <f>O321*1.15</f>
        <v/>
      </c>
      <c r="S321" s="223">
        <f>IF(N321&lt;O321*0.9056*0.85,O321*0.9056*0.85,IF(N321&gt;O321*1.15,O321*1.15,N321))</f>
        <v/>
      </c>
      <c r="T321" s="223">
        <f>+G321*N321</f>
        <v/>
      </c>
      <c r="U321" s="223">
        <f>T321+S321*J321</f>
        <v/>
      </c>
      <c r="V321" s="230">
        <f>T321+S321*K321</f>
        <v/>
      </c>
      <c r="W321" s="223">
        <f>V321-T321</f>
        <v/>
      </c>
      <c r="X321" s="230">
        <f>+V321-U321</f>
        <v/>
      </c>
      <c r="Y321" s="231">
        <f>+V321-U321</f>
        <v/>
      </c>
      <c r="Z321" s="222" t="n"/>
      <c r="AA321" s="222" t="n"/>
      <c r="AB321" s="222" t="n"/>
      <c r="AC321" s="222" t="n"/>
      <c r="AD321" s="222" t="n"/>
      <c r="AE321" s="222" t="n"/>
      <c r="AF321" s="222" t="n"/>
      <c r="AG321" s="222" t="n"/>
      <c r="AH321" s="222" t="n"/>
      <c r="AI321" s="222" t="n"/>
      <c r="AJ321" s="222" t="n"/>
    </row>
    <row r="322" ht="28.5" customHeight="1" s="166">
      <c r="A322" s="222" t="n"/>
      <c r="B322" s="222" t="inlineStr">
        <is>
          <t>教学楼</t>
        </is>
      </c>
      <c r="C322" s="222" t="n"/>
      <c r="D322" s="222" t="inlineStr">
        <is>
          <t>金属结构工程</t>
        </is>
      </c>
      <c r="E322" s="222" t="n"/>
      <c r="F322" s="222" t="n"/>
      <c r="G322" s="222" t="n"/>
      <c r="H322" s="223" t="n"/>
      <c r="I322" s="229" t="n"/>
      <c r="J322" s="223" t="n"/>
      <c r="K322" s="223" t="n"/>
      <c r="L322" s="223" t="n"/>
      <c r="M322" s="224" t="n"/>
      <c r="N322" s="222" t="n"/>
      <c r="O322" s="222" t="n"/>
      <c r="P322" s="222" t="n"/>
      <c r="Q322" s="222" t="n"/>
      <c r="R322" s="222" t="n"/>
      <c r="S322" s="223" t="n"/>
      <c r="T322" s="223">
        <f>+SUM(T323:T325)</f>
        <v/>
      </c>
      <c r="U322" s="223">
        <f>+SUM(U323:U325)</f>
        <v/>
      </c>
      <c r="V322" s="230">
        <f>SUM(V323:V325)</f>
        <v/>
      </c>
      <c r="W322" s="223">
        <f>V322-T322</f>
        <v/>
      </c>
      <c r="X322" s="230">
        <f>+V322-U322</f>
        <v/>
      </c>
      <c r="Y322" s="231">
        <f>V322-U322</f>
        <v/>
      </c>
      <c r="Z322" s="222" t="n"/>
      <c r="AA322" s="222" t="n"/>
      <c r="AB322" s="222" t="n"/>
      <c r="AC322" s="222" t="n"/>
      <c r="AD322" s="222" t="n"/>
      <c r="AE322" s="222" t="n"/>
      <c r="AF322" s="222" t="n"/>
      <c r="AG322" s="222" t="n"/>
      <c r="AH322" s="222" t="n"/>
      <c r="AI322" s="222" t="n"/>
      <c r="AJ322" s="222" t="n"/>
    </row>
    <row r="323" ht="41.25" customHeight="1" s="166">
      <c r="A323" s="222" t="n"/>
      <c r="B323" s="222" t="inlineStr">
        <is>
          <t>教学楼</t>
        </is>
      </c>
      <c r="C323" s="222" t="inlineStr">
        <is>
          <t>010607005001</t>
        </is>
      </c>
      <c r="D323" s="222" t="inlineStr">
        <is>
          <t>砌块墙钢丝网加固</t>
        </is>
      </c>
      <c r="E323" s="222" t="inlineStr">
        <is>
          <t>1.镀锌钢丝网
2.材料品种、规格:Φ0.9@12.7*12.7</t>
        </is>
      </c>
      <c r="F323" s="222" t="inlineStr">
        <is>
          <t>m2</t>
        </is>
      </c>
      <c r="G323" s="222" t="n">
        <v>13762.06</v>
      </c>
      <c r="H323" s="223" t="n">
        <v>10786.52</v>
      </c>
      <c r="I323" s="230" t="n">
        <v>10786.52</v>
      </c>
      <c r="J323" s="223">
        <f>H323-G323</f>
        <v/>
      </c>
      <c r="K323" s="223">
        <f>I323-G323</f>
        <v/>
      </c>
      <c r="L323" s="223">
        <f>+I323-H323</f>
        <v/>
      </c>
      <c r="M323" s="224">
        <f>J323/G323</f>
        <v/>
      </c>
      <c r="N323" s="222" t="n">
        <v>6.91</v>
      </c>
      <c r="O323" s="222" t="n">
        <v>16.21</v>
      </c>
      <c r="P323" s="224">
        <f>(N323-O323)/O323</f>
        <v/>
      </c>
      <c r="Q323" s="223">
        <f>O323*0.9056*0.85</f>
        <v/>
      </c>
      <c r="R323" s="223">
        <f>O323*1.15</f>
        <v/>
      </c>
      <c r="S323" s="223">
        <f>IF(N323&lt;O323*0.9056*0.85,O323*0.9056*0.85,IF(N323&gt;O323*1.15,O323*1.15,N323))</f>
        <v/>
      </c>
      <c r="T323" s="223">
        <f>+G323*N323</f>
        <v/>
      </c>
      <c r="U323" s="223">
        <f>T323+S323*J323</f>
        <v/>
      </c>
      <c r="V323" s="230">
        <f>T323+S323*K323</f>
        <v/>
      </c>
      <c r="W323" s="223">
        <f>V323-T323</f>
        <v/>
      </c>
      <c r="X323" s="230">
        <f>+V323-U323</f>
        <v/>
      </c>
      <c r="Y323" s="231">
        <f>+V323-U323</f>
        <v/>
      </c>
      <c r="Z323" s="222" t="n"/>
      <c r="AA323" s="222" t="n"/>
      <c r="AB323" s="222" t="n"/>
      <c r="AC323" s="222" t="n"/>
      <c r="AD323" s="222" t="n"/>
      <c r="AE323" s="222" t="n"/>
      <c r="AF323" s="222" t="n"/>
      <c r="AG323" s="222" t="n"/>
      <c r="AH323" s="222" t="n"/>
      <c r="AI323" s="222" t="n"/>
      <c r="AJ323" s="222" t="n"/>
    </row>
    <row r="324" ht="45" customHeight="1" s="166">
      <c r="A324" s="222" t="n"/>
      <c r="B324" s="222" t="inlineStr">
        <is>
          <t>教学楼</t>
        </is>
      </c>
      <c r="C324" s="222" t="inlineStr">
        <is>
          <t>010607005002</t>
        </is>
      </c>
      <c r="D324" s="222" t="inlineStr">
        <is>
          <t>砌块墙钢丝网加固</t>
        </is>
      </c>
      <c r="E324" s="222" t="inlineStr">
        <is>
          <t>1.耐碱玻璃纤维网布</t>
        </is>
      </c>
      <c r="F324" s="222" t="inlineStr">
        <is>
          <t>m2</t>
        </is>
      </c>
      <c r="G324" s="222" t="n">
        <v>3398.102</v>
      </c>
      <c r="H324" s="223" t="n">
        <v>1581.43</v>
      </c>
      <c r="I324" s="230" t="n">
        <v>1581.43</v>
      </c>
      <c r="J324" s="223">
        <f>H324-G324</f>
        <v/>
      </c>
      <c r="K324" s="223">
        <f>I324-G324</f>
        <v/>
      </c>
      <c r="L324" s="223">
        <f>+I324-H324</f>
        <v/>
      </c>
      <c r="M324" s="224">
        <f>J324/G324</f>
        <v/>
      </c>
      <c r="N324" s="222" t="n">
        <v>4.58</v>
      </c>
      <c r="O324" s="222" t="n">
        <v>11.97</v>
      </c>
      <c r="P324" s="224">
        <f>(N324-O324)/O324</f>
        <v/>
      </c>
      <c r="Q324" s="223">
        <f>O324*0.9056*0.85</f>
        <v/>
      </c>
      <c r="R324" s="223">
        <f>O324*1.15</f>
        <v/>
      </c>
      <c r="S324" s="223">
        <f>IF(N324&lt;O324*0.9056*0.85,O324*0.9056*0.85,IF(N324&gt;O324*1.15,O324*1.15,N324))</f>
        <v/>
      </c>
      <c r="T324" s="223">
        <f>+G324*N324</f>
        <v/>
      </c>
      <c r="U324" s="223">
        <f>T324+S324*J324</f>
        <v/>
      </c>
      <c r="V324" s="230">
        <f>T324+S324*K324</f>
        <v/>
      </c>
      <c r="W324" s="223">
        <f>V324-T324</f>
        <v/>
      </c>
      <c r="X324" s="230">
        <f>+V324-U324</f>
        <v/>
      </c>
      <c r="Y324" s="231">
        <f>+V324-U324</f>
        <v/>
      </c>
      <c r="Z324" s="222" t="n"/>
      <c r="AA324" s="222" t="n"/>
      <c r="AB324" s="222" t="n"/>
      <c r="AC324" s="222" t="n"/>
      <c r="AD324" s="222" t="n"/>
      <c r="AE324" s="222" t="n"/>
      <c r="AF324" s="222" t="n"/>
      <c r="AG324" s="222" t="n"/>
      <c r="AH324" s="222" t="n"/>
      <c r="AI324" s="222" t="n"/>
      <c r="AJ324" s="222" t="n"/>
    </row>
    <row r="325" ht="41.25" customHeight="1" s="166">
      <c r="A325" s="222" t="n"/>
      <c r="B325" s="222" t="inlineStr">
        <is>
          <t>教学楼</t>
        </is>
      </c>
      <c r="C325" s="222" t="inlineStr">
        <is>
          <t>010606008002</t>
        </is>
      </c>
      <c r="D325" s="222" t="inlineStr">
        <is>
          <t>钢梯</t>
        </is>
      </c>
      <c r="E325" s="222" t="inlineStr">
        <is>
          <t>1.钢爬梯
2.防锈漆一道
3.图集:15J403</t>
        </is>
      </c>
      <c r="F325" s="222" t="inlineStr">
        <is>
          <t>t</t>
        </is>
      </c>
      <c r="G325" s="222" t="n">
        <v>0.25</v>
      </c>
      <c r="H325" s="223" t="n">
        <v>0.25</v>
      </c>
      <c r="I325" s="230" t="n">
        <v>0.25</v>
      </c>
      <c r="J325" s="223">
        <f>H325-G325</f>
        <v/>
      </c>
      <c r="K325" s="223">
        <f>I325-G325</f>
        <v/>
      </c>
      <c r="L325" s="223">
        <f>+I325-H325</f>
        <v/>
      </c>
      <c r="M325" s="224">
        <f>J325/G325</f>
        <v/>
      </c>
      <c r="N325" s="222" t="n">
        <v>11361.56</v>
      </c>
      <c r="O325" s="222" t="n">
        <v>9563.91</v>
      </c>
      <c r="P325" s="224">
        <f>(N325-O325)/O325</f>
        <v/>
      </c>
      <c r="Q325" s="223">
        <f>O325*0.9056*0.85</f>
        <v/>
      </c>
      <c r="R325" s="223">
        <f>O325*1.15</f>
        <v/>
      </c>
      <c r="S325" s="223">
        <f>IF(N325&lt;O325*0.9056*0.85,O325*0.9056*0.85,IF(N325&gt;O325*1.15,O325*1.15,N325))</f>
        <v/>
      </c>
      <c r="T325" s="223">
        <f>+G325*N325</f>
        <v/>
      </c>
      <c r="U325" s="223">
        <f>T325+S325*J325</f>
        <v/>
      </c>
      <c r="V325" s="230">
        <f>T325+S325*K325</f>
        <v/>
      </c>
      <c r="W325" s="223">
        <f>V325-T325</f>
        <v/>
      </c>
      <c r="X325" s="230">
        <f>+V325-U325</f>
        <v/>
      </c>
      <c r="Y325" s="231">
        <f>+V325-U325</f>
        <v/>
      </c>
      <c r="Z325" s="222" t="n"/>
      <c r="AA325" s="222" t="n"/>
      <c r="AB325" s="222" t="n"/>
      <c r="AC325" s="222" t="n"/>
      <c r="AD325" s="222" t="n"/>
      <c r="AE325" s="222" t="n"/>
      <c r="AF325" s="222" t="n"/>
      <c r="AG325" s="222" t="n"/>
      <c r="AH325" s="222" t="n"/>
      <c r="AI325" s="222" t="n"/>
      <c r="AJ325" s="222" t="n"/>
    </row>
    <row r="326" ht="28.5" customHeight="1" s="166">
      <c r="A326" s="222" t="n"/>
      <c r="B326" s="222" t="inlineStr">
        <is>
          <t>教学楼</t>
        </is>
      </c>
      <c r="C326" s="222" t="n"/>
      <c r="D326" s="222" t="inlineStr">
        <is>
          <t>门窗工程</t>
        </is>
      </c>
      <c r="E326" s="222" t="n"/>
      <c r="F326" s="222" t="n"/>
      <c r="G326" s="222" t="n"/>
      <c r="H326" s="223" t="n"/>
      <c r="I326" s="229" t="n"/>
      <c r="J326" s="223" t="n"/>
      <c r="K326" s="223" t="n"/>
      <c r="L326" s="223" t="n"/>
      <c r="M326" s="224" t="n"/>
      <c r="N326" s="222" t="n"/>
      <c r="O326" s="222" t="n"/>
      <c r="P326" s="222" t="n"/>
      <c r="Q326" s="222" t="n"/>
      <c r="R326" s="222" t="n"/>
      <c r="S326" s="223" t="n"/>
      <c r="T326" s="223">
        <f>+SUM(T327:T339)</f>
        <v/>
      </c>
      <c r="U326" s="223">
        <f>+SUM(U327:U339)</f>
        <v/>
      </c>
      <c r="V326" s="230">
        <f>SUM(V327:V339)</f>
        <v/>
      </c>
      <c r="W326" s="223">
        <f>V326-T326</f>
        <v/>
      </c>
      <c r="X326" s="230">
        <f>+V326-U326</f>
        <v/>
      </c>
      <c r="Y326" s="231">
        <f>V326-U326</f>
        <v/>
      </c>
      <c r="Z326" s="222" t="n"/>
      <c r="AA326" s="222" t="n"/>
      <c r="AB326" s="222" t="n"/>
      <c r="AC326" s="222" t="n"/>
      <c r="AD326" s="222" t="n"/>
      <c r="AE326" s="222" t="n"/>
      <c r="AF326" s="222" t="n"/>
      <c r="AG326" s="222" t="n"/>
      <c r="AH326" s="222" t="n"/>
      <c r="AI326" s="222" t="n"/>
      <c r="AJ326" s="222" t="n"/>
    </row>
    <row r="327" ht="54" customHeight="1" s="166">
      <c r="A327" s="222" t="n"/>
      <c r="B327" s="222" t="inlineStr">
        <is>
          <t>教学楼</t>
        </is>
      </c>
      <c r="C327" s="222" t="inlineStr">
        <is>
          <t>010802003013</t>
        </is>
      </c>
      <c r="D327" s="222" t="inlineStr">
        <is>
          <t>钢质防火门</t>
        </is>
      </c>
      <c r="E327" s="222" t="inlineStr">
        <is>
          <t>1.门类型:钢质防火门丙扇(级）
2.闭门器安装
3.其他详见施工设计图</t>
        </is>
      </c>
      <c r="F327" s="222" t="inlineStr">
        <is>
          <t>m2</t>
        </is>
      </c>
      <c r="G327" s="222" t="n">
        <v>30.24</v>
      </c>
      <c r="H327" s="223" t="n">
        <v>30.24</v>
      </c>
      <c r="I327" s="230" t="n">
        <v>30.24</v>
      </c>
      <c r="J327" s="223">
        <f>H327-G327</f>
        <v/>
      </c>
      <c r="K327" s="223">
        <f>I327-G327</f>
        <v/>
      </c>
      <c r="L327" s="223">
        <f>+I327-H327</f>
        <v/>
      </c>
      <c r="M327" s="224">
        <f>J327/G327</f>
        <v/>
      </c>
      <c r="N327" s="222" t="n">
        <v>545.42</v>
      </c>
      <c r="O327" s="222" t="n">
        <v>575.79</v>
      </c>
      <c r="P327" s="224">
        <f>(N327-O327)/O327</f>
        <v/>
      </c>
      <c r="Q327" s="223">
        <f>O327*0.9056*0.85</f>
        <v/>
      </c>
      <c r="R327" s="223">
        <f>O327*1.15</f>
        <v/>
      </c>
      <c r="S327" s="223">
        <f>IF(N327&lt;O327*0.9056*0.85,O327*0.9056*0.85,IF(N327&gt;O327*1.15,O327*1.15,N327))</f>
        <v/>
      </c>
      <c r="T327" s="223">
        <f>+G327*N327</f>
        <v/>
      </c>
      <c r="U327" s="223">
        <f>T327+S327*J327</f>
        <v/>
      </c>
      <c r="V327" s="230">
        <f>T327+S327*K327</f>
        <v/>
      </c>
      <c r="W327" s="223">
        <f>V327-T327</f>
        <v/>
      </c>
      <c r="X327" s="230">
        <f>+V327-U327</f>
        <v/>
      </c>
      <c r="Y327" s="231">
        <f>+V327-U327</f>
        <v/>
      </c>
      <c r="Z327" s="222" t="n"/>
      <c r="AA327" s="222" t="n"/>
      <c r="AB327" s="222" t="n"/>
      <c r="AC327" s="222" t="n"/>
      <c r="AD327" s="222" t="n"/>
      <c r="AE327" s="222" t="n"/>
      <c r="AF327" s="222" t="n"/>
      <c r="AG327" s="222" t="n"/>
      <c r="AH327" s="222" t="n"/>
      <c r="AI327" s="222" t="n"/>
      <c r="AJ327" s="222" t="n"/>
    </row>
    <row r="328" ht="54" customHeight="1" s="166">
      <c r="A328" s="222" t="n"/>
      <c r="B328" s="222" t="inlineStr">
        <is>
          <t>教学楼</t>
        </is>
      </c>
      <c r="C328" s="222" t="inlineStr">
        <is>
          <t>010802003015</t>
        </is>
      </c>
      <c r="D328" s="222" t="inlineStr">
        <is>
          <t>钢质防火门</t>
        </is>
      </c>
      <c r="E328" s="222" t="inlineStr">
        <is>
          <t>1.门类型:钢质防火门单扇(甲级）
2.闭门器安装
3.其他详见施工设计图</t>
        </is>
      </c>
      <c r="F328" s="222" t="inlineStr">
        <is>
          <t>m2</t>
        </is>
      </c>
      <c r="G328" s="222" t="n">
        <v>15.35</v>
      </c>
      <c r="H328" s="223" t="n">
        <v>16.97</v>
      </c>
      <c r="I328" s="230" t="n">
        <v>16.97</v>
      </c>
      <c r="J328" s="223">
        <f>H328-G328</f>
        <v/>
      </c>
      <c r="K328" s="223">
        <f>I328-G328</f>
        <v/>
      </c>
      <c r="L328" s="223">
        <f>+I328-H328</f>
        <v/>
      </c>
      <c r="M328" s="224">
        <f>J328/G328</f>
        <v/>
      </c>
      <c r="N328" s="222" t="n">
        <v>559.8200000000001</v>
      </c>
      <c r="O328" s="222" t="n">
        <v>644.14</v>
      </c>
      <c r="P328" s="224">
        <f>(N328-O328)/O328</f>
        <v/>
      </c>
      <c r="Q328" s="223">
        <f>O328*0.9056*0.85</f>
        <v/>
      </c>
      <c r="R328" s="223">
        <f>O328*1.15</f>
        <v/>
      </c>
      <c r="S328" s="223">
        <f>IF(N328&lt;O328*0.9056*0.85,O328*0.9056*0.85,IF(N328&gt;O328*1.15,O328*1.15,N328))</f>
        <v/>
      </c>
      <c r="T328" s="223">
        <f>+G328*N328</f>
        <v/>
      </c>
      <c r="U328" s="223">
        <f>T328+S328*J328</f>
        <v/>
      </c>
      <c r="V328" s="230">
        <f>T328+S328*K328</f>
        <v/>
      </c>
      <c r="W328" s="223">
        <f>V328-T328</f>
        <v/>
      </c>
      <c r="X328" s="230">
        <f>+V328-U328</f>
        <v/>
      </c>
      <c r="Y328" s="231">
        <f>+V328-U328</f>
        <v/>
      </c>
      <c r="Z328" s="222" t="n"/>
      <c r="AA328" s="222" t="n"/>
      <c r="AB328" s="222" t="n"/>
      <c r="AC328" s="222" t="n"/>
      <c r="AD328" s="222" t="n"/>
      <c r="AE328" s="222" t="n"/>
      <c r="AF328" s="222" t="n"/>
      <c r="AG328" s="222" t="n"/>
      <c r="AH328" s="222" t="n"/>
      <c r="AI328" s="222" t="n"/>
      <c r="AJ328" s="222" t="n"/>
    </row>
    <row r="329" ht="54" customHeight="1" s="166">
      <c r="A329" s="222" t="n"/>
      <c r="B329" s="222" t="inlineStr">
        <is>
          <t>教学楼</t>
        </is>
      </c>
      <c r="C329" s="222" t="inlineStr">
        <is>
          <t>010802003014</t>
        </is>
      </c>
      <c r="D329" s="222" t="inlineStr">
        <is>
          <t>钢质防火门</t>
        </is>
      </c>
      <c r="E329" s="222" t="inlineStr">
        <is>
          <t>1.门类型:钢质防火门双扇(乙级）
2.闭门器安装
3.其他详见施工设计图</t>
        </is>
      </c>
      <c r="F329" s="222" t="inlineStr">
        <is>
          <t>m2</t>
        </is>
      </c>
      <c r="G329" s="222" t="n">
        <v>48.3</v>
      </c>
      <c r="H329" s="223" t="n">
        <v>48.3</v>
      </c>
      <c r="I329" s="230" t="n">
        <v>48.3</v>
      </c>
      <c r="J329" s="223">
        <f>H329-G329</f>
        <v/>
      </c>
      <c r="K329" s="223">
        <f>I329-G329</f>
        <v/>
      </c>
      <c r="L329" s="223">
        <f>+I329-H329</f>
        <v/>
      </c>
      <c r="M329" s="224">
        <f>J329/G329</f>
        <v/>
      </c>
      <c r="N329" s="222" t="n">
        <v>547.91</v>
      </c>
      <c r="O329" s="222" t="n">
        <v>612.9400000000001</v>
      </c>
      <c r="P329" s="224">
        <f>(N329-O329)/O329</f>
        <v/>
      </c>
      <c r="Q329" s="223">
        <f>O329*0.9056*0.85</f>
        <v/>
      </c>
      <c r="R329" s="223">
        <f>O329*1.15</f>
        <v/>
      </c>
      <c r="S329" s="223">
        <f>IF(N329&lt;O329*0.9056*0.85,O329*0.9056*0.85,IF(N329&gt;O329*1.15,O329*1.15,N329))</f>
        <v/>
      </c>
      <c r="T329" s="223">
        <f>+G329*N329</f>
        <v/>
      </c>
      <c r="U329" s="223">
        <f>T329+S329*J329</f>
        <v/>
      </c>
      <c r="V329" s="230">
        <f>T329+S329*K329</f>
        <v/>
      </c>
      <c r="W329" s="223">
        <f>V329-T329</f>
        <v/>
      </c>
      <c r="X329" s="230">
        <f>+V329-U329</f>
        <v/>
      </c>
      <c r="Y329" s="231">
        <f>+V329-U329</f>
        <v/>
      </c>
      <c r="Z329" s="222" t="n"/>
      <c r="AA329" s="222" t="n"/>
      <c r="AB329" s="222" t="n"/>
      <c r="AC329" s="222" t="n"/>
      <c r="AD329" s="222" t="n"/>
      <c r="AE329" s="222" t="n"/>
      <c r="AF329" s="222" t="n"/>
      <c r="AG329" s="222" t="n"/>
      <c r="AH329" s="222" t="n"/>
      <c r="AI329" s="222" t="n"/>
      <c r="AJ329" s="222" t="n"/>
    </row>
    <row r="330" ht="54" customHeight="1" s="166">
      <c r="A330" s="222" t="n"/>
      <c r="B330" s="222" t="inlineStr">
        <is>
          <t>教学楼</t>
        </is>
      </c>
      <c r="C330" s="222" t="inlineStr">
        <is>
          <t>010802003016</t>
        </is>
      </c>
      <c r="D330" s="222" t="inlineStr">
        <is>
          <t>钢质防火门</t>
        </is>
      </c>
      <c r="E330" s="222" t="inlineStr">
        <is>
          <t>1.门类型:钢质防火门单扇(乙级）
2.闭门器安装
3.其他详见施工设计图</t>
        </is>
      </c>
      <c r="F330" s="222" t="inlineStr">
        <is>
          <t>m2</t>
        </is>
      </c>
      <c r="G330" s="222" t="n">
        <v>2.415</v>
      </c>
      <c r="H330" s="223" t="n">
        <v>2.42</v>
      </c>
      <c r="I330" s="230" t="n">
        <v>2.42</v>
      </c>
      <c r="J330" s="223">
        <f>H330-G330</f>
        <v/>
      </c>
      <c r="K330" s="223">
        <f>I330-G330</f>
        <v/>
      </c>
      <c r="L330" s="223">
        <f>+I330-H330</f>
        <v/>
      </c>
      <c r="M330" s="224">
        <f>J330/G330</f>
        <v/>
      </c>
      <c r="N330" s="222" t="n">
        <v>547.91</v>
      </c>
      <c r="O330" s="222" t="n">
        <v>616.58</v>
      </c>
      <c r="P330" s="224">
        <f>(N330-O330)/O330</f>
        <v/>
      </c>
      <c r="Q330" s="223">
        <f>O330*0.9056*0.85</f>
        <v/>
      </c>
      <c r="R330" s="223">
        <f>O330*1.15</f>
        <v/>
      </c>
      <c r="S330" s="223">
        <f>IF(N330&lt;O330*0.9056*0.85,O330*0.9056*0.85,IF(N330&gt;O330*1.15,O330*1.15,N330))</f>
        <v/>
      </c>
      <c r="T330" s="223">
        <f>+G330*N330</f>
        <v/>
      </c>
      <c r="U330" s="223">
        <f>T330+S330*J330</f>
        <v/>
      </c>
      <c r="V330" s="230">
        <f>T330+S330*K330</f>
        <v/>
      </c>
      <c r="W330" s="223">
        <f>V330-T330</f>
        <v/>
      </c>
      <c r="X330" s="230">
        <f>+V330-U330</f>
        <v/>
      </c>
      <c r="Y330" s="231">
        <f>+V330-U330</f>
        <v/>
      </c>
      <c r="Z330" s="222" t="n"/>
      <c r="AA330" s="222" t="n"/>
      <c r="AB330" s="222" t="n"/>
      <c r="AC330" s="222" t="n"/>
      <c r="AD330" s="222" t="n"/>
      <c r="AE330" s="222" t="n"/>
      <c r="AF330" s="222" t="n"/>
      <c r="AG330" s="222" t="n"/>
      <c r="AH330" s="222" t="n"/>
      <c r="AI330" s="222" t="n"/>
      <c r="AJ330" s="222" t="n"/>
    </row>
    <row r="331" ht="54" customHeight="1" s="166">
      <c r="A331" s="222" t="n"/>
      <c r="B331" s="222" t="inlineStr">
        <is>
          <t>教学楼</t>
        </is>
      </c>
      <c r="C331" s="222" t="inlineStr">
        <is>
          <t>010802001002</t>
        </is>
      </c>
      <c r="D331" s="222" t="inlineStr">
        <is>
          <t>金属(塑钢)门</t>
        </is>
      </c>
      <c r="E331" s="222" t="inlineStr">
        <is>
          <t>1.镀锌钢板门
2.1.5mm厚优质镀锌钢表面氟碳漆静电喷涂
3.304不锈钢五金件及门锁</t>
        </is>
      </c>
      <c r="F331" s="222" t="inlineStr">
        <is>
          <t>m2</t>
        </is>
      </c>
      <c r="G331" s="222" t="n">
        <v>5.865</v>
      </c>
      <c r="H331" s="223" t="n">
        <v>7.49</v>
      </c>
      <c r="I331" s="230" t="n">
        <v>7.49</v>
      </c>
      <c r="J331" s="223">
        <f>H331-G331</f>
        <v/>
      </c>
      <c r="K331" s="223">
        <f>I331-G331</f>
        <v/>
      </c>
      <c r="L331" s="223">
        <f>+I331-H331</f>
        <v/>
      </c>
      <c r="M331" s="224">
        <f>J331/G331</f>
        <v/>
      </c>
      <c r="N331" s="222" t="n">
        <v>777.73</v>
      </c>
      <c r="O331" s="222" t="n">
        <v>700.9</v>
      </c>
      <c r="P331" s="224">
        <f>(N331-O331)/O331</f>
        <v/>
      </c>
      <c r="Q331" s="223">
        <f>O331*0.9056*0.85</f>
        <v/>
      </c>
      <c r="R331" s="223">
        <f>O331*1.15</f>
        <v/>
      </c>
      <c r="S331" s="223">
        <f>IF(N331&lt;O331*0.9056*0.85,O331*0.9056*0.85,IF(N331&gt;O331*1.15,O331*1.15,N331))</f>
        <v/>
      </c>
      <c r="T331" s="223">
        <f>+G331*N331</f>
        <v/>
      </c>
      <c r="U331" s="223">
        <f>T331+S331*J331</f>
        <v/>
      </c>
      <c r="V331" s="230">
        <f>T331+S331*K331</f>
        <v/>
      </c>
      <c r="W331" s="223">
        <f>V331-T331</f>
        <v/>
      </c>
      <c r="X331" s="230">
        <f>+V331-U331</f>
        <v/>
      </c>
      <c r="Y331" s="231">
        <f>+V331-U331</f>
        <v/>
      </c>
      <c r="Z331" s="222" t="n"/>
      <c r="AA331" s="222" t="n"/>
      <c r="AB331" s="222" t="n"/>
      <c r="AC331" s="222" t="n"/>
      <c r="AD331" s="222" t="n"/>
      <c r="AE331" s="222" t="n"/>
      <c r="AF331" s="222" t="n"/>
      <c r="AG331" s="222" t="n"/>
      <c r="AH331" s="222" t="n"/>
      <c r="AI331" s="222" t="n"/>
      <c r="AJ331" s="222" t="n"/>
    </row>
    <row r="332" ht="66.75" customHeight="1" s="166">
      <c r="A332" s="222" t="n"/>
      <c r="B332" s="222" t="inlineStr">
        <is>
          <t>教学楼</t>
        </is>
      </c>
      <c r="C332" s="222" t="inlineStr">
        <is>
          <t>010802001003</t>
        </is>
      </c>
      <c r="D332" s="222" t="inlineStr">
        <is>
          <t>金属(塑钢)门</t>
        </is>
      </c>
      <c r="E332" s="222" t="inlineStr">
        <is>
          <t>1.镀锌钢板门
2.1.5mm厚优质镀锌钢表面氟碳漆静电喷涂
3.304不锈钢五金件及门锁
4.上部开启窗6mm钢化玻璃</t>
        </is>
      </c>
      <c r="F332" s="222" t="inlineStr">
        <is>
          <t>m2</t>
        </is>
      </c>
      <c r="G332" s="222" t="n">
        <v>337.84</v>
      </c>
      <c r="H332" s="223" t="n">
        <v>337.84</v>
      </c>
      <c r="I332" s="230" t="n">
        <v>337.84</v>
      </c>
      <c r="J332" s="223">
        <f>H332-G332</f>
        <v/>
      </c>
      <c r="K332" s="223">
        <f>I332-G332</f>
        <v/>
      </c>
      <c r="L332" s="223">
        <f>+I332-H332</f>
        <v/>
      </c>
      <c r="M332" s="224">
        <f>J332/G332</f>
        <v/>
      </c>
      <c r="N332" s="222" t="n">
        <v>746.49</v>
      </c>
      <c r="O332" s="222" t="n">
        <v>662.8</v>
      </c>
      <c r="P332" s="224">
        <f>(N332-O332)/O332</f>
        <v/>
      </c>
      <c r="Q332" s="223">
        <f>O332*0.9056*0.85</f>
        <v/>
      </c>
      <c r="R332" s="223">
        <f>O332*1.15</f>
        <v/>
      </c>
      <c r="S332" s="223">
        <f>IF(N332&lt;O332*0.9056*0.85,O332*0.9056*0.85,IF(N332&gt;O332*1.15,O332*1.15,N332))</f>
        <v/>
      </c>
      <c r="T332" s="223">
        <f>+G332*N332</f>
        <v/>
      </c>
      <c r="U332" s="223">
        <f>T332+S332*J332</f>
        <v/>
      </c>
      <c r="V332" s="230">
        <f>T332+S332*K332</f>
        <v/>
      </c>
      <c r="W332" s="223">
        <f>V332-T332</f>
        <v/>
      </c>
      <c r="X332" s="230">
        <f>+V332-U332</f>
        <v/>
      </c>
      <c r="Y332" s="231">
        <f>+V332-U332</f>
        <v/>
      </c>
      <c r="Z332" s="222" t="n"/>
      <c r="AA332" s="222" t="n"/>
      <c r="AB332" s="222" t="n"/>
      <c r="AC332" s="222" t="n"/>
      <c r="AD332" s="222" t="n"/>
      <c r="AE332" s="222" t="n"/>
      <c r="AF332" s="222" t="n"/>
      <c r="AG332" s="222" t="n"/>
      <c r="AH332" s="222" t="n"/>
      <c r="AI332" s="222" t="n"/>
      <c r="AJ332" s="222" t="n"/>
    </row>
    <row r="333" ht="79.5" customHeight="1" s="166">
      <c r="A333" s="222" t="n"/>
      <c r="B333" s="222" t="inlineStr">
        <is>
          <t>教学楼</t>
        </is>
      </c>
      <c r="C333" s="222" t="inlineStr">
        <is>
          <t>010807001014</t>
        </is>
      </c>
      <c r="D333" s="222" t="inlineStr">
        <is>
          <t>金属(塑钢、断桥)窗</t>
        </is>
      </c>
      <c r="E333" s="222" t="inlineStr">
        <is>
          <t>1.窗类型:90系列推拉窗
2.铝材厚度:1.8mm
3.玻璃品种、厚度:Low-E中空玻璃(6+12A+6)
4.排烟窗做法详见图纸
5.其他详见施工设计图</t>
        </is>
      </c>
      <c r="F333" s="222" t="inlineStr">
        <is>
          <t>m2</t>
        </is>
      </c>
      <c r="G333" s="222" t="n">
        <v>1315.21</v>
      </c>
      <c r="H333" s="223" t="n">
        <v>1315.21</v>
      </c>
      <c r="I333" s="230" t="n">
        <v>819.47</v>
      </c>
      <c r="J333" s="223">
        <f>H333-G333</f>
        <v/>
      </c>
      <c r="K333" s="223">
        <f>I333-G333</f>
        <v/>
      </c>
      <c r="L333" s="223">
        <f>+I333-H333</f>
        <v/>
      </c>
      <c r="M333" s="224">
        <f>J333/G333</f>
        <v/>
      </c>
      <c r="N333" s="222" t="n">
        <v>565.96</v>
      </c>
      <c r="O333" s="222" t="n">
        <v>605.7</v>
      </c>
      <c r="P333" s="224">
        <f>(N333-O333)/O333</f>
        <v/>
      </c>
      <c r="Q333" s="223">
        <f>O333*0.9056*0.85</f>
        <v/>
      </c>
      <c r="R333" s="223">
        <f>O333*1.15</f>
        <v/>
      </c>
      <c r="S333" s="223">
        <f>IF(N333&lt;O333*0.9056*0.85,O333*0.9056*0.85,IF(N333&gt;O333*1.15,O333*1.15,N333))</f>
        <v/>
      </c>
      <c r="T333" s="223">
        <f>+G333*N333</f>
        <v/>
      </c>
      <c r="U333" s="223">
        <f>T333+S333*J333</f>
        <v/>
      </c>
      <c r="V333" s="230">
        <f>T333+S333*K333</f>
        <v/>
      </c>
      <c r="W333" s="223">
        <f>V333-T333</f>
        <v/>
      </c>
      <c r="X333" s="230">
        <f>+V333-U333</f>
        <v/>
      </c>
      <c r="Y333" s="231">
        <f>+V333-U333</f>
        <v/>
      </c>
      <c r="Z333" s="222" t="n"/>
      <c r="AA333" s="222" t="n"/>
      <c r="AB333" s="222" t="n"/>
      <c r="AC333" s="222" t="n"/>
      <c r="AD333" s="222" t="n"/>
      <c r="AE333" s="222" t="n"/>
      <c r="AF333" s="222" t="n"/>
      <c r="AG333" s="222" t="n"/>
      <c r="AH333" s="222" t="n"/>
      <c r="AI333" s="222" t="n"/>
      <c r="AJ333" s="222" t="n"/>
    </row>
    <row r="334" ht="79.5" customHeight="1" s="166">
      <c r="A334" s="222" t="n"/>
      <c r="B334" s="222" t="inlineStr">
        <is>
          <t>教学楼</t>
        </is>
      </c>
      <c r="C334" s="222" t="inlineStr">
        <is>
          <t>010807001015</t>
        </is>
      </c>
      <c r="D334" s="222" t="inlineStr">
        <is>
          <t>金属(塑钢、断桥)窗</t>
        </is>
      </c>
      <c r="E334" s="222" t="inlineStr">
        <is>
          <t>1.窗类型:70系列铝合金平开窗
2.铝材厚度:1.8mm
3.玻璃品种、厚度:Low-E中空玻璃(6+12A+6)
4.其他详见施工设计图</t>
        </is>
      </c>
      <c r="F334" s="222" t="inlineStr">
        <is>
          <t>m2</t>
        </is>
      </c>
      <c r="G334" s="222" t="n">
        <v>15.075</v>
      </c>
      <c r="H334" s="223" t="n">
        <v>15.08</v>
      </c>
      <c r="I334" s="230" t="n">
        <v>15.08</v>
      </c>
      <c r="J334" s="223">
        <f>H334-G334</f>
        <v/>
      </c>
      <c r="K334" s="223">
        <f>I334-G334</f>
        <v/>
      </c>
      <c r="L334" s="223">
        <f>+I334-H334</f>
        <v/>
      </c>
      <c r="M334" s="224">
        <f>J334/G334</f>
        <v/>
      </c>
      <c r="N334" s="222" t="n">
        <v>657.9299999999999</v>
      </c>
      <c r="O334" s="222" t="n">
        <v>568.34</v>
      </c>
      <c r="P334" s="224">
        <f>(N334-O334)/O334</f>
        <v/>
      </c>
      <c r="Q334" s="223">
        <f>O334*0.9056*0.85</f>
        <v/>
      </c>
      <c r="R334" s="223">
        <f>O334*1.15</f>
        <v/>
      </c>
      <c r="S334" s="223">
        <f>IF(N334&lt;O334*0.9056*0.85,O334*0.9056*0.85,IF(N334&gt;O334*1.15,O334*1.15,N334))</f>
        <v/>
      </c>
      <c r="T334" s="223">
        <f>+G334*N334</f>
        <v/>
      </c>
      <c r="U334" s="223">
        <f>T334+S334*J334</f>
        <v/>
      </c>
      <c r="V334" s="230">
        <f>T334+S334*K334</f>
        <v/>
      </c>
      <c r="W334" s="223">
        <f>V334-T334</f>
        <v/>
      </c>
      <c r="X334" s="230">
        <f>+V334-U334</f>
        <v/>
      </c>
      <c r="Y334" s="231">
        <f>+V334-U334</f>
        <v/>
      </c>
      <c r="Z334" s="222" t="n"/>
      <c r="AA334" s="222" t="n"/>
      <c r="AB334" s="222" t="n"/>
      <c r="AC334" s="222" t="n"/>
      <c r="AD334" s="222" t="n"/>
      <c r="AE334" s="222" t="n"/>
      <c r="AF334" s="222" t="n"/>
      <c r="AG334" s="222" t="n"/>
      <c r="AH334" s="222" t="n"/>
      <c r="AI334" s="222" t="n"/>
      <c r="AJ334" s="222" t="n"/>
    </row>
    <row r="335" ht="66.75" customHeight="1" s="166">
      <c r="A335" s="222" t="n"/>
      <c r="B335" s="222" t="inlineStr">
        <is>
          <t>教学楼</t>
        </is>
      </c>
      <c r="C335" s="222" t="inlineStr">
        <is>
          <t>010807001016</t>
        </is>
      </c>
      <c r="D335" s="222" t="inlineStr">
        <is>
          <t>金属(塑钢、断桥)窗</t>
        </is>
      </c>
      <c r="E335" s="222" t="inlineStr">
        <is>
          <t>1.窗类型:铝合金固定窗
2.铝材厚度:1.8mm
3.玻璃品种、厚度:Low-E中空玻璃(6+12A+6)
4.其他详见施工设计图</t>
        </is>
      </c>
      <c r="F335" s="222" t="inlineStr">
        <is>
          <t>m2</t>
        </is>
      </c>
      <c r="G335" s="222" t="n">
        <v>310.21</v>
      </c>
      <c r="H335" s="223" t="n">
        <v>828.54</v>
      </c>
      <c r="I335" s="230" t="n">
        <v>828.54</v>
      </c>
      <c r="J335" s="223">
        <f>H335-G335</f>
        <v/>
      </c>
      <c r="K335" s="223">
        <f>I335-G335</f>
        <v/>
      </c>
      <c r="L335" s="223">
        <f>+I335-H335</f>
        <v/>
      </c>
      <c r="M335" s="224">
        <f>J335/G335</f>
        <v/>
      </c>
      <c r="N335" s="222" t="n">
        <v>568.25</v>
      </c>
      <c r="O335" s="222" t="n">
        <v>534.64</v>
      </c>
      <c r="P335" s="224">
        <f>(N335-O335)/O335</f>
        <v/>
      </c>
      <c r="Q335" s="223">
        <f>O335*0.9056*0.85</f>
        <v/>
      </c>
      <c r="R335" s="223">
        <f>O335*1.15</f>
        <v/>
      </c>
      <c r="S335" s="223">
        <f>IF(N335&lt;O335*0.9056*0.85,O335*0.9056*0.85,IF(N335&gt;O335*1.15,O335*1.15,N335))</f>
        <v/>
      </c>
      <c r="T335" s="223">
        <f>+G335*N335</f>
        <v/>
      </c>
      <c r="U335" s="223">
        <f>T335+S335*J335</f>
        <v/>
      </c>
      <c r="V335" s="230">
        <f>T335+S335*K335</f>
        <v/>
      </c>
      <c r="W335" s="223">
        <f>V335-T335</f>
        <v/>
      </c>
      <c r="X335" s="230">
        <f>+V335-U335</f>
        <v/>
      </c>
      <c r="Y335" s="231">
        <f>+V335-U335</f>
        <v/>
      </c>
      <c r="Z335" s="222" t="n"/>
      <c r="AA335" s="222" t="n"/>
      <c r="AB335" s="222" t="n"/>
      <c r="AC335" s="222" t="n"/>
      <c r="AD335" s="222" t="n"/>
      <c r="AE335" s="222" t="n"/>
      <c r="AF335" s="222" t="n"/>
      <c r="AG335" s="222" t="n"/>
      <c r="AH335" s="222" t="n"/>
      <c r="AI335" s="222" t="n"/>
      <c r="AJ335" s="222" t="n"/>
    </row>
    <row r="336" ht="41.25" customHeight="1" s="166">
      <c r="A336" s="222" t="n"/>
      <c r="B336" s="222" t="inlineStr">
        <is>
          <t>教学楼</t>
        </is>
      </c>
      <c r="C336" s="222" t="inlineStr">
        <is>
          <t>010807002001</t>
        </is>
      </c>
      <c r="D336" s="222" t="inlineStr">
        <is>
          <t>金属防火窗</t>
        </is>
      </c>
      <c r="E336" s="222" t="inlineStr">
        <is>
          <t>1.铝合金乙级防火玻璃固定窗安装
2.其他详见施工设计图</t>
        </is>
      </c>
      <c r="F336" s="222" t="inlineStr">
        <is>
          <t>m2</t>
        </is>
      </c>
      <c r="G336" s="222" t="n">
        <v>4.88</v>
      </c>
      <c r="H336" s="223" t="n">
        <v>4.88</v>
      </c>
      <c r="I336" s="230" t="n">
        <v>4.88</v>
      </c>
      <c r="J336" s="223">
        <f>H336-G336</f>
        <v/>
      </c>
      <c r="K336" s="223">
        <f>I336-G336</f>
        <v/>
      </c>
      <c r="L336" s="223">
        <f>+I336-H336</f>
        <v/>
      </c>
      <c r="M336" s="224">
        <f>J336/G336</f>
        <v/>
      </c>
      <c r="N336" s="222" t="n">
        <v>537.53</v>
      </c>
      <c r="O336" s="222" t="n">
        <v>665.09</v>
      </c>
      <c r="P336" s="224">
        <f>(N336-O336)/O336</f>
        <v/>
      </c>
      <c r="Q336" s="223">
        <f>O336*0.9056*0.85</f>
        <v/>
      </c>
      <c r="R336" s="223">
        <f>O336*1.15</f>
        <v/>
      </c>
      <c r="S336" s="223">
        <f>IF(N336&lt;O336*0.9056*0.85,O336*0.9056*0.85,IF(N336&gt;O336*1.15,O336*1.15,N336))</f>
        <v/>
      </c>
      <c r="T336" s="223">
        <f>+G336*N336</f>
        <v/>
      </c>
      <c r="U336" s="223">
        <f>T336+S336*J336</f>
        <v/>
      </c>
      <c r="V336" s="230">
        <f>T336+S336*K336</f>
        <v/>
      </c>
      <c r="W336" s="223">
        <f>V336-T336</f>
        <v/>
      </c>
      <c r="X336" s="230">
        <f>+V336-U336</f>
        <v/>
      </c>
      <c r="Y336" s="231">
        <f>+V336-U336</f>
        <v/>
      </c>
      <c r="Z336" s="222" t="n"/>
      <c r="AA336" s="222" t="n"/>
      <c r="AB336" s="222" t="n"/>
      <c r="AC336" s="222" t="n"/>
      <c r="AD336" s="222" t="n"/>
      <c r="AE336" s="222" t="n"/>
      <c r="AF336" s="222" t="n"/>
      <c r="AG336" s="222" t="n"/>
      <c r="AH336" s="222" t="n"/>
      <c r="AI336" s="222" t="n"/>
      <c r="AJ336" s="222" t="n"/>
    </row>
    <row r="337" ht="28.5" customHeight="1" s="166">
      <c r="A337" s="222" t="n"/>
      <c r="B337" s="222" t="inlineStr">
        <is>
          <t>教学楼</t>
        </is>
      </c>
      <c r="C337" s="222" t="inlineStr">
        <is>
          <t>010807003003</t>
        </is>
      </c>
      <c r="D337" s="222" t="inlineStr">
        <is>
          <t>金属百叶窗</t>
        </is>
      </c>
      <c r="E337" s="222" t="inlineStr">
        <is>
          <t>1.铝合金百叶窗
2.其他详见施工设计图</t>
        </is>
      </c>
      <c r="F337" s="222" t="inlineStr">
        <is>
          <t>m2</t>
        </is>
      </c>
      <c r="G337" s="222" t="n">
        <v>10.7</v>
      </c>
      <c r="H337" s="223" t="n">
        <v>10.7</v>
      </c>
      <c r="I337" s="230" t="n">
        <v>10.7</v>
      </c>
      <c r="J337" s="223">
        <f>H337-G337</f>
        <v/>
      </c>
      <c r="K337" s="223">
        <f>I337-G337</f>
        <v/>
      </c>
      <c r="L337" s="223">
        <f>+I337-H337</f>
        <v/>
      </c>
      <c r="M337" s="224">
        <f>J337/G337</f>
        <v/>
      </c>
      <c r="N337" s="222" t="n">
        <v>301.24</v>
      </c>
      <c r="O337" s="222" t="n">
        <v>404.84</v>
      </c>
      <c r="P337" s="224">
        <f>(N337-O337)/O337</f>
        <v/>
      </c>
      <c r="Q337" s="223">
        <f>O337*0.9056*0.85</f>
        <v/>
      </c>
      <c r="R337" s="223">
        <f>O337*1.15</f>
        <v/>
      </c>
      <c r="S337" s="223">
        <f>IF(N337&lt;O337*0.9056*0.85,O337*0.9056*0.85,IF(N337&gt;O337*1.15,O337*1.15,N337))</f>
        <v/>
      </c>
      <c r="T337" s="223">
        <f>+G337*N337</f>
        <v/>
      </c>
      <c r="U337" s="223">
        <f>T337+S337*J337</f>
        <v/>
      </c>
      <c r="V337" s="230">
        <f>T337+S337*K337</f>
        <v/>
      </c>
      <c r="W337" s="223">
        <f>V337-T337</f>
        <v/>
      </c>
      <c r="X337" s="230">
        <f>+V337-U337</f>
        <v/>
      </c>
      <c r="Y337" s="231">
        <f>+V337-U337</f>
        <v/>
      </c>
      <c r="Z337" s="222" t="n"/>
      <c r="AA337" s="222" t="n"/>
      <c r="AB337" s="222" t="n"/>
      <c r="AC337" s="222" t="n"/>
      <c r="AD337" s="222" t="n"/>
      <c r="AE337" s="222" t="n"/>
      <c r="AF337" s="222" t="n"/>
      <c r="AG337" s="222" t="n"/>
      <c r="AH337" s="222" t="n"/>
      <c r="AI337" s="222" t="n"/>
      <c r="AJ337" s="222" t="n"/>
    </row>
    <row r="338" ht="54" customHeight="1" s="166">
      <c r="A338" s="222" t="n"/>
      <c r="B338" s="222" t="inlineStr">
        <is>
          <t>教学楼</t>
        </is>
      </c>
      <c r="C338" s="222" t="inlineStr">
        <is>
          <t>010807003004</t>
        </is>
      </c>
      <c r="D338" s="222" t="inlineStr">
        <is>
          <t>金属百叶窗</t>
        </is>
      </c>
      <c r="E338" s="222" t="inlineStr">
        <is>
          <t>1.铝合金空调百叶
2.30*30*2.0灰色铝方通
3.25*50*1.5灰色铝方通
4.其他详见施工设计图</t>
        </is>
      </c>
      <c r="F338" s="222" t="inlineStr">
        <is>
          <t>m2</t>
        </is>
      </c>
      <c r="G338" s="222" t="n">
        <v>321.13</v>
      </c>
      <c r="H338" s="223" t="n">
        <v>321.13</v>
      </c>
      <c r="I338" s="230" t="n">
        <v>321.13</v>
      </c>
      <c r="J338" s="223">
        <f>H338-G338</f>
        <v/>
      </c>
      <c r="K338" s="223">
        <f>I338-G338</f>
        <v/>
      </c>
      <c r="L338" s="223">
        <f>+I338-H338</f>
        <v/>
      </c>
      <c r="M338" s="224">
        <f>J338/G338</f>
        <v/>
      </c>
      <c r="N338" s="222" t="n">
        <v>301.24</v>
      </c>
      <c r="O338" s="222" t="n">
        <v>428.94</v>
      </c>
      <c r="P338" s="224">
        <f>(N338-O338)/O338</f>
        <v/>
      </c>
      <c r="Q338" s="223">
        <f>O338*0.9056*0.85</f>
        <v/>
      </c>
      <c r="R338" s="223">
        <f>O338*1.15</f>
        <v/>
      </c>
      <c r="S338" s="223">
        <f>IF(N338&lt;O338*0.9056*0.85,O338*0.9056*0.85,IF(N338&gt;O338*1.15,O338*1.15,N338))</f>
        <v/>
      </c>
      <c r="T338" s="223">
        <f>+G338*N338</f>
        <v/>
      </c>
      <c r="U338" s="223">
        <f>T338+S338*J338</f>
        <v/>
      </c>
      <c r="V338" s="230">
        <f>T338+S338*K338</f>
        <v/>
      </c>
      <c r="W338" s="223">
        <f>V338-T338</f>
        <v/>
      </c>
      <c r="X338" s="230">
        <f>+V338-U338</f>
        <v/>
      </c>
      <c r="Y338" s="231">
        <f>+V338-U338</f>
        <v/>
      </c>
      <c r="Z338" s="222" t="n"/>
      <c r="AA338" s="222" t="n"/>
      <c r="AB338" s="222" t="n"/>
      <c r="AC338" s="222" t="n"/>
      <c r="AD338" s="222" t="n"/>
      <c r="AE338" s="222" t="n"/>
      <c r="AF338" s="222" t="n"/>
      <c r="AG338" s="222" t="n"/>
      <c r="AH338" s="222" t="n"/>
      <c r="AI338" s="222" t="n"/>
      <c r="AJ338" s="222" t="n"/>
    </row>
    <row r="339" ht="54" customHeight="1" s="166">
      <c r="A339" s="222" t="n"/>
      <c r="B339" s="222" t="inlineStr">
        <is>
          <t>教学楼</t>
        </is>
      </c>
      <c r="C339" s="222" t="inlineStr">
        <is>
          <t>010807005001</t>
        </is>
      </c>
      <c r="D339" s="222" t="inlineStr">
        <is>
          <t>金属格栅窗</t>
        </is>
      </c>
      <c r="E339" s="222" t="inlineStr">
        <is>
          <t>1.3.0厚300*100深灰色铝合金方管装饰格栅，中心间距300
2.其他详见施工设计图</t>
        </is>
      </c>
      <c r="F339" s="222" t="inlineStr">
        <is>
          <t>m</t>
        </is>
      </c>
      <c r="G339" s="222" t="n">
        <v>664.5</v>
      </c>
      <c r="H339" s="223" t="n">
        <v>669</v>
      </c>
      <c r="I339" s="230" t="n">
        <v>669</v>
      </c>
      <c r="J339" s="223">
        <f>H339-G339</f>
        <v/>
      </c>
      <c r="K339" s="223">
        <f>I339-G339</f>
        <v/>
      </c>
      <c r="L339" s="223">
        <f>+I339-H339</f>
        <v/>
      </c>
      <c r="M339" s="224">
        <f>J339/G339</f>
        <v/>
      </c>
      <c r="N339" s="222" t="n">
        <v>329</v>
      </c>
      <c r="O339" s="222" t="n">
        <v>380</v>
      </c>
      <c r="P339" s="224">
        <f>(N339-O339)/O339</f>
        <v/>
      </c>
      <c r="Q339" s="223">
        <f>O339*0.9056*0.85</f>
        <v/>
      </c>
      <c r="R339" s="223">
        <f>O339*1.15</f>
        <v/>
      </c>
      <c r="S339" s="223">
        <f>IF(N339&lt;O339*0.9056*0.85,O339*0.9056*0.85,IF(N339&gt;O339*1.15,O339*1.15,N339))</f>
        <v/>
      </c>
      <c r="T339" s="223">
        <f>+G339*N339</f>
        <v/>
      </c>
      <c r="U339" s="223">
        <f>T339+S339*J339</f>
        <v/>
      </c>
      <c r="V339" s="230">
        <f>T339+S339*K339</f>
        <v/>
      </c>
      <c r="W339" s="223">
        <f>V339-T339</f>
        <v/>
      </c>
      <c r="X339" s="230">
        <f>+V339-U339</f>
        <v/>
      </c>
      <c r="Y339" s="231">
        <f>+V339-U339</f>
        <v/>
      </c>
      <c r="Z339" s="222" t="n"/>
      <c r="AA339" s="222" t="n"/>
      <c r="AB339" s="222" t="n"/>
      <c r="AC339" s="222" t="n"/>
      <c r="AD339" s="222" t="n"/>
      <c r="AE339" s="222" t="n"/>
      <c r="AF339" s="222" t="n"/>
      <c r="AG339" s="222" t="n"/>
      <c r="AH339" s="222" t="n"/>
      <c r="AI339" s="222" t="n"/>
      <c r="AJ339" s="222" t="n"/>
    </row>
    <row r="340" ht="28.5" customHeight="1" s="166">
      <c r="A340" s="222" t="n"/>
      <c r="B340" s="222" t="inlineStr">
        <is>
          <t>教学楼</t>
        </is>
      </c>
      <c r="C340" s="222" t="n"/>
      <c r="D340" s="222" t="inlineStr">
        <is>
          <t>屋面及防水工程</t>
        </is>
      </c>
      <c r="E340" s="222" t="n"/>
      <c r="F340" s="222" t="n"/>
      <c r="G340" s="222" t="n"/>
      <c r="H340" s="223" t="n"/>
      <c r="I340" s="229" t="n"/>
      <c r="J340" s="223" t="n"/>
      <c r="K340" s="223" t="n"/>
      <c r="L340" s="223" t="n"/>
      <c r="M340" s="224" t="n"/>
      <c r="N340" s="222" t="n"/>
      <c r="O340" s="222" t="n"/>
      <c r="P340" s="222" t="n"/>
      <c r="Q340" s="222" t="n"/>
      <c r="R340" s="222" t="n"/>
      <c r="S340" s="223" t="n"/>
      <c r="T340" s="223">
        <f>+SUM(T341:T354)</f>
        <v/>
      </c>
      <c r="U340" s="223">
        <f>+SUM(U341:U354)</f>
        <v/>
      </c>
      <c r="V340" s="230">
        <f>SUM(V341:V354)</f>
        <v/>
      </c>
      <c r="W340" s="223">
        <f>V340-T340</f>
        <v/>
      </c>
      <c r="X340" s="230">
        <f>+V340-U340</f>
        <v/>
      </c>
      <c r="Y340" s="231">
        <f>V340-U340</f>
        <v/>
      </c>
      <c r="Z340" s="222" t="n"/>
      <c r="AA340" s="222" t="n"/>
      <c r="AB340" s="222" t="n"/>
      <c r="AC340" s="222" t="n"/>
      <c r="AD340" s="222" t="n"/>
      <c r="AE340" s="222" t="n"/>
      <c r="AF340" s="222" t="n"/>
      <c r="AG340" s="222" t="n"/>
      <c r="AH340" s="222" t="n"/>
      <c r="AI340" s="222" t="n"/>
      <c r="AJ340" s="222" t="n"/>
    </row>
    <row r="341" ht="41.25" customHeight="1" s="166">
      <c r="A341" s="222" t="n"/>
      <c r="B341" s="222" t="inlineStr">
        <is>
          <t>教学楼</t>
        </is>
      </c>
      <c r="C341" s="222" t="inlineStr">
        <is>
          <t>011102003008</t>
        </is>
      </c>
      <c r="D341" s="222" t="inlineStr">
        <is>
          <t>块料楼地面（屋1）</t>
        </is>
      </c>
      <c r="E341" s="222" t="inlineStr">
        <is>
          <t>1.面层:8~10厚防滑地砖,缝宽5~8
2.20厚M15干硬性水泥沙浆</t>
        </is>
      </c>
      <c r="F341" s="222" t="inlineStr">
        <is>
          <t>m2</t>
        </is>
      </c>
      <c r="G341" s="222" t="n">
        <v>127.5</v>
      </c>
      <c r="H341" s="223" t="n">
        <v>127.5</v>
      </c>
      <c r="I341" s="230" t="n">
        <v>127.5</v>
      </c>
      <c r="J341" s="223">
        <f>H341-G341</f>
        <v/>
      </c>
      <c r="K341" s="223">
        <f>I341-G341</f>
        <v/>
      </c>
      <c r="L341" s="223">
        <f>+I341-H341</f>
        <v/>
      </c>
      <c r="M341" s="224">
        <f>J341/G341</f>
        <v/>
      </c>
      <c r="N341" s="222" t="n">
        <v>116.74</v>
      </c>
      <c r="O341" s="222" t="n">
        <v>116.28</v>
      </c>
      <c r="P341" s="224">
        <f>(N341-O341)/O341</f>
        <v/>
      </c>
      <c r="Q341" s="223">
        <f>O341*0.9056*0.85</f>
        <v/>
      </c>
      <c r="R341" s="223">
        <f>O341*1.15</f>
        <v/>
      </c>
      <c r="S341" s="223">
        <f>IF(N341&lt;O341*0.9056*0.85,O341*0.9056*0.85,IF(N341&gt;O341*1.15,O341*1.15,N341))</f>
        <v/>
      </c>
      <c r="T341" s="223">
        <f>+G341*N341</f>
        <v/>
      </c>
      <c r="U341" s="223">
        <f>T341+S341*J341</f>
        <v/>
      </c>
      <c r="V341" s="230">
        <f>T341+S341*K341</f>
        <v/>
      </c>
      <c r="W341" s="223">
        <f>V341-T341</f>
        <v/>
      </c>
      <c r="X341" s="230">
        <f>+V341-U341</f>
        <v/>
      </c>
      <c r="Y341" s="231">
        <f>+V341-U341</f>
        <v/>
      </c>
      <c r="Z341" s="222" t="n"/>
      <c r="AA341" s="222" t="n"/>
      <c r="AB341" s="222" t="n"/>
      <c r="AC341" s="222" t="n"/>
      <c r="AD341" s="222" t="n"/>
      <c r="AE341" s="222" t="n"/>
      <c r="AF341" s="222" t="n"/>
      <c r="AG341" s="222" t="n"/>
      <c r="AH341" s="222" t="n"/>
      <c r="AI341" s="222" t="n"/>
      <c r="AJ341" s="222" t="n"/>
    </row>
    <row r="342" ht="60" customHeight="1" s="166">
      <c r="A342" s="222" t="n"/>
      <c r="B342" s="222" t="inlineStr">
        <is>
          <t>教学楼</t>
        </is>
      </c>
      <c r="C342" s="222" t="inlineStr">
        <is>
          <t>010902003012</t>
        </is>
      </c>
      <c r="D342" s="222" t="inlineStr">
        <is>
          <t>屋面刚性层（屋1）</t>
        </is>
      </c>
      <c r="E342" s="222" t="inlineStr">
        <is>
          <t>1.40厚C20细石混凝土找平层,表面压光。(双向配筋ΦC4@150,每6米设缝,密封胶嵌缝。）</t>
        </is>
      </c>
      <c r="F342" s="222" t="inlineStr">
        <is>
          <t>m2</t>
        </is>
      </c>
      <c r="G342" s="222" t="n">
        <v>285.67</v>
      </c>
      <c r="H342" s="223" t="n">
        <v>418.55</v>
      </c>
      <c r="I342" s="230">
        <f>418.545</f>
        <v/>
      </c>
      <c r="J342" s="223">
        <f>H342-G342</f>
        <v/>
      </c>
      <c r="K342" s="223">
        <f>I342-G342</f>
        <v/>
      </c>
      <c r="L342" s="223">
        <f>+I342-H342</f>
        <v/>
      </c>
      <c r="M342" s="224">
        <f>J342/G342</f>
        <v/>
      </c>
      <c r="N342" s="222" t="n">
        <v>59.04</v>
      </c>
      <c r="O342" s="222" t="n">
        <v>56.42</v>
      </c>
      <c r="P342" s="224">
        <f>(N342-O342)/O342</f>
        <v/>
      </c>
      <c r="Q342" s="223">
        <f>O342*0.9056*0.85</f>
        <v/>
      </c>
      <c r="R342" s="223">
        <f>O342*1.15</f>
        <v/>
      </c>
      <c r="S342" s="223">
        <f>IF(N342&lt;O342*0.9056*0.85,O342*0.9056*0.85,IF(N342&gt;O342*1.15,O342*1.15,N342))</f>
        <v/>
      </c>
      <c r="T342" s="223">
        <f>+G342*N342</f>
        <v/>
      </c>
      <c r="U342" s="223">
        <f>T342+S342*J342</f>
        <v/>
      </c>
      <c r="V342" s="230">
        <f>T342+S342*K342</f>
        <v/>
      </c>
      <c r="W342" s="223">
        <f>V342-T342</f>
        <v/>
      </c>
      <c r="X342" s="230">
        <f>+V342-U342</f>
        <v/>
      </c>
      <c r="Y342" s="231">
        <f>+V342-U342</f>
        <v/>
      </c>
      <c r="Z342" s="222" t="n"/>
      <c r="AA342" s="222" t="n"/>
      <c r="AB342" s="222" t="n"/>
      <c r="AC342" s="222" t="n"/>
      <c r="AD342" s="222" t="n"/>
      <c r="AE342" s="222" t="n"/>
      <c r="AF342" s="222" t="n"/>
      <c r="AG342" s="222" t="n"/>
      <c r="AH342" s="222" t="n"/>
      <c r="AI342" s="222" t="n"/>
      <c r="AJ342" s="222" t="n"/>
    </row>
    <row r="343" ht="34" customHeight="1" s="166">
      <c r="A343" s="222" t="n"/>
      <c r="B343" s="222" t="inlineStr">
        <is>
          <t>教学楼</t>
        </is>
      </c>
      <c r="C343" s="222" t="inlineStr">
        <is>
          <t>010902001007</t>
        </is>
      </c>
      <c r="D343" s="222" t="inlineStr">
        <is>
          <t>屋面卷材防水（屋1、屋4）</t>
        </is>
      </c>
      <c r="E343" s="222" t="inlineStr">
        <is>
          <t>1.1.5厚自粘聚合物改性沥青防水卷材(无胎)</t>
        </is>
      </c>
      <c r="F343" s="222" t="inlineStr">
        <is>
          <t>m2</t>
        </is>
      </c>
      <c r="G343" s="222" t="n">
        <v>2127.181</v>
      </c>
      <c r="H343" s="223" t="n">
        <v>2760.03</v>
      </c>
      <c r="I343" s="230">
        <f>2760.0325</f>
        <v/>
      </c>
      <c r="J343" s="223">
        <f>H343-G343</f>
        <v/>
      </c>
      <c r="K343" s="223">
        <f>I343-G343</f>
        <v/>
      </c>
      <c r="L343" s="223">
        <f>+I343-H343</f>
        <v/>
      </c>
      <c r="M343" s="224">
        <f>J343/G343</f>
        <v/>
      </c>
      <c r="N343" s="222" t="n">
        <v>38.75</v>
      </c>
      <c r="O343" s="222" t="n">
        <v>31.86</v>
      </c>
      <c r="P343" s="224">
        <f>(N343-O343)/O343</f>
        <v/>
      </c>
      <c r="Q343" s="223">
        <f>O343*0.9056*0.85</f>
        <v/>
      </c>
      <c r="R343" s="223">
        <f>O343*1.15</f>
        <v/>
      </c>
      <c r="S343" s="223">
        <f>IF(N343&lt;O343*0.9056*0.85,O343*0.9056*0.85,IF(N343&gt;O343*1.15,O343*1.15,N343))</f>
        <v/>
      </c>
      <c r="T343" s="223">
        <f>+G343*N343</f>
        <v/>
      </c>
      <c r="U343" s="223">
        <f>T343+S343*J343</f>
        <v/>
      </c>
      <c r="V343" s="230">
        <f>T343+S343*K343</f>
        <v/>
      </c>
      <c r="W343" s="223">
        <f>V343-T343</f>
        <v/>
      </c>
      <c r="X343" s="230">
        <f>+V343-U343</f>
        <v/>
      </c>
      <c r="Y343" s="231">
        <f>+V343-U343</f>
        <v/>
      </c>
      <c r="Z343" s="222" t="n"/>
      <c r="AA343" s="222" t="n"/>
      <c r="AB343" s="222" t="n"/>
      <c r="AC343" s="222" t="n"/>
      <c r="AD343" s="222" t="n"/>
      <c r="AE343" s="222" t="n"/>
      <c r="AF343" s="222" t="n"/>
      <c r="AG343" s="222" t="n"/>
      <c r="AH343" s="222" t="n"/>
      <c r="AI343" s="222" t="n"/>
      <c r="AJ343" s="222" t="n"/>
    </row>
    <row r="344" ht="41.25" customHeight="1" s="166">
      <c r="A344" s="222" t="n"/>
      <c r="B344" s="222" t="inlineStr">
        <is>
          <t>教学楼</t>
        </is>
      </c>
      <c r="C344" s="222" t="inlineStr">
        <is>
          <t>010902003013</t>
        </is>
      </c>
      <c r="D344" s="222" t="inlineStr">
        <is>
          <t>屋面刚性层（屋1）</t>
        </is>
      </c>
      <c r="E344" s="222" t="inlineStr">
        <is>
          <t>1.40厚WSM20水泥浆找平层,纵横设置分格缝间距≤4000,缝宽15~20</t>
        </is>
      </c>
      <c r="F344" s="222" t="inlineStr">
        <is>
          <t>m2</t>
        </is>
      </c>
      <c r="G344" s="222" t="n">
        <v>301.37</v>
      </c>
      <c r="H344" s="223" t="n">
        <v>425.93</v>
      </c>
      <c r="I344" s="230">
        <f>425.925</f>
        <v/>
      </c>
      <c r="J344" s="223">
        <f>H344-G344</f>
        <v/>
      </c>
      <c r="K344" s="223">
        <f>I344-G344</f>
        <v/>
      </c>
      <c r="L344" s="223">
        <f>+I344-H344</f>
        <v/>
      </c>
      <c r="M344" s="224">
        <f>J344/G344</f>
        <v/>
      </c>
      <c r="N344" s="222" t="n">
        <v>37.14</v>
      </c>
      <c r="O344" s="222" t="n">
        <v>55.94</v>
      </c>
      <c r="P344" s="224">
        <f>(N344-O344)/O344</f>
        <v/>
      </c>
      <c r="Q344" s="223">
        <f>O344*0.9056*0.85</f>
        <v/>
      </c>
      <c r="R344" s="223">
        <f>O344*1.15</f>
        <v/>
      </c>
      <c r="S344" s="223">
        <f>IF(N344&lt;O344*0.9056*0.85,O344*0.9056*0.85,IF(N344&gt;O344*1.15,O344*1.15,N344))</f>
        <v/>
      </c>
      <c r="T344" s="223">
        <f>+G344*N344</f>
        <v/>
      </c>
      <c r="U344" s="223">
        <f>T344+S344*J344</f>
        <v/>
      </c>
      <c r="V344" s="230">
        <f>T344+S344*K344</f>
        <v/>
      </c>
      <c r="W344" s="223">
        <f>V344-T344</f>
        <v/>
      </c>
      <c r="X344" s="230">
        <f>+V344-U344</f>
        <v/>
      </c>
      <c r="Y344" s="231">
        <f>+V344-U344</f>
        <v/>
      </c>
      <c r="Z344" s="222" t="n"/>
      <c r="AA344" s="222" t="n"/>
      <c r="AB344" s="222" t="n"/>
      <c r="AC344" s="222" t="n"/>
      <c r="AD344" s="222" t="n"/>
      <c r="AE344" s="222" t="n"/>
      <c r="AF344" s="222" t="n"/>
      <c r="AG344" s="222" t="n"/>
      <c r="AH344" s="222" t="n"/>
      <c r="AI344" s="222" t="n"/>
      <c r="AJ344" s="222" t="n"/>
    </row>
    <row r="345" ht="28.5" customHeight="1" s="166">
      <c r="A345" s="222" t="n"/>
      <c r="B345" s="222" t="inlineStr">
        <is>
          <t>教学楼</t>
        </is>
      </c>
      <c r="C345" s="222" t="inlineStr">
        <is>
          <t>010902002005</t>
        </is>
      </c>
      <c r="D345" s="222" t="inlineStr">
        <is>
          <t>屋面涂膜防水（屋1、屋4）</t>
        </is>
      </c>
      <c r="E345" s="222" t="inlineStr">
        <is>
          <t>1.1.5厚聚氨酯防水涂膜</t>
        </is>
      </c>
      <c r="F345" s="222" t="inlineStr">
        <is>
          <t>m2</t>
        </is>
      </c>
      <c r="G345" s="222" t="n">
        <v>2127.181</v>
      </c>
      <c r="H345" s="223" t="n">
        <v>2760.03</v>
      </c>
      <c r="I345" s="230">
        <f>2760.0325</f>
        <v/>
      </c>
      <c r="J345" s="223">
        <f>H345-G345</f>
        <v/>
      </c>
      <c r="K345" s="223">
        <f>I345-G345</f>
        <v/>
      </c>
      <c r="L345" s="223">
        <f>+I345-H345</f>
        <v/>
      </c>
      <c r="M345" s="224">
        <f>J345/G345</f>
        <v/>
      </c>
      <c r="N345" s="222" t="n">
        <v>33.79</v>
      </c>
      <c r="O345" s="222" t="n">
        <v>31.82</v>
      </c>
      <c r="P345" s="224">
        <f>(N345-O345)/O345</f>
        <v/>
      </c>
      <c r="Q345" s="223">
        <f>O345*0.9056*0.85</f>
        <v/>
      </c>
      <c r="R345" s="223">
        <f>O345*1.15</f>
        <v/>
      </c>
      <c r="S345" s="223">
        <f>IF(N345&lt;O345*0.9056*0.85,O345*0.9056*0.85,IF(N345&gt;O345*1.15,O345*1.15,N345))</f>
        <v/>
      </c>
      <c r="T345" s="223">
        <f>+G345*N345</f>
        <v/>
      </c>
      <c r="U345" s="223">
        <f>T345+S345*J345</f>
        <v/>
      </c>
      <c r="V345" s="230">
        <f>T345+S345*K345</f>
        <v/>
      </c>
      <c r="W345" s="223">
        <f>V345-T345</f>
        <v/>
      </c>
      <c r="X345" s="230">
        <f>+V345-U345</f>
        <v/>
      </c>
      <c r="Y345" s="231">
        <f>+V345-U345</f>
        <v/>
      </c>
      <c r="Z345" s="222" t="n"/>
      <c r="AA345" s="222" t="n"/>
      <c r="AB345" s="222" t="n"/>
      <c r="AC345" s="222" t="n"/>
      <c r="AD345" s="222" t="n"/>
      <c r="AE345" s="222" t="n"/>
      <c r="AF345" s="222" t="n"/>
      <c r="AG345" s="222" t="n"/>
      <c r="AH345" s="222" t="n"/>
      <c r="AI345" s="222" t="n"/>
      <c r="AJ345" s="222" t="n"/>
    </row>
    <row r="346" ht="28.5" customHeight="1" s="166">
      <c r="A346" s="222" t="n"/>
      <c r="B346" s="222" t="inlineStr">
        <is>
          <t>教学楼</t>
        </is>
      </c>
      <c r="C346" s="222" t="inlineStr">
        <is>
          <t>010902001008</t>
        </is>
      </c>
      <c r="D346" s="222" t="inlineStr">
        <is>
          <t>屋面卷材防水（屋2）</t>
        </is>
      </c>
      <c r="E346" s="222" t="inlineStr">
        <is>
          <t>1.4.0厚塑性体改性沥青防水卷材(耐根穿刺防水层)</t>
        </is>
      </c>
      <c r="F346" s="222" t="inlineStr">
        <is>
          <t>m2</t>
        </is>
      </c>
      <c r="G346" s="222" t="n">
        <v>197.7197</v>
      </c>
      <c r="H346" s="223" t="n">
        <v>198.38</v>
      </c>
      <c r="I346" s="230" t="n">
        <v>198.38</v>
      </c>
      <c r="J346" s="223">
        <f>H346-G346</f>
        <v/>
      </c>
      <c r="K346" s="223">
        <f>I346-G346</f>
        <v/>
      </c>
      <c r="L346" s="223">
        <f>+I346-H346</f>
        <v/>
      </c>
      <c r="M346" s="224">
        <f>J346/G346</f>
        <v/>
      </c>
      <c r="N346" s="222" t="n">
        <v>63.61</v>
      </c>
      <c r="O346" s="222" t="n">
        <v>122.57</v>
      </c>
      <c r="P346" s="224">
        <f>(N346-O346)/O346</f>
        <v/>
      </c>
      <c r="Q346" s="223">
        <f>O346*0.9056*0.85</f>
        <v/>
      </c>
      <c r="R346" s="223">
        <f>O346*1.15</f>
        <v/>
      </c>
      <c r="S346" s="223">
        <f>IF(N346&lt;O346*0.9056*0.85,O346*0.9056*0.85,IF(N346&gt;O346*1.15,O346*1.15,N346))</f>
        <v/>
      </c>
      <c r="T346" s="223">
        <f>+G346*N346</f>
        <v/>
      </c>
      <c r="U346" s="223">
        <f>T346+S346*J346</f>
        <v/>
      </c>
      <c r="V346" s="230">
        <f>T346+S346*K346</f>
        <v/>
      </c>
      <c r="W346" s="223">
        <f>V346-T346</f>
        <v/>
      </c>
      <c r="X346" s="230">
        <f>+V346-U346</f>
        <v/>
      </c>
      <c r="Y346" s="231">
        <f>+V346-U346</f>
        <v/>
      </c>
      <c r="Z346" s="222" t="n"/>
      <c r="AA346" s="222" t="n"/>
      <c r="AB346" s="222" t="n"/>
      <c r="AC346" s="222" t="n"/>
      <c r="AD346" s="222" t="n"/>
      <c r="AE346" s="222" t="n"/>
      <c r="AF346" s="222" t="n"/>
      <c r="AG346" s="222" t="n"/>
      <c r="AH346" s="222" t="n"/>
      <c r="AI346" s="222" t="n"/>
      <c r="AJ346" s="222" t="n"/>
    </row>
    <row r="347" ht="28.5" customHeight="1" s="166">
      <c r="A347" s="222" t="n"/>
      <c r="B347" s="222" t="inlineStr">
        <is>
          <t>教学楼</t>
        </is>
      </c>
      <c r="C347" s="222" t="inlineStr">
        <is>
          <t>010902002006</t>
        </is>
      </c>
      <c r="D347" s="222" t="inlineStr">
        <is>
          <t>屋面涂膜防水（屋2）</t>
        </is>
      </c>
      <c r="E347" s="222" t="inlineStr">
        <is>
          <t>1.2厚聚氨酯防水涂膜</t>
        </is>
      </c>
      <c r="F347" s="222" t="inlineStr">
        <is>
          <t>m2</t>
        </is>
      </c>
      <c r="G347" s="222" t="n">
        <v>197.7197</v>
      </c>
      <c r="H347" s="223" t="n">
        <v>198.38</v>
      </c>
      <c r="I347" s="230" t="n">
        <v>198.38</v>
      </c>
      <c r="J347" s="223">
        <f>H347-G347</f>
        <v/>
      </c>
      <c r="K347" s="223">
        <f>I347-G347</f>
        <v/>
      </c>
      <c r="L347" s="223">
        <f>+I347-H347</f>
        <v/>
      </c>
      <c r="M347" s="224">
        <f>J347/G347</f>
        <v/>
      </c>
      <c r="N347" s="222" t="n">
        <v>44.88</v>
      </c>
      <c r="O347" s="222" t="n">
        <v>42.2</v>
      </c>
      <c r="P347" s="224">
        <f>(N347-O347)/O347</f>
        <v/>
      </c>
      <c r="Q347" s="223">
        <f>O347*0.9056*0.85</f>
        <v/>
      </c>
      <c r="R347" s="223">
        <f>O347*1.15</f>
        <v/>
      </c>
      <c r="S347" s="223">
        <f>IF(N347&lt;O347*0.9056*0.85,O347*0.9056*0.85,IF(N347&gt;O347*1.15,O347*1.15,N347))</f>
        <v/>
      </c>
      <c r="T347" s="223">
        <f>+G347*N347</f>
        <v/>
      </c>
      <c r="U347" s="223">
        <f>T347+S347*J347</f>
        <v/>
      </c>
      <c r="V347" s="230">
        <f>T347+S347*K347</f>
        <v/>
      </c>
      <c r="W347" s="223">
        <f>V347-T347</f>
        <v/>
      </c>
      <c r="X347" s="230">
        <f>+V347-U347</f>
        <v/>
      </c>
      <c r="Y347" s="231">
        <f>+V347-U347</f>
        <v/>
      </c>
      <c r="Z347" s="222" t="n"/>
      <c r="AA347" s="222" t="n"/>
      <c r="AB347" s="222" t="n"/>
      <c r="AC347" s="222" t="n"/>
      <c r="AD347" s="222" t="n"/>
      <c r="AE347" s="222" t="n"/>
      <c r="AF347" s="222" t="n"/>
      <c r="AG347" s="222" t="n"/>
      <c r="AH347" s="222" t="n"/>
      <c r="AI347" s="222" t="n"/>
      <c r="AJ347" s="222" t="n"/>
    </row>
    <row r="348" ht="54" customHeight="1" s="166">
      <c r="A348" s="222" t="n"/>
      <c r="B348" s="222" t="inlineStr">
        <is>
          <t>教学楼</t>
        </is>
      </c>
      <c r="C348" s="222" t="inlineStr">
        <is>
          <t>010902003014</t>
        </is>
      </c>
      <c r="D348" s="222" t="inlineStr">
        <is>
          <t>屋面刚性层（屋2、屋3）</t>
        </is>
      </c>
      <c r="E348" s="222" t="inlineStr">
        <is>
          <t>1.20厚(最薄处)WSM20水泥浆找2%坡,纵横设置分格缝间距≤6000,缝宽10~20的分格缝</t>
        </is>
      </c>
      <c r="F348" s="222" t="inlineStr">
        <is>
          <t>m2</t>
        </is>
      </c>
      <c r="G348" s="222" t="n">
        <v>174.74</v>
      </c>
      <c r="H348" s="223" t="n">
        <v>155.36</v>
      </c>
      <c r="I348" s="230" t="n">
        <v>155.36</v>
      </c>
      <c r="J348" s="223">
        <f>H348-G348</f>
        <v/>
      </c>
      <c r="K348" s="223">
        <f>I348-G348</f>
        <v/>
      </c>
      <c r="L348" s="223">
        <f>+I348-H348</f>
        <v/>
      </c>
      <c r="M348" s="224">
        <f>J348/G348</f>
        <v/>
      </c>
      <c r="N348" s="222" t="n">
        <v>28.13</v>
      </c>
      <c r="O348" s="222" t="n">
        <v>21.75</v>
      </c>
      <c r="P348" s="224">
        <f>(N348-O348)/O348</f>
        <v/>
      </c>
      <c r="Q348" s="223">
        <f>O348*0.9056*0.85</f>
        <v/>
      </c>
      <c r="R348" s="223">
        <f>O348*1.15</f>
        <v/>
      </c>
      <c r="S348" s="223">
        <f>IF(N348&lt;O348*0.9056*0.85,O348*0.9056*0.85,IF(N348&gt;O348*1.15,O348*1.15,N348))</f>
        <v/>
      </c>
      <c r="T348" s="223">
        <f>+G348*N348</f>
        <v/>
      </c>
      <c r="U348" s="223">
        <f>T348+S348*J348</f>
        <v/>
      </c>
      <c r="V348" s="230">
        <f>T348+S348*K348</f>
        <v/>
      </c>
      <c r="W348" s="223">
        <f>V348-T348</f>
        <v/>
      </c>
      <c r="X348" s="230">
        <f>+V348-U348</f>
        <v/>
      </c>
      <c r="Y348" s="231">
        <f>+V348-U348</f>
        <v/>
      </c>
      <c r="Z348" s="222" t="n"/>
      <c r="AA348" s="222" t="n"/>
      <c r="AB348" s="222" t="n"/>
      <c r="AC348" s="222" t="n"/>
      <c r="AD348" s="222" t="n"/>
      <c r="AE348" s="222" t="n"/>
      <c r="AF348" s="222" t="n"/>
      <c r="AG348" s="222" t="n"/>
      <c r="AH348" s="222" t="n"/>
      <c r="AI348" s="222" t="n"/>
      <c r="AJ348" s="222" t="n"/>
    </row>
    <row r="349" ht="54" customHeight="1" s="166">
      <c r="A349" s="222" t="n"/>
      <c r="B349" s="222" t="inlineStr">
        <is>
          <t>教学楼</t>
        </is>
      </c>
      <c r="C349" s="222" t="inlineStr">
        <is>
          <t>010902003015</t>
        </is>
      </c>
      <c r="D349" s="222" t="inlineStr">
        <is>
          <t>屋面刚性层（屋2、屋3）</t>
        </is>
      </c>
      <c r="E349" s="222" t="inlineStr">
        <is>
          <t>1.20厚(最薄处)WSM20水泥浆找平,纵横设置分格缝间距≤4000,缝宽10~20的分格缝</t>
        </is>
      </c>
      <c r="F349" s="222" t="inlineStr">
        <is>
          <t>m2</t>
        </is>
      </c>
      <c r="G349" s="222" t="n">
        <v>174.74</v>
      </c>
      <c r="H349" s="223" t="n">
        <v>354.61</v>
      </c>
      <c r="I349" s="230" t="n">
        <v>354.61</v>
      </c>
      <c r="J349" s="223">
        <f>H349-G349</f>
        <v/>
      </c>
      <c r="K349" s="223">
        <f>I349-G349</f>
        <v/>
      </c>
      <c r="L349" s="223">
        <f>+I349-H349</f>
        <v/>
      </c>
      <c r="M349" s="224">
        <f>J349/G349</f>
        <v/>
      </c>
      <c r="N349" s="222" t="n">
        <v>25.06</v>
      </c>
      <c r="O349" s="222" t="n">
        <v>21.76</v>
      </c>
      <c r="P349" s="224">
        <f>(N349-O349)/O349</f>
        <v/>
      </c>
      <c r="Q349" s="223">
        <f>O349*0.9056*0.85</f>
        <v/>
      </c>
      <c r="R349" s="223">
        <f>O349*1.15</f>
        <v/>
      </c>
      <c r="S349" s="223">
        <f>IF(N349&lt;O349*0.9056*0.85,O349*0.9056*0.85,IF(N349&gt;O349*1.15,O349*1.15,N349))</f>
        <v/>
      </c>
      <c r="T349" s="223">
        <f>+G349*N349</f>
        <v/>
      </c>
      <c r="U349" s="223">
        <f>T349+S349*J349</f>
        <v/>
      </c>
      <c r="V349" s="230">
        <f>T349+S349*K349</f>
        <v/>
      </c>
      <c r="W349" s="223">
        <f>V349-T349</f>
        <v/>
      </c>
      <c r="X349" s="230">
        <f>+V349-U349</f>
        <v/>
      </c>
      <c r="Y349" s="231">
        <f>+V349-U349</f>
        <v/>
      </c>
      <c r="Z349" s="222" t="n"/>
      <c r="AA349" s="222" t="n"/>
      <c r="AB349" s="222" t="n"/>
      <c r="AC349" s="222" t="n"/>
      <c r="AD349" s="222" t="n"/>
      <c r="AE349" s="222" t="n"/>
      <c r="AF349" s="222" t="n"/>
      <c r="AG349" s="222" t="n"/>
      <c r="AH349" s="222" t="n"/>
      <c r="AI349" s="222" t="n"/>
      <c r="AJ349" s="222" t="n"/>
    </row>
    <row r="350" ht="28.5" customHeight="1" s="166">
      <c r="A350" s="222" t="n"/>
      <c r="B350" s="222" t="inlineStr">
        <is>
          <t>教学楼</t>
        </is>
      </c>
      <c r="C350" s="222" t="inlineStr">
        <is>
          <t>010902003016</t>
        </is>
      </c>
      <c r="D350" s="222" t="inlineStr">
        <is>
          <t>屋面刚性层（屋4）</t>
        </is>
      </c>
      <c r="E350" s="222" t="inlineStr">
        <is>
          <t>1.20厚(最薄处)DSM15水泥浆找平</t>
        </is>
      </c>
      <c r="F350" s="222" t="inlineStr">
        <is>
          <t>m2</t>
        </is>
      </c>
      <c r="G350" s="222" t="n">
        <v>1772.31</v>
      </c>
      <c r="H350" s="223" t="n">
        <v>2238.69</v>
      </c>
      <c r="I350" s="230" t="n">
        <v>2238.69</v>
      </c>
      <c r="J350" s="223">
        <f>H350-G350</f>
        <v/>
      </c>
      <c r="K350" s="223">
        <f>I350-G350</f>
        <v/>
      </c>
      <c r="L350" s="223">
        <f>+I350-H350</f>
        <v/>
      </c>
      <c r="M350" s="224">
        <f>J350/G350</f>
        <v/>
      </c>
      <c r="N350" s="222" t="n">
        <v>24.44</v>
      </c>
      <c r="O350" s="222" t="n">
        <v>22.51</v>
      </c>
      <c r="P350" s="224">
        <f>(N350-O350)/O350</f>
        <v/>
      </c>
      <c r="Q350" s="223">
        <f>O350*0.9056*0.85</f>
        <v/>
      </c>
      <c r="R350" s="223">
        <f>O350*1.15</f>
        <v/>
      </c>
      <c r="S350" s="223">
        <f>IF(N350&lt;O350*0.9056*0.85,O350*0.9056*0.85,IF(N350&gt;O350*1.15,O350*1.15,N350))</f>
        <v/>
      </c>
      <c r="T350" s="223">
        <f>+G350*N350</f>
        <v/>
      </c>
      <c r="U350" s="223">
        <f>T350+S350*J350</f>
        <v/>
      </c>
      <c r="V350" s="230">
        <f>T350+S350*K350</f>
        <v/>
      </c>
      <c r="W350" s="223">
        <f>V350-T350</f>
        <v/>
      </c>
      <c r="X350" s="230">
        <f>+V350-U350</f>
        <v/>
      </c>
      <c r="Y350" s="231">
        <f>+V350-U350</f>
        <v/>
      </c>
      <c r="Z350" s="222" t="n"/>
      <c r="AA350" s="222" t="n"/>
      <c r="AB350" s="222" t="n"/>
      <c r="AC350" s="222" t="n"/>
      <c r="AD350" s="222" t="n"/>
      <c r="AE350" s="222" t="n"/>
      <c r="AF350" s="222" t="n"/>
      <c r="AG350" s="222" t="n"/>
      <c r="AH350" s="222" t="n"/>
      <c r="AI350" s="222" t="n"/>
      <c r="AJ350" s="222" t="n"/>
    </row>
    <row r="351" ht="54" customHeight="1" s="166">
      <c r="A351" s="222" t="n"/>
      <c r="B351" s="222" t="inlineStr">
        <is>
          <t>教学楼</t>
        </is>
      </c>
      <c r="C351" s="222" t="inlineStr">
        <is>
          <t>010901001001</t>
        </is>
      </c>
      <c r="D351" s="222" t="inlineStr">
        <is>
          <t>瓦屋面（屋4、屋5）</t>
        </is>
      </c>
      <c r="E351" s="222" t="inlineStr">
        <is>
          <t>1.彩石金属瓦
2.冷弯型钢挂瓦条,中距按瓦材规格
3.其他详见施工设计图</t>
        </is>
      </c>
      <c r="F351" s="222" t="inlineStr">
        <is>
          <t>m2</t>
        </is>
      </c>
      <c r="G351" s="222" t="n">
        <v>1772.31</v>
      </c>
      <c r="H351" s="223" t="n">
        <v>1774.67</v>
      </c>
      <c r="I351" s="230" t="n">
        <v>1774.67</v>
      </c>
      <c r="J351" s="223">
        <f>H351-G351</f>
        <v/>
      </c>
      <c r="K351" s="223">
        <f>I351-G351</f>
        <v/>
      </c>
      <c r="L351" s="223">
        <f>+I351-H351</f>
        <v/>
      </c>
      <c r="M351" s="224">
        <f>J351/G351</f>
        <v/>
      </c>
      <c r="N351" s="222" t="n">
        <v>240.86</v>
      </c>
      <c r="O351" s="222" t="n">
        <v>182.42</v>
      </c>
      <c r="P351" s="224">
        <f>(N351-O351)/O351</f>
        <v/>
      </c>
      <c r="Q351" s="223">
        <f>O351*0.9056*0.85</f>
        <v/>
      </c>
      <c r="R351" s="223">
        <f>O351*1.15</f>
        <v/>
      </c>
      <c r="S351" s="223">
        <f>IF(N351&lt;O351*0.9056*0.85,O351*0.9056*0.85,IF(N351&gt;O351*1.15,O351*1.15,N351))</f>
        <v/>
      </c>
      <c r="T351" s="223">
        <f>+G351*N351</f>
        <v/>
      </c>
      <c r="U351" s="223">
        <f>T351+S351*J351</f>
        <v/>
      </c>
      <c r="V351" s="230">
        <f>T351+S351*K351</f>
        <v/>
      </c>
      <c r="W351" s="223">
        <f>V351-T351</f>
        <v/>
      </c>
      <c r="X351" s="230">
        <f>+V351-U351</f>
        <v/>
      </c>
      <c r="Y351" s="231">
        <f>+V351-U351</f>
        <v/>
      </c>
      <c r="Z351" s="222" t="n"/>
      <c r="AA351" s="222" t="n"/>
      <c r="AB351" s="222" t="n"/>
      <c r="AC351" s="222" t="n"/>
      <c r="AD351" s="222" t="n"/>
      <c r="AE351" s="222" t="n"/>
      <c r="AF351" s="222" t="n"/>
      <c r="AG351" s="222" t="n"/>
      <c r="AH351" s="222" t="n"/>
      <c r="AI351" s="222" t="n"/>
      <c r="AJ351" s="222" t="n"/>
    </row>
    <row r="352" ht="71" customHeight="1" s="166">
      <c r="A352" s="222" t="n"/>
      <c r="B352" s="237" t="inlineStr">
        <is>
          <t>教学楼</t>
        </is>
      </c>
      <c r="C352" s="237" t="inlineStr">
        <is>
          <t>010904002003</t>
        </is>
      </c>
      <c r="D352" s="237" t="inlineStr">
        <is>
          <t>楼(地)面涂膜防水（沉池）</t>
        </is>
      </c>
      <c r="E352" s="237" t="inlineStr">
        <is>
          <t>1.1.5厚聚合物水泥基防水涂料
2.20厚M20水泥砂浆找平找坡层</t>
        </is>
      </c>
      <c r="F352" s="237" t="inlineStr">
        <is>
          <t>m2</t>
        </is>
      </c>
      <c r="G352" s="237" t="n">
        <v>657.4299999999999</v>
      </c>
      <c r="H352" s="238" t="n">
        <v>657.4299999999999</v>
      </c>
      <c r="I352" s="230" t="n">
        <v>657.4299999999999</v>
      </c>
      <c r="J352" s="238">
        <f>H352-G352</f>
        <v/>
      </c>
      <c r="K352" s="238">
        <f>I352-G352</f>
        <v/>
      </c>
      <c r="L352" s="238">
        <f>+I352-H352</f>
        <v/>
      </c>
      <c r="M352" s="239">
        <f>J352/G352</f>
        <v/>
      </c>
      <c r="N352" s="237" t="n">
        <v>63.95</v>
      </c>
      <c r="O352" s="237" t="n">
        <v>70.44</v>
      </c>
      <c r="P352" s="239">
        <f>(N352-O352)/O352</f>
        <v/>
      </c>
      <c r="Q352" s="238">
        <f>O352*0.9056*0.85</f>
        <v/>
      </c>
      <c r="R352" s="238">
        <f>O352*1.15</f>
        <v/>
      </c>
      <c r="S352" s="238">
        <f>IF(N352&lt;O352*0.9056*0.85,O352*0.9056*0.85,IF(N352&gt;O352*1.15,O352*1.15,N352))</f>
        <v/>
      </c>
      <c r="T352" s="238">
        <f>+G352*N352</f>
        <v/>
      </c>
      <c r="U352" s="238">
        <f>T352+S352*J352</f>
        <v/>
      </c>
      <c r="V352" s="230">
        <f>T352+S352*K352</f>
        <v/>
      </c>
      <c r="W352" s="223">
        <f>V352-T352</f>
        <v/>
      </c>
      <c r="X352" s="230">
        <f>+V352-U352</f>
        <v/>
      </c>
      <c r="Y352" s="231">
        <f>+V352-U352</f>
        <v/>
      </c>
      <c r="Z352" s="237" t="n"/>
      <c r="AA352" s="222" t="n"/>
      <c r="AB352" s="222" t="n"/>
      <c r="AC352" s="222" t="n"/>
      <c r="AD352" s="222" t="n"/>
      <c r="AE352" s="222" t="n"/>
      <c r="AF352" s="222" t="n"/>
      <c r="AG352" s="222" t="n"/>
      <c r="AH352" s="222" t="n"/>
      <c r="AI352" s="222" t="n"/>
      <c r="AJ352" s="222" t="n"/>
    </row>
    <row r="353" ht="94" customHeight="1" s="166">
      <c r="A353" s="222" t="n"/>
      <c r="B353" s="222" t="inlineStr">
        <is>
          <t>教学楼</t>
        </is>
      </c>
      <c r="C353" s="222" t="inlineStr">
        <is>
          <t>010904002002</t>
        </is>
      </c>
      <c r="D353" s="222" t="inlineStr">
        <is>
          <t>楼(地)面涂膜防水（卫生间）</t>
        </is>
      </c>
      <c r="E353" s="222" t="inlineStr">
        <is>
          <t>1.1.5厚聚合物水泥基防水涂料</t>
        </is>
      </c>
      <c r="F353" s="222" t="inlineStr">
        <is>
          <t>m2</t>
        </is>
      </c>
      <c r="G353" s="222" t="n">
        <v>493.43</v>
      </c>
      <c r="H353" s="223" t="n">
        <v>0</v>
      </c>
      <c r="I353" s="230" t="n">
        <v>0</v>
      </c>
      <c r="J353" s="223">
        <f>H353-G353</f>
        <v/>
      </c>
      <c r="K353" s="223">
        <f>I353-G353</f>
        <v/>
      </c>
      <c r="L353" s="223">
        <f>+I353-H353</f>
        <v/>
      </c>
      <c r="M353" s="224">
        <f>J353/G353</f>
        <v/>
      </c>
      <c r="N353" s="222" t="n">
        <v>42.91</v>
      </c>
      <c r="O353" s="222" t="n">
        <v>46.07</v>
      </c>
      <c r="P353" s="224">
        <f>(N353-O353)/O353</f>
        <v/>
      </c>
      <c r="Q353" s="223">
        <f>O353*0.9056*0.85</f>
        <v/>
      </c>
      <c r="R353" s="223">
        <f>O353*1.15</f>
        <v/>
      </c>
      <c r="S353" s="223">
        <f>IF(N353&lt;O353*0.9056*0.85,O353*0.9056*0.85,IF(N353&gt;O353*1.15,O353*1.15,N353))</f>
        <v/>
      </c>
      <c r="T353" s="223">
        <f>+G353*N353</f>
        <v/>
      </c>
      <c r="U353" s="223">
        <f>T353+S353*J353</f>
        <v/>
      </c>
      <c r="V353" s="230">
        <f>T353+S353*K353</f>
        <v/>
      </c>
      <c r="W353" s="223">
        <f>V353-T353</f>
        <v/>
      </c>
      <c r="X353" s="230">
        <f>+V353-U353</f>
        <v/>
      </c>
      <c r="Y353" s="231">
        <f>+V353-U353</f>
        <v/>
      </c>
      <c r="Z353" s="222" t="n"/>
      <c r="AA353" s="222" t="n"/>
      <c r="AB353" s="222" t="n"/>
      <c r="AC353" s="222" t="n"/>
      <c r="AD353" s="222" t="n"/>
      <c r="AE353" s="222" t="n"/>
      <c r="AF353" s="222" t="n"/>
      <c r="AG353" s="222" t="n"/>
      <c r="AH353" s="222" t="n"/>
      <c r="AI353" s="222" t="n"/>
      <c r="AJ353" s="222" t="n"/>
    </row>
    <row r="354" ht="107" customHeight="1" s="166">
      <c r="A354" s="222" t="n"/>
      <c r="B354" s="222" t="inlineStr">
        <is>
          <t>教学楼</t>
        </is>
      </c>
      <c r="C354" s="222" t="inlineStr">
        <is>
          <t>010903002001</t>
        </is>
      </c>
      <c r="D354" s="222" t="inlineStr">
        <is>
          <t>墙面涂膜防水（卫生间）</t>
        </is>
      </c>
      <c r="E354" s="222" t="inlineStr">
        <is>
          <t>1.卫生间墙身
2.1.5厚聚合物水泥基防水涂料
3.15厚WPM20水泥砂浆找平,分两遍成活,底层抹灰应压实搓毛</t>
        </is>
      </c>
      <c r="F354" s="222" t="inlineStr">
        <is>
          <t>m2</t>
        </is>
      </c>
      <c r="G354" s="222" t="n">
        <v>1721.84</v>
      </c>
      <c r="H354" s="223" t="n">
        <v>0</v>
      </c>
      <c r="I354" s="230" t="n">
        <v>0</v>
      </c>
      <c r="J354" s="223">
        <f>H354-G354</f>
        <v/>
      </c>
      <c r="K354" s="223">
        <f>I354-G354</f>
        <v/>
      </c>
      <c r="L354" s="223">
        <f>+I354-H354</f>
        <v/>
      </c>
      <c r="M354" s="224">
        <f>J354/G354</f>
        <v/>
      </c>
      <c r="N354" s="222" t="n">
        <v>76.48</v>
      </c>
      <c r="O354" s="222" t="n">
        <v>80.23</v>
      </c>
      <c r="P354" s="224">
        <f>(N354-O354)/O354</f>
        <v/>
      </c>
      <c r="Q354" s="223">
        <f>O354*0.9056*0.85</f>
        <v/>
      </c>
      <c r="R354" s="223">
        <f>O354*1.15</f>
        <v/>
      </c>
      <c r="S354" s="223">
        <f>IF(N354&lt;O354*0.9056*0.85,O354*0.9056*0.85,IF(N354&gt;O354*1.15,O354*1.15,N354))</f>
        <v/>
      </c>
      <c r="T354" s="223">
        <f>+G354*N354</f>
        <v/>
      </c>
      <c r="U354" s="223">
        <f>T354+S354*J354</f>
        <v/>
      </c>
      <c r="V354" s="230">
        <f>T354+S354*K354</f>
        <v/>
      </c>
      <c r="W354" s="223">
        <f>V354-T354</f>
        <v/>
      </c>
      <c r="X354" s="230">
        <f>+V354-U354</f>
        <v/>
      </c>
      <c r="Y354" s="231">
        <f>+V354-U354</f>
        <v/>
      </c>
      <c r="Z354" s="222" t="n"/>
      <c r="AA354" s="222" t="n"/>
      <c r="AB354" s="222" t="n"/>
      <c r="AC354" s="222" t="n"/>
      <c r="AD354" s="222" t="n"/>
      <c r="AE354" s="222" t="n"/>
      <c r="AF354" s="222" t="n"/>
      <c r="AG354" s="222" t="n"/>
      <c r="AH354" s="222" t="n"/>
      <c r="AI354" s="222" t="n"/>
      <c r="AJ354" s="222" t="n"/>
    </row>
    <row r="355" ht="28.5" customHeight="1" s="166">
      <c r="A355" s="222" t="n"/>
      <c r="B355" s="222" t="inlineStr">
        <is>
          <t>教学楼</t>
        </is>
      </c>
      <c r="C355" s="222" t="n"/>
      <c r="D355" s="222" t="inlineStr">
        <is>
          <t>保温、隔热、防腐工程</t>
        </is>
      </c>
      <c r="E355" s="222" t="n"/>
      <c r="F355" s="222" t="n"/>
      <c r="G355" s="222" t="n"/>
      <c r="H355" s="223" t="n"/>
      <c r="I355" s="229" t="n"/>
      <c r="J355" s="223" t="n"/>
      <c r="K355" s="223" t="n"/>
      <c r="L355" s="223" t="n"/>
      <c r="M355" s="224" t="n"/>
      <c r="N355" s="222" t="n"/>
      <c r="O355" s="222" t="n"/>
      <c r="P355" s="222" t="n"/>
      <c r="Q355" s="222" t="n"/>
      <c r="R355" s="222" t="n"/>
      <c r="S355" s="223" t="n"/>
      <c r="T355" s="223">
        <f>+SUM(T356:T361)</f>
        <v/>
      </c>
      <c r="U355" s="223">
        <f>+SUM(U356:U361)</f>
        <v/>
      </c>
      <c r="V355" s="230">
        <f>SUM(V356:V361)</f>
        <v/>
      </c>
      <c r="W355" s="223">
        <f>V355-T355</f>
        <v/>
      </c>
      <c r="X355" s="230">
        <f>+V355-U355</f>
        <v/>
      </c>
      <c r="Y355" s="231" t="n"/>
      <c r="Z355" s="222" t="n"/>
      <c r="AA355" s="222" t="n"/>
      <c r="AB355" s="222" t="n"/>
      <c r="AC355" s="222" t="n"/>
      <c r="AD355" s="222" t="n"/>
      <c r="AE355" s="222" t="n"/>
      <c r="AF355" s="222" t="n"/>
      <c r="AG355" s="222" t="n"/>
      <c r="AH355" s="222" t="n"/>
      <c r="AI355" s="222" t="n"/>
      <c r="AJ355" s="222" t="n"/>
    </row>
    <row r="356" ht="28.5" customHeight="1" s="166">
      <c r="A356" s="222" t="n"/>
      <c r="B356" s="222" t="inlineStr">
        <is>
          <t>教学楼</t>
        </is>
      </c>
      <c r="C356" s="222" t="inlineStr">
        <is>
          <t>011001001001</t>
        </is>
      </c>
      <c r="D356" s="222" t="inlineStr">
        <is>
          <t>保温隔热屋面（屋1）</t>
        </is>
      </c>
      <c r="E356" s="222" t="inlineStr">
        <is>
          <t>1.55厚RC型B2级挤塑聚苯乙烯泡沫塑料板</t>
        </is>
      </c>
      <c r="F356" s="222" t="inlineStr">
        <is>
          <t>m2</t>
        </is>
      </c>
      <c r="G356" s="222" t="n">
        <v>285.67</v>
      </c>
      <c r="H356" s="223" t="n">
        <v>285.67</v>
      </c>
      <c r="I356" s="230" t="n">
        <v>124.33</v>
      </c>
      <c r="J356" s="223">
        <f>H356-G356</f>
        <v/>
      </c>
      <c r="K356" s="223">
        <f>I356-G356</f>
        <v/>
      </c>
      <c r="L356" s="223">
        <f>+I356-H356</f>
        <v/>
      </c>
      <c r="M356" s="224">
        <f>J356/G356</f>
        <v/>
      </c>
      <c r="N356" s="222" t="n">
        <v>30.02</v>
      </c>
      <c r="O356" s="222" t="n">
        <v>54.05</v>
      </c>
      <c r="P356" s="224">
        <f>(N356-O356)/O356</f>
        <v/>
      </c>
      <c r="Q356" s="223">
        <f>O356*0.9056*0.85</f>
        <v/>
      </c>
      <c r="R356" s="223">
        <f>O356*1.15</f>
        <v/>
      </c>
      <c r="S356" s="223">
        <f>IF(N356&lt;O356*0.9056*0.85,O356*0.9056*0.85,IF(N356&gt;O356*1.15,O356*1.15,N356))</f>
        <v/>
      </c>
      <c r="T356" s="223">
        <f>+G356*N356</f>
        <v/>
      </c>
      <c r="U356" s="223">
        <f>T356+S356*J356</f>
        <v/>
      </c>
      <c r="V356" s="230">
        <f>T356+S356*K356</f>
        <v/>
      </c>
      <c r="W356" s="223">
        <f>V356-T356</f>
        <v/>
      </c>
      <c r="X356" s="230">
        <f>+V356-U356</f>
        <v/>
      </c>
      <c r="Y356" s="231">
        <f>+V356-U356</f>
        <v/>
      </c>
      <c r="Z356" s="222" t="n"/>
      <c r="AA356" s="222" t="n"/>
      <c r="AB356" s="222" t="n"/>
      <c r="AC356" s="222" t="n"/>
      <c r="AD356" s="222" t="n"/>
      <c r="AE356" s="222" t="n"/>
      <c r="AF356" s="222" t="n"/>
      <c r="AG356" s="222" t="n"/>
      <c r="AH356" s="222" t="n"/>
      <c r="AI356" s="222" t="n"/>
      <c r="AJ356" s="222" t="n"/>
    </row>
    <row r="357" ht="41.25" customHeight="1" s="166">
      <c r="A357" s="222" t="n"/>
      <c r="B357" s="222" t="inlineStr">
        <is>
          <t>教学楼</t>
        </is>
      </c>
      <c r="C357" s="222" t="inlineStr">
        <is>
          <t>011003001001</t>
        </is>
      </c>
      <c r="D357" s="222" t="inlineStr">
        <is>
          <t>隔离层（屋2）</t>
        </is>
      </c>
      <c r="E357" s="222" t="inlineStr">
        <is>
          <t>1.部位:种植屋面
2.聚酯无纺布过滤层
3.凹凸型排(蓄)水板</t>
        </is>
      </c>
      <c r="F357" s="222" t="inlineStr">
        <is>
          <t>m2</t>
        </is>
      </c>
      <c r="G357" s="222" t="n">
        <v>174.74</v>
      </c>
      <c r="H357" s="223" t="n">
        <v>174.74</v>
      </c>
      <c r="I357" s="230" t="n">
        <v>174.74</v>
      </c>
      <c r="J357" s="223">
        <f>H357-G357</f>
        <v/>
      </c>
      <c r="K357" s="223">
        <f>I357-G357</f>
        <v/>
      </c>
      <c r="L357" s="223">
        <f>+I357-H357</f>
        <v/>
      </c>
      <c r="M357" s="224">
        <f>J357/G357</f>
        <v/>
      </c>
      <c r="N357" s="222" t="n">
        <v>14.58</v>
      </c>
      <c r="O357" s="222" t="n">
        <v>23.14</v>
      </c>
      <c r="P357" s="224">
        <f>(N357-O357)/O357</f>
        <v/>
      </c>
      <c r="Q357" s="223">
        <f>O357*0.9056*0.85</f>
        <v/>
      </c>
      <c r="R357" s="223">
        <f>O357*1.15</f>
        <v/>
      </c>
      <c r="S357" s="223">
        <f>IF(N357&lt;O357*0.9056*0.85,O357*0.9056*0.85,IF(N357&gt;O357*1.15,O357*1.15,N357))</f>
        <v/>
      </c>
      <c r="T357" s="223">
        <f>+G357*N357</f>
        <v/>
      </c>
      <c r="U357" s="223">
        <f>T357+S357*J357</f>
        <v/>
      </c>
      <c r="V357" s="230">
        <f>T357+S357*K357</f>
        <v/>
      </c>
      <c r="W357" s="223">
        <f>V357-T357</f>
        <v/>
      </c>
      <c r="X357" s="230">
        <f>+V357-U357</f>
        <v/>
      </c>
      <c r="Y357" s="231">
        <f>+V357-U357</f>
        <v/>
      </c>
      <c r="Z357" s="222" t="n"/>
      <c r="AA357" s="222" t="n"/>
      <c r="AB357" s="222" t="n"/>
      <c r="AC357" s="222" t="n"/>
      <c r="AD357" s="222" t="n"/>
      <c r="AE357" s="222" t="n"/>
      <c r="AF357" s="222" t="n"/>
      <c r="AG357" s="222" t="n"/>
      <c r="AH357" s="222" t="n"/>
      <c r="AI357" s="222" t="n"/>
      <c r="AJ357" s="222" t="n"/>
    </row>
    <row r="358" ht="28.5" customHeight="1" s="166">
      <c r="A358" s="222" t="n"/>
      <c r="B358" s="222" t="inlineStr">
        <is>
          <t>教学楼</t>
        </is>
      </c>
      <c r="C358" s="222" t="inlineStr">
        <is>
          <t>011001001002</t>
        </is>
      </c>
      <c r="D358" s="222" t="inlineStr">
        <is>
          <t>保温隔热屋面（屋2）</t>
        </is>
      </c>
      <c r="E358" s="222" t="inlineStr">
        <is>
          <t>1.20厚RC型B2级挤塑聚苯乙烯泡沫塑料板</t>
        </is>
      </c>
      <c r="F358" s="222" t="inlineStr">
        <is>
          <t>m2</t>
        </is>
      </c>
      <c r="G358" s="222" t="n">
        <v>174.74</v>
      </c>
      <c r="H358" s="223" t="n">
        <v>174.74</v>
      </c>
      <c r="I358" s="230" t="n">
        <v>174.74</v>
      </c>
      <c r="J358" s="223">
        <f>H358-G358</f>
        <v/>
      </c>
      <c r="K358" s="223">
        <f>I358-G358</f>
        <v/>
      </c>
      <c r="L358" s="223">
        <f>+I358-H358</f>
        <v/>
      </c>
      <c r="M358" s="224">
        <f>J358/G358</f>
        <v/>
      </c>
      <c r="N358" s="222" t="n">
        <v>29</v>
      </c>
      <c r="O358" s="222" t="n">
        <v>29.53</v>
      </c>
      <c r="P358" s="224">
        <f>(N358-O358)/O358</f>
        <v/>
      </c>
      <c r="Q358" s="223">
        <f>O358*0.9056*0.85</f>
        <v/>
      </c>
      <c r="R358" s="223">
        <f>O358*1.15</f>
        <v/>
      </c>
      <c r="S358" s="223">
        <f>IF(N358&lt;O358*0.9056*0.85,O358*0.9056*0.85,IF(N358&gt;O358*1.15,O358*1.15,N358))</f>
        <v/>
      </c>
      <c r="T358" s="223">
        <f>+G358*N358</f>
        <v/>
      </c>
      <c r="U358" s="223">
        <f>T358+S358*J358</f>
        <v/>
      </c>
      <c r="V358" s="230">
        <f>T358+S358*K358</f>
        <v/>
      </c>
      <c r="W358" s="223">
        <f>V358-T358</f>
        <v/>
      </c>
      <c r="X358" s="230">
        <f>+V358-U358</f>
        <v/>
      </c>
      <c r="Y358" s="231">
        <f>+V358-U358</f>
        <v/>
      </c>
      <c r="Z358" s="222" t="n"/>
      <c r="AA358" s="222" t="n"/>
      <c r="AB358" s="222" t="n"/>
      <c r="AC358" s="222" t="n"/>
      <c r="AD358" s="222" t="n"/>
      <c r="AE358" s="222" t="n"/>
      <c r="AF358" s="222" t="n"/>
      <c r="AG358" s="222" t="n"/>
      <c r="AH358" s="222" t="n"/>
      <c r="AI358" s="222" t="n"/>
      <c r="AJ358" s="222" t="n"/>
    </row>
    <row r="359" ht="41.25" customHeight="1" s="166">
      <c r="A359" s="222" t="n"/>
      <c r="B359" s="234" t="inlineStr">
        <is>
          <t>教学楼</t>
        </is>
      </c>
      <c r="C359" s="234" t="inlineStr">
        <is>
          <t>011003001002</t>
        </is>
      </c>
      <c r="D359" s="234" t="inlineStr">
        <is>
          <t>隔离层（屋1、屋2、屋3、屋4）</t>
        </is>
      </c>
      <c r="E359" s="234" t="inlineStr">
        <is>
          <t>1.0.4厚聚乙烯薄膜隔离层</t>
        </is>
      </c>
      <c r="F359" s="234" t="inlineStr">
        <is>
          <t>m2</t>
        </is>
      </c>
      <c r="G359" s="234" t="n">
        <v>2232.72</v>
      </c>
      <c r="H359" s="235" t="n">
        <v>2927.74</v>
      </c>
      <c r="I359" s="235">
        <f>2927.7425</f>
        <v/>
      </c>
      <c r="J359" s="235">
        <f>H359-G359</f>
        <v/>
      </c>
      <c r="K359" s="235">
        <f>I359-G359</f>
        <v/>
      </c>
      <c r="L359" s="235">
        <f>+I359-H359</f>
        <v/>
      </c>
      <c r="M359" s="236">
        <f>J359/G359</f>
        <v/>
      </c>
      <c r="N359" s="234" t="n">
        <v>4.06</v>
      </c>
      <c r="O359" s="234" t="n">
        <v>7.24</v>
      </c>
      <c r="P359" s="236">
        <f>(N359-O359)/O359</f>
        <v/>
      </c>
      <c r="Q359" s="235">
        <f>O359*0.9056*0.85</f>
        <v/>
      </c>
      <c r="R359" s="235">
        <f>O359*1.15</f>
        <v/>
      </c>
      <c r="S359" s="235">
        <f>IF(N359&lt;O359*0.9056*0.85,O359*0.9056*0.85,IF(N359&gt;O359*1.15,O359*1.15,N359))</f>
        <v/>
      </c>
      <c r="T359" s="235">
        <f>+G359*N359</f>
        <v/>
      </c>
      <c r="U359" s="235">
        <f>T359+S359*J359</f>
        <v/>
      </c>
      <c r="V359" s="235">
        <f>T359+S359*K359</f>
        <v/>
      </c>
      <c r="W359" s="223">
        <f>V359-T359</f>
        <v/>
      </c>
      <c r="X359" s="230">
        <f>+V359-U359</f>
        <v/>
      </c>
      <c r="Y359" s="235">
        <f>+V359-U359</f>
        <v/>
      </c>
      <c r="Z359" s="234" t="n"/>
      <c r="AA359" s="222" t="n"/>
      <c r="AB359" s="222" t="n"/>
      <c r="AC359" s="222" t="n"/>
      <c r="AD359" s="222" t="n"/>
      <c r="AE359" s="222" t="n"/>
      <c r="AF359" s="222" t="n"/>
      <c r="AG359" s="222" t="n"/>
      <c r="AH359" s="222" t="n"/>
      <c r="AI359" s="222" t="n"/>
      <c r="AJ359" s="222" t="n"/>
    </row>
    <row r="360" ht="28.5" customHeight="1" s="166">
      <c r="A360" s="222" t="n"/>
      <c r="B360" s="222" t="inlineStr">
        <is>
          <t>教学楼</t>
        </is>
      </c>
      <c r="C360" s="222" t="inlineStr">
        <is>
          <t>011001001003</t>
        </is>
      </c>
      <c r="D360" s="222" t="inlineStr">
        <is>
          <t>保温隔热屋面（屋4）</t>
        </is>
      </c>
      <c r="E360" s="222" t="inlineStr">
        <is>
          <t>1.50厚RC型B2级挤塑聚苯乙烯泡沫塑料板</t>
        </is>
      </c>
      <c r="F360" s="222" t="inlineStr">
        <is>
          <t>m2</t>
        </is>
      </c>
      <c r="G360" s="222" t="n">
        <v>1772.31</v>
      </c>
      <c r="H360" s="223" t="n">
        <v>1774.67</v>
      </c>
      <c r="I360" s="230" t="n">
        <v>1774.67</v>
      </c>
      <c r="J360" s="223">
        <f>H360-G360</f>
        <v/>
      </c>
      <c r="K360" s="223">
        <f>I360-G360</f>
        <v/>
      </c>
      <c r="L360" s="223">
        <f>+I360-H360</f>
        <v/>
      </c>
      <c r="M360" s="224">
        <f>J360/G360</f>
        <v/>
      </c>
      <c r="N360" s="222" t="n">
        <v>30.02</v>
      </c>
      <c r="O360" s="222" t="n">
        <v>49.93</v>
      </c>
      <c r="P360" s="224">
        <f>(N360-O360)/O360</f>
        <v/>
      </c>
      <c r="Q360" s="223">
        <f>O360*0.9056*0.85</f>
        <v/>
      </c>
      <c r="R360" s="223">
        <f>O360*1.15</f>
        <v/>
      </c>
      <c r="S360" s="223">
        <f>IF(N360&lt;O360*0.9056*0.85,O360*0.9056*0.85,IF(N360&gt;O360*1.15,O360*1.15,N360))</f>
        <v/>
      </c>
      <c r="T360" s="223">
        <f>+G360*N360</f>
        <v/>
      </c>
      <c r="U360" s="223">
        <f>T360+S360*J360</f>
        <v/>
      </c>
      <c r="V360" s="230">
        <f>T360+S360*K360</f>
        <v/>
      </c>
      <c r="W360" s="223">
        <f>V360-T360</f>
        <v/>
      </c>
      <c r="X360" s="230">
        <f>+V360-U360</f>
        <v/>
      </c>
      <c r="Y360" s="231">
        <f>+V360-U360</f>
        <v/>
      </c>
      <c r="Z360" s="222" t="n"/>
      <c r="AA360" s="222" t="n"/>
      <c r="AB360" s="222" t="n"/>
      <c r="AC360" s="222" t="n"/>
      <c r="AD360" s="222" t="n"/>
      <c r="AE360" s="222" t="n"/>
      <c r="AF360" s="222" t="n"/>
      <c r="AG360" s="222" t="n"/>
      <c r="AH360" s="222" t="n"/>
      <c r="AI360" s="222" t="n"/>
      <c r="AJ360" s="222" t="n"/>
    </row>
    <row r="361" ht="66.75" customHeight="1" s="166">
      <c r="A361" s="222" t="n"/>
      <c r="B361" s="222" t="inlineStr">
        <is>
          <t>教学楼</t>
        </is>
      </c>
      <c r="C361" s="222" t="inlineStr">
        <is>
          <t>011001003001</t>
        </is>
      </c>
      <c r="D361" s="222" t="inlineStr">
        <is>
          <t>保温隔热墙面</t>
        </is>
      </c>
      <c r="E361" s="222" t="inlineStr">
        <is>
          <t>1.西向外墙内保温10mm玻化微珠保温砂浆
2.5厚抗裂砂浆内置保温专用玻纤网(130g/m2)
3.做法详见图纸</t>
        </is>
      </c>
      <c r="F361" s="222" t="inlineStr">
        <is>
          <t>m2</t>
        </is>
      </c>
      <c r="G361" s="222" t="n">
        <v>625.6</v>
      </c>
      <c r="H361" s="223" t="n">
        <v>463.18</v>
      </c>
      <c r="I361" s="230" t="n">
        <v>463.18</v>
      </c>
      <c r="J361" s="223">
        <f>H361-G361</f>
        <v/>
      </c>
      <c r="K361" s="223">
        <f>I361-G361</f>
        <v/>
      </c>
      <c r="L361" s="223">
        <f>+I361-H361</f>
        <v/>
      </c>
      <c r="M361" s="224">
        <f>J361/G361</f>
        <v/>
      </c>
      <c r="N361" s="222" t="n">
        <v>85.13</v>
      </c>
      <c r="O361" s="222" t="n">
        <v>65.26000000000001</v>
      </c>
      <c r="P361" s="224">
        <f>(N361-O361)/O361</f>
        <v/>
      </c>
      <c r="Q361" s="223">
        <f>O361*0.9056*0.85</f>
        <v/>
      </c>
      <c r="R361" s="223">
        <f>O361*1.15</f>
        <v/>
      </c>
      <c r="S361" s="223">
        <f>IF(N361&lt;O361*0.9056*0.85,O361*0.9056*0.85,IF(N361&gt;O361*1.15,O361*1.15,N361))</f>
        <v/>
      </c>
      <c r="T361" s="223">
        <f>+G361*N361</f>
        <v/>
      </c>
      <c r="U361" s="223">
        <f>T361+S361*J361</f>
        <v/>
      </c>
      <c r="V361" s="230">
        <f>T361+S361*K361</f>
        <v/>
      </c>
      <c r="W361" s="223">
        <f>V361-T361</f>
        <v/>
      </c>
      <c r="X361" s="230">
        <f>+V361-U361</f>
        <v/>
      </c>
      <c r="Y361" s="231">
        <f>+V361-U361</f>
        <v/>
      </c>
      <c r="Z361" s="222" t="n"/>
      <c r="AA361" s="222" t="n"/>
      <c r="AB361" s="222" t="n"/>
      <c r="AC361" s="222" t="n"/>
      <c r="AD361" s="222" t="n"/>
      <c r="AE361" s="222" t="n"/>
      <c r="AF361" s="222" t="n"/>
      <c r="AG361" s="222" t="n"/>
      <c r="AH361" s="222" t="n"/>
      <c r="AI361" s="222" t="n"/>
      <c r="AJ361" s="222" t="n"/>
    </row>
    <row r="362" ht="28.5" customHeight="1" s="166">
      <c r="A362" s="222" t="n"/>
      <c r="B362" s="222" t="inlineStr">
        <is>
          <t>教学楼</t>
        </is>
      </c>
      <c r="C362" s="222" t="n"/>
      <c r="D362" s="222" t="inlineStr">
        <is>
          <t>楼地面装饰工程</t>
        </is>
      </c>
      <c r="E362" s="222" t="n"/>
      <c r="F362" s="222" t="n"/>
      <c r="G362" s="222" t="n"/>
      <c r="H362" s="223" t="n"/>
      <c r="I362" s="229" t="n"/>
      <c r="J362" s="223" t="n"/>
      <c r="K362" s="223" t="n"/>
      <c r="L362" s="223" t="n"/>
      <c r="M362" s="224" t="n"/>
      <c r="N362" s="222" t="n"/>
      <c r="O362" s="222" t="n"/>
      <c r="P362" s="222" t="n"/>
      <c r="Q362" s="222" t="n"/>
      <c r="R362" s="222" t="n"/>
      <c r="S362" s="223" t="n"/>
      <c r="T362" s="223">
        <f>+SUM(T363:T377)</f>
        <v/>
      </c>
      <c r="U362" s="223">
        <f>+SUM(U363:U377)</f>
        <v/>
      </c>
      <c r="V362" s="230">
        <f>SUM(V363:V377)</f>
        <v/>
      </c>
      <c r="W362" s="223">
        <f>V362-T362</f>
        <v/>
      </c>
      <c r="X362" s="230">
        <f>+V362-U362</f>
        <v/>
      </c>
      <c r="Y362" s="231">
        <f>V362-U362</f>
        <v/>
      </c>
      <c r="Z362" s="222" t="n"/>
      <c r="AA362" s="222" t="n"/>
      <c r="AB362" s="222" t="n"/>
      <c r="AC362" s="222" t="n"/>
      <c r="AD362" s="222" t="n"/>
      <c r="AE362" s="222" t="n"/>
      <c r="AF362" s="222" t="n"/>
      <c r="AG362" s="222" t="n"/>
      <c r="AH362" s="222" t="n"/>
      <c r="AI362" s="222" t="n"/>
      <c r="AJ362" s="222" t="n"/>
    </row>
    <row r="363" ht="41.25" customHeight="1" s="166">
      <c r="A363" s="222" t="n"/>
      <c r="B363" s="222" t="inlineStr">
        <is>
          <t>教学楼</t>
        </is>
      </c>
      <c r="C363" s="222" t="inlineStr">
        <is>
          <t>011101001004</t>
        </is>
      </c>
      <c r="D363" s="222" t="inlineStr">
        <is>
          <t>水泥砂浆楼地面（地1）（水电井）</t>
        </is>
      </c>
      <c r="E363" s="222" t="inlineStr">
        <is>
          <t>1.20厚M20水泥砂浆打底,加水泥粉随手抹光向地漏找坡</t>
        </is>
      </c>
      <c r="F363" s="222" t="inlineStr">
        <is>
          <t>m2</t>
        </is>
      </c>
      <c r="G363" s="222" t="n">
        <v>70.27</v>
      </c>
      <c r="H363" s="223" t="n">
        <v>124.44</v>
      </c>
      <c r="I363" s="230" t="n">
        <v>124.44</v>
      </c>
      <c r="J363" s="223">
        <f>H363-G363</f>
        <v/>
      </c>
      <c r="K363" s="223">
        <f>I363-G363</f>
        <v/>
      </c>
      <c r="L363" s="223">
        <f>+I363-H363</f>
        <v/>
      </c>
      <c r="M363" s="224">
        <f>J363/G363</f>
        <v/>
      </c>
      <c r="N363" s="222" t="n">
        <v>29.28</v>
      </c>
      <c r="O363" s="222" t="n">
        <v>24.37</v>
      </c>
      <c r="P363" s="224">
        <f>(N363-O363)/O363</f>
        <v/>
      </c>
      <c r="Q363" s="223">
        <f>O363*0.9056*0.85</f>
        <v/>
      </c>
      <c r="R363" s="223">
        <f>O363*1.15</f>
        <v/>
      </c>
      <c r="S363" s="223">
        <f>IF(N363&lt;O363*0.9056*0.85,O363*0.9056*0.85,IF(N363&gt;O363*1.15,O363*1.15,N363))</f>
        <v/>
      </c>
      <c r="T363" s="223">
        <f>+G363*N363</f>
        <v/>
      </c>
      <c r="U363" s="223">
        <f>T363+S363*J363</f>
        <v/>
      </c>
      <c r="V363" s="230">
        <f>T363+S363*K363</f>
        <v/>
      </c>
      <c r="W363" s="223">
        <f>V363-T363</f>
        <v/>
      </c>
      <c r="X363" s="230">
        <f>+V363-U363</f>
        <v/>
      </c>
      <c r="Y363" s="231">
        <f>+V363-U363</f>
        <v/>
      </c>
      <c r="Z363" s="222" t="n"/>
      <c r="AA363" s="222" t="n"/>
      <c r="AB363" s="222" t="n"/>
      <c r="AC363" s="222" t="n"/>
      <c r="AD363" s="222" t="n"/>
      <c r="AE363" s="222" t="n"/>
      <c r="AF363" s="222" t="n"/>
      <c r="AG363" s="222" t="n"/>
      <c r="AH363" s="222" t="n"/>
      <c r="AI363" s="222" t="n"/>
      <c r="AJ363" s="222" t="n"/>
    </row>
    <row r="364" ht="54" customHeight="1" s="166">
      <c r="A364" s="222" t="n"/>
      <c r="B364" s="222" t="inlineStr">
        <is>
          <t>教学楼</t>
        </is>
      </c>
      <c r="C364" s="222" t="inlineStr">
        <is>
          <t>011102003016</t>
        </is>
      </c>
      <c r="D364" s="222" t="inlineStr">
        <is>
          <t>块料楼地面（地2）</t>
        </is>
      </c>
      <c r="E364" s="222" t="inlineStr">
        <is>
          <t>1.400*400mm防滑地砖铺平拍实,纯水泥浆擦缝
2.15厚DSM15水泥砂浆结合层</t>
        </is>
      </c>
      <c r="F364" s="222" t="inlineStr">
        <is>
          <t>m2</t>
        </is>
      </c>
      <c r="G364" s="222" t="n">
        <v>522.17</v>
      </c>
      <c r="H364" s="223" t="n">
        <v>520.8200000000001</v>
      </c>
      <c r="I364" s="230" t="n">
        <v>520.8200000000001</v>
      </c>
      <c r="J364" s="223">
        <f>H364-G364</f>
        <v/>
      </c>
      <c r="K364" s="223">
        <f>I364-G364</f>
        <v/>
      </c>
      <c r="L364" s="223">
        <f>+I364-H364</f>
        <v/>
      </c>
      <c r="M364" s="224">
        <f>J364/G364</f>
        <v/>
      </c>
      <c r="N364" s="222" t="n">
        <v>112.13</v>
      </c>
      <c r="O364" s="222" t="n">
        <v>74.23999999999999</v>
      </c>
      <c r="P364" s="224">
        <f>(N364-O364)/O364</f>
        <v/>
      </c>
      <c r="Q364" s="223">
        <f>O364*0.9056*0.85</f>
        <v/>
      </c>
      <c r="R364" s="223">
        <f>O364*1.15</f>
        <v/>
      </c>
      <c r="S364" s="223">
        <f>IF(N364&lt;O364*0.9056*0.85,O364*0.9056*0.85,IF(N364&gt;O364*1.15,O364*1.15,N364))</f>
        <v/>
      </c>
      <c r="T364" s="223">
        <f>+G364*N364</f>
        <v/>
      </c>
      <c r="U364" s="223">
        <f>T364+S364*J364</f>
        <v/>
      </c>
      <c r="V364" s="230">
        <f>T364+S364*K364</f>
        <v/>
      </c>
      <c r="W364" s="223">
        <f>V364-T364</f>
        <v/>
      </c>
      <c r="X364" s="230">
        <f>+V364-U364</f>
        <v/>
      </c>
      <c r="Y364" s="231">
        <f>+V364-U364</f>
        <v/>
      </c>
      <c r="Z364" s="222" t="n"/>
      <c r="AA364" s="222" t="n"/>
      <c r="AB364" s="222" t="n"/>
      <c r="AC364" s="222" t="n"/>
      <c r="AD364" s="222" t="n"/>
      <c r="AE364" s="222" t="n"/>
      <c r="AF364" s="222" t="n"/>
      <c r="AG364" s="222" t="n"/>
      <c r="AH364" s="222" t="n"/>
      <c r="AI364" s="222" t="n"/>
      <c r="AJ364" s="222" t="n"/>
    </row>
    <row r="365" ht="66.75" customHeight="1" s="166">
      <c r="A365" s="222" t="n"/>
      <c r="B365" s="222" t="inlineStr">
        <is>
          <t>教学楼</t>
        </is>
      </c>
      <c r="C365" s="222" t="inlineStr">
        <is>
          <t>011103002001</t>
        </is>
      </c>
      <c r="D365" s="222" t="inlineStr">
        <is>
          <t>橡胶板卷材楼地面</t>
        </is>
      </c>
      <c r="E365" s="222" t="inlineStr">
        <is>
          <t>1.2.0mm厚PVC卷材木纹地板胶专用粘合剂粘贴
2.20~45厚M20水泥砂浆,压实赶光
3.做法详见图纸</t>
        </is>
      </c>
      <c r="F365" s="222" t="inlineStr">
        <is>
          <t>m2</t>
        </is>
      </c>
      <c r="G365" s="222" t="n">
        <v>149.22</v>
      </c>
      <c r="H365" s="223" t="n">
        <v>148.09</v>
      </c>
      <c r="I365" s="230" t="n">
        <v>148.09</v>
      </c>
      <c r="J365" s="223">
        <f>H365-G365</f>
        <v/>
      </c>
      <c r="K365" s="223">
        <f>I365-G365</f>
        <v/>
      </c>
      <c r="L365" s="223">
        <f>+I365-H365</f>
        <v/>
      </c>
      <c r="M365" s="224">
        <f>J365/G365</f>
        <v/>
      </c>
      <c r="N365" s="222" t="n">
        <v>142.46</v>
      </c>
      <c r="O365" s="222" t="n">
        <v>223.87</v>
      </c>
      <c r="P365" s="224">
        <f>(N365-O365)/O365</f>
        <v/>
      </c>
      <c r="Q365" s="223">
        <f>O365*0.9056*0.85</f>
        <v/>
      </c>
      <c r="R365" s="223">
        <f>O365*1.15</f>
        <v/>
      </c>
      <c r="S365" s="223">
        <f>IF(N365&lt;O365*0.9056*0.85,O365*0.9056*0.85,IF(N365&gt;O365*1.15,O365*1.15,N365))</f>
        <v/>
      </c>
      <c r="T365" s="223">
        <f>+G365*N365</f>
        <v/>
      </c>
      <c r="U365" s="223">
        <f>T365+S365*J365</f>
        <v/>
      </c>
      <c r="V365" s="230">
        <f>T365+S365*K365</f>
        <v/>
      </c>
      <c r="W365" s="223">
        <f>V365-T365</f>
        <v/>
      </c>
      <c r="X365" s="230">
        <f>+V365-U365</f>
        <v/>
      </c>
      <c r="Y365" s="231">
        <f>+V365-U365</f>
        <v/>
      </c>
      <c r="Z365" s="222" t="n"/>
      <c r="AA365" s="222" t="n"/>
      <c r="AB365" s="222" t="n"/>
      <c r="AC365" s="222" t="n"/>
      <c r="AD365" s="222" t="n"/>
      <c r="AE365" s="222" t="n"/>
      <c r="AF365" s="222" t="n"/>
      <c r="AG365" s="222" t="n"/>
      <c r="AH365" s="222" t="n"/>
      <c r="AI365" s="222" t="n"/>
      <c r="AJ365" s="222" t="n"/>
    </row>
    <row r="366" ht="79.5" customHeight="1" s="166">
      <c r="A366" s="222" t="n"/>
      <c r="B366" s="222" t="inlineStr">
        <is>
          <t>教学楼</t>
        </is>
      </c>
      <c r="C366" s="222" t="inlineStr">
        <is>
          <t>011104002002</t>
        </is>
      </c>
      <c r="D366" s="222" t="inlineStr">
        <is>
          <t>竹、木(复合)地板</t>
        </is>
      </c>
      <c r="E366" s="222" t="inlineStr">
        <is>
          <t>1.成品2厚UPVC卷材(同质透心)专用粘合剂粘贴
2.18mm阻燃夹板面铺
3.40*40*2方钢底架(横竖间隔≤600)
4.做法详见图纸</t>
        </is>
      </c>
      <c r="F366" s="222" t="inlineStr">
        <is>
          <t>m2</t>
        </is>
      </c>
      <c r="G366" s="222" t="n">
        <v>8.99</v>
      </c>
      <c r="H366" s="223" t="n">
        <v>8.859999999999999</v>
      </c>
      <c r="I366" s="230" t="n">
        <v>8.859999999999999</v>
      </c>
      <c r="J366" s="223">
        <f>H366-G366</f>
        <v/>
      </c>
      <c r="K366" s="223">
        <f>I366-G366</f>
        <v/>
      </c>
      <c r="L366" s="223">
        <f>+I366-H366</f>
        <v/>
      </c>
      <c r="M366" s="224">
        <f>J366/G366</f>
        <v/>
      </c>
      <c r="N366" s="222" t="n">
        <v>275.97</v>
      </c>
      <c r="O366" s="222" t="n">
        <v>451.48</v>
      </c>
      <c r="P366" s="224">
        <f>(N366-O366)/O366</f>
        <v/>
      </c>
      <c r="Q366" s="223">
        <f>O366*0.9056*0.85</f>
        <v/>
      </c>
      <c r="R366" s="223">
        <f>O366*1.15</f>
        <v/>
      </c>
      <c r="S366" s="223">
        <f>IF(N366&lt;O366*0.9056*0.85,O366*0.9056*0.85,IF(N366&gt;O366*1.15,O366*1.15,N366))</f>
        <v/>
      </c>
      <c r="T366" s="223">
        <f>+G366*N366</f>
        <v/>
      </c>
      <c r="U366" s="223">
        <f>T366+S366*J366</f>
        <v/>
      </c>
      <c r="V366" s="230">
        <f>T366+S366*K366</f>
        <v/>
      </c>
      <c r="W366" s="223">
        <f>V366-T366</f>
        <v/>
      </c>
      <c r="X366" s="230">
        <f>+V366-U366</f>
        <v/>
      </c>
      <c r="Y366" s="231">
        <f>+V366-U366</f>
        <v/>
      </c>
      <c r="Z366" s="222" t="n"/>
      <c r="AA366" s="222" t="n"/>
      <c r="AB366" s="222" t="n"/>
      <c r="AC366" s="222" t="n"/>
      <c r="AD366" s="222" t="n"/>
      <c r="AE366" s="222" t="n"/>
      <c r="AF366" s="222" t="n"/>
      <c r="AG366" s="222" t="n"/>
      <c r="AH366" s="222" t="n"/>
      <c r="AI366" s="222" t="n"/>
      <c r="AJ366" s="222" t="n"/>
    </row>
    <row r="367" ht="41.25" customHeight="1" s="166">
      <c r="A367" s="222" t="n"/>
      <c r="B367" s="222" t="inlineStr">
        <is>
          <t>教学楼</t>
        </is>
      </c>
      <c r="C367" s="222" t="inlineStr">
        <is>
          <t>011101003002</t>
        </is>
      </c>
      <c r="D367" s="222" t="inlineStr">
        <is>
          <t>细石混凝土楼地面（地5）</t>
        </is>
      </c>
      <c r="E367" s="222" t="inlineStr">
        <is>
          <t>1.40厚C20细石混凝土,随打随抹光(骨料用石灰石、白云石)</t>
        </is>
      </c>
      <c r="F367" s="222" t="inlineStr">
        <is>
          <t>m2</t>
        </is>
      </c>
      <c r="G367" s="222" t="n">
        <v>111.87</v>
      </c>
      <c r="H367" s="223" t="n">
        <v>96.72</v>
      </c>
      <c r="I367" s="230" t="n">
        <v>96.72</v>
      </c>
      <c r="J367" s="223">
        <f>H367-G367</f>
        <v/>
      </c>
      <c r="K367" s="223">
        <f>I367-G367</f>
        <v/>
      </c>
      <c r="L367" s="223">
        <f>+I367-H367</f>
        <v/>
      </c>
      <c r="M367" s="224">
        <f>J367/G367</f>
        <v/>
      </c>
      <c r="N367" s="222" t="n">
        <v>37.28</v>
      </c>
      <c r="O367" s="222" t="n">
        <v>45.52</v>
      </c>
      <c r="P367" s="224">
        <f>(N367-O367)/O367</f>
        <v/>
      </c>
      <c r="Q367" s="223">
        <f>O367*0.9056*0.85</f>
        <v/>
      </c>
      <c r="R367" s="223">
        <f>O367*1.15</f>
        <v/>
      </c>
      <c r="S367" s="223">
        <f>IF(N367&lt;O367*0.9056*0.85,O367*0.9056*0.85,IF(N367&gt;O367*1.15,O367*1.15,N367))</f>
        <v/>
      </c>
      <c r="T367" s="223">
        <f>+G367*N367</f>
        <v/>
      </c>
      <c r="U367" s="223">
        <f>T367+S367*J367</f>
        <v/>
      </c>
      <c r="V367" s="230">
        <f>T367+S367*K367</f>
        <v/>
      </c>
      <c r="W367" s="223">
        <f>V367-T367</f>
        <v/>
      </c>
      <c r="X367" s="230">
        <f>+V367-U367</f>
        <v/>
      </c>
      <c r="Y367" s="231">
        <f>+V367-U367</f>
        <v/>
      </c>
      <c r="Z367" s="222" t="n"/>
      <c r="AA367" s="222" t="n"/>
      <c r="AB367" s="222" t="n"/>
      <c r="AC367" s="222" t="n"/>
      <c r="AD367" s="222" t="n"/>
      <c r="AE367" s="222" t="n"/>
      <c r="AF367" s="222" t="n"/>
      <c r="AG367" s="222" t="n"/>
      <c r="AH367" s="222" t="n"/>
      <c r="AI367" s="222" t="n"/>
      <c r="AJ367" s="222" t="n"/>
    </row>
    <row r="368" ht="66.75" customHeight="1" s="166">
      <c r="A368" s="222" t="n"/>
      <c r="B368" s="222" t="inlineStr">
        <is>
          <t>教学楼</t>
        </is>
      </c>
      <c r="C368" s="222" t="inlineStr">
        <is>
          <t>011104004002</t>
        </is>
      </c>
      <c r="D368" s="222" t="inlineStr">
        <is>
          <t>防静电活动地板（地6）</t>
        </is>
      </c>
      <c r="E368" s="222" t="inlineStr">
        <is>
          <t>1.150~250高架空防静电活动地板
2.20厚M20水泥砂浆,压实赶光,面层涂刷地板漆
3.做法详见图纸</t>
        </is>
      </c>
      <c r="F368" s="222" t="inlineStr">
        <is>
          <t>m2</t>
        </is>
      </c>
      <c r="G368" s="222" t="n">
        <v>28.42</v>
      </c>
      <c r="H368" s="223" t="n">
        <v>28.35</v>
      </c>
      <c r="I368" s="230" t="n">
        <v>28.35</v>
      </c>
      <c r="J368" s="223">
        <f>H368-G368</f>
        <v/>
      </c>
      <c r="K368" s="223">
        <f>I368-G368</f>
        <v/>
      </c>
      <c r="L368" s="223">
        <f>+I368-H368</f>
        <v/>
      </c>
      <c r="M368" s="224">
        <f>J368/G368</f>
        <v/>
      </c>
      <c r="N368" s="222" t="n">
        <v>371.27</v>
      </c>
      <c r="O368" s="222" t="n">
        <v>486.78</v>
      </c>
      <c r="P368" s="224">
        <f>(N368-O368)/O368</f>
        <v/>
      </c>
      <c r="Q368" s="223">
        <f>O368*0.9056*0.85</f>
        <v/>
      </c>
      <c r="R368" s="223">
        <f>O368*1.15</f>
        <v/>
      </c>
      <c r="S368" s="223">
        <f>IF(N368&lt;O368*0.9056*0.85,O368*0.9056*0.85,IF(N368&gt;O368*1.15,O368*1.15,N368))</f>
        <v/>
      </c>
      <c r="T368" s="223">
        <f>+G368*N368</f>
        <v/>
      </c>
      <c r="U368" s="223">
        <f>T368+S368*J368</f>
        <v/>
      </c>
      <c r="V368" s="230">
        <f>T368+S368*K368</f>
        <v/>
      </c>
      <c r="W368" s="223">
        <f>V368-T368</f>
        <v/>
      </c>
      <c r="X368" s="230">
        <f>+V368-U368</f>
        <v/>
      </c>
      <c r="Y368" s="231">
        <f>+V368-U368</f>
        <v/>
      </c>
      <c r="Z368" s="222" t="n"/>
      <c r="AA368" s="222" t="n"/>
      <c r="AB368" s="222" t="n"/>
      <c r="AC368" s="222" t="n"/>
      <c r="AD368" s="222" t="n"/>
      <c r="AE368" s="222" t="n"/>
      <c r="AF368" s="222" t="n"/>
      <c r="AG368" s="222" t="n"/>
      <c r="AH368" s="222" t="n"/>
      <c r="AI368" s="222" t="n"/>
      <c r="AJ368" s="222" t="n"/>
    </row>
    <row r="369" ht="66.75" customHeight="1" s="166">
      <c r="A369" s="222" t="n"/>
      <c r="B369" s="222" t="inlineStr">
        <is>
          <t>教学楼</t>
        </is>
      </c>
      <c r="C369" s="222" t="inlineStr">
        <is>
          <t>011104002001</t>
        </is>
      </c>
      <c r="D369" s="222" t="inlineStr">
        <is>
          <t>竹、木(复合)地板</t>
        </is>
      </c>
      <c r="E369" s="222" t="inlineStr">
        <is>
          <t>1.12mm厚900*150实木地板
2.18mm阻燃夹板面铺
3.40*40*2方钢底架(横竖间隔≤600)
4.做法详见图纸</t>
        </is>
      </c>
      <c r="F369" s="222" t="inlineStr">
        <is>
          <t>m2</t>
        </is>
      </c>
      <c r="G369" s="222" t="n">
        <v>183.197</v>
      </c>
      <c r="H369" s="223" t="n">
        <v>182.5</v>
      </c>
      <c r="I369" s="230" t="n">
        <v>182.5</v>
      </c>
      <c r="J369" s="223">
        <f>H369-G369</f>
        <v/>
      </c>
      <c r="K369" s="223">
        <f>I369-G369</f>
        <v/>
      </c>
      <c r="L369" s="223">
        <f>+I369-H369</f>
        <v/>
      </c>
      <c r="M369" s="224">
        <f>J369/G369</f>
        <v/>
      </c>
      <c r="N369" s="222" t="n">
        <v>309.33</v>
      </c>
      <c r="O369" s="222" t="n">
        <v>499.73</v>
      </c>
      <c r="P369" s="224">
        <f>(N369-O369)/O369</f>
        <v/>
      </c>
      <c r="Q369" s="223">
        <f>O369*0.9056*0.85</f>
        <v/>
      </c>
      <c r="R369" s="223">
        <f>O369*1.15</f>
        <v/>
      </c>
      <c r="S369" s="223">
        <f>IF(N369&lt;O369*0.9056*0.85,O369*0.9056*0.85,IF(N369&gt;O369*1.15,O369*1.15,N369))</f>
        <v/>
      </c>
      <c r="T369" s="223">
        <f>+G369*N369</f>
        <v/>
      </c>
      <c r="U369" s="223">
        <f>T369+S369*J369</f>
        <v/>
      </c>
      <c r="V369" s="230">
        <f>T369+S369*K369</f>
        <v/>
      </c>
      <c r="W369" s="223">
        <f>V369-T369</f>
        <v/>
      </c>
      <c r="X369" s="230">
        <f>+V369-U369</f>
        <v/>
      </c>
      <c r="Y369" s="231">
        <f>+V369-U369</f>
        <v/>
      </c>
      <c r="Z369" s="222" t="n"/>
      <c r="AA369" s="222" t="n"/>
      <c r="AB369" s="222" t="n"/>
      <c r="AC369" s="222" t="n"/>
      <c r="AD369" s="222" t="n"/>
      <c r="AE369" s="222" t="n"/>
      <c r="AF369" s="222" t="n"/>
      <c r="AG369" s="222" t="n"/>
      <c r="AH369" s="222" t="n"/>
      <c r="AI369" s="222" t="n"/>
      <c r="AJ369" s="222" t="n"/>
    </row>
    <row r="370" ht="79.5" customHeight="1" s="166">
      <c r="A370" s="222" t="n"/>
      <c r="B370" s="222" t="inlineStr">
        <is>
          <t>教学楼</t>
        </is>
      </c>
      <c r="C370" s="222" t="inlineStr">
        <is>
          <t>011102003017</t>
        </is>
      </c>
      <c r="D370" s="222" t="inlineStr">
        <is>
          <t>块料楼地面（地8）</t>
        </is>
      </c>
      <c r="E370" s="222" t="inlineStr">
        <is>
          <t>1.楼地面铺贴800X800mm仿古地砖,面用白水泥擦缝
2.30厚1:3干硬性水泥砂浆结合层
3.3厚ALE隔声涂料
4.做法详见图纸</t>
        </is>
      </c>
      <c r="F370" s="222" t="inlineStr">
        <is>
          <t>m2</t>
        </is>
      </c>
      <c r="G370" s="222" t="n">
        <v>3115.37</v>
      </c>
      <c r="H370" s="223" t="n">
        <v>3127.6</v>
      </c>
      <c r="I370" s="230" t="n">
        <v>3127.6</v>
      </c>
      <c r="J370" s="223">
        <f>H370-G370</f>
        <v/>
      </c>
      <c r="K370" s="223">
        <f>I370-G370</f>
        <v/>
      </c>
      <c r="L370" s="223">
        <f>+I370-H370</f>
        <v/>
      </c>
      <c r="M370" s="224">
        <f>J370/G370</f>
        <v/>
      </c>
      <c r="N370" s="222" t="n">
        <v>162.27</v>
      </c>
      <c r="O370" s="222" t="n">
        <v>181.82</v>
      </c>
      <c r="P370" s="224">
        <f>(N370-O370)/O370</f>
        <v/>
      </c>
      <c r="Q370" s="223">
        <f>O370*0.9056*0.85</f>
        <v/>
      </c>
      <c r="R370" s="223">
        <f>O370*1.15</f>
        <v/>
      </c>
      <c r="S370" s="223">
        <f>IF(N370&lt;O370*0.9056*0.85,O370*0.9056*0.85,IF(N370&gt;O370*1.15,O370*1.15,N370))</f>
        <v/>
      </c>
      <c r="T370" s="223">
        <f>+G370*N370</f>
        <v/>
      </c>
      <c r="U370" s="223">
        <f>T370+S370*J370</f>
        <v/>
      </c>
      <c r="V370" s="230">
        <f>T370+S370*K370</f>
        <v/>
      </c>
      <c r="W370" s="223">
        <f>V370-T370</f>
        <v/>
      </c>
      <c r="X370" s="230">
        <f>+V370-U370</f>
        <v/>
      </c>
      <c r="Y370" s="231">
        <f>+V370-U370</f>
        <v/>
      </c>
      <c r="Z370" s="222" t="n"/>
      <c r="AA370" s="222" t="n"/>
      <c r="AB370" s="222" t="n"/>
      <c r="AC370" s="222" t="n"/>
      <c r="AD370" s="222" t="n"/>
      <c r="AE370" s="222" t="n"/>
      <c r="AF370" s="222" t="n"/>
      <c r="AG370" s="222" t="n"/>
      <c r="AH370" s="222" t="n"/>
      <c r="AI370" s="222" t="n"/>
      <c r="AJ370" s="222" t="n"/>
    </row>
    <row r="371" ht="79.5" customHeight="1" s="166">
      <c r="A371" s="222" t="n"/>
      <c r="B371" s="222" t="inlineStr">
        <is>
          <t>教学楼</t>
        </is>
      </c>
      <c r="C371" s="222" t="inlineStr">
        <is>
          <t>011102003019</t>
        </is>
      </c>
      <c r="D371" s="222" t="inlineStr">
        <is>
          <t>块料楼地面</t>
        </is>
      </c>
      <c r="E371" s="222" t="inlineStr">
        <is>
          <t>1.楼地面铺贴600X600mm仿古地砖,面用白水泥擦缝
2.30厚1:3干硬性水泥砂浆结合层
3.3厚ALE隔声涂料
4.做法详见图纸</t>
        </is>
      </c>
      <c r="F371" s="222" t="inlineStr">
        <is>
          <t>m2</t>
        </is>
      </c>
      <c r="G371" s="222" t="n">
        <v>293.97</v>
      </c>
      <c r="H371" s="223" t="n">
        <v>282.62</v>
      </c>
      <c r="I371" s="230" t="n">
        <v>282.62</v>
      </c>
      <c r="J371" s="223">
        <f>H371-G371</f>
        <v/>
      </c>
      <c r="K371" s="223">
        <f>I371-G371</f>
        <v/>
      </c>
      <c r="L371" s="223">
        <f>+I371-H371</f>
        <v/>
      </c>
      <c r="M371" s="224">
        <f>J371/G371</f>
        <v/>
      </c>
      <c r="N371" s="222" t="n">
        <v>160.56</v>
      </c>
      <c r="O371" s="222" t="n">
        <v>162.88</v>
      </c>
      <c r="P371" s="224">
        <f>(N371-O371)/O371</f>
        <v/>
      </c>
      <c r="Q371" s="223">
        <f>O371*0.9056*0.85</f>
        <v/>
      </c>
      <c r="R371" s="223">
        <f>O371*1.15</f>
        <v/>
      </c>
      <c r="S371" s="223">
        <f>IF(N371&lt;O371*0.9056*0.85,O371*0.9056*0.85,IF(N371&gt;O371*1.15,O371*1.15,N371))</f>
        <v/>
      </c>
      <c r="T371" s="223">
        <f>+G371*N371</f>
        <v/>
      </c>
      <c r="U371" s="223">
        <f>T371+S371*J371</f>
        <v/>
      </c>
      <c r="V371" s="230">
        <f>T371+S371*K371</f>
        <v/>
      </c>
      <c r="W371" s="223">
        <f>V371-T371</f>
        <v/>
      </c>
      <c r="X371" s="230">
        <f>+V371-U371</f>
        <v/>
      </c>
      <c r="Y371" s="231">
        <f>+V371-U371</f>
        <v/>
      </c>
      <c r="Z371" s="222" t="n"/>
      <c r="AA371" s="222" t="n"/>
      <c r="AB371" s="222" t="n"/>
      <c r="AC371" s="222" t="n"/>
      <c r="AD371" s="222" t="n"/>
      <c r="AE371" s="222" t="n"/>
      <c r="AF371" s="222" t="n"/>
      <c r="AG371" s="222" t="n"/>
      <c r="AH371" s="222" t="n"/>
      <c r="AI371" s="222" t="n"/>
      <c r="AJ371" s="222" t="n"/>
    </row>
    <row r="372" ht="79.5" customHeight="1" s="166">
      <c r="A372" s="222" t="n"/>
      <c r="B372" s="222" t="inlineStr">
        <is>
          <t>教学楼</t>
        </is>
      </c>
      <c r="C372" s="222" t="inlineStr">
        <is>
          <t>011102003020</t>
        </is>
      </c>
      <c r="D372" s="222" t="inlineStr">
        <is>
          <t>块料楼地面</t>
        </is>
      </c>
      <c r="E372" s="222" t="inlineStr">
        <is>
          <t>1.楼地面铺贴600*600木纹砖,面用白水泥擦缝
2.30厚1:3干硬性水泥砂浆结合层
3.3厚ALE隔声涂料
4.做法详见图纸</t>
        </is>
      </c>
      <c r="F372" s="222" t="inlineStr">
        <is>
          <t>m2</t>
        </is>
      </c>
      <c r="G372" s="222" t="n">
        <v>86.09999999999999</v>
      </c>
      <c r="H372" s="223" t="n">
        <v>85.15000000000001</v>
      </c>
      <c r="I372" s="230" t="n">
        <v>85.15000000000001</v>
      </c>
      <c r="J372" s="223">
        <f>H372-G372</f>
        <v/>
      </c>
      <c r="K372" s="223">
        <f>I372-G372</f>
        <v/>
      </c>
      <c r="L372" s="223">
        <f>+I372-H372</f>
        <v/>
      </c>
      <c r="M372" s="224">
        <f>J372/G372</f>
        <v/>
      </c>
      <c r="N372" s="222" t="n">
        <v>160.56</v>
      </c>
      <c r="O372" s="222" t="n">
        <v>197.61</v>
      </c>
      <c r="P372" s="224">
        <f>(N372-O372)/O372</f>
        <v/>
      </c>
      <c r="Q372" s="223">
        <f>O372*0.9056*0.85</f>
        <v/>
      </c>
      <c r="R372" s="223">
        <f>O372*1.15</f>
        <v/>
      </c>
      <c r="S372" s="223">
        <f>IF(N372&lt;O372*0.9056*0.85,O372*0.9056*0.85,IF(N372&gt;O372*1.15,O372*1.15,N372))</f>
        <v/>
      </c>
      <c r="T372" s="223">
        <f>+G372*N372</f>
        <v/>
      </c>
      <c r="U372" s="223">
        <f>T372+S372*J372</f>
        <v/>
      </c>
      <c r="V372" s="230">
        <f>T372+S372*K372</f>
        <v/>
      </c>
      <c r="W372" s="223">
        <f>V372-T372</f>
        <v/>
      </c>
      <c r="X372" s="230">
        <f>+V372-U372</f>
        <v/>
      </c>
      <c r="Y372" s="231">
        <f>+V372-U372</f>
        <v/>
      </c>
      <c r="Z372" s="222" t="n"/>
      <c r="AA372" s="222" t="n"/>
      <c r="AB372" s="222" t="n"/>
      <c r="AC372" s="222" t="n"/>
      <c r="AD372" s="222" t="n"/>
      <c r="AE372" s="222" t="n"/>
      <c r="AF372" s="222" t="n"/>
      <c r="AG372" s="222" t="n"/>
      <c r="AH372" s="222" t="n"/>
      <c r="AI372" s="222" t="n"/>
      <c r="AJ372" s="222" t="n"/>
    </row>
    <row r="373" ht="66.75" customHeight="1" s="166">
      <c r="A373" s="222" t="n"/>
      <c r="B373" s="222" t="inlineStr">
        <is>
          <t>教学楼</t>
        </is>
      </c>
      <c r="C373" s="222" t="inlineStr">
        <is>
          <t>011102003018</t>
        </is>
      </c>
      <c r="D373" s="222" t="inlineStr">
        <is>
          <t>块料楼地面（地10）</t>
        </is>
      </c>
      <c r="E373" s="222" t="inlineStr">
        <is>
          <t>1.8~10厚防滑地砖铺实拍平,水泥砂浆填缝
2.30厚1:3干硬性水泥砂浆结合层
3.做法详见图纸</t>
        </is>
      </c>
      <c r="F373" s="222" t="inlineStr">
        <is>
          <t>m2</t>
        </is>
      </c>
      <c r="G373" s="222" t="n">
        <v>3705.78</v>
      </c>
      <c r="H373" s="223" t="n">
        <v>3908.85</v>
      </c>
      <c r="I373" s="230" t="n">
        <v>3908.85</v>
      </c>
      <c r="J373" s="223">
        <f>H373-G373</f>
        <v/>
      </c>
      <c r="K373" s="223">
        <f>I373-G373</f>
        <v/>
      </c>
      <c r="L373" s="223">
        <f>+I373-H373</f>
        <v/>
      </c>
      <c r="M373" s="224">
        <f>J373/G373</f>
        <v/>
      </c>
      <c r="N373" s="222" t="n">
        <v>129.21</v>
      </c>
      <c r="O373" s="222" t="n">
        <v>90.73</v>
      </c>
      <c r="P373" s="224">
        <f>(N373-O373)/O373</f>
        <v/>
      </c>
      <c r="Q373" s="223">
        <f>O373*0.9056*0.85</f>
        <v/>
      </c>
      <c r="R373" s="223">
        <f>O373*1.15</f>
        <v/>
      </c>
      <c r="S373" s="223">
        <f>IF(N373&lt;O373*0.9056*0.85,O373*0.9056*0.85,IF(N373&gt;O373*1.15,O373*1.15,N373))</f>
        <v/>
      </c>
      <c r="T373" s="223">
        <f>+G373*N373</f>
        <v/>
      </c>
      <c r="U373" s="223">
        <f>T373+S373*J373</f>
        <v/>
      </c>
      <c r="V373" s="230">
        <f>T373+S373*K373</f>
        <v/>
      </c>
      <c r="W373" s="223">
        <f>V373-T373</f>
        <v/>
      </c>
      <c r="X373" s="230">
        <f>+V373-U373</f>
        <v/>
      </c>
      <c r="Y373" s="231">
        <f>+V373-U373</f>
        <v/>
      </c>
      <c r="Z373" s="222" t="n"/>
      <c r="AA373" s="222" t="n"/>
      <c r="AB373" s="222" t="n"/>
      <c r="AC373" s="222" t="n"/>
      <c r="AD373" s="222" t="n"/>
      <c r="AE373" s="222" t="n"/>
      <c r="AF373" s="222" t="n"/>
      <c r="AG373" s="222" t="n"/>
      <c r="AH373" s="222" t="n"/>
      <c r="AI373" s="222" t="n"/>
      <c r="AJ373" s="222" t="n"/>
    </row>
    <row r="374" ht="79.5" customHeight="1" s="166">
      <c r="A374" s="222" t="n"/>
      <c r="B374" s="222" t="inlineStr">
        <is>
          <t>教学楼</t>
        </is>
      </c>
      <c r="C374" s="222" t="inlineStr">
        <is>
          <t>011106002001</t>
        </is>
      </c>
      <c r="D374" s="222" t="inlineStr">
        <is>
          <t>块料楼梯面层（地10）</t>
        </is>
      </c>
      <c r="E374" s="222" t="inlineStr">
        <is>
          <t>1.楼梯面层
2.8~10厚防滑地砖铺实拍平,水泥砂浆填缝
3.30厚1:3干硬性水泥砂浆结合层
4.做法详见图纸</t>
        </is>
      </c>
      <c r="F374" s="222" t="inlineStr">
        <is>
          <t>m2</t>
        </is>
      </c>
      <c r="G374" s="222" t="n">
        <v>721.1799999999999</v>
      </c>
      <c r="H374" s="223" t="n">
        <v>437.63</v>
      </c>
      <c r="I374" s="230" t="n">
        <v>437.63</v>
      </c>
      <c r="J374" s="223">
        <f>H374-G374</f>
        <v/>
      </c>
      <c r="K374" s="223">
        <f>I374-G374</f>
        <v/>
      </c>
      <c r="L374" s="223">
        <f>+I374-H374</f>
        <v/>
      </c>
      <c r="M374" s="224">
        <f>J374/G374</f>
        <v/>
      </c>
      <c r="N374" s="222" t="n">
        <v>256.98</v>
      </c>
      <c r="O374" s="222" t="n">
        <v>212.4</v>
      </c>
      <c r="P374" s="224">
        <f>(N374-O374)/O374</f>
        <v/>
      </c>
      <c r="Q374" s="223">
        <f>O374*0.9056*0.85</f>
        <v/>
      </c>
      <c r="R374" s="223">
        <f>O374*1.15</f>
        <v/>
      </c>
      <c r="S374" s="223">
        <f>IF(N374&lt;O374*0.9056*0.85,O374*0.9056*0.85,IF(N374&gt;O374*1.15,O374*1.15,N374))</f>
        <v/>
      </c>
      <c r="T374" s="223">
        <f>+G374*N374</f>
        <v/>
      </c>
      <c r="U374" s="223">
        <f>T374+S374*J374</f>
        <v/>
      </c>
      <c r="V374" s="230">
        <f>T374+S374*K374</f>
        <v/>
      </c>
      <c r="W374" s="223">
        <f>V374-T374</f>
        <v/>
      </c>
      <c r="X374" s="230">
        <f>+V374-U374</f>
        <v/>
      </c>
      <c r="Y374" s="231">
        <f>+V374-U374</f>
        <v/>
      </c>
      <c r="Z374" s="222" t="n"/>
      <c r="AA374" s="222" t="n"/>
      <c r="AB374" s="222" t="n"/>
      <c r="AC374" s="222" t="n"/>
      <c r="AD374" s="222" t="n"/>
      <c r="AE374" s="222" t="n"/>
      <c r="AF374" s="222" t="n"/>
      <c r="AG374" s="222" t="n"/>
      <c r="AH374" s="222" t="n"/>
      <c r="AI374" s="222" t="n"/>
      <c r="AJ374" s="222" t="n"/>
    </row>
    <row r="375" ht="54" customHeight="1" s="166">
      <c r="A375" s="222" t="n"/>
      <c r="B375" s="222" t="inlineStr">
        <is>
          <t>教学楼</t>
        </is>
      </c>
      <c r="C375" s="222" t="inlineStr">
        <is>
          <t>011105001001</t>
        </is>
      </c>
      <c r="D375" s="222" t="inlineStr">
        <is>
          <t>水泥砂浆踢脚线</t>
        </is>
      </c>
      <c r="E375" s="222" t="inlineStr">
        <is>
          <t>1.水泥砂浆踢脚线
2.15厚M15水泥砂浆底+10厚M20水泥砂浆面
3.高度:120mm</t>
        </is>
      </c>
      <c r="F375" s="222" t="inlineStr">
        <is>
          <t>m2</t>
        </is>
      </c>
      <c r="G375" s="222" t="n">
        <v>11.6</v>
      </c>
      <c r="H375" s="223" t="n">
        <v>14.37</v>
      </c>
      <c r="I375" s="230" t="n">
        <v>14.37</v>
      </c>
      <c r="J375" s="223">
        <f>H375-G375</f>
        <v/>
      </c>
      <c r="K375" s="223">
        <f>I375-G375</f>
        <v/>
      </c>
      <c r="L375" s="223">
        <f>+I375-H375</f>
        <v/>
      </c>
      <c r="M375" s="224">
        <f>J375/G375</f>
        <v/>
      </c>
      <c r="N375" s="222" t="n">
        <v>61.3</v>
      </c>
      <c r="O375" s="222" t="n">
        <v>41.42</v>
      </c>
      <c r="P375" s="224">
        <f>(N375-O375)/O375</f>
        <v/>
      </c>
      <c r="Q375" s="223">
        <f>O375*0.9056*0.85</f>
        <v/>
      </c>
      <c r="R375" s="223">
        <f>O375*1.15</f>
        <v/>
      </c>
      <c r="S375" s="223">
        <f>IF(N375&lt;O375*0.9056*0.85,O375*0.9056*0.85,IF(N375&gt;O375*1.15,O375*1.15,N375))</f>
        <v/>
      </c>
      <c r="T375" s="223">
        <f>+G375*N375</f>
        <v/>
      </c>
      <c r="U375" s="223">
        <f>T375+S375*J375</f>
        <v/>
      </c>
      <c r="V375" s="230">
        <f>T375+S375*K375</f>
        <v/>
      </c>
      <c r="W375" s="223">
        <f>V375-T375</f>
        <v/>
      </c>
      <c r="X375" s="230">
        <f>+V375-U375</f>
        <v/>
      </c>
      <c r="Y375" s="231">
        <f>+V375-U375</f>
        <v/>
      </c>
      <c r="Z375" s="222" t="n"/>
      <c r="AA375" s="222" t="n"/>
      <c r="AB375" s="222" t="n"/>
      <c r="AC375" s="222" t="n"/>
      <c r="AD375" s="222" t="n"/>
      <c r="AE375" s="222" t="n"/>
      <c r="AF375" s="222" t="n"/>
      <c r="AG375" s="222" t="n"/>
      <c r="AH375" s="222" t="n"/>
      <c r="AI375" s="222" t="n"/>
      <c r="AJ375" s="222" t="n"/>
    </row>
    <row r="376" ht="66.75" customHeight="1" s="166">
      <c r="A376" s="222" t="n"/>
      <c r="B376" s="222" t="inlineStr">
        <is>
          <t>教学楼</t>
        </is>
      </c>
      <c r="C376" s="222" t="inlineStr">
        <is>
          <t>011105003001</t>
        </is>
      </c>
      <c r="D376" s="222" t="inlineStr">
        <is>
          <t>块料踢脚线</t>
        </is>
      </c>
      <c r="E376" s="222" t="inlineStr">
        <is>
          <t>1.5~10厚砖块踢脚线,稀水泥浆(或彩色水泥浆)擦缝
2.高度:120mm
3.9厚M20水泥砂浆粘接层(内掺建筑胶)</t>
        </is>
      </c>
      <c r="F376" s="222" t="inlineStr">
        <is>
          <t>m2</t>
        </is>
      </c>
      <c r="G376" s="222" t="n">
        <v>299.7787</v>
      </c>
      <c r="H376" s="223" t="n">
        <v>99.41</v>
      </c>
      <c r="I376" s="230" t="n">
        <v>99.41</v>
      </c>
      <c r="J376" s="223">
        <f>H376-G376</f>
        <v/>
      </c>
      <c r="K376" s="223">
        <f>I376-G376</f>
        <v/>
      </c>
      <c r="L376" s="223">
        <f>+I376-H376</f>
        <v/>
      </c>
      <c r="M376" s="224">
        <f>J376/G376</f>
        <v/>
      </c>
      <c r="N376" s="222" t="n">
        <v>192.09</v>
      </c>
      <c r="O376" s="222" t="n">
        <v>190.61</v>
      </c>
      <c r="P376" s="224">
        <f>(N376-O376)/O376</f>
        <v/>
      </c>
      <c r="Q376" s="223">
        <f>O376*0.9056*0.85</f>
        <v/>
      </c>
      <c r="R376" s="223">
        <f>O376*1.15</f>
        <v/>
      </c>
      <c r="S376" s="223">
        <f>IF(N376&lt;O376*0.9056*0.85,O376*0.9056*0.85,IF(N376&gt;O376*1.15,O376*1.15,N376))</f>
        <v/>
      </c>
      <c r="T376" s="223">
        <f>+G376*N376</f>
        <v/>
      </c>
      <c r="U376" s="223">
        <f>T376+S376*J376</f>
        <v/>
      </c>
      <c r="V376" s="230">
        <f>T376+S376*K376</f>
        <v/>
      </c>
      <c r="W376" s="223">
        <f>V376-T376</f>
        <v/>
      </c>
      <c r="X376" s="230">
        <f>+V376-U376</f>
        <v/>
      </c>
      <c r="Y376" s="231">
        <f>+V376-U376</f>
        <v/>
      </c>
      <c r="Z376" s="222" t="n"/>
      <c r="AA376" s="222" t="n"/>
      <c r="AB376" s="222" t="n"/>
      <c r="AC376" s="222" t="n"/>
      <c r="AD376" s="222" t="n"/>
      <c r="AE376" s="222" t="n"/>
      <c r="AF376" s="222" t="n"/>
      <c r="AG376" s="222" t="n"/>
      <c r="AH376" s="222" t="n"/>
      <c r="AI376" s="222" t="n"/>
      <c r="AJ376" s="222" t="n"/>
    </row>
    <row r="377" ht="79.5" customHeight="1" s="166">
      <c r="A377" s="222" t="n"/>
      <c r="B377" s="222" t="inlineStr">
        <is>
          <t>教学楼</t>
        </is>
      </c>
      <c r="C377" s="222" t="inlineStr">
        <is>
          <t>040201022001</t>
        </is>
      </c>
      <c r="D377" s="222" t="inlineStr">
        <is>
          <t>排水沟、截水沟</t>
        </is>
      </c>
      <c r="E377" s="222" t="inlineStr">
        <is>
          <t>1.排水沟
2.最薄15厚DSM20水泥砂找坡0.5%(沟底)阴角位置做R=50的圆弧处理
3.20厚DWM20防水砂浆
4.380mm成品不锈钢格栅</t>
        </is>
      </c>
      <c r="F377" s="222" t="inlineStr">
        <is>
          <t>m</t>
        </is>
      </c>
      <c r="G377" s="222" t="n">
        <v>37.3</v>
      </c>
      <c r="H377" s="223" t="n">
        <v>59.05</v>
      </c>
      <c r="I377" s="230" t="n">
        <v>59.05</v>
      </c>
      <c r="J377" s="223">
        <f>H377-G377</f>
        <v/>
      </c>
      <c r="K377" s="223">
        <f>I377-G377</f>
        <v/>
      </c>
      <c r="L377" s="223">
        <f>+I377-H377</f>
        <v/>
      </c>
      <c r="M377" s="224">
        <f>J377/G377</f>
        <v/>
      </c>
      <c r="N377" s="222" t="n">
        <v>240.47</v>
      </c>
      <c r="O377" s="222" t="n">
        <v>365.14</v>
      </c>
      <c r="P377" s="224">
        <f>(N377-O377)/O377</f>
        <v/>
      </c>
      <c r="Q377" s="223">
        <f>O377*0.9056*0.85</f>
        <v/>
      </c>
      <c r="R377" s="223">
        <f>O377*1.15</f>
        <v/>
      </c>
      <c r="S377" s="223">
        <f>IF(N377&lt;O377*0.9056*0.85,O377*0.9056*0.85,IF(N377&gt;O377*1.15,O377*1.15,N377))</f>
        <v/>
      </c>
      <c r="T377" s="223">
        <f>+G377*N377</f>
        <v/>
      </c>
      <c r="U377" s="223">
        <f>T377+S377*J377</f>
        <v/>
      </c>
      <c r="V377" s="230">
        <f>T377+S377*K377</f>
        <v/>
      </c>
      <c r="W377" s="223">
        <f>V377-T377</f>
        <v/>
      </c>
      <c r="X377" s="230">
        <f>+V377-U377</f>
        <v/>
      </c>
      <c r="Y377" s="231">
        <f>+V377-U377</f>
        <v/>
      </c>
      <c r="Z377" s="222" t="n"/>
      <c r="AA377" s="222" t="n"/>
      <c r="AB377" s="222" t="n"/>
      <c r="AC377" s="222" t="n"/>
      <c r="AD377" s="222" t="n"/>
      <c r="AE377" s="222" t="n"/>
      <c r="AF377" s="222" t="n"/>
      <c r="AG377" s="222" t="n"/>
      <c r="AH377" s="222" t="n"/>
      <c r="AI377" s="222" t="n"/>
      <c r="AJ377" s="222" t="n"/>
    </row>
    <row r="378" ht="41.25" customHeight="1" s="166">
      <c r="A378" s="222" t="n"/>
      <c r="B378" s="222" t="inlineStr">
        <is>
          <t>教学楼</t>
        </is>
      </c>
      <c r="C378" s="222" t="n"/>
      <c r="D378" s="222" t="inlineStr">
        <is>
          <t>墙、柱面装饰与隔断、幕墙工程</t>
        </is>
      </c>
      <c r="E378" s="222" t="n"/>
      <c r="F378" s="222" t="n"/>
      <c r="G378" s="222" t="n"/>
      <c r="H378" s="223" t="n"/>
      <c r="I378" s="229" t="n"/>
      <c r="J378" s="223" t="n"/>
      <c r="K378" s="223" t="n"/>
      <c r="L378" s="223" t="n"/>
      <c r="M378" s="224" t="n"/>
      <c r="N378" s="222" t="n"/>
      <c r="O378" s="222" t="n"/>
      <c r="P378" s="222" t="n"/>
      <c r="Q378" s="222" t="n"/>
      <c r="R378" s="222" t="n"/>
      <c r="S378" s="223" t="n"/>
      <c r="T378" s="223">
        <f>+SUM(T379:T401)</f>
        <v/>
      </c>
      <c r="U378" s="223">
        <f>+SUM(U379:U401)</f>
        <v/>
      </c>
      <c r="V378" s="230">
        <f>SUM(V379:V401)</f>
        <v/>
      </c>
      <c r="W378" s="223">
        <f>V378-T378</f>
        <v/>
      </c>
      <c r="X378" s="230">
        <f>+V378-U378</f>
        <v/>
      </c>
      <c r="Y378" s="231">
        <f>V378-U378</f>
        <v/>
      </c>
      <c r="Z378" s="222" t="n"/>
      <c r="AA378" s="222" t="n"/>
      <c r="AB378" s="222" t="n"/>
      <c r="AC378" s="222" t="n"/>
      <c r="AD378" s="222" t="n"/>
      <c r="AE378" s="222" t="n"/>
      <c r="AF378" s="222" t="n"/>
      <c r="AG378" s="222" t="n"/>
      <c r="AH378" s="222" t="n"/>
      <c r="AI378" s="222" t="n"/>
      <c r="AJ378" s="222" t="n"/>
    </row>
    <row r="379" ht="188" customHeight="1" s="166">
      <c r="A379" s="222" t="n"/>
      <c r="B379" s="222" t="inlineStr">
        <is>
          <t>教学楼</t>
        </is>
      </c>
      <c r="C379" s="222" t="inlineStr">
        <is>
          <t>011204003001</t>
        </is>
      </c>
      <c r="D379" s="222" t="inlineStr">
        <is>
          <t>块料墙面(外墙2)</t>
        </is>
      </c>
      <c r="E379" s="222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F379" s="222" t="inlineStr">
        <is>
          <t>m2</t>
        </is>
      </c>
      <c r="G379" s="222" t="n">
        <v>4800.62</v>
      </c>
      <c r="H379" s="223" t="n">
        <v>5727.72</v>
      </c>
      <c r="I379" s="230" t="n">
        <v>5727.72</v>
      </c>
      <c r="J379" s="223">
        <f>H379-G379</f>
        <v/>
      </c>
      <c r="K379" s="223">
        <f>I379-G379</f>
        <v/>
      </c>
      <c r="L379" s="223">
        <f>+I379-H379</f>
        <v/>
      </c>
      <c r="M379" s="224">
        <f>J379/G379</f>
        <v/>
      </c>
      <c r="N379" s="222" t="n">
        <v>188.2</v>
      </c>
      <c r="O379" s="222" t="n">
        <v>140.67</v>
      </c>
      <c r="P379" s="224">
        <f>(N379-O379)/O379</f>
        <v/>
      </c>
      <c r="Q379" s="223">
        <f>O379*0.9056*0.85</f>
        <v/>
      </c>
      <c r="R379" s="223">
        <f>O379*1.15</f>
        <v/>
      </c>
      <c r="S379" s="223">
        <f>IF(N379&lt;O379*0.9056*0.85,O379*0.9056*0.85,IF(N379&gt;O379*1.15,O379*1.15,N379))</f>
        <v/>
      </c>
      <c r="T379" s="223">
        <f>+G379*N379</f>
        <v/>
      </c>
      <c r="U379" s="223">
        <f>T379+S379*J379</f>
        <v/>
      </c>
      <c r="V379" s="230">
        <f>T379+S379*K379</f>
        <v/>
      </c>
      <c r="W379" s="223">
        <f>V379-T379</f>
        <v/>
      </c>
      <c r="X379" s="230">
        <f>+V379-U379</f>
        <v/>
      </c>
      <c r="Y379" s="231">
        <f>+V379-U379</f>
        <v/>
      </c>
      <c r="Z379" s="222" t="n"/>
      <c r="AA379" s="222" t="n"/>
      <c r="AB379" s="222" t="n"/>
      <c r="AC379" s="222" t="n"/>
      <c r="AD379" s="222" t="n"/>
      <c r="AE379" s="222" t="n"/>
      <c r="AF379" s="222" t="n"/>
      <c r="AG379" s="222" t="n"/>
      <c r="AH379" s="222" t="n"/>
      <c r="AI379" s="222" t="n"/>
      <c r="AJ379" s="222" t="n"/>
    </row>
    <row r="380" ht="157" customHeight="1" s="166">
      <c r="A380" s="222" t="n"/>
      <c r="B380" s="222" t="inlineStr">
        <is>
          <t>教学楼</t>
        </is>
      </c>
      <c r="C380" s="222" t="inlineStr">
        <is>
          <t>011407001002</t>
        </is>
      </c>
      <c r="D380" s="222" t="inlineStr">
        <is>
          <t>墙面喷刷涂料(外墙1)</t>
        </is>
      </c>
      <c r="E380" s="222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F380" s="222" t="inlineStr">
        <is>
          <t>m2</t>
        </is>
      </c>
      <c r="G380" s="222" t="n">
        <v>4141.885</v>
      </c>
      <c r="H380" s="223" t="n">
        <v>4617.49</v>
      </c>
      <c r="I380" s="230" t="n">
        <v>4617.49</v>
      </c>
      <c r="J380" s="223">
        <f>H380-G380</f>
        <v/>
      </c>
      <c r="K380" s="223">
        <f>I380-G380</f>
        <v/>
      </c>
      <c r="L380" s="223">
        <f>+I380-H380</f>
        <v/>
      </c>
      <c r="M380" s="224">
        <f>J380/G380</f>
        <v/>
      </c>
      <c r="N380" s="222" t="n">
        <v>133.2</v>
      </c>
      <c r="O380" s="222" t="n">
        <v>98.47</v>
      </c>
      <c r="P380" s="224">
        <f>(N380-O380)/O380</f>
        <v/>
      </c>
      <c r="Q380" s="223">
        <f>O380*0.9056*0.85</f>
        <v/>
      </c>
      <c r="R380" s="223">
        <f>O380*1.15</f>
        <v/>
      </c>
      <c r="S380" s="223">
        <f>IF(N380&lt;O380*0.9056*0.85,O380*0.9056*0.85,IF(N380&gt;O380*1.15,O380*1.15,N380))</f>
        <v/>
      </c>
      <c r="T380" s="223">
        <f>+G380*N380</f>
        <v/>
      </c>
      <c r="U380" s="223">
        <f>T380+S380*J380</f>
        <v/>
      </c>
      <c r="V380" s="230">
        <f>T380+S380*K380</f>
        <v/>
      </c>
      <c r="W380" s="223">
        <f>V380-T380</f>
        <v/>
      </c>
      <c r="X380" s="230">
        <f>+V380-U380</f>
        <v/>
      </c>
      <c r="Y380" s="231">
        <f>+V380-U380</f>
        <v/>
      </c>
      <c r="Z380" s="222" t="n"/>
      <c r="AA380" s="222" t="n"/>
      <c r="AB380" s="222" t="n"/>
      <c r="AC380" s="222" t="n"/>
      <c r="AD380" s="222" t="n"/>
      <c r="AE380" s="222" t="n"/>
      <c r="AF380" s="222" t="n"/>
      <c r="AG380" s="222" t="n"/>
      <c r="AH380" s="222" t="n"/>
      <c r="AI380" s="222" t="n"/>
      <c r="AJ380" s="222" t="n"/>
    </row>
    <row r="381" ht="45" customHeight="1" s="166">
      <c r="A381" s="222" t="n"/>
      <c r="B381" s="222" t="inlineStr">
        <is>
          <t>教学楼</t>
        </is>
      </c>
      <c r="C381" s="222" t="inlineStr">
        <is>
          <t>011201001007</t>
        </is>
      </c>
      <c r="D381" s="222" t="inlineStr">
        <is>
          <t>墙面一般抹灰（墙1、墙5）</t>
        </is>
      </c>
      <c r="E381" s="222" t="inlineStr">
        <is>
          <t>1.20厚M10水泥砂浆抹面压光
2.甩浆拉毛刷108胶素水泥浆一道(内掺水重8%的胶料)</t>
        </is>
      </c>
      <c r="F381" s="222" t="inlineStr">
        <is>
          <t>m2</t>
        </is>
      </c>
      <c r="G381" s="222" t="n">
        <v>860.21</v>
      </c>
      <c r="H381" s="223" t="n">
        <v>1062.87</v>
      </c>
      <c r="I381" s="230" t="n">
        <v>1062.87</v>
      </c>
      <c r="J381" s="223">
        <f>H381-G381</f>
        <v/>
      </c>
      <c r="K381" s="223">
        <f>I381-G381</f>
        <v/>
      </c>
      <c r="L381" s="223">
        <f>+I381-H381</f>
        <v/>
      </c>
      <c r="M381" s="224">
        <f>J381/G381</f>
        <v/>
      </c>
      <c r="N381" s="222" t="n">
        <v>30.33</v>
      </c>
      <c r="O381" s="222" t="n">
        <v>31.52</v>
      </c>
      <c r="P381" s="224">
        <f>(N381-O381)/O381</f>
        <v/>
      </c>
      <c r="Q381" s="223">
        <f>O381*0.9056*0.85</f>
        <v/>
      </c>
      <c r="R381" s="223">
        <f>O381*1.15</f>
        <v/>
      </c>
      <c r="S381" s="223">
        <f>IF(N381&lt;O381*0.9056*0.85,O381*0.9056*0.85,IF(N381&gt;O381*1.15,O381*1.15,N381))</f>
        <v/>
      </c>
      <c r="T381" s="223">
        <f>+G381*N381</f>
        <v/>
      </c>
      <c r="U381" s="223">
        <f>T381+S381*J381</f>
        <v/>
      </c>
      <c r="V381" s="230">
        <f>T381+S381*K381</f>
        <v/>
      </c>
      <c r="W381" s="223">
        <f>V381-T381</f>
        <v/>
      </c>
      <c r="X381" s="230">
        <f>+V381-U381</f>
        <v/>
      </c>
      <c r="Y381" s="231">
        <f>+V381-U381</f>
        <v/>
      </c>
      <c r="Z381" s="222" t="n"/>
      <c r="AA381" s="222" t="n"/>
      <c r="AB381" s="222" t="n"/>
      <c r="AC381" s="222" t="n"/>
      <c r="AD381" s="222" t="n"/>
      <c r="AE381" s="222" t="n"/>
      <c r="AF381" s="222" t="n"/>
      <c r="AG381" s="222" t="n"/>
      <c r="AH381" s="222" t="n"/>
      <c r="AI381" s="222" t="n"/>
      <c r="AJ381" s="222" t="n"/>
    </row>
    <row r="382" ht="126" customHeight="1" s="166">
      <c r="A382" s="222" t="n"/>
      <c r="B382" s="222" t="inlineStr">
        <is>
          <t>教学楼</t>
        </is>
      </c>
      <c r="C382" s="222" t="inlineStr">
        <is>
          <t>011207001002</t>
        </is>
      </c>
      <c r="D382" s="222" t="inlineStr">
        <is>
          <t>墙面装饰板（墙2）</t>
        </is>
      </c>
      <c r="E382" s="222" t="inlineStr">
        <is>
          <t>1.护墙板墙面
2.面层材料品种、规格、颜色:顶部:10*60mm浅金檀护墙板收口线
中部:9mm浅金檀护墙板
底部:17mm浅金檀护墙板地脚线
3.做法详见图纸</t>
        </is>
      </c>
      <c r="F382" s="222" t="inlineStr">
        <is>
          <t>m2</t>
        </is>
      </c>
      <c r="G382" s="222" t="n">
        <v>1005.89</v>
      </c>
      <c r="H382" s="223" t="n">
        <v>942.12</v>
      </c>
      <c r="I382" s="230" t="n">
        <v>942.12</v>
      </c>
      <c r="J382" s="223">
        <f>H382-G382</f>
        <v/>
      </c>
      <c r="K382" s="223">
        <f>I382-G382</f>
        <v/>
      </c>
      <c r="L382" s="223">
        <f>+I382-H382</f>
        <v/>
      </c>
      <c r="M382" s="224">
        <f>J382/G382</f>
        <v/>
      </c>
      <c r="N382" s="222" t="n">
        <v>334.46</v>
      </c>
      <c r="O382" s="222" t="n">
        <v>371.67</v>
      </c>
      <c r="P382" s="224">
        <f>(N382-O382)/O382</f>
        <v/>
      </c>
      <c r="Q382" s="223">
        <f>O382*0.9056*0.85</f>
        <v/>
      </c>
      <c r="R382" s="223">
        <f>O382*1.15</f>
        <v/>
      </c>
      <c r="S382" s="223">
        <f>IF(N382&lt;O382*0.9056*0.85,O382*0.9056*0.85,IF(N382&gt;O382*1.15,O382*1.15,N382))</f>
        <v/>
      </c>
      <c r="T382" s="223">
        <f>+G382*N382</f>
        <v/>
      </c>
      <c r="U382" s="223">
        <f>T382+S382*J382</f>
        <v/>
      </c>
      <c r="V382" s="230">
        <f>T382+S382*K382</f>
        <v/>
      </c>
      <c r="W382" s="223">
        <f>V382-T382</f>
        <v/>
      </c>
      <c r="X382" s="230">
        <f>+V382-U382</f>
        <v/>
      </c>
      <c r="Y382" s="231">
        <f>+V382-U382</f>
        <v/>
      </c>
      <c r="Z382" s="222" t="n"/>
      <c r="AA382" s="222" t="n"/>
      <c r="AB382" s="222" t="n"/>
      <c r="AC382" s="222" t="n"/>
      <c r="AD382" s="222" t="n"/>
      <c r="AE382" s="222" t="n"/>
      <c r="AF382" s="222" t="n"/>
      <c r="AG382" s="222" t="n"/>
      <c r="AH382" s="222" t="n"/>
      <c r="AI382" s="222" t="n"/>
      <c r="AJ382" s="222" t="n"/>
    </row>
    <row r="383" ht="41.25" customHeight="1" s="166">
      <c r="A383" s="222" t="n"/>
      <c r="B383" s="222" t="inlineStr">
        <is>
          <t>教学楼</t>
        </is>
      </c>
      <c r="C383" s="222" t="inlineStr">
        <is>
          <t>011406001004</t>
        </is>
      </c>
      <c r="D383" s="222" t="inlineStr">
        <is>
          <t>墙面喷刷涂料(墙3）</t>
        </is>
      </c>
      <c r="E383" s="222" t="inlineStr">
        <is>
          <t>1.满刮腻子二道
2.刷内墙无机涂料,底漆一道,面漆两道</t>
        </is>
      </c>
      <c r="F383" s="222" t="inlineStr">
        <is>
          <t>m2</t>
        </is>
      </c>
      <c r="G383" s="222" t="n">
        <v>7636.76</v>
      </c>
      <c r="H383" s="223" t="n">
        <v>7636.76</v>
      </c>
      <c r="I383" s="230">
        <f>7215.09+29.99</f>
        <v/>
      </c>
      <c r="J383" s="223">
        <f>H383-G383</f>
        <v/>
      </c>
      <c r="K383" s="223">
        <f>I383-G383</f>
        <v/>
      </c>
      <c r="L383" s="223">
        <f>+I383-H383</f>
        <v/>
      </c>
      <c r="M383" s="224">
        <f>J383/G383</f>
        <v/>
      </c>
      <c r="N383" s="222" t="n">
        <v>36.95</v>
      </c>
      <c r="O383" s="222" t="n">
        <v>50.6</v>
      </c>
      <c r="P383" s="224">
        <f>(N383-O383)/O383</f>
        <v/>
      </c>
      <c r="Q383" s="223">
        <f>O383*0.9056*0.85</f>
        <v/>
      </c>
      <c r="R383" s="223">
        <f>O383*1.15</f>
        <v/>
      </c>
      <c r="S383" s="223">
        <f>IF(N383&lt;O383*0.9056*0.85,O383*0.9056*0.85,IF(N383&gt;O383*1.15,O383*1.15,N383))</f>
        <v/>
      </c>
      <c r="T383" s="223">
        <f>+G383*N383</f>
        <v/>
      </c>
      <c r="U383" s="223">
        <f>T383+S383*J383</f>
        <v/>
      </c>
      <c r="V383" s="230">
        <f>T383+S383*K383</f>
        <v/>
      </c>
      <c r="W383" s="223">
        <f>V383-T383</f>
        <v/>
      </c>
      <c r="X383" s="230">
        <f>+V383-U383</f>
        <v/>
      </c>
      <c r="Y383" s="231">
        <f>+V383-U383</f>
        <v/>
      </c>
      <c r="Z383" s="222" t="n"/>
      <c r="AA383" s="222" t="n"/>
      <c r="AB383" s="222" t="n"/>
      <c r="AC383" s="222" t="n"/>
      <c r="AD383" s="222" t="n"/>
      <c r="AE383" s="222" t="n"/>
      <c r="AF383" s="222" t="n"/>
      <c r="AG383" s="222" t="n"/>
      <c r="AH383" s="222" t="n"/>
      <c r="AI383" s="222" t="n"/>
      <c r="AJ383" s="222" t="n"/>
    </row>
    <row r="384" ht="28.5" customHeight="1" s="166">
      <c r="A384" s="222" t="n"/>
      <c r="B384" s="222" t="inlineStr">
        <is>
          <t>教学楼</t>
        </is>
      </c>
      <c r="C384" s="222" t="inlineStr">
        <is>
          <t>011204003012</t>
        </is>
      </c>
      <c r="D384" s="222" t="inlineStr">
        <is>
          <t>块料墙面（墙4）</t>
        </is>
      </c>
      <c r="E384" s="222" t="inlineStr">
        <is>
          <t>1.镶贴400*400陶瓷面砖墙面建筑胶粘剂粘贴</t>
        </is>
      </c>
      <c r="F384" s="222" t="inlineStr">
        <is>
          <t>m2</t>
        </is>
      </c>
      <c r="G384" s="222" t="n">
        <v>1721.84</v>
      </c>
      <c r="H384" s="223" t="n">
        <v>1721.84</v>
      </c>
      <c r="I384" s="230" t="n">
        <v>1516.95</v>
      </c>
      <c r="J384" s="223">
        <f>H384-G384</f>
        <v/>
      </c>
      <c r="K384" s="223">
        <f>I384-G384</f>
        <v/>
      </c>
      <c r="L384" s="223">
        <f>+I384-H384</f>
        <v/>
      </c>
      <c r="M384" s="224">
        <f>J384/G384</f>
        <v/>
      </c>
      <c r="N384" s="222" t="n">
        <v>148.21</v>
      </c>
      <c r="O384" s="222" t="n">
        <v>117.46</v>
      </c>
      <c r="P384" s="224">
        <f>(N384-O384)/O384</f>
        <v/>
      </c>
      <c r="Q384" s="223">
        <f>O384*0.9056*0.85</f>
        <v/>
      </c>
      <c r="R384" s="223">
        <f>O384*1.15</f>
        <v/>
      </c>
      <c r="S384" s="223">
        <f>IF(N384&lt;O384*0.9056*0.85,O384*0.9056*0.85,IF(N384&gt;O384*1.15,O384*1.15,N384))</f>
        <v/>
      </c>
      <c r="T384" s="223">
        <f>+G384*N384</f>
        <v/>
      </c>
      <c r="U384" s="223">
        <f>T384+S384*J384</f>
        <v/>
      </c>
      <c r="V384" s="230">
        <f>T384+S384*K384</f>
        <v/>
      </c>
      <c r="W384" s="223">
        <f>V384-T384</f>
        <v/>
      </c>
      <c r="X384" s="230">
        <f>+V384-U384</f>
        <v/>
      </c>
      <c r="Y384" s="231">
        <f>+V384-U384</f>
        <v/>
      </c>
      <c r="Z384" s="222" t="n"/>
      <c r="AA384" s="222" t="n"/>
      <c r="AB384" s="222" t="n"/>
      <c r="AC384" s="222" t="n"/>
      <c r="AD384" s="222" t="n"/>
      <c r="AE384" s="222" t="n"/>
      <c r="AF384" s="222" t="n"/>
      <c r="AG384" s="222" t="n"/>
      <c r="AH384" s="222" t="n"/>
      <c r="AI384" s="222" t="n"/>
      <c r="AJ384" s="222" t="n"/>
    </row>
    <row r="385" ht="41.25" customHeight="1" s="166">
      <c r="A385" s="222" t="n"/>
      <c r="B385" s="222" t="inlineStr">
        <is>
          <t>教学楼</t>
        </is>
      </c>
      <c r="C385" s="222" t="inlineStr">
        <is>
          <t>011201001008</t>
        </is>
      </c>
      <c r="D385" s="222" t="inlineStr">
        <is>
          <t>墙面一般抹灰（墙3、4）</t>
        </is>
      </c>
      <c r="E385" s="222" t="inlineStr">
        <is>
          <t>1.15厚WPM20水泥砂浆找平,分两遍成活,底层抹灰应压实搓毛</t>
        </is>
      </c>
      <c r="F385" s="222" t="inlineStr">
        <is>
          <t>m2</t>
        </is>
      </c>
      <c r="G385" s="222" t="n">
        <v>9577.91</v>
      </c>
      <c r="H385" s="223" t="n">
        <v>9577.91</v>
      </c>
      <c r="I385" s="230" t="n">
        <v>8407.99</v>
      </c>
      <c r="J385" s="223">
        <f>H385-G385</f>
        <v/>
      </c>
      <c r="K385" s="223">
        <f>I385-G385</f>
        <v/>
      </c>
      <c r="L385" s="223">
        <f>+I385-H385</f>
        <v/>
      </c>
      <c r="M385" s="224">
        <f>J385/G385</f>
        <v/>
      </c>
      <c r="N385" s="222" t="n">
        <v>22.12</v>
      </c>
      <c r="O385" s="222" t="n">
        <v>24.38</v>
      </c>
      <c r="P385" s="224">
        <f>(N385-O385)/O385</f>
        <v/>
      </c>
      <c r="Q385" s="223">
        <f>O385*0.9056*0.85</f>
        <v/>
      </c>
      <c r="R385" s="223">
        <f>O385*1.15</f>
        <v/>
      </c>
      <c r="S385" s="223">
        <f>IF(N385&lt;O385*0.9056*0.85,O385*0.9056*0.85,IF(N385&gt;O385*1.15,O385*1.15,N385))</f>
        <v/>
      </c>
      <c r="T385" s="223">
        <f>+G385*N385</f>
        <v/>
      </c>
      <c r="U385" s="223">
        <f>T385+S385*J385</f>
        <v/>
      </c>
      <c r="V385" s="230">
        <f>T385+S385*K385</f>
        <v/>
      </c>
      <c r="W385" s="223">
        <f>V385-T385</f>
        <v/>
      </c>
      <c r="X385" s="230">
        <f>+V385-U385</f>
        <v/>
      </c>
      <c r="Y385" s="231">
        <f>+V385-U385</f>
        <v/>
      </c>
      <c r="Z385" s="222" t="n"/>
      <c r="AA385" s="222" t="n"/>
      <c r="AB385" s="222" t="n"/>
      <c r="AC385" s="222" t="n"/>
      <c r="AD385" s="222" t="n"/>
      <c r="AE385" s="222" t="n"/>
      <c r="AF385" s="222" t="n"/>
      <c r="AG385" s="222" t="n"/>
      <c r="AH385" s="222" t="n"/>
      <c r="AI385" s="222" t="n"/>
      <c r="AJ385" s="222" t="n"/>
    </row>
    <row r="386" ht="28.5" customHeight="1" s="166">
      <c r="A386" s="222" t="n"/>
      <c r="B386" s="222" t="inlineStr">
        <is>
          <t>教学楼</t>
        </is>
      </c>
      <c r="C386" s="222" t="inlineStr">
        <is>
          <t>011406001009</t>
        </is>
      </c>
      <c r="D386" s="222" t="inlineStr">
        <is>
          <t>墙面喷刷涂料(墙5）</t>
        </is>
      </c>
      <c r="E386" s="222" t="inlineStr">
        <is>
          <t>1.满刮耐水防霉白色腻子</t>
        </is>
      </c>
      <c r="F386" s="222" t="inlineStr">
        <is>
          <t>m2</t>
        </is>
      </c>
      <c r="G386" s="222" t="n">
        <v>439.79</v>
      </c>
      <c r="H386" s="223" t="n">
        <v>670.37</v>
      </c>
      <c r="I386" s="230" t="n">
        <v>670.37</v>
      </c>
      <c r="J386" s="223">
        <f>H386-G386</f>
        <v/>
      </c>
      <c r="K386" s="223">
        <f>I386-G386</f>
        <v/>
      </c>
      <c r="L386" s="223">
        <f>+I386-H386</f>
        <v/>
      </c>
      <c r="M386" s="224">
        <f>J386/G386</f>
        <v/>
      </c>
      <c r="N386" s="222" t="n">
        <v>17.13</v>
      </c>
      <c r="O386" s="222" t="n">
        <v>18.67</v>
      </c>
      <c r="P386" s="224">
        <f>(N386-O386)/O386</f>
        <v/>
      </c>
      <c r="Q386" s="223">
        <f>O386*0.9056*0.85</f>
        <v/>
      </c>
      <c r="R386" s="223">
        <f>O386*1.15</f>
        <v/>
      </c>
      <c r="S386" s="223">
        <f>IF(N386&lt;O386*0.9056*0.85,O386*0.9056*0.85,IF(N386&gt;O386*1.15,O386*1.15,N386))</f>
        <v/>
      </c>
      <c r="T386" s="223">
        <f>+G386*N386</f>
        <v/>
      </c>
      <c r="U386" s="223">
        <f>T386+S386*J386</f>
        <v/>
      </c>
      <c r="V386" s="230">
        <f>T386+S386*K386</f>
        <v/>
      </c>
      <c r="W386" s="223">
        <f>V386-T386</f>
        <v/>
      </c>
      <c r="X386" s="230">
        <f>+V386-U386</f>
        <v/>
      </c>
      <c r="Y386" s="231">
        <f>+V386-U386</f>
        <v/>
      </c>
      <c r="Z386" s="222" t="n"/>
      <c r="AA386" s="222" t="n"/>
      <c r="AB386" s="222" t="n"/>
      <c r="AC386" s="222" t="n"/>
      <c r="AD386" s="222" t="n"/>
      <c r="AE386" s="222" t="n"/>
      <c r="AF386" s="222" t="n"/>
      <c r="AG386" s="222" t="n"/>
      <c r="AH386" s="222" t="n"/>
      <c r="AI386" s="222" t="n"/>
      <c r="AJ386" s="222" t="n"/>
    </row>
    <row r="387" ht="41.25" customHeight="1" s="166">
      <c r="A387" s="222" t="n"/>
      <c r="B387" s="222" t="inlineStr">
        <is>
          <t>教学楼</t>
        </is>
      </c>
      <c r="C387" s="222" t="inlineStr">
        <is>
          <t>011204003014</t>
        </is>
      </c>
      <c r="D387" s="222" t="inlineStr">
        <is>
          <t>块料墙面（墙8）</t>
        </is>
      </c>
      <c r="E387" s="222" t="inlineStr">
        <is>
          <t>1.镶贴300*600陶瓷面砖墙面建筑胶粘剂粘贴
2.15厚WPM20水泥砂浆找平</t>
        </is>
      </c>
      <c r="F387" s="222" t="inlineStr">
        <is>
          <t>m2</t>
        </is>
      </c>
      <c r="G387" s="222" t="n">
        <v>1696.13</v>
      </c>
      <c r="H387" s="223" t="n">
        <v>1696.13</v>
      </c>
      <c r="I387" s="230" t="n">
        <v>1350.87</v>
      </c>
      <c r="J387" s="223">
        <f>H387-G387</f>
        <v/>
      </c>
      <c r="K387" s="223">
        <f>I387-G387</f>
        <v/>
      </c>
      <c r="L387" s="223">
        <f>+I387-H387</f>
        <v/>
      </c>
      <c r="M387" s="224">
        <f>J387/G387</f>
        <v/>
      </c>
      <c r="N387" s="222" t="n">
        <v>162.51</v>
      </c>
      <c r="O387" s="222" t="n">
        <v>147.48</v>
      </c>
      <c r="P387" s="224">
        <f>(N387-O387)/O387</f>
        <v/>
      </c>
      <c r="Q387" s="223">
        <f>O387*0.9056*0.85</f>
        <v/>
      </c>
      <c r="R387" s="223">
        <f>O387*1.15</f>
        <v/>
      </c>
      <c r="S387" s="223">
        <f>IF(N387&lt;O387*0.9056*0.85,O387*0.9056*0.85,IF(N387&gt;O387*1.15,O387*1.15,N387))</f>
        <v/>
      </c>
      <c r="T387" s="223">
        <f>+G387*N387</f>
        <v/>
      </c>
      <c r="U387" s="223">
        <f>T387+S387*J387</f>
        <v/>
      </c>
      <c r="V387" s="230">
        <f>T387+S387*K387</f>
        <v/>
      </c>
      <c r="W387" s="223">
        <f>V387-T387</f>
        <v/>
      </c>
      <c r="X387" s="230">
        <f>+V387-U387</f>
        <v/>
      </c>
      <c r="Y387" s="231">
        <f>+V387-U387</f>
        <v/>
      </c>
      <c r="Z387" s="222" t="n"/>
      <c r="AA387" s="222" t="n"/>
      <c r="AB387" s="222" t="n"/>
      <c r="AC387" s="222" t="n"/>
      <c r="AD387" s="222" t="n"/>
      <c r="AE387" s="222" t="n"/>
      <c r="AF387" s="222" t="n"/>
      <c r="AG387" s="222" t="n"/>
      <c r="AH387" s="222" t="n"/>
      <c r="AI387" s="222" t="n"/>
      <c r="AJ387" s="222" t="n"/>
    </row>
    <row r="388" ht="41.25" customHeight="1" s="166">
      <c r="A388" s="222" t="n"/>
      <c r="B388" s="222" t="inlineStr">
        <is>
          <t>教学楼</t>
        </is>
      </c>
      <c r="C388" s="222" t="inlineStr">
        <is>
          <t>011204003015</t>
        </is>
      </c>
      <c r="D388" s="222" t="inlineStr">
        <is>
          <t>块料墙面</t>
        </is>
      </c>
      <c r="E388" s="222" t="inlineStr">
        <is>
          <t>1.镶贴300*300仿古砖墙面建筑胶粘剂粘贴
2.15厚WPM20水泥砂浆找平</t>
        </is>
      </c>
      <c r="F388" s="222" t="inlineStr">
        <is>
          <t>m2</t>
        </is>
      </c>
      <c r="G388" s="222" t="n">
        <v>24.54</v>
      </c>
      <c r="H388" s="223" t="n">
        <v>24.54</v>
      </c>
      <c r="I388" s="230" t="n">
        <v>12.26</v>
      </c>
      <c r="J388" s="223">
        <f>H388-G388</f>
        <v/>
      </c>
      <c r="K388" s="223">
        <f>I388-G388</f>
        <v/>
      </c>
      <c r="L388" s="223">
        <f>+I388-H388</f>
        <v/>
      </c>
      <c r="M388" s="224">
        <f>J388/G388</f>
        <v/>
      </c>
      <c r="N388" s="222" t="n">
        <v>139.68</v>
      </c>
      <c r="O388" s="222" t="n">
        <v>141.12</v>
      </c>
      <c r="P388" s="224">
        <f>(N388-O388)/O388</f>
        <v/>
      </c>
      <c r="Q388" s="223">
        <f>O388*0.9056*0.85</f>
        <v/>
      </c>
      <c r="R388" s="223">
        <f>O388*1.15</f>
        <v/>
      </c>
      <c r="S388" s="223">
        <f>IF(N388&lt;O388*0.9056*0.85,O388*0.9056*0.85,IF(N388&gt;O388*1.15,O388*1.15,N388))</f>
        <v/>
      </c>
      <c r="T388" s="223">
        <f>+G388*N388</f>
        <v/>
      </c>
      <c r="U388" s="223">
        <f>T388+S388*J388</f>
        <v/>
      </c>
      <c r="V388" s="230">
        <f>T388+S388*K388</f>
        <v/>
      </c>
      <c r="W388" s="223">
        <f>V388-T388</f>
        <v/>
      </c>
      <c r="X388" s="230">
        <f>+V388-U388</f>
        <v/>
      </c>
      <c r="Y388" s="231">
        <f>+V388-U388</f>
        <v/>
      </c>
      <c r="Z388" s="222" t="n"/>
      <c r="AA388" s="222" t="n"/>
      <c r="AB388" s="222" t="n"/>
      <c r="AC388" s="222" t="n"/>
      <c r="AD388" s="222" t="n"/>
      <c r="AE388" s="222" t="n"/>
      <c r="AF388" s="222" t="n"/>
      <c r="AG388" s="222" t="n"/>
      <c r="AH388" s="222" t="n"/>
      <c r="AI388" s="222" t="n"/>
      <c r="AJ388" s="222" t="n"/>
    </row>
    <row r="389" ht="54" customHeight="1" s="166">
      <c r="A389" s="222" t="n"/>
      <c r="B389" s="234" t="inlineStr">
        <is>
          <t>教学楼</t>
        </is>
      </c>
      <c r="C389" s="234" t="inlineStr">
        <is>
          <t>011205001001</t>
        </is>
      </c>
      <c r="D389" s="234" t="inlineStr">
        <is>
          <t>石材柱面</t>
        </is>
      </c>
      <c r="E389" s="234" t="inlineStr">
        <is>
          <t>1.首层柱脚
2.安装方式:挂贴米色大理石
3.其他详见施工设计图</t>
        </is>
      </c>
      <c r="F389" s="234" t="inlineStr">
        <is>
          <t>m2</t>
        </is>
      </c>
      <c r="G389" s="234" t="n">
        <v>259.648</v>
      </c>
      <c r="H389" s="235" t="n">
        <v>281.42</v>
      </c>
      <c r="I389" s="235" t="n">
        <v>281.42</v>
      </c>
      <c r="J389" s="235">
        <f>H389-G389</f>
        <v/>
      </c>
      <c r="K389" s="235">
        <f>I389-G389</f>
        <v/>
      </c>
      <c r="L389" s="235">
        <f>+I389-H389</f>
        <v/>
      </c>
      <c r="M389" s="236">
        <f>J389/G389</f>
        <v/>
      </c>
      <c r="N389" s="234" t="n">
        <v>666.3099999999999</v>
      </c>
      <c r="O389" s="234" t="n">
        <v>453.37</v>
      </c>
      <c r="P389" s="236">
        <f>(N389-O389)/O389</f>
        <v/>
      </c>
      <c r="Q389" s="235">
        <f>O389*0.9056*0.85</f>
        <v/>
      </c>
      <c r="R389" s="235">
        <f>O389*1.15</f>
        <v/>
      </c>
      <c r="S389" s="235">
        <f>IF(N389&lt;O389*0.9056*0.85,O389*0.9056*0.85,IF(N389&gt;O389*1.15,O389*1.15,N389))</f>
        <v/>
      </c>
      <c r="T389" s="235">
        <f>+G389*N389</f>
        <v/>
      </c>
      <c r="U389" s="235">
        <f>T389+S389*J389</f>
        <v/>
      </c>
      <c r="V389" s="235">
        <f>T389+S389*K389</f>
        <v/>
      </c>
      <c r="W389" s="223">
        <f>V389-T389</f>
        <v/>
      </c>
      <c r="X389" s="230">
        <f>+V389-U389</f>
        <v/>
      </c>
      <c r="Y389" s="235">
        <f>+V389-U389</f>
        <v/>
      </c>
      <c r="Z389" s="234" t="n"/>
      <c r="AA389" s="234" t="n"/>
      <c r="AB389" s="222" t="n"/>
      <c r="AC389" s="222" t="n"/>
      <c r="AD389" s="222" t="n"/>
      <c r="AE389" s="222" t="n"/>
      <c r="AF389" s="222" t="n"/>
      <c r="AG389" s="222" t="n"/>
      <c r="AH389" s="222" t="n"/>
      <c r="AI389" s="222" t="n"/>
      <c r="AJ389" s="222" t="n"/>
    </row>
    <row r="390" ht="51" customHeight="1" s="166">
      <c r="A390" s="222" t="n"/>
      <c r="B390" s="222" t="inlineStr">
        <is>
          <t>教学楼</t>
        </is>
      </c>
      <c r="C390" s="222" t="inlineStr">
        <is>
          <t>010809004001</t>
        </is>
      </c>
      <c r="D390" s="222" t="inlineStr">
        <is>
          <t>石材窗台板</t>
        </is>
      </c>
      <c r="E390" s="222" t="inlineStr">
        <is>
          <t>1.米黄花岗石窗台石</t>
        </is>
      </c>
      <c r="F390" s="222" t="inlineStr">
        <is>
          <t>m2</t>
        </is>
      </c>
      <c r="G390" s="222" t="n">
        <v>16.8156</v>
      </c>
      <c r="H390" s="223" t="n">
        <v>16.82</v>
      </c>
      <c r="I390" s="230" t="n">
        <v>6.73</v>
      </c>
      <c r="J390" s="223">
        <f>H390-G390</f>
        <v/>
      </c>
      <c r="K390" s="223">
        <f>I390-G390</f>
        <v/>
      </c>
      <c r="L390" s="223">
        <f>+I390-H390</f>
        <v/>
      </c>
      <c r="M390" s="224">
        <f>J390/G390</f>
        <v/>
      </c>
      <c r="N390" s="222" t="n">
        <v>532.5599999999999</v>
      </c>
      <c r="O390" s="222" t="n">
        <v>490.86</v>
      </c>
      <c r="P390" s="224">
        <f>(N390-O390)/O390</f>
        <v/>
      </c>
      <c r="Q390" s="223">
        <f>O390*0.9056*0.85</f>
        <v/>
      </c>
      <c r="R390" s="223">
        <f>O390*1.15</f>
        <v/>
      </c>
      <c r="S390" s="223">
        <f>IF(N390&lt;O390*0.9056*0.85,O390*0.9056*0.85,IF(N390&gt;O390*1.15,O390*1.15,N390))</f>
        <v/>
      </c>
      <c r="T390" s="223">
        <f>+G390*N390</f>
        <v/>
      </c>
      <c r="U390" s="223">
        <f>T390+S390*J390</f>
        <v/>
      </c>
      <c r="V390" s="230">
        <f>T390+S390*K390</f>
        <v/>
      </c>
      <c r="W390" s="223">
        <f>V390-T390</f>
        <v/>
      </c>
      <c r="X390" s="230">
        <f>+V390-U390</f>
        <v/>
      </c>
      <c r="Y390" s="231">
        <f>+V390-U390</f>
        <v/>
      </c>
      <c r="Z390" s="222" t="n"/>
      <c r="AA390" s="222" t="n"/>
      <c r="AB390" s="222" t="n"/>
      <c r="AC390" s="222" t="n"/>
      <c r="AD390" s="222" t="n"/>
      <c r="AE390" s="222" t="n"/>
      <c r="AF390" s="222" t="n"/>
      <c r="AG390" s="222" t="n"/>
      <c r="AH390" s="222" t="n"/>
      <c r="AI390" s="222" t="n"/>
      <c r="AJ390" s="222" t="n"/>
    </row>
    <row r="391" ht="79.5" customHeight="1" s="166">
      <c r="A391" s="222" t="n"/>
      <c r="B391" s="222" t="inlineStr">
        <is>
          <t>教学楼</t>
        </is>
      </c>
      <c r="C391" s="222" t="inlineStr">
        <is>
          <t>011207001003</t>
        </is>
      </c>
      <c r="D391" s="222" t="inlineStr">
        <is>
          <t>墙面装饰板</t>
        </is>
      </c>
      <c r="E391" s="222" t="inlineStr">
        <is>
          <t>1.18MM厚A级防火吸音板
2.50厚超细玻璃棉容重:32KG/m3外包吸声无纺布
3.15mm阻燃夹板
4.50*50阻燃木龙骨底架
5.1.2厚黑色不锈钢压槽</t>
        </is>
      </c>
      <c r="F391" s="222" t="inlineStr">
        <is>
          <t>m2</t>
        </is>
      </c>
      <c r="G391" s="222" t="n">
        <v>129.335</v>
      </c>
      <c r="H391" s="223" t="n">
        <v>136.49</v>
      </c>
      <c r="I391" s="230" t="n">
        <v>136.49</v>
      </c>
      <c r="J391" s="223">
        <f>H391-G391</f>
        <v/>
      </c>
      <c r="K391" s="223">
        <f>I391-G391</f>
        <v/>
      </c>
      <c r="L391" s="223">
        <f>+I391-H391</f>
        <v/>
      </c>
      <c r="M391" s="224">
        <f>J391/G391</f>
        <v/>
      </c>
      <c r="N391" s="222" t="n">
        <v>314.41</v>
      </c>
      <c r="O391" s="222" t="n">
        <v>271.64</v>
      </c>
      <c r="P391" s="224">
        <f>(N391-O391)/O391</f>
        <v/>
      </c>
      <c r="Q391" s="223">
        <f>O391*0.9056*0.85</f>
        <v/>
      </c>
      <c r="R391" s="223">
        <f>O391*1.15</f>
        <v/>
      </c>
      <c r="S391" s="223">
        <f>IF(N391&lt;O391*0.9056*0.85,O391*0.9056*0.85,IF(N391&gt;O391*1.15,O391*1.15,N391))</f>
        <v/>
      </c>
      <c r="T391" s="223">
        <f>+G391*N391</f>
        <v/>
      </c>
      <c r="U391" s="223">
        <f>T391+S391*J391</f>
        <v/>
      </c>
      <c r="V391" s="230">
        <f>T391+S391*K391</f>
        <v/>
      </c>
      <c r="W391" s="223">
        <f>V391-T391</f>
        <v/>
      </c>
      <c r="X391" s="230">
        <f>+V391-U391</f>
        <v/>
      </c>
      <c r="Y391" s="231">
        <f>+V391-U391</f>
        <v/>
      </c>
      <c r="Z391" s="222" t="n"/>
      <c r="AA391" s="222" t="n"/>
      <c r="AB391" s="222" t="n"/>
      <c r="AC391" s="222" t="n"/>
      <c r="AD391" s="222" t="n"/>
      <c r="AE391" s="222" t="n"/>
      <c r="AF391" s="222" t="n"/>
      <c r="AG391" s="222" t="n"/>
      <c r="AH391" s="222" t="n"/>
      <c r="AI391" s="222" t="n"/>
      <c r="AJ391" s="222" t="n"/>
    </row>
    <row r="392" ht="41.25" customHeight="1" s="166">
      <c r="A392" s="222" t="n"/>
      <c r="B392" s="222" t="inlineStr">
        <is>
          <t>教学楼</t>
        </is>
      </c>
      <c r="C392" s="222" t="inlineStr">
        <is>
          <t>011207001004</t>
        </is>
      </c>
      <c r="D392" s="222" t="inlineStr">
        <is>
          <t>墙面装饰板</t>
        </is>
      </c>
      <c r="E392" s="222" t="inlineStr">
        <is>
          <t>1.4MM蓝色免漆板
2.15mm阻燃夹板
3.30*30阻燃木龙骨底架</t>
        </is>
      </c>
      <c r="F392" s="222" t="inlineStr">
        <is>
          <t>m2</t>
        </is>
      </c>
      <c r="G392" s="222" t="n">
        <v>56.123</v>
      </c>
      <c r="H392" s="223" t="n">
        <v>70.04000000000001</v>
      </c>
      <c r="I392" s="230" t="n">
        <v>14.82</v>
      </c>
      <c r="J392" s="223">
        <f>H392-G392</f>
        <v/>
      </c>
      <c r="K392" s="223">
        <f>I392-G392</f>
        <v/>
      </c>
      <c r="L392" s="223">
        <f>+I392-H392</f>
        <v/>
      </c>
      <c r="M392" s="224">
        <f>J392/G392</f>
        <v/>
      </c>
      <c r="N392" s="222" t="n">
        <v>341.48</v>
      </c>
      <c r="O392" s="222" t="n">
        <v>151.55</v>
      </c>
      <c r="P392" s="224">
        <f>(N392-O392)/O392</f>
        <v/>
      </c>
      <c r="Q392" s="223">
        <f>O392*0.9056*0.85</f>
        <v/>
      </c>
      <c r="R392" s="223">
        <f>O392*1.15</f>
        <v/>
      </c>
      <c r="S392" s="223">
        <f>IF(N392&lt;O392*0.9056*0.85,O392*0.9056*0.85,IF(N392&gt;O392*1.15,O392*1.15,N392))</f>
        <v/>
      </c>
      <c r="T392" s="223">
        <f>+G392*N392</f>
        <v/>
      </c>
      <c r="U392" s="223">
        <f>T392+S392*J392</f>
        <v/>
      </c>
      <c r="V392" s="230">
        <f>T392+S392*K392</f>
        <v/>
      </c>
      <c r="W392" s="223">
        <f>V392-T392</f>
        <v/>
      </c>
      <c r="X392" s="230">
        <f>+V392-U392</f>
        <v/>
      </c>
      <c r="Y392" s="231">
        <f>+V392-U392</f>
        <v/>
      </c>
      <c r="Z392" s="222" t="n"/>
      <c r="AA392" s="222" t="n"/>
      <c r="AB392" s="222" t="n"/>
      <c r="AC392" s="222" t="n"/>
      <c r="AD392" s="222" t="n"/>
      <c r="AE392" s="222" t="n"/>
      <c r="AF392" s="222" t="n"/>
      <c r="AG392" s="222" t="n"/>
      <c r="AH392" s="222" t="n"/>
      <c r="AI392" s="222" t="n"/>
      <c r="AJ392" s="222" t="n"/>
    </row>
    <row r="393" ht="41.25" customHeight="1" s="166">
      <c r="A393" s="222" t="n"/>
      <c r="B393" s="222" t="inlineStr">
        <is>
          <t>教学楼</t>
        </is>
      </c>
      <c r="C393" s="222" t="inlineStr">
        <is>
          <t>011207001007</t>
        </is>
      </c>
      <c r="D393" s="222" t="inlineStr">
        <is>
          <t>墙面装饰板</t>
        </is>
      </c>
      <c r="E393" s="222" t="inlineStr">
        <is>
          <t>1.5MM厚清镜
2.15mm阻燃夹板
3.50*50阻燃木龙骨底架</t>
        </is>
      </c>
      <c r="F393" s="222" t="inlineStr">
        <is>
          <t>m2</t>
        </is>
      </c>
      <c r="G393" s="222" t="n">
        <v>31.04</v>
      </c>
      <c r="H393" s="223" t="n">
        <v>32.05</v>
      </c>
      <c r="I393" s="230" t="n">
        <v>32.05</v>
      </c>
      <c r="J393" s="223">
        <f>H393-G393</f>
        <v/>
      </c>
      <c r="K393" s="223">
        <f>I393-G393</f>
        <v/>
      </c>
      <c r="L393" s="223">
        <f>+I393-H393</f>
        <v/>
      </c>
      <c r="M393" s="224">
        <f>J393/G393</f>
        <v/>
      </c>
      <c r="N393" s="222" t="n">
        <v>437.33</v>
      </c>
      <c r="O393" s="222" t="n">
        <v>228.53</v>
      </c>
      <c r="P393" s="224">
        <f>(N393-O393)/O393</f>
        <v/>
      </c>
      <c r="Q393" s="223">
        <f>O393*0.9056*0.85</f>
        <v/>
      </c>
      <c r="R393" s="223">
        <f>O393*1.15</f>
        <v/>
      </c>
      <c r="S393" s="223">
        <f>IF(N393&lt;O393*0.9056*0.85,O393*0.9056*0.85,IF(N393&gt;O393*1.15,O393*1.15,N393))</f>
        <v/>
      </c>
      <c r="T393" s="223">
        <f>+G393*N393</f>
        <v/>
      </c>
      <c r="U393" s="223">
        <f>T393+S393*J393</f>
        <v/>
      </c>
      <c r="V393" s="230">
        <f>T393+S393*K393</f>
        <v/>
      </c>
      <c r="W393" s="223">
        <f>V393-T393</f>
        <v/>
      </c>
      <c r="X393" s="230">
        <f>+V393-U393</f>
        <v/>
      </c>
      <c r="Y393" s="231">
        <f>+V393-U393</f>
        <v/>
      </c>
      <c r="Z393" s="222" t="n"/>
      <c r="AA393" s="222" t="n"/>
      <c r="AB393" s="222" t="n"/>
      <c r="AC393" s="222" t="n"/>
      <c r="AD393" s="222" t="n"/>
      <c r="AE393" s="222" t="n"/>
      <c r="AF393" s="222" t="n"/>
      <c r="AG393" s="222" t="n"/>
      <c r="AH393" s="222" t="n"/>
      <c r="AI393" s="222" t="n"/>
      <c r="AJ393" s="222" t="n"/>
    </row>
    <row r="394" ht="41.25" customHeight="1" s="166">
      <c r="A394" s="222" t="n"/>
      <c r="B394" s="222" t="inlineStr">
        <is>
          <t>教学楼</t>
        </is>
      </c>
      <c r="C394" s="222" t="inlineStr">
        <is>
          <t>011207001006</t>
        </is>
      </c>
      <c r="D394" s="222" t="inlineStr">
        <is>
          <t>墙面装饰板（logo）</t>
        </is>
      </c>
      <c r="E394" s="222" t="inlineStr">
        <is>
          <t>1.15MM蓝色免漆板
2.15mm阻燃夹板
3.30*30阻燃木龙骨底架</t>
        </is>
      </c>
      <c r="F394" s="222" t="inlineStr">
        <is>
          <t>m2</t>
        </is>
      </c>
      <c r="G394" s="222" t="n">
        <v>4.77</v>
      </c>
      <c r="H394" s="223" t="n">
        <v>4.77</v>
      </c>
      <c r="I394" s="230" t="n">
        <v>1.76</v>
      </c>
      <c r="J394" s="223">
        <f>H394-G394</f>
        <v/>
      </c>
      <c r="K394" s="223">
        <f>I394-G394</f>
        <v/>
      </c>
      <c r="L394" s="223">
        <f>+I394-H394</f>
        <v/>
      </c>
      <c r="M394" s="224">
        <f>J394/G394</f>
        <v/>
      </c>
      <c r="N394" s="222" t="n">
        <v>429.48</v>
      </c>
      <c r="O394" s="222" t="n">
        <v>300.05</v>
      </c>
      <c r="P394" s="224">
        <f>(N394-O394)/O394</f>
        <v/>
      </c>
      <c r="Q394" s="223">
        <f>O394*0.9056*0.85</f>
        <v/>
      </c>
      <c r="R394" s="223">
        <f>O394*1.15</f>
        <v/>
      </c>
      <c r="S394" s="223">
        <f>IF(N394&lt;O394*0.9056*0.85,O394*0.9056*0.85,IF(N394&gt;O394*1.15,O394*1.15,N394))</f>
        <v/>
      </c>
      <c r="T394" s="223">
        <f>+G394*N394</f>
        <v/>
      </c>
      <c r="U394" s="223">
        <f>T394+S394*J394</f>
        <v/>
      </c>
      <c r="V394" s="230">
        <f>T394+S394*K394</f>
        <v/>
      </c>
      <c r="W394" s="223">
        <f>V394-T394</f>
        <v/>
      </c>
      <c r="X394" s="230">
        <f>+V394-U394</f>
        <v/>
      </c>
      <c r="Y394" s="231">
        <f>+V394-U394</f>
        <v/>
      </c>
      <c r="Z394" s="222" t="n"/>
      <c r="AA394" s="222" t="n"/>
      <c r="AB394" s="222" t="n"/>
      <c r="AC394" s="222" t="n"/>
      <c r="AD394" s="222" t="n"/>
      <c r="AE394" s="222" t="n"/>
      <c r="AF394" s="222" t="n"/>
      <c r="AG394" s="222" t="n"/>
      <c r="AH394" s="222" t="n"/>
      <c r="AI394" s="222" t="n"/>
      <c r="AJ394" s="222" t="n"/>
    </row>
    <row r="395" ht="54" customHeight="1" s="166">
      <c r="A395" s="222" t="n"/>
      <c r="B395" s="222" t="inlineStr">
        <is>
          <t>教学楼</t>
        </is>
      </c>
      <c r="C395" s="222" t="inlineStr">
        <is>
          <t>011207001009</t>
        </is>
      </c>
      <c r="D395" s="222" t="inlineStr">
        <is>
          <t>墙面装饰板</t>
        </is>
      </c>
      <c r="E395" s="222" t="inlineStr">
        <is>
          <t>1.9mm欧松板
2.15mm阻燃夹板
3.30*30阻燃木龙骨底架
4.30mm透明亚克力板</t>
        </is>
      </c>
      <c r="F395" s="222" t="inlineStr">
        <is>
          <t>m2</t>
        </is>
      </c>
      <c r="G395" s="222" t="n">
        <v>9.449999999999999</v>
      </c>
      <c r="H395" s="223" t="n">
        <v>9.449999999999999</v>
      </c>
      <c r="I395" s="230" t="n">
        <v>9.449999999999999</v>
      </c>
      <c r="J395" s="223">
        <f>H395-G395</f>
        <v/>
      </c>
      <c r="K395" s="223">
        <f>I395-G395</f>
        <v/>
      </c>
      <c r="L395" s="223">
        <f>+I395-H395</f>
        <v/>
      </c>
      <c r="M395" s="224">
        <f>J395/G395</f>
        <v/>
      </c>
      <c r="N395" s="222" t="n">
        <v>419.95</v>
      </c>
      <c r="O395" s="222" t="n">
        <v>250.86</v>
      </c>
      <c r="P395" s="224">
        <f>(N395-O395)/O395</f>
        <v/>
      </c>
      <c r="Q395" s="223">
        <f>O395*0.9056*0.85</f>
        <v/>
      </c>
      <c r="R395" s="223">
        <f>O395*1.15</f>
        <v/>
      </c>
      <c r="S395" s="223">
        <f>IF(N395&lt;O395*0.9056*0.85,O395*0.9056*0.85,IF(N395&gt;O395*1.15,O395*1.15,N395))</f>
        <v/>
      </c>
      <c r="T395" s="223">
        <f>+G395*N395</f>
        <v/>
      </c>
      <c r="U395" s="223">
        <f>T395+S395*J395</f>
        <v/>
      </c>
      <c r="V395" s="230">
        <f>T395+S395*K395</f>
        <v/>
      </c>
      <c r="W395" s="223">
        <f>V395-T395</f>
        <v/>
      </c>
      <c r="X395" s="230">
        <f>+V395-U395</f>
        <v/>
      </c>
      <c r="Y395" s="231">
        <f>+V395-U395</f>
        <v/>
      </c>
      <c r="Z395" s="222" t="n"/>
      <c r="AA395" s="222" t="n"/>
      <c r="AB395" s="222" t="n"/>
      <c r="AC395" s="222" t="n"/>
      <c r="AD395" s="222" t="n"/>
      <c r="AE395" s="222" t="n"/>
      <c r="AF395" s="222" t="n"/>
      <c r="AG395" s="222" t="n"/>
      <c r="AH395" s="222" t="n"/>
      <c r="AI395" s="222" t="n"/>
      <c r="AJ395" s="222" t="n"/>
    </row>
    <row r="396" ht="54" customHeight="1" s="166">
      <c r="A396" s="222" t="n"/>
      <c r="B396" s="222" t="inlineStr">
        <is>
          <t>教学楼</t>
        </is>
      </c>
      <c r="C396" s="222" t="inlineStr">
        <is>
          <t>011207001005</t>
        </is>
      </c>
      <c r="D396" s="222" t="inlineStr">
        <is>
          <t>墙面装饰板</t>
        </is>
      </c>
      <c r="E396" s="222" t="inlineStr">
        <is>
          <t>1.贴黄色墙布
2.9mm阻燃夹板
3.30*30阻燃木龙骨底架
4.1.2厚黑色不锈钢压槽</t>
        </is>
      </c>
      <c r="F396" s="222" t="inlineStr">
        <is>
          <t>m2</t>
        </is>
      </c>
      <c r="G396" s="222" t="n">
        <v>20.52</v>
      </c>
      <c r="H396" s="223" t="n">
        <v>20.58</v>
      </c>
      <c r="I396" s="230" t="n">
        <v>20.58</v>
      </c>
      <c r="J396" s="223">
        <f>H396-G396</f>
        <v/>
      </c>
      <c r="K396" s="223">
        <f>I396-G396</f>
        <v/>
      </c>
      <c r="L396" s="223">
        <f>+I396-H396</f>
        <v/>
      </c>
      <c r="M396" s="224">
        <f>J396/G396</f>
        <v/>
      </c>
      <c r="N396" s="222" t="n">
        <v>217.33</v>
      </c>
      <c r="O396" s="222" t="n">
        <v>149.29</v>
      </c>
      <c r="P396" s="224">
        <f>(N396-O396)/O396</f>
        <v/>
      </c>
      <c r="Q396" s="223">
        <f>O396*0.9056*0.85</f>
        <v/>
      </c>
      <c r="R396" s="223">
        <f>O396*1.15</f>
        <v/>
      </c>
      <c r="S396" s="223">
        <f>IF(N396&lt;O396*0.9056*0.85,O396*0.9056*0.85,IF(N396&gt;O396*1.15,O396*1.15,N396))</f>
        <v/>
      </c>
      <c r="T396" s="223">
        <f>+G396*N396</f>
        <v/>
      </c>
      <c r="U396" s="223">
        <f>T396+S396*J396</f>
        <v/>
      </c>
      <c r="V396" s="230">
        <f>T396+S396*K396</f>
        <v/>
      </c>
      <c r="W396" s="223">
        <f>V396-T396</f>
        <v/>
      </c>
      <c r="X396" s="230">
        <f>+V396-U396</f>
        <v/>
      </c>
      <c r="Y396" s="231">
        <f>+V396-U396</f>
        <v/>
      </c>
      <c r="Z396" s="222" t="n"/>
      <c r="AA396" s="222" t="n"/>
      <c r="AB396" s="222" t="n"/>
      <c r="AC396" s="222" t="n"/>
      <c r="AD396" s="222" t="n"/>
      <c r="AE396" s="222" t="n"/>
      <c r="AF396" s="222" t="n"/>
      <c r="AG396" s="222" t="n"/>
      <c r="AH396" s="222" t="n"/>
      <c r="AI396" s="222" t="n"/>
      <c r="AJ396" s="222" t="n"/>
    </row>
    <row r="397" ht="54" customHeight="1" s="166">
      <c r="A397" s="222" t="n"/>
      <c r="B397" s="222" t="inlineStr">
        <is>
          <t>教学楼</t>
        </is>
      </c>
      <c r="C397" s="222" t="inlineStr">
        <is>
          <t>011207001008</t>
        </is>
      </c>
      <c r="D397" s="222" t="inlineStr">
        <is>
          <t>墙面装饰板</t>
        </is>
      </c>
      <c r="E397" s="222" t="inlineStr">
        <is>
          <t>1.刮塑油浅橙色无机装修涂料
2.5mm阻燃夹板
3.30*30阻燃木龙骨底架</t>
        </is>
      </c>
      <c r="F397" s="222" t="inlineStr">
        <is>
          <t>m2</t>
        </is>
      </c>
      <c r="G397" s="222" t="n">
        <v>36.5</v>
      </c>
      <c r="H397" s="223" t="n">
        <v>36.5</v>
      </c>
      <c r="I397" s="230" t="n">
        <v>36.5</v>
      </c>
      <c r="J397" s="223">
        <f>H397-G397</f>
        <v/>
      </c>
      <c r="K397" s="223">
        <f>I397-G397</f>
        <v/>
      </c>
      <c r="L397" s="223">
        <f>+I397-H397</f>
        <v/>
      </c>
      <c r="M397" s="224">
        <f>J397/G397</f>
        <v/>
      </c>
      <c r="N397" s="222" t="n">
        <v>111.44</v>
      </c>
      <c r="O397" s="222" t="n">
        <v>113.84</v>
      </c>
      <c r="P397" s="224">
        <f>(N397-O397)/O397</f>
        <v/>
      </c>
      <c r="Q397" s="223">
        <f>O397*0.9056*0.85</f>
        <v/>
      </c>
      <c r="R397" s="223">
        <f>O397*1.15</f>
        <v/>
      </c>
      <c r="S397" s="223">
        <f>IF(N397&lt;O397*0.9056*0.85,O397*0.9056*0.85,IF(N397&gt;O397*1.15,O397*1.15,N397))</f>
        <v/>
      </c>
      <c r="T397" s="223">
        <f>+G397*N397</f>
        <v/>
      </c>
      <c r="U397" s="223">
        <f>T397+S397*J397</f>
        <v/>
      </c>
      <c r="V397" s="230">
        <f>T397+S397*K397</f>
        <v/>
      </c>
      <c r="W397" s="223">
        <f>V397-T397</f>
        <v/>
      </c>
      <c r="X397" s="230">
        <f>+V397-U397</f>
        <v/>
      </c>
      <c r="Y397" s="231">
        <f>+V397-U397</f>
        <v/>
      </c>
      <c r="Z397" s="222" t="n"/>
      <c r="AA397" s="222" t="n"/>
      <c r="AB397" s="222" t="n"/>
      <c r="AC397" s="222" t="n"/>
      <c r="AD397" s="222" t="n"/>
      <c r="AE397" s="222" t="n"/>
      <c r="AF397" s="222" t="n"/>
      <c r="AG397" s="222" t="n"/>
      <c r="AH397" s="222" t="n"/>
      <c r="AI397" s="222" t="n"/>
      <c r="AJ397" s="222" t="n"/>
    </row>
    <row r="398" ht="28.5" customHeight="1" s="166">
      <c r="A398" s="222" t="n"/>
      <c r="B398" s="222" t="inlineStr">
        <is>
          <t>教学楼</t>
        </is>
      </c>
      <c r="C398" s="222" t="inlineStr">
        <is>
          <t>011105005001</t>
        </is>
      </c>
      <c r="D398" s="222" t="inlineStr">
        <is>
          <t>木质踢脚线</t>
        </is>
      </c>
      <c r="E398" s="222" t="inlineStr">
        <is>
          <t>1.实木地板原木色地脚线
2.踢脚线高度:100mm</t>
        </is>
      </c>
      <c r="F398" s="222" t="inlineStr">
        <is>
          <t>m2</t>
        </is>
      </c>
      <c r="G398" s="222" t="n">
        <v>7.217</v>
      </c>
      <c r="H398" s="223" t="n">
        <v>20.92</v>
      </c>
      <c r="I398" s="230" t="n">
        <v>20.92</v>
      </c>
      <c r="J398" s="223">
        <f>H398-G398</f>
        <v/>
      </c>
      <c r="K398" s="223">
        <f>I398-G398</f>
        <v/>
      </c>
      <c r="L398" s="223">
        <f>+I398-H398</f>
        <v/>
      </c>
      <c r="M398" s="224">
        <f>J398/G398</f>
        <v/>
      </c>
      <c r="N398" s="222" t="n">
        <v>151.13</v>
      </c>
      <c r="O398" s="222" t="n">
        <v>392.16</v>
      </c>
      <c r="P398" s="224">
        <f>(N398-O398)/O398</f>
        <v/>
      </c>
      <c r="Q398" s="223">
        <f>O398*0.9056*0.85</f>
        <v/>
      </c>
      <c r="R398" s="223">
        <f>O398*1.15</f>
        <v/>
      </c>
      <c r="S398" s="223">
        <f>IF(N398&lt;O398*0.9056*0.85,O398*0.9056*0.85,IF(N398&gt;O398*1.15,O398*1.15,N398))</f>
        <v/>
      </c>
      <c r="T398" s="223">
        <f>+G398*N398</f>
        <v/>
      </c>
      <c r="U398" s="223">
        <f>T398+S398*J398</f>
        <v/>
      </c>
      <c r="V398" s="230">
        <f>T398+S398*K398</f>
        <v/>
      </c>
      <c r="W398" s="223">
        <f>V398-T398</f>
        <v/>
      </c>
      <c r="X398" s="230">
        <f>+V398-U398</f>
        <v/>
      </c>
      <c r="Y398" s="231">
        <f>+V398-U398</f>
        <v/>
      </c>
      <c r="Z398" s="222" t="n"/>
      <c r="AA398" s="222" t="n"/>
      <c r="AB398" s="222" t="n"/>
      <c r="AC398" s="222" t="n"/>
      <c r="AD398" s="222" t="n"/>
      <c r="AE398" s="222" t="n"/>
      <c r="AF398" s="222" t="n"/>
      <c r="AG398" s="222" t="n"/>
      <c r="AH398" s="222" t="n"/>
      <c r="AI398" s="222" t="n"/>
      <c r="AJ398" s="222" t="n"/>
    </row>
    <row r="399" ht="18" customHeight="1" s="166">
      <c r="A399" s="222" t="n"/>
      <c r="B399" s="222" t="inlineStr">
        <is>
          <t>教学楼</t>
        </is>
      </c>
      <c r="C399" s="222" t="inlineStr">
        <is>
          <t>011210003001</t>
        </is>
      </c>
      <c r="D399" s="222" t="inlineStr">
        <is>
          <t>玻璃隔断</t>
        </is>
      </c>
      <c r="E399" s="222" t="inlineStr">
        <is>
          <t>1.8mm厚钢化清玻璃隔断</t>
        </is>
      </c>
      <c r="F399" s="222" t="inlineStr">
        <is>
          <t>m2</t>
        </is>
      </c>
      <c r="G399" s="222" t="n">
        <v>3.9</v>
      </c>
      <c r="H399" s="223" t="n">
        <v>6.27</v>
      </c>
      <c r="I399" s="230" t="n">
        <v>6.27</v>
      </c>
      <c r="J399" s="223">
        <f>H399-G399</f>
        <v/>
      </c>
      <c r="K399" s="223">
        <f>I399-G399</f>
        <v/>
      </c>
      <c r="L399" s="223">
        <f>+I399-H399</f>
        <v/>
      </c>
      <c r="M399" s="224">
        <f>J399/G399</f>
        <v/>
      </c>
      <c r="N399" s="222" t="n">
        <v>149.62</v>
      </c>
      <c r="O399" s="222" t="n">
        <v>182.2</v>
      </c>
      <c r="P399" s="224">
        <f>(N399-O399)/O399</f>
        <v/>
      </c>
      <c r="Q399" s="223">
        <f>O399*0.9056*0.85</f>
        <v/>
      </c>
      <c r="R399" s="223">
        <f>O399*1.15</f>
        <v/>
      </c>
      <c r="S399" s="223">
        <f>IF(N399&lt;O399*0.9056*0.85,O399*0.9056*0.85,IF(N399&gt;O399*1.15,O399*1.15,N399))</f>
        <v/>
      </c>
      <c r="T399" s="223">
        <f>+G399*N399</f>
        <v/>
      </c>
      <c r="U399" s="223">
        <f>T399+S399*J399</f>
        <v/>
      </c>
      <c r="V399" s="230">
        <f>T399+S399*K399</f>
        <v/>
      </c>
      <c r="W399" s="223">
        <f>V399-T399</f>
        <v/>
      </c>
      <c r="X399" s="230">
        <f>+V399-U399</f>
        <v/>
      </c>
      <c r="Y399" s="231">
        <f>+V399-U399</f>
        <v/>
      </c>
      <c r="Z399" s="222" t="n"/>
      <c r="AA399" s="222" t="n"/>
      <c r="AB399" s="222" t="n"/>
      <c r="AC399" s="222" t="n"/>
      <c r="AD399" s="222" t="n"/>
      <c r="AE399" s="222" t="n"/>
      <c r="AF399" s="222" t="n"/>
      <c r="AG399" s="222" t="n"/>
      <c r="AH399" s="222" t="n"/>
      <c r="AI399" s="222" t="n"/>
      <c r="AJ399" s="222" t="n"/>
    </row>
    <row r="400" ht="28.5" customHeight="1" s="166">
      <c r="A400" s="222" t="n"/>
      <c r="B400" s="222" t="inlineStr">
        <is>
          <t>教学楼</t>
        </is>
      </c>
      <c r="C400" s="222" t="inlineStr">
        <is>
          <t>011210006001</t>
        </is>
      </c>
      <c r="D400" s="222" t="inlineStr">
        <is>
          <t>其他隔断</t>
        </is>
      </c>
      <c r="E400" s="222" t="inlineStr">
        <is>
          <t>1.轻钢龙骨12mm硅钙板隔墙(包龙骨)双面</t>
        </is>
      </c>
      <c r="F400" s="222" t="inlineStr">
        <is>
          <t>m2</t>
        </is>
      </c>
      <c r="G400" s="222" t="n">
        <v>39.888</v>
      </c>
      <c r="H400" s="223" t="n">
        <v>39.89</v>
      </c>
      <c r="I400" s="230" t="n">
        <v>35.67</v>
      </c>
      <c r="J400" s="223">
        <f>H400-G400</f>
        <v/>
      </c>
      <c r="K400" s="223">
        <f>I400-G400</f>
        <v/>
      </c>
      <c r="L400" s="223">
        <f>+I400-H400</f>
        <v/>
      </c>
      <c r="M400" s="224">
        <f>J400/G400</f>
        <v/>
      </c>
      <c r="N400" s="222" t="n">
        <v>100.87</v>
      </c>
      <c r="O400" s="222" t="n">
        <v>103.02</v>
      </c>
      <c r="P400" s="224">
        <f>(N400-O400)/O400</f>
        <v/>
      </c>
      <c r="Q400" s="223">
        <f>O400*0.9056*0.85</f>
        <v/>
      </c>
      <c r="R400" s="223">
        <f>O400*1.15</f>
        <v/>
      </c>
      <c r="S400" s="223">
        <f>IF(N400&lt;O400*0.9056*0.85,O400*0.9056*0.85,IF(N400&gt;O400*1.15,O400*1.15,N400))</f>
        <v/>
      </c>
      <c r="T400" s="223">
        <f>+G400*N400</f>
        <v/>
      </c>
      <c r="U400" s="223">
        <f>T400+S400*J400</f>
        <v/>
      </c>
      <c r="V400" s="230">
        <f>T400+S400*K400</f>
        <v/>
      </c>
      <c r="W400" s="223">
        <f>V400-T400</f>
        <v/>
      </c>
      <c r="X400" s="230">
        <f>+V400-U400</f>
        <v/>
      </c>
      <c r="Y400" s="231">
        <f>+V400-U400</f>
        <v/>
      </c>
      <c r="Z400" s="222" t="n"/>
      <c r="AA400" s="222" t="n"/>
      <c r="AB400" s="222" t="n"/>
      <c r="AC400" s="222" t="n"/>
      <c r="AD400" s="222" t="n"/>
      <c r="AE400" s="222" t="n"/>
      <c r="AF400" s="222" t="n"/>
      <c r="AG400" s="222" t="n"/>
      <c r="AH400" s="222" t="n"/>
      <c r="AI400" s="222" t="n"/>
      <c r="AJ400" s="222" t="n"/>
    </row>
    <row r="401" ht="28.5" customHeight="1" s="166">
      <c r="A401" s="222" t="n"/>
      <c r="B401" s="222" t="inlineStr">
        <is>
          <t>教学楼</t>
        </is>
      </c>
      <c r="C401" s="222" t="inlineStr">
        <is>
          <t>011508002001</t>
        </is>
      </c>
      <c r="D401" s="222" t="inlineStr">
        <is>
          <t>有机玻璃字</t>
        </is>
      </c>
      <c r="E401" s="222" t="inlineStr">
        <is>
          <t>1.订做亚克力广告字体logo
2.H=190mm</t>
        </is>
      </c>
      <c r="F401" s="222" t="inlineStr">
        <is>
          <t>个</t>
        </is>
      </c>
      <c r="G401" s="222" t="n">
        <v>19</v>
      </c>
      <c r="H401" s="223" t="n">
        <v>19</v>
      </c>
      <c r="I401" s="232" t="n">
        <v>19</v>
      </c>
      <c r="J401" s="223">
        <f>H401-G401</f>
        <v/>
      </c>
      <c r="K401" s="223">
        <f>I401-G401</f>
        <v/>
      </c>
      <c r="L401" s="223">
        <f>+I401-H401</f>
        <v/>
      </c>
      <c r="M401" s="224">
        <f>J401/G401</f>
        <v/>
      </c>
      <c r="N401" s="222" t="n">
        <v>148.45</v>
      </c>
      <c r="O401" s="222" t="n">
        <v>199.33</v>
      </c>
      <c r="P401" s="224">
        <f>(N401-O401)/O401</f>
        <v/>
      </c>
      <c r="Q401" s="223">
        <f>O401*0.9056*0.85</f>
        <v/>
      </c>
      <c r="R401" s="223">
        <f>O401*1.15</f>
        <v/>
      </c>
      <c r="S401" s="223">
        <f>IF(N401&lt;O401*0.9056*0.85,O401*0.9056*0.85,IF(N401&gt;O401*1.15,O401*1.15,N401))</f>
        <v/>
      </c>
      <c r="T401" s="223">
        <f>+G401*N401</f>
        <v/>
      </c>
      <c r="U401" s="223">
        <f>T401+S401*J401</f>
        <v/>
      </c>
      <c r="V401" s="230">
        <f>T401+S401*K401</f>
        <v/>
      </c>
      <c r="W401" s="223">
        <f>V401-T401</f>
        <v/>
      </c>
      <c r="X401" s="230">
        <f>+V401-U401</f>
        <v/>
      </c>
      <c r="Y401" s="231">
        <f>+V401-U401</f>
        <v/>
      </c>
      <c r="Z401" s="222" t="n"/>
      <c r="AA401" s="222" t="n"/>
      <c r="AB401" s="222" t="n"/>
      <c r="AC401" s="222" t="n"/>
      <c r="AD401" s="222" t="n"/>
      <c r="AE401" s="222" t="n"/>
      <c r="AF401" s="222" t="n"/>
      <c r="AG401" s="222" t="n"/>
      <c r="AH401" s="222" t="n"/>
      <c r="AI401" s="222" t="n"/>
      <c r="AJ401" s="222" t="n"/>
    </row>
    <row r="402" ht="28.5" customHeight="1" s="166">
      <c r="A402" s="222" t="n"/>
      <c r="B402" s="222" t="inlineStr">
        <is>
          <t>教学楼</t>
        </is>
      </c>
      <c r="C402" s="222" t="n"/>
      <c r="D402" s="222" t="inlineStr">
        <is>
          <t>天棚工程</t>
        </is>
      </c>
      <c r="E402" s="222" t="n"/>
      <c r="F402" s="222" t="n"/>
      <c r="G402" s="222" t="n"/>
      <c r="H402" s="223" t="n"/>
      <c r="I402" s="229" t="n"/>
      <c r="J402" s="223" t="n"/>
      <c r="K402" s="223" t="n"/>
      <c r="L402" s="223" t="n"/>
      <c r="M402" s="224" t="n"/>
      <c r="N402" s="222" t="n"/>
      <c r="O402" s="222" t="n"/>
      <c r="P402" s="224" t="n"/>
      <c r="Q402" s="223" t="n"/>
      <c r="R402" s="223" t="n"/>
      <c r="S402" s="223" t="n"/>
      <c r="T402" s="223">
        <f>+SUM(T403:T408)</f>
        <v/>
      </c>
      <c r="U402" s="223">
        <f>+SUM(U403:U408)</f>
        <v/>
      </c>
      <c r="V402" s="230">
        <f>SUM(V403:V408)</f>
        <v/>
      </c>
      <c r="W402" s="223">
        <f>V402-T402</f>
        <v/>
      </c>
      <c r="X402" s="230">
        <f>+V402-U402</f>
        <v/>
      </c>
      <c r="Y402" s="231">
        <f>V402-U402</f>
        <v/>
      </c>
      <c r="Z402" s="222" t="n"/>
      <c r="AA402" s="222" t="n"/>
      <c r="AB402" s="222" t="n"/>
      <c r="AC402" s="222" t="n"/>
      <c r="AD402" s="222" t="n"/>
      <c r="AE402" s="222" t="n"/>
      <c r="AF402" s="222" t="n"/>
      <c r="AG402" s="222" t="n"/>
      <c r="AH402" s="222" t="n"/>
      <c r="AI402" s="222" t="n"/>
      <c r="AJ402" s="222" t="n"/>
    </row>
    <row r="403" ht="28.5" customHeight="1" s="166">
      <c r="A403" s="222" t="n"/>
      <c r="B403" s="222" t="inlineStr">
        <is>
          <t>教学楼</t>
        </is>
      </c>
      <c r="C403" s="222" t="inlineStr">
        <is>
          <t>011407002003</t>
        </is>
      </c>
      <c r="D403" s="222" t="inlineStr">
        <is>
          <t>天棚喷刷涂料（顶1）</t>
        </is>
      </c>
      <c r="E403" s="222" t="inlineStr">
        <is>
          <t>1.加强型腻子找平层5厚
2.无机涂料,三遍成活</t>
        </is>
      </c>
      <c r="F403" s="222" t="inlineStr">
        <is>
          <t>m2</t>
        </is>
      </c>
      <c r="G403" s="222" t="n">
        <v>7757.446</v>
      </c>
      <c r="H403" s="223" t="n">
        <v>7886.13</v>
      </c>
      <c r="I403" s="230" t="n">
        <v>7886.13</v>
      </c>
      <c r="J403" s="223">
        <f>H403-G403</f>
        <v/>
      </c>
      <c r="K403" s="223">
        <f>I403-G403</f>
        <v/>
      </c>
      <c r="L403" s="223">
        <f>+I403-H403</f>
        <v/>
      </c>
      <c r="M403" s="224">
        <f>J403/G403</f>
        <v/>
      </c>
      <c r="N403" s="222" t="n">
        <v>39.44</v>
      </c>
      <c r="O403" s="222" t="n">
        <v>48.24</v>
      </c>
      <c r="P403" s="224">
        <f>(N403-O403)/O403</f>
        <v/>
      </c>
      <c r="Q403" s="223">
        <f>O403*0.9056*0.85</f>
        <v/>
      </c>
      <c r="R403" s="223">
        <f>O403*1.15</f>
        <v/>
      </c>
      <c r="S403" s="223">
        <f>IF(N403&lt;O403*0.9056*0.85,O403*0.9056*0.85,IF(N403&gt;O403*1.15,O403*1.15,N403))</f>
        <v/>
      </c>
      <c r="T403" s="223">
        <f>+G403*N403</f>
        <v/>
      </c>
      <c r="U403" s="223">
        <f>T403+S403*J403</f>
        <v/>
      </c>
      <c r="V403" s="230">
        <f>T403+S403*K403</f>
        <v/>
      </c>
      <c r="W403" s="223">
        <f>V403-T403</f>
        <v/>
      </c>
      <c r="X403" s="230">
        <f>+V403-U403</f>
        <v/>
      </c>
      <c r="Y403" s="231">
        <f>+V403-U403</f>
        <v/>
      </c>
      <c r="Z403" s="222" t="n"/>
      <c r="AA403" s="222" t="n"/>
      <c r="AB403" s="222" t="n"/>
      <c r="AC403" s="222" t="n"/>
      <c r="AD403" s="222" t="n"/>
      <c r="AE403" s="222" t="n"/>
      <c r="AF403" s="222" t="n"/>
      <c r="AG403" s="222" t="n"/>
      <c r="AH403" s="222" t="n"/>
      <c r="AI403" s="222" t="n"/>
      <c r="AJ403" s="222" t="n"/>
    </row>
    <row r="404" ht="28.5" customHeight="1" s="166">
      <c r="A404" s="222" t="n"/>
      <c r="B404" s="222" t="inlineStr">
        <is>
          <t>教学楼</t>
        </is>
      </c>
      <c r="C404" s="222" t="inlineStr">
        <is>
          <t>011406001007</t>
        </is>
      </c>
      <c r="D404" s="222" t="inlineStr">
        <is>
          <t>抹灰面油漆（顶2）</t>
        </is>
      </c>
      <c r="E404" s="222" t="inlineStr">
        <is>
          <t>1.扫白色灰水二道</t>
        </is>
      </c>
      <c r="F404" s="222" t="inlineStr">
        <is>
          <t>m2</t>
        </is>
      </c>
      <c r="G404" s="222" t="n">
        <v>27.24</v>
      </c>
      <c r="H404" s="223" t="n">
        <v>40.3</v>
      </c>
      <c r="I404" s="230" t="n">
        <v>40.3</v>
      </c>
      <c r="J404" s="223">
        <f>H404-G404</f>
        <v/>
      </c>
      <c r="K404" s="223">
        <f>I404-G404</f>
        <v/>
      </c>
      <c r="L404" s="223">
        <f>+I404-H404</f>
        <v/>
      </c>
      <c r="M404" s="224">
        <f>J404/G404</f>
        <v/>
      </c>
      <c r="N404" s="222" t="n">
        <v>19.62</v>
      </c>
      <c r="O404" s="222" t="n">
        <v>17.11</v>
      </c>
      <c r="P404" s="224">
        <f>(N404-O404)/O404</f>
        <v/>
      </c>
      <c r="Q404" s="223">
        <f>O404*0.9056*0.85</f>
        <v/>
      </c>
      <c r="R404" s="223">
        <f>O404*1.15</f>
        <v/>
      </c>
      <c r="S404" s="223">
        <f>IF(N404&lt;O404*0.9056*0.85,O404*0.9056*0.85,IF(N404&gt;O404*1.15,O404*1.15,N404))</f>
        <v/>
      </c>
      <c r="T404" s="223">
        <f>+G404*N404</f>
        <v/>
      </c>
      <c r="U404" s="223">
        <f>T404+S404*J404</f>
        <v/>
      </c>
      <c r="V404" s="230">
        <f>T404+S404*K404</f>
        <v/>
      </c>
      <c r="W404" s="223">
        <f>V404-T404</f>
        <v/>
      </c>
      <c r="X404" s="230">
        <f>+V404-U404</f>
        <v/>
      </c>
      <c r="Y404" s="231">
        <f>+V404-U404</f>
        <v/>
      </c>
      <c r="Z404" s="222" t="inlineStr">
        <is>
          <t>变更</t>
        </is>
      </c>
      <c r="AA404" s="222" t="n"/>
      <c r="AB404" s="222" t="n"/>
      <c r="AC404" s="222" t="n"/>
      <c r="AD404" s="222" t="n"/>
      <c r="AE404" s="222" t="n"/>
      <c r="AF404" s="222" t="n"/>
      <c r="AG404" s="222" t="n"/>
      <c r="AH404" s="222" t="n"/>
      <c r="AI404" s="222" t="n"/>
      <c r="AJ404" s="222" t="n"/>
    </row>
    <row r="405" ht="79.5" customHeight="1" s="166">
      <c r="A405" s="222" t="n"/>
      <c r="B405" s="222" t="inlineStr">
        <is>
          <t>教学楼</t>
        </is>
      </c>
      <c r="C405" s="222" t="inlineStr">
        <is>
          <t>011302001006</t>
        </is>
      </c>
      <c r="D405" s="222" t="inlineStr">
        <is>
          <t>吊顶天棚</t>
        </is>
      </c>
      <c r="E405" s="222" t="inlineStr">
        <is>
          <t>1.装配式U型轻钢天棚龙骨(不上人型)面层规格(mm)600×600平面
2.600*600*8mm厚穿孔硅钙板天花
3.做法详见图纸</t>
        </is>
      </c>
      <c r="F405" s="222" t="inlineStr">
        <is>
          <t>m2</t>
        </is>
      </c>
      <c r="G405" s="222" t="n">
        <v>122.4</v>
      </c>
      <c r="H405" s="223" t="n">
        <v>122.4</v>
      </c>
      <c r="I405" s="230" t="n">
        <v>122.4</v>
      </c>
      <c r="J405" s="223">
        <f>H405-G405</f>
        <v/>
      </c>
      <c r="K405" s="223">
        <f>I405-G405</f>
        <v/>
      </c>
      <c r="L405" s="223">
        <f>+I405-H405</f>
        <v/>
      </c>
      <c r="M405" s="224">
        <f>J405/G405</f>
        <v/>
      </c>
      <c r="N405" s="222" t="n">
        <v>127.13</v>
      </c>
      <c r="O405" s="222" t="n">
        <v>53.7</v>
      </c>
      <c r="P405" s="224">
        <f>(N405-O405)/O405</f>
        <v/>
      </c>
      <c r="Q405" s="223">
        <f>O405*0.9056*0.85</f>
        <v/>
      </c>
      <c r="R405" s="223">
        <f>O405*1.15</f>
        <v/>
      </c>
      <c r="S405" s="223">
        <f>IF(N405&lt;O405*0.9056*0.85,O405*0.9056*0.85,IF(N405&gt;O405*1.15,O405*1.15,N405))</f>
        <v/>
      </c>
      <c r="T405" s="223">
        <f>+G405*N405</f>
        <v/>
      </c>
      <c r="U405" s="223">
        <f>T405+S405*J405</f>
        <v/>
      </c>
      <c r="V405" s="230">
        <f>T405+S405*K405</f>
        <v/>
      </c>
      <c r="W405" s="223">
        <f>V405-T405</f>
        <v/>
      </c>
      <c r="X405" s="230">
        <f>+V405-U405</f>
        <v/>
      </c>
      <c r="Y405" s="231">
        <f>+V405-U405</f>
        <v/>
      </c>
      <c r="Z405" s="222" t="n"/>
      <c r="AA405" s="222" t="n"/>
      <c r="AB405" s="222" t="n"/>
      <c r="AC405" s="222" t="n"/>
      <c r="AD405" s="222" t="n"/>
      <c r="AE405" s="222" t="n"/>
      <c r="AF405" s="222" t="n"/>
      <c r="AG405" s="222" t="n"/>
      <c r="AH405" s="222" t="n"/>
      <c r="AI405" s="222" t="n"/>
      <c r="AJ405" s="222" t="n"/>
    </row>
    <row r="406" ht="28.5" customHeight="1" s="166">
      <c r="A406" s="222" t="n"/>
      <c r="B406" s="222" t="inlineStr">
        <is>
          <t>教学楼</t>
        </is>
      </c>
      <c r="C406" s="222" t="inlineStr">
        <is>
          <t>011406001008</t>
        </is>
      </c>
      <c r="D406" s="222" t="inlineStr">
        <is>
          <t>抹灰面油漆（顶5）</t>
        </is>
      </c>
      <c r="E406" s="222" t="inlineStr">
        <is>
          <t>1.耐水防霉白色腻子两遍</t>
        </is>
      </c>
      <c r="F406" s="222" t="inlineStr">
        <is>
          <t>m2</t>
        </is>
      </c>
      <c r="G406" s="222" t="n">
        <v>3599.223</v>
      </c>
      <c r="H406" s="223" t="n">
        <v>5402.28</v>
      </c>
      <c r="I406" s="230" t="n">
        <v>5402.28</v>
      </c>
      <c r="J406" s="223">
        <f>H406-G406</f>
        <v/>
      </c>
      <c r="K406" s="223">
        <f>I406-G406</f>
        <v/>
      </c>
      <c r="L406" s="223">
        <f>+I406-H406</f>
        <v/>
      </c>
      <c r="M406" s="224">
        <f>J406/G406</f>
        <v/>
      </c>
      <c r="N406" s="222" t="n">
        <v>19.62</v>
      </c>
      <c r="O406" s="222" t="n">
        <v>21.48</v>
      </c>
      <c r="P406" s="224">
        <f>(N406-O406)/O406</f>
        <v/>
      </c>
      <c r="Q406" s="223">
        <f>O406*0.9056*0.85</f>
        <v/>
      </c>
      <c r="R406" s="223">
        <f>O406*1.15</f>
        <v/>
      </c>
      <c r="S406" s="223">
        <f>IF(N406&lt;O406*0.9056*0.85,O406*0.9056*0.85,IF(N406&gt;O406*1.15,O406*1.15,N406))</f>
        <v/>
      </c>
      <c r="T406" s="223">
        <f>+G406*N406</f>
        <v/>
      </c>
      <c r="U406" s="223">
        <f>T406+S406*J406</f>
        <v/>
      </c>
      <c r="V406" s="230">
        <f>T406+S406*K406</f>
        <v/>
      </c>
      <c r="W406" s="223">
        <f>V406-T406</f>
        <v/>
      </c>
      <c r="X406" s="230">
        <f>+V406-U406</f>
        <v/>
      </c>
      <c r="Y406" s="231">
        <f>+V406-U406</f>
        <v/>
      </c>
      <c r="Z406" s="222" t="n"/>
      <c r="AA406" s="222" t="n"/>
      <c r="AB406" s="222" t="n"/>
      <c r="AC406" s="222" t="n"/>
      <c r="AD406" s="222" t="n"/>
      <c r="AE406" s="222" t="n"/>
      <c r="AF406" s="222" t="n"/>
      <c r="AG406" s="222" t="n"/>
      <c r="AH406" s="222" t="n"/>
      <c r="AI406" s="222" t="n"/>
      <c r="AJ406" s="222" t="n"/>
    </row>
    <row r="407" ht="41.25" customHeight="1" s="166">
      <c r="A407" s="222" t="n"/>
      <c r="B407" s="222" t="inlineStr">
        <is>
          <t>教学楼</t>
        </is>
      </c>
      <c r="C407" s="222" t="inlineStr">
        <is>
          <t>011302002001</t>
        </is>
      </c>
      <c r="D407" s="222" t="inlineStr">
        <is>
          <t>格栅吊顶</t>
        </is>
      </c>
      <c r="E407" s="222" t="inlineStr">
        <is>
          <t>1.50*100*1.0铝方管格栅天花(木纹转印)
2.做法详见图纸</t>
        </is>
      </c>
      <c r="F407" s="222" t="inlineStr">
        <is>
          <t>m2</t>
        </is>
      </c>
      <c r="G407" s="222" t="n">
        <v>22.36</v>
      </c>
      <c r="H407" s="223" t="n">
        <v>22.36</v>
      </c>
      <c r="I407" s="230" t="n">
        <v>22.36</v>
      </c>
      <c r="J407" s="223">
        <f>H407-G407</f>
        <v/>
      </c>
      <c r="K407" s="223">
        <f>I407-G407</f>
        <v/>
      </c>
      <c r="L407" s="223">
        <f>+I407-H407</f>
        <v/>
      </c>
      <c r="M407" s="224">
        <f>J407/G407</f>
        <v/>
      </c>
      <c r="N407" s="222" t="n">
        <v>203.6</v>
      </c>
      <c r="O407" s="222" t="n">
        <v>174.62</v>
      </c>
      <c r="P407" s="224">
        <f>(N407-O407)/O407</f>
        <v/>
      </c>
      <c r="Q407" s="223">
        <f>O407*0.9056*0.85</f>
        <v/>
      </c>
      <c r="R407" s="223">
        <f>O407*1.15</f>
        <v/>
      </c>
      <c r="S407" s="223">
        <f>IF(N407&lt;O407*0.9056*0.85,O407*0.9056*0.85,IF(N407&gt;O407*1.15,O407*1.15,N407))</f>
        <v/>
      </c>
      <c r="T407" s="223">
        <f>+G407*N407</f>
        <v/>
      </c>
      <c r="U407" s="223">
        <f>T407+S407*J407</f>
        <v/>
      </c>
      <c r="V407" s="230">
        <f>T407+S407*K407</f>
        <v/>
      </c>
      <c r="W407" s="223">
        <f>V407-T407</f>
        <v/>
      </c>
      <c r="X407" s="230">
        <f>+V407-U407</f>
        <v/>
      </c>
      <c r="Y407" s="231">
        <f>+V407-U407</f>
        <v/>
      </c>
      <c r="Z407" s="222" t="n"/>
      <c r="AA407" s="222" t="n"/>
      <c r="AB407" s="222" t="n"/>
      <c r="AC407" s="222" t="n"/>
      <c r="AD407" s="222" t="n"/>
      <c r="AE407" s="222" t="n"/>
      <c r="AF407" s="222" t="n"/>
      <c r="AG407" s="222" t="n"/>
      <c r="AH407" s="222" t="n"/>
      <c r="AI407" s="222" t="n"/>
      <c r="AJ407" s="222" t="n"/>
    </row>
    <row r="408" ht="92.25" customHeight="1" s="166">
      <c r="A408" s="222" t="n"/>
      <c r="B408" s="222" t="inlineStr">
        <is>
          <t>教学楼</t>
        </is>
      </c>
      <c r="C408" s="222" t="inlineStr">
        <is>
          <t>011302001007</t>
        </is>
      </c>
      <c r="D408" s="222" t="inlineStr">
        <is>
          <t>吊顶天棚</t>
        </is>
      </c>
      <c r="E408" s="222" t="inlineStr">
        <is>
          <t>1.装配式U型轻钢天棚龙骨(不上人型)面层规格(mm)600×600跌级
2.9mm胶合板基层
3.8MM厚硅钙板天花面层
4.加强型腻子找平层5厚
5.无机涂料,三遍成活</t>
        </is>
      </c>
      <c r="F408" s="222" t="inlineStr">
        <is>
          <t>m2</t>
        </is>
      </c>
      <c r="G408" s="222" t="n">
        <v>92.34</v>
      </c>
      <c r="H408" s="223" t="n">
        <v>103.1</v>
      </c>
      <c r="I408" s="230" t="n">
        <v>103.1</v>
      </c>
      <c r="J408" s="223">
        <f>H408-G408</f>
        <v/>
      </c>
      <c r="K408" s="223">
        <f>I408-G408</f>
        <v/>
      </c>
      <c r="L408" s="223">
        <f>+I408-H408</f>
        <v/>
      </c>
      <c r="M408" s="224">
        <f>J408/G408</f>
        <v/>
      </c>
      <c r="N408" s="222" t="n">
        <v>173.89</v>
      </c>
      <c r="O408" s="222" t="n">
        <v>176.34</v>
      </c>
      <c r="P408" s="224">
        <f>(N408-O408)/O408</f>
        <v/>
      </c>
      <c r="Q408" s="223">
        <f>O408*0.9056*0.85</f>
        <v/>
      </c>
      <c r="R408" s="223">
        <f>O408*1.15</f>
        <v/>
      </c>
      <c r="S408" s="223">
        <f>IF(N408&lt;O408*0.9056*0.85,O408*0.9056*0.85,IF(N408&gt;O408*1.15,O408*1.15,N408))</f>
        <v/>
      </c>
      <c r="T408" s="223">
        <f>+G408*N408</f>
        <v/>
      </c>
      <c r="U408" s="223">
        <f>T408+S408*J408</f>
        <v/>
      </c>
      <c r="V408" s="230">
        <f>T408+S408*K408</f>
        <v/>
      </c>
      <c r="W408" s="223">
        <f>V408-T408</f>
        <v/>
      </c>
      <c r="X408" s="230">
        <f>+V408-U408</f>
        <v/>
      </c>
      <c r="Y408" s="231">
        <f>+V408-U408</f>
        <v/>
      </c>
      <c r="Z408" s="222" t="n"/>
      <c r="AA408" s="222" t="n"/>
      <c r="AB408" s="222" t="n"/>
      <c r="AC408" s="222" t="n"/>
      <c r="AD408" s="222" t="n"/>
      <c r="AE408" s="222" t="n"/>
      <c r="AF408" s="222" t="n"/>
      <c r="AG408" s="222" t="n"/>
      <c r="AH408" s="222" t="n"/>
      <c r="AI408" s="222" t="n"/>
      <c r="AJ408" s="222" t="n"/>
    </row>
    <row r="409" ht="28.5" customHeight="1" s="166">
      <c r="A409" s="222" t="n"/>
      <c r="B409" s="222" t="inlineStr">
        <is>
          <t>教学楼</t>
        </is>
      </c>
      <c r="C409" s="222" t="n"/>
      <c r="D409" s="222" t="inlineStr">
        <is>
          <t>其他装饰工程</t>
        </is>
      </c>
      <c r="E409" s="222" t="n"/>
      <c r="F409" s="222" t="n"/>
      <c r="G409" s="222" t="n"/>
      <c r="H409" s="223" t="n"/>
      <c r="I409" s="229" t="n"/>
      <c r="J409" s="223" t="n"/>
      <c r="K409" s="223" t="n"/>
      <c r="L409" s="223" t="n"/>
      <c r="M409" s="224" t="n"/>
      <c r="N409" s="222" t="n"/>
      <c r="O409" s="222" t="n"/>
      <c r="P409" s="222" t="n"/>
      <c r="Q409" s="222" t="n"/>
      <c r="R409" s="222" t="n"/>
      <c r="S409" s="223" t="n"/>
      <c r="T409" s="223">
        <f>+SUM(T410:T427)</f>
        <v/>
      </c>
      <c r="U409" s="223">
        <f>+SUM(U410:U427)</f>
        <v/>
      </c>
      <c r="V409" s="230">
        <f>SUM(V410:V427)</f>
        <v/>
      </c>
      <c r="W409" s="223">
        <f>V409-T409</f>
        <v/>
      </c>
      <c r="X409" s="230">
        <f>+V409-U409</f>
        <v/>
      </c>
      <c r="Y409" s="231">
        <f>V409-U409</f>
        <v/>
      </c>
      <c r="Z409" s="222" t="n"/>
      <c r="AA409" s="222" t="n"/>
      <c r="AB409" s="222" t="n"/>
      <c r="AC409" s="222" t="n"/>
      <c r="AD409" s="222" t="n"/>
      <c r="AE409" s="222" t="n"/>
      <c r="AF409" s="222" t="n"/>
      <c r="AG409" s="222" t="n"/>
      <c r="AH409" s="222" t="n"/>
      <c r="AI409" s="222" t="n"/>
      <c r="AJ409" s="222" t="n"/>
    </row>
    <row r="410" ht="95" customHeight="1" s="166">
      <c r="A410" s="222" t="n"/>
      <c r="B410" s="222" t="inlineStr">
        <is>
          <t>教学楼</t>
        </is>
      </c>
      <c r="C410" s="222" t="inlineStr">
        <is>
          <t>011503001007</t>
        </is>
      </c>
      <c r="D410" s="222" t="inlineStr">
        <is>
          <t>金属扶手、栏杆、栏板</t>
        </is>
      </c>
      <c r="E410" s="222" t="inlineStr">
        <is>
          <t>1.名称:不锈钢护窗栏杆H=900mm
2.上扶手:Φ60x2.5不锈钢管
3.栏杆:Φ30x2.0不锈钢管
4.含热镀锌预埋件及螺栓</t>
        </is>
      </c>
      <c r="F410" s="222" t="inlineStr">
        <is>
          <t>m</t>
        </is>
      </c>
      <c r="G410" s="222" t="n">
        <v>182.16</v>
      </c>
      <c r="H410" s="223" t="n">
        <v>224.19</v>
      </c>
      <c r="I410" s="230" t="n">
        <v>194.56</v>
      </c>
      <c r="J410" s="223">
        <f>H410-G410</f>
        <v/>
      </c>
      <c r="K410" s="223">
        <f>I410-G410</f>
        <v/>
      </c>
      <c r="L410" s="223">
        <f>+I410-H410</f>
        <v/>
      </c>
      <c r="M410" s="224">
        <f>J410/G410</f>
        <v/>
      </c>
      <c r="N410" s="222" t="n">
        <v>527.8</v>
      </c>
      <c r="O410" s="222" t="n">
        <v>781.46</v>
      </c>
      <c r="P410" s="224">
        <f>(N410-O410)/O410</f>
        <v/>
      </c>
      <c r="Q410" s="223">
        <f>O410*0.9056*0.85</f>
        <v/>
      </c>
      <c r="R410" s="223">
        <f>O410*1.15</f>
        <v/>
      </c>
      <c r="S410" s="223">
        <f>IF(N410&lt;O410*0.9056*0.85,O410*0.9056*0.85,IF(N410&gt;O410*1.15,O410*1.15,N410))</f>
        <v/>
      </c>
      <c r="T410" s="223">
        <f>+G410*N410</f>
        <v/>
      </c>
      <c r="U410" s="223">
        <f>T410+S410*J410</f>
        <v/>
      </c>
      <c r="V410" s="230">
        <f>T410+S410*K410</f>
        <v/>
      </c>
      <c r="W410" s="223">
        <f>V410-T410</f>
        <v/>
      </c>
      <c r="X410" s="230">
        <f>+V410-U410</f>
        <v/>
      </c>
      <c r="Y410" s="231">
        <f>+V410-U410</f>
        <v/>
      </c>
      <c r="Z410" s="222" t="n"/>
      <c r="AA410" s="222" t="n"/>
      <c r="AB410" s="222" t="n"/>
      <c r="AC410" s="222" t="n"/>
      <c r="AD410" s="222" t="n"/>
      <c r="AE410" s="222" t="n"/>
      <c r="AF410" s="222" t="n"/>
      <c r="AG410" s="222" t="n"/>
      <c r="AH410" s="222" t="n"/>
      <c r="AI410" s="222" t="n"/>
      <c r="AJ410" s="222" t="n"/>
    </row>
    <row r="411" ht="78" customHeight="1" s="166">
      <c r="A411" s="222" t="n"/>
      <c r="B411" s="222" t="inlineStr">
        <is>
          <t>教学楼</t>
        </is>
      </c>
      <c r="C411" s="222" t="inlineStr">
        <is>
          <t>011503001003</t>
        </is>
      </c>
      <c r="D411" s="222" t="inlineStr">
        <is>
          <t>金属扶手、栏杆、栏板</t>
        </is>
      </c>
      <c r="E411" s="222" t="inlineStr">
        <is>
          <t>1.名称:不锈钢楼梯栏杆H=1200mm
2.上扶手:Φ60x3.0不锈钢管
3.栏杆:Φ28x1.2不锈钢管
4.含热镀锌预埋件及螺栓
5.做法参照国标15J403-1</t>
        </is>
      </c>
      <c r="F411" s="222" t="inlineStr">
        <is>
          <t>m</t>
        </is>
      </c>
      <c r="G411" s="222" t="n">
        <v>153.8</v>
      </c>
      <c r="H411" s="223" t="n">
        <v>159.85</v>
      </c>
      <c r="I411" s="230" t="n">
        <v>159.85</v>
      </c>
      <c r="J411" s="223">
        <f>H411-G411</f>
        <v/>
      </c>
      <c r="K411" s="223">
        <f>I411-G411</f>
        <v/>
      </c>
      <c r="L411" s="223">
        <f>+I411-H411</f>
        <v/>
      </c>
      <c r="M411" s="224">
        <f>J411/G411</f>
        <v/>
      </c>
      <c r="N411" s="222" t="n">
        <v>508.12</v>
      </c>
      <c r="O411" s="222" t="n">
        <v>816.95</v>
      </c>
      <c r="P411" s="224">
        <f>(N411-O411)/O411</f>
        <v/>
      </c>
      <c r="Q411" s="223">
        <f>O411*0.9056*0.85</f>
        <v/>
      </c>
      <c r="R411" s="223">
        <f>O411*1.15</f>
        <v/>
      </c>
      <c r="S411" s="223">
        <f>IF(N411&lt;O411*0.9056*0.85,O411*0.9056*0.85,IF(N411&gt;O411*1.15,O411*1.15,N411))</f>
        <v/>
      </c>
      <c r="T411" s="223">
        <f>+G411*N411</f>
        <v/>
      </c>
      <c r="U411" s="223">
        <f>T411+S411*J411</f>
        <v/>
      </c>
      <c r="V411" s="230">
        <f>T411+S411*K411</f>
        <v/>
      </c>
      <c r="W411" s="223">
        <f>V411-T411</f>
        <v/>
      </c>
      <c r="X411" s="230">
        <f>+V411-U411</f>
        <v/>
      </c>
      <c r="Y411" s="231">
        <f>+V411-U411</f>
        <v/>
      </c>
      <c r="Z411" s="222" t="n"/>
      <c r="AA411" s="222" t="n"/>
      <c r="AB411" s="222" t="n"/>
      <c r="AC411" s="222" t="n"/>
      <c r="AD411" s="222" t="n"/>
      <c r="AE411" s="222" t="n"/>
      <c r="AF411" s="222" t="n"/>
      <c r="AG411" s="222" t="n"/>
      <c r="AH411" s="222" t="n"/>
      <c r="AI411" s="222" t="n"/>
      <c r="AJ411" s="222" t="n"/>
    </row>
    <row r="412" ht="77" customHeight="1" s="166">
      <c r="A412" s="222" t="n"/>
      <c r="B412" s="222" t="inlineStr">
        <is>
          <t>教学楼</t>
        </is>
      </c>
      <c r="C412" s="222" t="inlineStr">
        <is>
          <t>011503001009</t>
        </is>
      </c>
      <c r="D412" s="222" t="inlineStr">
        <is>
          <t>金属扶手、栏杆、栏板</t>
        </is>
      </c>
      <c r="E412" s="222" t="inlineStr">
        <is>
          <t>1.名称:走廊拉丝不锈钢烤漆栏杆H=1200mm
2.上扶手:Φ60x3.0不锈钢管
3.栏杆:Φ28x1.2不锈钢管
4.含热镀锌预埋件及螺栓
5.做法参照国标15J403-1</t>
        </is>
      </c>
      <c r="F412" s="222" t="inlineStr">
        <is>
          <t>m</t>
        </is>
      </c>
      <c r="G412" s="222" t="n">
        <v>429.913</v>
      </c>
      <c r="H412" s="223" t="n">
        <v>442.35</v>
      </c>
      <c r="I412" s="230" t="n">
        <v>442.35</v>
      </c>
      <c r="J412" s="223">
        <f>H412-G412</f>
        <v/>
      </c>
      <c r="K412" s="223">
        <f>I412-G412</f>
        <v/>
      </c>
      <c r="L412" s="223">
        <f>+I412-H412</f>
        <v/>
      </c>
      <c r="M412" s="224">
        <f>J412/G412</f>
        <v/>
      </c>
      <c r="N412" s="222" t="n">
        <v>618.48</v>
      </c>
      <c r="O412" s="222" t="n">
        <v>849.58</v>
      </c>
      <c r="P412" s="224">
        <f>(N412-O412)/O412</f>
        <v/>
      </c>
      <c r="Q412" s="223">
        <f>O412*0.9056*0.85</f>
        <v/>
      </c>
      <c r="R412" s="223">
        <f>O412*1.15</f>
        <v/>
      </c>
      <c r="S412" s="223">
        <f>IF(N412&lt;O412*0.9056*0.85,O412*0.9056*0.85,IF(N412&gt;O412*1.15,O412*1.15,N412))</f>
        <v/>
      </c>
      <c r="T412" s="223">
        <f>+G412*N412</f>
        <v/>
      </c>
      <c r="U412" s="223">
        <f>T412+S412*J412</f>
        <v/>
      </c>
      <c r="V412" s="230">
        <f>T412+S412*K412</f>
        <v/>
      </c>
      <c r="W412" s="223">
        <f>V412-T412</f>
        <v/>
      </c>
      <c r="X412" s="230">
        <f>+V412-U412</f>
        <v/>
      </c>
      <c r="Y412" s="231">
        <f>+V412-U412</f>
        <v/>
      </c>
      <c r="Z412" s="222" t="n"/>
      <c r="AA412" s="222" t="n"/>
      <c r="AB412" s="222" t="n"/>
      <c r="AC412" s="222" t="n"/>
      <c r="AD412" s="222" t="n"/>
      <c r="AE412" s="222" t="n"/>
      <c r="AF412" s="222" t="n"/>
      <c r="AG412" s="222" t="n"/>
      <c r="AH412" s="222" t="n"/>
      <c r="AI412" s="222" t="n"/>
      <c r="AJ412" s="222" t="n"/>
    </row>
    <row r="413" ht="54" customHeight="1" s="166">
      <c r="A413" s="222" t="n"/>
      <c r="B413" s="222" t="inlineStr">
        <is>
          <t>教学楼</t>
        </is>
      </c>
      <c r="C413" s="222" t="inlineStr">
        <is>
          <t>011503008001</t>
        </is>
      </c>
      <c r="D413" s="222" t="inlineStr">
        <is>
          <t>玻璃栏板</t>
        </is>
      </c>
      <c r="E413" s="222" t="inlineStr">
        <is>
          <t>1.不锈钢立柱玻璃栏板
2.H=1250mm
3.不锈钢扶手Φ50x3.0直型
4.做法参照国标15J403-1</t>
        </is>
      </c>
      <c r="F413" s="222" t="inlineStr">
        <is>
          <t>m</t>
        </is>
      </c>
      <c r="G413" s="222" t="n">
        <v>25.228</v>
      </c>
      <c r="H413" s="223" t="n">
        <v>25.23</v>
      </c>
      <c r="I413" s="230" t="n">
        <v>25.23</v>
      </c>
      <c r="J413" s="223">
        <f>H413-G413</f>
        <v/>
      </c>
      <c r="K413" s="223">
        <f>I413-G413</f>
        <v/>
      </c>
      <c r="L413" s="223">
        <f>+I413-H413</f>
        <v/>
      </c>
      <c r="M413" s="224">
        <f>J413/G413</f>
        <v/>
      </c>
      <c r="N413" s="222" t="n">
        <v>895.61</v>
      </c>
      <c r="O413" s="222" t="n">
        <v>1040.81</v>
      </c>
      <c r="P413" s="224">
        <f>(N413-O413)/O413</f>
        <v/>
      </c>
      <c r="Q413" s="223">
        <f>O413*0.9056*0.85</f>
        <v/>
      </c>
      <c r="R413" s="223">
        <f>O413*1.15</f>
        <v/>
      </c>
      <c r="S413" s="223">
        <f>IF(N413&lt;O413*0.9056*0.85,O413*0.9056*0.85,IF(N413&gt;O413*1.15,O413*1.15,N413))</f>
        <v/>
      </c>
      <c r="T413" s="223">
        <f>+G413*N413</f>
        <v/>
      </c>
      <c r="U413" s="223">
        <f>T413+S413*J413</f>
        <v/>
      </c>
      <c r="V413" s="230">
        <f>T413+S413*K413</f>
        <v/>
      </c>
      <c r="W413" s="223">
        <f>V413-T413</f>
        <v/>
      </c>
      <c r="X413" s="230">
        <f>+V413-U413</f>
        <v/>
      </c>
      <c r="Y413" s="231">
        <f>+V413-U413</f>
        <v/>
      </c>
      <c r="Z413" s="222" t="n"/>
      <c r="AA413" s="222" t="n"/>
      <c r="AB413" s="222" t="n"/>
      <c r="AC413" s="222" t="n"/>
      <c r="AD413" s="222" t="n"/>
      <c r="AE413" s="222" t="n"/>
      <c r="AF413" s="222" t="n"/>
      <c r="AG413" s="222" t="n"/>
      <c r="AH413" s="222" t="n"/>
      <c r="AI413" s="222" t="n"/>
      <c r="AJ413" s="222" t="n"/>
    </row>
    <row r="414" ht="78" customHeight="1" s="166">
      <c r="A414" s="222" t="n"/>
      <c r="B414" s="222" t="inlineStr">
        <is>
          <t>教学楼</t>
        </is>
      </c>
      <c r="C414" s="222" t="inlineStr">
        <is>
          <t>011503005001</t>
        </is>
      </c>
      <c r="D414" s="222" t="inlineStr">
        <is>
          <t>金属靠墙扶手</t>
        </is>
      </c>
      <c r="E414" s="222" t="inlineStr">
        <is>
          <t>1.楼梯靠墙扶手
2.Φ60x2不锈钢管靠墙扶手
3.做法参照国标15J403-1</t>
        </is>
      </c>
      <c r="F414" s="222" t="inlineStr">
        <is>
          <t>m</t>
        </is>
      </c>
      <c r="G414" s="222" t="n">
        <v>175.552</v>
      </c>
      <c r="H414" s="223" t="n">
        <v>187.84</v>
      </c>
      <c r="I414" s="230" t="n">
        <v>187.84</v>
      </c>
      <c r="J414" s="223">
        <f>H414-G414</f>
        <v/>
      </c>
      <c r="K414" s="223">
        <f>I414-G414</f>
        <v/>
      </c>
      <c r="L414" s="223">
        <f>+I414-H414</f>
        <v/>
      </c>
      <c r="M414" s="224">
        <f>J414/G414</f>
        <v/>
      </c>
      <c r="N414" s="222" t="n">
        <v>473.06</v>
      </c>
      <c r="O414" s="222" t="n">
        <v>331.37</v>
      </c>
      <c r="P414" s="224">
        <f>(N414-O414)/O414</f>
        <v/>
      </c>
      <c r="Q414" s="223">
        <f>O414*0.9056*0.85</f>
        <v/>
      </c>
      <c r="R414" s="223">
        <f>O414*1.15</f>
        <v/>
      </c>
      <c r="S414" s="223">
        <f>IF(N414&lt;O414*0.9056*0.85,O414*0.9056*0.85,IF(N414&gt;O414*1.15,O414*1.15,N414))</f>
        <v/>
      </c>
      <c r="T414" s="223">
        <f>+G414*N414</f>
        <v/>
      </c>
      <c r="U414" s="223">
        <f>T414+S414*J414</f>
        <v/>
      </c>
      <c r="V414" s="230">
        <f>T414+S414*K414</f>
        <v/>
      </c>
      <c r="W414" s="223">
        <f>V414-T414</f>
        <v/>
      </c>
      <c r="X414" s="230">
        <f>+V414-U414</f>
        <v/>
      </c>
      <c r="Y414" s="231">
        <f>+V414-U414</f>
        <v/>
      </c>
      <c r="Z414" s="222" t="n"/>
      <c r="AA414" s="222" t="n"/>
      <c r="AB414" s="222" t="n"/>
      <c r="AC414" s="222" t="n"/>
      <c r="AD414" s="222" t="n"/>
      <c r="AE414" s="222" t="n"/>
      <c r="AF414" s="222" t="n"/>
      <c r="AG414" s="222" t="n"/>
      <c r="AH414" s="222" t="n"/>
      <c r="AI414" s="222" t="n"/>
      <c r="AJ414" s="222" t="n"/>
    </row>
    <row r="415" ht="41.25" customHeight="1" s="166">
      <c r="A415" s="222" t="n"/>
      <c r="B415" s="222" t="inlineStr">
        <is>
          <t>教学楼</t>
        </is>
      </c>
      <c r="C415" s="222" t="inlineStr">
        <is>
          <t>011503005003</t>
        </is>
      </c>
      <c r="D415" s="222" t="inlineStr">
        <is>
          <t>金属靠墙扶手</t>
        </is>
      </c>
      <c r="E415" s="222" t="inlineStr">
        <is>
          <t>1.卫生间无障碍扶手
2.Φ40x1.5不锈钢管靠墙扶手</t>
        </is>
      </c>
      <c r="F415" s="222" t="inlineStr">
        <is>
          <t>m</t>
        </is>
      </c>
      <c r="G415" s="222" t="n">
        <v>6.7</v>
      </c>
      <c r="H415" s="223" t="n">
        <v>6.7</v>
      </c>
      <c r="I415" s="230" t="n">
        <v>6.7</v>
      </c>
      <c r="J415" s="223">
        <f>H415-G415</f>
        <v/>
      </c>
      <c r="K415" s="223">
        <f>I415-G415</f>
        <v/>
      </c>
      <c r="L415" s="223">
        <f>+I415-H415</f>
        <v/>
      </c>
      <c r="M415" s="224">
        <f>J415/G415</f>
        <v/>
      </c>
      <c r="N415" s="222" t="n">
        <v>468.51</v>
      </c>
      <c r="O415" s="222" t="n">
        <v>272</v>
      </c>
      <c r="P415" s="224">
        <f>(N415-O415)/O415</f>
        <v/>
      </c>
      <c r="Q415" s="223">
        <f>O415*0.9056*0.85</f>
        <v/>
      </c>
      <c r="R415" s="223">
        <f>O415*1.15</f>
        <v/>
      </c>
      <c r="S415" s="223">
        <f>IF(N415&lt;O415*0.9056*0.85,O415*0.9056*0.85,IF(N415&gt;O415*1.15,O415*1.15,N415))</f>
        <v/>
      </c>
      <c r="T415" s="223">
        <f>+G415*N415</f>
        <v/>
      </c>
      <c r="U415" s="223">
        <f>T415+S415*J415</f>
        <v/>
      </c>
      <c r="V415" s="230">
        <f>T415+S415*K415</f>
        <v/>
      </c>
      <c r="W415" s="223">
        <f>V415-T415</f>
        <v/>
      </c>
      <c r="X415" s="230">
        <f>+V415-U415</f>
        <v/>
      </c>
      <c r="Y415" s="231">
        <f>+V415-U415</f>
        <v/>
      </c>
      <c r="Z415" s="222" t="n"/>
      <c r="AA415" s="222" t="n"/>
      <c r="AB415" s="222" t="n"/>
      <c r="AC415" s="222" t="n"/>
      <c r="AD415" s="222" t="n"/>
      <c r="AE415" s="222" t="n"/>
      <c r="AF415" s="222" t="n"/>
      <c r="AG415" s="222" t="n"/>
      <c r="AH415" s="222" t="n"/>
      <c r="AI415" s="222" t="n"/>
      <c r="AJ415" s="222" t="n"/>
    </row>
    <row r="416" ht="41.25" customHeight="1" s="166">
      <c r="A416" s="222" t="n"/>
      <c r="B416" s="222" t="inlineStr">
        <is>
          <t>教学楼</t>
        </is>
      </c>
      <c r="C416" s="222" t="inlineStr">
        <is>
          <t>011210005001</t>
        </is>
      </c>
      <c r="D416" s="222" t="inlineStr">
        <is>
          <t>成品隔断</t>
        </is>
      </c>
      <c r="E416" s="222" t="inlineStr">
        <is>
          <t>1.卫生间成品抗培特饰面隔断
2.其他详见图纸</t>
        </is>
      </c>
      <c r="F416" s="222" t="inlineStr">
        <is>
          <t>m2</t>
        </is>
      </c>
      <c r="G416" s="222" t="n">
        <v>516.3150000000001</v>
      </c>
      <c r="H416" s="223" t="n">
        <v>516.3200000000001</v>
      </c>
      <c r="I416" s="230" t="n">
        <v>516.3200000000001</v>
      </c>
      <c r="J416" s="223">
        <f>H416-G416</f>
        <v/>
      </c>
      <c r="K416" s="223">
        <f>I416-G416</f>
        <v/>
      </c>
      <c r="L416" s="223">
        <f>+I416-H416</f>
        <v/>
      </c>
      <c r="M416" s="224">
        <f>J416/G416</f>
        <v/>
      </c>
      <c r="N416" s="222" t="n">
        <v>205.48</v>
      </c>
      <c r="O416" s="222" t="n">
        <v>308.59</v>
      </c>
      <c r="P416" s="224">
        <f>(N416-O416)/O416</f>
        <v/>
      </c>
      <c r="Q416" s="223">
        <f>O416*0.9056*0.85</f>
        <v/>
      </c>
      <c r="R416" s="223">
        <f>O416*1.15</f>
        <v/>
      </c>
      <c r="S416" s="223">
        <f>IF(N416&lt;O416*0.9056*0.85,O416*0.9056*0.85,IF(N416&gt;O416*1.15,O416*1.15,N416))</f>
        <v/>
      </c>
      <c r="T416" s="223">
        <f>+G416*N416</f>
        <v/>
      </c>
      <c r="U416" s="223">
        <f>T416+S416*J416</f>
        <v/>
      </c>
      <c r="V416" s="230">
        <f>T416+S416*K416</f>
        <v/>
      </c>
      <c r="W416" s="223">
        <f>V416-T416</f>
        <v/>
      </c>
      <c r="X416" s="230">
        <f>+V416-U416</f>
        <v/>
      </c>
      <c r="Y416" s="231">
        <f>+V416-U416</f>
        <v/>
      </c>
      <c r="Z416" s="222" t="n"/>
      <c r="AA416" s="222" t="n"/>
      <c r="AB416" s="222" t="n"/>
      <c r="AC416" s="222" t="n"/>
      <c r="AD416" s="222" t="n"/>
      <c r="AE416" s="222" t="n"/>
      <c r="AF416" s="222" t="n"/>
      <c r="AG416" s="222" t="n"/>
      <c r="AH416" s="222" t="n"/>
      <c r="AI416" s="222" t="n"/>
      <c r="AJ416" s="222" t="n"/>
    </row>
    <row r="417" ht="79.5" customHeight="1" s="166">
      <c r="A417" s="222" t="n"/>
      <c r="B417" s="222" t="inlineStr">
        <is>
          <t>教学楼</t>
        </is>
      </c>
      <c r="C417" s="222" t="inlineStr">
        <is>
          <t>011505001002</t>
        </is>
      </c>
      <c r="D417" s="222" t="inlineStr">
        <is>
          <t>洗漱台</t>
        </is>
      </c>
      <c r="E417" s="222" t="inlineStr">
        <is>
          <t>1.20mm厚国产金沙黑洗漱台（洗手台）L40*4镀锌角钢底架
2.台面开水龙头孔
3.台面开洗手盆孔
4.石材水磨斜边</t>
        </is>
      </c>
      <c r="F417" s="222" t="inlineStr">
        <is>
          <t>m2</t>
        </is>
      </c>
      <c r="G417" s="222" t="n">
        <v>42.81</v>
      </c>
      <c r="H417" s="223" t="n">
        <v>42.81</v>
      </c>
      <c r="I417" s="230" t="n">
        <v>42.81</v>
      </c>
      <c r="J417" s="223">
        <f>H417-G417</f>
        <v/>
      </c>
      <c r="K417" s="223">
        <f>I417-G417</f>
        <v/>
      </c>
      <c r="L417" s="223">
        <f>+I417-H417</f>
        <v/>
      </c>
      <c r="M417" s="224">
        <f>J417/G417</f>
        <v/>
      </c>
      <c r="N417" s="222" t="n">
        <v>801.02</v>
      </c>
      <c r="O417" s="222" t="n">
        <v>639.0599999999999</v>
      </c>
      <c r="P417" s="224">
        <f>(N417-O417)/O417</f>
        <v/>
      </c>
      <c r="Q417" s="223">
        <f>O417*0.9056*0.85</f>
        <v/>
      </c>
      <c r="R417" s="223">
        <f>O417*1.15</f>
        <v/>
      </c>
      <c r="S417" s="223">
        <f>IF(N417&lt;O417*0.9056*0.85,O417*0.9056*0.85,IF(N417&gt;O417*1.15,O417*1.15,N417))</f>
        <v/>
      </c>
      <c r="T417" s="223">
        <f>+G417*N417</f>
        <v/>
      </c>
      <c r="U417" s="223">
        <f>T417+S417*J417</f>
        <v/>
      </c>
      <c r="V417" s="230">
        <f>T417+S417*K417</f>
        <v/>
      </c>
      <c r="W417" s="223">
        <f>V417-T417</f>
        <v/>
      </c>
      <c r="X417" s="230">
        <f>+V417-U417</f>
        <v/>
      </c>
      <c r="Y417" s="231">
        <f>+V417-U417</f>
        <v/>
      </c>
      <c r="Z417" s="222" t="n"/>
      <c r="AA417" s="222" t="n"/>
      <c r="AB417" s="222" t="n"/>
      <c r="AC417" s="222" t="n"/>
      <c r="AD417" s="222" t="n"/>
      <c r="AE417" s="222" t="n"/>
      <c r="AF417" s="222" t="n"/>
      <c r="AG417" s="222" t="n"/>
      <c r="AH417" s="222" t="n"/>
      <c r="AI417" s="222" t="n"/>
      <c r="AJ417" s="222" t="n"/>
    </row>
    <row r="418" ht="41.25" customHeight="1" s="166">
      <c r="A418" s="222" t="n"/>
      <c r="B418" s="222" t="inlineStr">
        <is>
          <t>教学楼</t>
        </is>
      </c>
      <c r="C418" s="222" t="inlineStr">
        <is>
          <t>011505010001</t>
        </is>
      </c>
      <c r="D418" s="222" t="inlineStr">
        <is>
          <t>镜面玻璃</t>
        </is>
      </c>
      <c r="E418" s="222" t="inlineStr">
        <is>
          <t>1.卫生间镜
2.6mm车边银镜
3.具体做法详见图纸</t>
        </is>
      </c>
      <c r="F418" s="222" t="inlineStr">
        <is>
          <t>m2</t>
        </is>
      </c>
      <c r="G418" s="222" t="n">
        <v>42.24</v>
      </c>
      <c r="H418" s="223" t="n">
        <v>42.24</v>
      </c>
      <c r="I418" s="230" t="n">
        <v>42.24</v>
      </c>
      <c r="J418" s="223">
        <f>H418-G418</f>
        <v/>
      </c>
      <c r="K418" s="223">
        <f>I418-G418</f>
        <v/>
      </c>
      <c r="L418" s="223">
        <f>+I418-H418</f>
        <v/>
      </c>
      <c r="M418" s="224">
        <f>J418/G418</f>
        <v/>
      </c>
      <c r="N418" s="222" t="n">
        <v>328.86</v>
      </c>
      <c r="O418" s="222" t="n">
        <v>295.82</v>
      </c>
      <c r="P418" s="224">
        <f>(N418-O418)/O418</f>
        <v/>
      </c>
      <c r="Q418" s="223">
        <f>O418*0.9056*0.85</f>
        <v/>
      </c>
      <c r="R418" s="223">
        <f>O418*1.15</f>
        <v/>
      </c>
      <c r="S418" s="223">
        <f>IF(N418&lt;O418*0.9056*0.85,O418*0.9056*0.85,IF(N418&gt;O418*1.15,O418*1.15,N418))</f>
        <v/>
      </c>
      <c r="T418" s="223">
        <f>+G418*N418</f>
        <v/>
      </c>
      <c r="U418" s="223">
        <f>T418+S418*J418</f>
        <v/>
      </c>
      <c r="V418" s="230">
        <f>T418+S418*K418</f>
        <v/>
      </c>
      <c r="W418" s="223">
        <f>V418-T418</f>
        <v/>
      </c>
      <c r="X418" s="230">
        <f>+V418-U418</f>
        <v/>
      </c>
      <c r="Y418" s="231">
        <f>+V418-U418</f>
        <v/>
      </c>
      <c r="Z418" s="222" t="n"/>
      <c r="AA418" s="222" t="n"/>
      <c r="AB418" s="222" t="n"/>
      <c r="AC418" s="222" t="n"/>
      <c r="AD418" s="222" t="n"/>
      <c r="AE418" s="222" t="n"/>
      <c r="AF418" s="222" t="n"/>
      <c r="AG418" s="222" t="n"/>
      <c r="AH418" s="222" t="n"/>
      <c r="AI418" s="222" t="n"/>
      <c r="AJ418" s="222" t="n"/>
    </row>
    <row r="419" ht="66.75" customHeight="1" s="166">
      <c r="A419" s="222" t="n"/>
      <c r="B419" s="222" t="inlineStr">
        <is>
          <t>教学楼</t>
        </is>
      </c>
      <c r="C419" s="222" t="inlineStr">
        <is>
          <t>011501001003</t>
        </is>
      </c>
      <c r="D419" s="222" t="inlineStr">
        <is>
          <t>直播台</t>
        </is>
      </c>
      <c r="E419" s="222" t="inlineStr">
        <is>
          <t>1.直播台
2.H=800
3.4MM阻燃夹板底面刮离子灰喷光面漆
4.做法详见设计图纸</t>
        </is>
      </c>
      <c r="F419" s="222" t="inlineStr">
        <is>
          <t>m</t>
        </is>
      </c>
      <c r="G419" s="222" t="n">
        <v>2.77</v>
      </c>
      <c r="H419" s="223" t="n">
        <v>2.77</v>
      </c>
      <c r="I419" s="230" t="n">
        <v>2.77</v>
      </c>
      <c r="J419" s="223">
        <f>H419-G419</f>
        <v/>
      </c>
      <c r="K419" s="223">
        <f>I419-G419</f>
        <v/>
      </c>
      <c r="L419" s="223">
        <f>+I419-H419</f>
        <v/>
      </c>
      <c r="M419" s="224">
        <f>J419/G419</f>
        <v/>
      </c>
      <c r="N419" s="222" t="n">
        <v>1630</v>
      </c>
      <c r="O419" s="222" t="n">
        <v>841.97</v>
      </c>
      <c r="P419" s="224">
        <f>(N419-O419)/O419</f>
        <v/>
      </c>
      <c r="Q419" s="223">
        <f>O419*0.9056*0.85</f>
        <v/>
      </c>
      <c r="R419" s="223">
        <f>O419*1.15</f>
        <v/>
      </c>
      <c r="S419" s="223">
        <f>IF(N419&lt;O419*0.9056*0.85,O419*0.9056*0.85,IF(N419&gt;O419*1.15,O419*1.15,N419))</f>
        <v/>
      </c>
      <c r="T419" s="223">
        <f>+G419*N419</f>
        <v/>
      </c>
      <c r="U419" s="223">
        <f>T419+S419*J419</f>
        <v/>
      </c>
      <c r="V419" s="230">
        <f>T419+S419*K419</f>
        <v/>
      </c>
      <c r="W419" s="223">
        <f>V419-T419</f>
        <v/>
      </c>
      <c r="X419" s="230">
        <f>+V419-U419</f>
        <v/>
      </c>
      <c r="Y419" s="231">
        <f>+V419-U419</f>
        <v/>
      </c>
      <c r="Z419" s="222" t="n"/>
      <c r="AA419" s="222" t="n"/>
      <c r="AB419" s="222" t="n"/>
      <c r="AC419" s="222" t="n"/>
      <c r="AD419" s="222" t="n"/>
      <c r="AE419" s="222" t="n"/>
      <c r="AF419" s="222" t="n"/>
      <c r="AG419" s="222" t="n"/>
      <c r="AH419" s="222" t="n"/>
      <c r="AI419" s="222" t="n"/>
      <c r="AJ419" s="222" t="n"/>
    </row>
    <row r="420" ht="41.25" customHeight="1" s="166">
      <c r="A420" s="222" t="n"/>
      <c r="B420" s="222" t="inlineStr">
        <is>
          <t>教学楼</t>
        </is>
      </c>
      <c r="C420" s="222" t="inlineStr">
        <is>
          <t>011501001005</t>
        </is>
      </c>
      <c r="D420" s="222" t="inlineStr">
        <is>
          <t>洗手柜</t>
        </is>
      </c>
      <c r="E420" s="222" t="inlineStr">
        <is>
          <t>1.4mm蓝色免漆板洗手柜
2.H=650
3.做法详见设计图纸</t>
        </is>
      </c>
      <c r="F420" s="222" t="inlineStr">
        <is>
          <t>m</t>
        </is>
      </c>
      <c r="G420" s="222" t="n">
        <v>12.61</v>
      </c>
      <c r="H420" s="223" t="n">
        <v>12.61</v>
      </c>
      <c r="I420" s="230" t="n">
        <v>12.61</v>
      </c>
      <c r="J420" s="223">
        <f>H420-G420</f>
        <v/>
      </c>
      <c r="K420" s="223">
        <f>I420-G420</f>
        <v/>
      </c>
      <c r="L420" s="223">
        <f>+I420-H420</f>
        <v/>
      </c>
      <c r="M420" s="224">
        <f>J420/G420</f>
        <v/>
      </c>
      <c r="N420" s="222" t="n">
        <v>1030</v>
      </c>
      <c r="O420" s="222" t="n">
        <v>991.97</v>
      </c>
      <c r="P420" s="224">
        <f>(N420-O420)/O420</f>
        <v/>
      </c>
      <c r="Q420" s="223">
        <f>O420*0.9056*0.85</f>
        <v/>
      </c>
      <c r="R420" s="223">
        <f>O420*1.15</f>
        <v/>
      </c>
      <c r="S420" s="223">
        <f>IF(N420&lt;O420*0.9056*0.85,O420*0.9056*0.85,IF(N420&gt;O420*1.15,O420*1.15,N420))</f>
        <v/>
      </c>
      <c r="T420" s="223">
        <f>+G420*N420</f>
        <v/>
      </c>
      <c r="U420" s="223">
        <f>T420+S420*J420</f>
        <v/>
      </c>
      <c r="V420" s="230">
        <f>T420+S420*K420</f>
        <v/>
      </c>
      <c r="W420" s="223">
        <f>V420-T420</f>
        <v/>
      </c>
      <c r="X420" s="230">
        <f>+V420-U420</f>
        <v/>
      </c>
      <c r="Y420" s="231">
        <f>+V420-U420</f>
        <v/>
      </c>
      <c r="Z420" s="222" t="n"/>
      <c r="AA420" s="222" t="n"/>
      <c r="AB420" s="222" t="n"/>
      <c r="AC420" s="222" t="n"/>
      <c r="AD420" s="222" t="n"/>
      <c r="AE420" s="222" t="n"/>
      <c r="AF420" s="222" t="n"/>
      <c r="AG420" s="222" t="n"/>
      <c r="AH420" s="222" t="n"/>
      <c r="AI420" s="222" t="n"/>
      <c r="AJ420" s="222" t="n"/>
    </row>
    <row r="421" ht="41.25" customHeight="1" s="166">
      <c r="A421" s="222" t="n"/>
      <c r="B421" s="222" t="inlineStr">
        <is>
          <t>教学楼</t>
        </is>
      </c>
      <c r="C421" s="222" t="inlineStr">
        <is>
          <t>011501001008</t>
        </is>
      </c>
      <c r="D421" s="222" t="inlineStr">
        <is>
          <t>电脑桌</t>
        </is>
      </c>
      <c r="E421" s="222" t="inlineStr">
        <is>
          <t>1.4mm白橡木免漆板电脑桌
2.H=700
3.做法详见设计图纸</t>
        </is>
      </c>
      <c r="F421" s="222" t="inlineStr">
        <is>
          <t>m</t>
        </is>
      </c>
      <c r="G421" s="222" t="n">
        <v>3</v>
      </c>
      <c r="H421" s="223" t="n">
        <v>3</v>
      </c>
      <c r="I421" s="230" t="n">
        <v>3</v>
      </c>
      <c r="J421" s="223">
        <f>H421-G421</f>
        <v/>
      </c>
      <c r="K421" s="223">
        <f>I421-G421</f>
        <v/>
      </c>
      <c r="L421" s="223">
        <f>+I421-H421</f>
        <v/>
      </c>
      <c r="M421" s="224">
        <f>J421/G421</f>
        <v/>
      </c>
      <c r="N421" s="222" t="n">
        <v>1470</v>
      </c>
      <c r="O421" s="222" t="n">
        <v>841.97</v>
      </c>
      <c r="P421" s="224">
        <f>(N421-O421)/O421</f>
        <v/>
      </c>
      <c r="Q421" s="223">
        <f>O421*0.9056*0.85</f>
        <v/>
      </c>
      <c r="R421" s="223">
        <f>O421*1.15</f>
        <v/>
      </c>
      <c r="S421" s="223">
        <f>IF(N421&lt;O421*0.9056*0.85,O421*0.9056*0.85,IF(N421&gt;O421*1.15,O421*1.15,N421))</f>
        <v/>
      </c>
      <c r="T421" s="223">
        <f>+G421*N421</f>
        <v/>
      </c>
      <c r="U421" s="223">
        <f>T421+S421*J421</f>
        <v/>
      </c>
      <c r="V421" s="230">
        <f>T421+S421*K421</f>
        <v/>
      </c>
      <c r="W421" s="223">
        <f>V421-T421</f>
        <v/>
      </c>
      <c r="X421" s="230">
        <f>+V421-U421</f>
        <v/>
      </c>
      <c r="Y421" s="231">
        <f>+V421-U421</f>
        <v/>
      </c>
      <c r="Z421" s="222" t="n"/>
      <c r="AA421" s="222" t="n"/>
      <c r="AB421" s="222" t="n"/>
      <c r="AC421" s="222" t="n"/>
      <c r="AD421" s="222" t="n"/>
      <c r="AE421" s="222" t="n"/>
      <c r="AF421" s="222" t="n"/>
      <c r="AG421" s="222" t="n"/>
      <c r="AH421" s="222" t="n"/>
      <c r="AI421" s="222" t="n"/>
      <c r="AJ421" s="222" t="n"/>
    </row>
    <row r="422" ht="41.25" customHeight="1" s="166">
      <c r="A422" s="222" t="n"/>
      <c r="B422" s="222" t="inlineStr">
        <is>
          <t>教学楼</t>
        </is>
      </c>
      <c r="C422" s="222" t="inlineStr">
        <is>
          <t>011501001007</t>
        </is>
      </c>
      <c r="D422" s="222" t="inlineStr">
        <is>
          <t>讲台</t>
        </is>
      </c>
      <c r="E422" s="222" t="inlineStr">
        <is>
          <t>1.4mm蓝色免漆板讲台
2.H=650
3.做法详见设计图纸</t>
        </is>
      </c>
      <c r="F422" s="222" t="inlineStr">
        <is>
          <t>m</t>
        </is>
      </c>
      <c r="G422" s="222" t="n">
        <v>5.27</v>
      </c>
      <c r="H422" s="223" t="n">
        <v>5.27</v>
      </c>
      <c r="I422" s="230" t="n">
        <v>5.27</v>
      </c>
      <c r="J422" s="223">
        <f>H422-G422</f>
        <v/>
      </c>
      <c r="K422" s="223">
        <f>I422-G422</f>
        <v/>
      </c>
      <c r="L422" s="223">
        <f>+I422-H422</f>
        <v/>
      </c>
      <c r="M422" s="224">
        <f>J422/G422</f>
        <v/>
      </c>
      <c r="N422" s="222" t="n">
        <v>1670</v>
      </c>
      <c r="O422" s="222" t="n">
        <v>1026.97</v>
      </c>
      <c r="P422" s="224">
        <f>(N422-O422)/O422</f>
        <v/>
      </c>
      <c r="Q422" s="223">
        <f>O422*0.9056*0.85</f>
        <v/>
      </c>
      <c r="R422" s="223">
        <f>O422*1.15</f>
        <v/>
      </c>
      <c r="S422" s="223">
        <f>IF(N422&lt;O422*0.9056*0.85,O422*0.9056*0.85,IF(N422&gt;O422*1.15,O422*1.15,N422))</f>
        <v/>
      </c>
      <c r="T422" s="223">
        <f>+G422*N422</f>
        <v/>
      </c>
      <c r="U422" s="223">
        <f>T422+S422*J422</f>
        <v/>
      </c>
      <c r="V422" s="230">
        <f>T422+S422*K422</f>
        <v/>
      </c>
      <c r="W422" s="223">
        <f>V422-T422</f>
        <v/>
      </c>
      <c r="X422" s="230">
        <f>+V422-U422</f>
        <v/>
      </c>
      <c r="Y422" s="231">
        <f>+V422-U422</f>
        <v/>
      </c>
      <c r="Z422" s="222" t="n"/>
      <c r="AA422" s="222" t="n"/>
      <c r="AB422" s="222" t="n"/>
      <c r="AC422" s="222" t="n"/>
      <c r="AD422" s="222" t="n"/>
      <c r="AE422" s="222" t="n"/>
      <c r="AF422" s="222" t="n"/>
      <c r="AG422" s="222" t="n"/>
      <c r="AH422" s="222" t="n"/>
      <c r="AI422" s="222" t="n"/>
      <c r="AJ422" s="222" t="n"/>
    </row>
    <row r="423" ht="28.5" customHeight="1" s="166">
      <c r="A423" s="222" t="n"/>
      <c r="B423" s="222" t="inlineStr">
        <is>
          <t>教学楼</t>
        </is>
      </c>
      <c r="C423" s="222" t="inlineStr">
        <is>
          <t>011501001006</t>
        </is>
      </c>
      <c r="D423" s="222" t="inlineStr">
        <is>
          <t>4MM白橡木免漆板书架</t>
        </is>
      </c>
      <c r="E423" s="222" t="inlineStr">
        <is>
          <t>1.4MM白橡木免漆板书架
2.做法详见设计图纸</t>
        </is>
      </c>
      <c r="F423" s="222" t="inlineStr">
        <is>
          <t>m2</t>
        </is>
      </c>
      <c r="G423" s="222" t="n">
        <v>61.49</v>
      </c>
      <c r="H423" s="223" t="n">
        <v>61.49</v>
      </c>
      <c r="I423" s="230" t="n">
        <v>61.49</v>
      </c>
      <c r="J423" s="223">
        <f>H423-G423</f>
        <v/>
      </c>
      <c r="K423" s="223">
        <f>I423-G423</f>
        <v/>
      </c>
      <c r="L423" s="223">
        <f>+I423-H423</f>
        <v/>
      </c>
      <c r="M423" s="224">
        <f>J423/G423</f>
        <v/>
      </c>
      <c r="N423" s="222" t="n">
        <v>1390</v>
      </c>
      <c r="O423" s="222" t="n">
        <v>761.97</v>
      </c>
      <c r="P423" s="224">
        <f>(N423-O423)/O423</f>
        <v/>
      </c>
      <c r="Q423" s="223">
        <f>O423*0.9056*0.85</f>
        <v/>
      </c>
      <c r="R423" s="223">
        <f>O423*1.15</f>
        <v/>
      </c>
      <c r="S423" s="223">
        <f>IF(N423&lt;O423*0.9056*0.85,O423*0.9056*0.85,IF(N423&gt;O423*1.15,O423*1.15,N423))</f>
        <v/>
      </c>
      <c r="T423" s="223">
        <f>+G423*N423</f>
        <v/>
      </c>
      <c r="U423" s="223">
        <f>T423+S423*J423</f>
        <v/>
      </c>
      <c r="V423" s="230">
        <f>T423+S423*K423</f>
        <v/>
      </c>
      <c r="W423" s="223">
        <f>V423-T423</f>
        <v/>
      </c>
      <c r="X423" s="230">
        <f>+V423-U423</f>
        <v/>
      </c>
      <c r="Y423" s="231">
        <f>+V423-U423</f>
        <v/>
      </c>
      <c r="Z423" s="222" t="n"/>
      <c r="AA423" s="222" t="n"/>
      <c r="AB423" s="222" t="n"/>
      <c r="AC423" s="222" t="n"/>
      <c r="AD423" s="222" t="n"/>
      <c r="AE423" s="222" t="n"/>
      <c r="AF423" s="222" t="n"/>
      <c r="AG423" s="222" t="n"/>
      <c r="AH423" s="222" t="n"/>
      <c r="AI423" s="222" t="n"/>
      <c r="AJ423" s="222" t="n"/>
    </row>
    <row r="424" ht="54" customHeight="1" s="166">
      <c r="A424" s="222" t="n"/>
      <c r="B424" s="222" t="inlineStr">
        <is>
          <t>教学楼</t>
        </is>
      </c>
      <c r="C424" s="222" t="inlineStr">
        <is>
          <t>011508001001</t>
        </is>
      </c>
      <c r="D424" s="222" t="inlineStr">
        <is>
          <t>装饰构件</t>
        </is>
      </c>
      <c r="E424" s="222" t="inlineStr">
        <is>
          <t>1.01装饰构件
2.白色发泡陶瓷构件
3.规格:2m
4.做法详见设计图纸</t>
        </is>
      </c>
      <c r="F424" s="222" t="inlineStr">
        <is>
          <t>个</t>
        </is>
      </c>
      <c r="G424" s="222" t="n">
        <v>1</v>
      </c>
      <c r="H424" s="223" t="n">
        <v>8</v>
      </c>
      <c r="I424" s="232" t="n">
        <v>8</v>
      </c>
      <c r="J424" s="223">
        <f>H424-G424</f>
        <v/>
      </c>
      <c r="K424" s="223">
        <f>I424-G424</f>
        <v/>
      </c>
      <c r="L424" s="223">
        <f>+I424-H424</f>
        <v/>
      </c>
      <c r="M424" s="224">
        <f>J424/G424</f>
        <v/>
      </c>
      <c r="N424" s="222" t="n">
        <v>148</v>
      </c>
      <c r="O424" s="222" t="n">
        <v>1235.9</v>
      </c>
      <c r="P424" s="224">
        <f>(N424-O424)/O424</f>
        <v/>
      </c>
      <c r="Q424" s="223">
        <f>O424*0.9056*0.85</f>
        <v/>
      </c>
      <c r="R424" s="223">
        <f>O424*1.15</f>
        <v/>
      </c>
      <c r="S424" s="223">
        <f>IF(N424&lt;O424*0.9056*0.85,O424*0.9056*0.85,IF(N424&gt;O424*1.15,O424*1.15,N424))</f>
        <v/>
      </c>
      <c r="T424" s="223">
        <f>+G424*N424</f>
        <v/>
      </c>
      <c r="U424" s="223">
        <f>T424+S424*J424</f>
        <v/>
      </c>
      <c r="V424" s="230">
        <f>T424+S424*K424</f>
        <v/>
      </c>
      <c r="W424" s="223">
        <f>V424-T424</f>
        <v/>
      </c>
      <c r="X424" s="230">
        <f>+V424-U424</f>
        <v/>
      </c>
      <c r="Y424" s="231">
        <f>+V424-U424</f>
        <v/>
      </c>
      <c r="Z424" s="222" t="n"/>
      <c r="AA424" s="222" t="n"/>
      <c r="AB424" s="222" t="n"/>
      <c r="AC424" s="222" t="n"/>
      <c r="AD424" s="222" t="n"/>
      <c r="AE424" s="222" t="n"/>
      <c r="AF424" s="222" t="n"/>
      <c r="AG424" s="222" t="n"/>
      <c r="AH424" s="222" t="n"/>
      <c r="AI424" s="222" t="n"/>
      <c r="AJ424" s="222" t="n"/>
    </row>
    <row r="425" ht="54" customHeight="1" s="166">
      <c r="A425" s="222" t="n"/>
      <c r="B425" s="222" t="inlineStr">
        <is>
          <t>教学楼</t>
        </is>
      </c>
      <c r="C425" s="222" t="inlineStr">
        <is>
          <t>011508001002</t>
        </is>
      </c>
      <c r="D425" s="222" t="inlineStr">
        <is>
          <t>装饰构件</t>
        </is>
      </c>
      <c r="E425" s="222" t="inlineStr">
        <is>
          <t>1.02装饰构件
2.白色发泡陶瓷构件
3.规格:1.6m
4.做法详见设计图纸</t>
        </is>
      </c>
      <c r="F425" s="222" t="inlineStr">
        <is>
          <t>个</t>
        </is>
      </c>
      <c r="G425" s="222" t="n">
        <v>2</v>
      </c>
      <c r="H425" s="223" t="n">
        <v>2</v>
      </c>
      <c r="I425" s="232" t="n">
        <v>2</v>
      </c>
      <c r="J425" s="223">
        <f>H425-G425</f>
        <v/>
      </c>
      <c r="K425" s="223">
        <f>I425-G425</f>
        <v/>
      </c>
      <c r="L425" s="223">
        <f>+I425-H425</f>
        <v/>
      </c>
      <c r="M425" s="224">
        <f>J425/G425</f>
        <v/>
      </c>
      <c r="N425" s="222" t="n">
        <v>110</v>
      </c>
      <c r="O425" s="222" t="n">
        <v>885.9</v>
      </c>
      <c r="P425" s="224">
        <f>(N425-O425)/O425</f>
        <v/>
      </c>
      <c r="Q425" s="223">
        <f>O425*0.9056*0.85</f>
        <v/>
      </c>
      <c r="R425" s="223">
        <f>O425*1.15</f>
        <v/>
      </c>
      <c r="S425" s="223">
        <f>IF(N425&lt;O425*0.9056*0.85,O425*0.9056*0.85,IF(N425&gt;O425*1.15,O425*1.15,N425))</f>
        <v/>
      </c>
      <c r="T425" s="223">
        <f>+G425*N425</f>
        <v/>
      </c>
      <c r="U425" s="223">
        <f>T425+S425*J425</f>
        <v/>
      </c>
      <c r="V425" s="230">
        <f>T425+S425*K425</f>
        <v/>
      </c>
      <c r="W425" s="223">
        <f>V425-T425</f>
        <v/>
      </c>
      <c r="X425" s="230">
        <f>+V425-U425</f>
        <v/>
      </c>
      <c r="Y425" s="231">
        <f>+V425-U425</f>
        <v/>
      </c>
      <c r="Z425" s="222" t="n"/>
      <c r="AA425" s="222" t="n"/>
      <c r="AB425" s="222" t="n"/>
      <c r="AC425" s="222" t="n"/>
      <c r="AD425" s="222" t="n"/>
      <c r="AE425" s="222" t="n"/>
      <c r="AF425" s="222" t="n"/>
      <c r="AG425" s="222" t="n"/>
      <c r="AH425" s="222" t="n"/>
      <c r="AI425" s="222" t="n"/>
      <c r="AJ425" s="222" t="n"/>
    </row>
    <row r="426" ht="41.25" customHeight="1" s="166">
      <c r="A426" s="222" t="n"/>
      <c r="B426" s="222" t="inlineStr">
        <is>
          <t>教学楼</t>
        </is>
      </c>
      <c r="C426" s="222" t="inlineStr">
        <is>
          <t>011508001003</t>
        </is>
      </c>
      <c r="D426" s="222" t="inlineStr">
        <is>
          <t>成品塔钟</t>
        </is>
      </c>
      <c r="E426" s="222" t="inlineStr">
        <is>
          <t>1.成品塔钟
2.规格:R=2m
3.做法详见设计图纸</t>
        </is>
      </c>
      <c r="F426" s="222" t="inlineStr">
        <is>
          <t>个</t>
        </is>
      </c>
      <c r="G426" s="222" t="n">
        <v>2</v>
      </c>
      <c r="H426" s="223" t="n">
        <v>2</v>
      </c>
      <c r="I426" s="232" t="n">
        <v>2</v>
      </c>
      <c r="J426" s="223">
        <f>H426-G426</f>
        <v/>
      </c>
      <c r="K426" s="223">
        <f>I426-G426</f>
        <v/>
      </c>
      <c r="L426" s="223">
        <f>+I426-H426</f>
        <v/>
      </c>
      <c r="M426" s="224">
        <f>J426/G426</f>
        <v/>
      </c>
      <c r="N426" s="222" t="n">
        <v>98676.85000000001</v>
      </c>
      <c r="O426" s="222" t="n">
        <v>68323.99000000001</v>
      </c>
      <c r="P426" s="224">
        <f>(N426-O426)/O426</f>
        <v/>
      </c>
      <c r="Q426" s="223">
        <f>O426*0.9056*0.85</f>
        <v/>
      </c>
      <c r="R426" s="223">
        <f>O426*1.15</f>
        <v/>
      </c>
      <c r="S426" s="223">
        <f>IF(N426&lt;O426*0.9056*0.85,O426*0.9056*0.85,IF(N426&gt;O426*1.15,O426*1.15,N426))</f>
        <v/>
      </c>
      <c r="T426" s="223">
        <f>+G426*N426</f>
        <v/>
      </c>
      <c r="U426" s="223">
        <f>T426+S426*J426</f>
        <v/>
      </c>
      <c r="V426" s="230">
        <f>T426+S426*K426</f>
        <v/>
      </c>
      <c r="W426" s="223">
        <f>V426-T426</f>
        <v/>
      </c>
      <c r="X426" s="230">
        <f>+V426-U426</f>
        <v/>
      </c>
      <c r="Y426" s="231">
        <f>+V426-U426</f>
        <v/>
      </c>
      <c r="Z426" s="222" t="n"/>
      <c r="AA426" s="222" t="n"/>
      <c r="AB426" s="222" t="n"/>
      <c r="AC426" s="222" t="n"/>
      <c r="AD426" s="222" t="n"/>
      <c r="AE426" s="222" t="n"/>
      <c r="AF426" s="222" t="n"/>
      <c r="AG426" s="222" t="n"/>
      <c r="AH426" s="222" t="n"/>
      <c r="AI426" s="222" t="n"/>
      <c r="AJ426" s="222" t="n"/>
    </row>
    <row r="427" ht="28.5" customHeight="1" s="166">
      <c r="A427" s="222" t="n"/>
      <c r="B427" s="234" t="inlineStr">
        <is>
          <t>教学楼</t>
        </is>
      </c>
      <c r="C427" s="234" t="inlineStr">
        <is>
          <t>01B001</t>
        </is>
      </c>
      <c r="D427" s="234" t="inlineStr">
        <is>
          <t>白蚁防治</t>
        </is>
      </c>
      <c r="E427" s="234" t="inlineStr">
        <is>
          <t>1.白蚁防治</t>
        </is>
      </c>
      <c r="F427" s="234" t="inlineStr">
        <is>
          <t>m2</t>
        </is>
      </c>
      <c r="G427" s="234" t="n">
        <v>8993.09</v>
      </c>
      <c r="H427" s="235" t="n">
        <v>10082.69</v>
      </c>
      <c r="I427" s="230" t="n">
        <v>8993.09</v>
      </c>
      <c r="J427" s="235">
        <f>H427-G427</f>
        <v/>
      </c>
      <c r="K427" s="235">
        <f>I427-G427</f>
        <v/>
      </c>
      <c r="L427" s="235">
        <f>+I427-H427</f>
        <v/>
      </c>
      <c r="M427" s="236">
        <f>J427/G427</f>
        <v/>
      </c>
      <c r="N427" s="234" t="n">
        <v>2</v>
      </c>
      <c r="O427" s="234" t="n">
        <v>3</v>
      </c>
      <c r="P427" s="236">
        <f>(N427-O427)/O427</f>
        <v/>
      </c>
      <c r="Q427" s="235">
        <f>O427*0.9056*0.85</f>
        <v/>
      </c>
      <c r="R427" s="235">
        <f>O427*1.15</f>
        <v/>
      </c>
      <c r="S427" s="235">
        <f>IF(N427&lt;O427*0.9056*0.85,O427*0.9056*0.85,IF(N427&gt;O427*1.15,O427*1.15,N427))</f>
        <v/>
      </c>
      <c r="T427" s="235">
        <f>+G427*N427</f>
        <v/>
      </c>
      <c r="U427" s="235">
        <f>T427+S427*J427</f>
        <v/>
      </c>
      <c r="V427" s="230">
        <f>T427+S427*K427</f>
        <v/>
      </c>
      <c r="W427" s="223">
        <f>V427-T427</f>
        <v/>
      </c>
      <c r="X427" s="230">
        <f>+V427-U427</f>
        <v/>
      </c>
      <c r="Y427" s="231">
        <f>+V427-U427</f>
        <v/>
      </c>
      <c r="Z427" s="234" t="n"/>
      <c r="AA427" s="222" t="n"/>
      <c r="AB427" s="222" t="n"/>
      <c r="AC427" s="222" t="n"/>
      <c r="AD427" s="222" t="n"/>
      <c r="AE427" s="222" t="n"/>
      <c r="AF427" s="222" t="n"/>
      <c r="AG427" s="222" t="n"/>
      <c r="AH427" s="222" t="n"/>
      <c r="AI427" s="222" t="n"/>
      <c r="AJ427" s="222" t="n"/>
    </row>
    <row r="428" ht="25" customHeight="1" s="166">
      <c r="A428" s="222" t="n"/>
      <c r="B428" s="227" t="inlineStr">
        <is>
          <t>教学楼</t>
        </is>
      </c>
      <c r="C428" s="222" t="n"/>
      <c r="D428" s="222" t="inlineStr">
        <is>
          <t>分部分项合计</t>
        </is>
      </c>
      <c r="E428" s="222" t="n"/>
      <c r="F428" s="222" t="n"/>
      <c r="G428" s="222" t="n"/>
      <c r="H428" s="223" t="n"/>
      <c r="I428" s="229" t="n"/>
      <c r="J428" s="223" t="n"/>
      <c r="K428" s="223" t="n"/>
      <c r="L428" s="223" t="n"/>
      <c r="M428" s="224" t="n"/>
      <c r="N428" s="228" t="n"/>
      <c r="O428" s="222" t="n"/>
      <c r="P428" s="224" t="n"/>
      <c r="Q428" s="223" t="n"/>
      <c r="R428" s="223" t="n"/>
      <c r="S428" s="223" t="n"/>
      <c r="T428" s="223">
        <f>+T409+T402+T378+T362+T355+T340+T326+T322+T290+T280+T273+T267</f>
        <v/>
      </c>
      <c r="U428" s="223">
        <f>+U409+U402+U378+U362+U355+U340+U322+U326+U290+U280+U273+U267</f>
        <v/>
      </c>
      <c r="V428" s="230">
        <f>+V409+V402+V378+V362+V355+V340+V322+V326+V290+V280+V273+V267</f>
        <v/>
      </c>
      <c r="W428" s="223">
        <f>V428-T428</f>
        <v/>
      </c>
      <c r="X428" s="230">
        <f>+V428-U428</f>
        <v/>
      </c>
      <c r="Y428" s="231">
        <f>+V428-U428</f>
        <v/>
      </c>
      <c r="Z428" s="222" t="n"/>
      <c r="AA428" s="222" t="n"/>
      <c r="AB428" s="222" t="n"/>
      <c r="AC428" s="222" t="n"/>
      <c r="AD428" s="222" t="n"/>
      <c r="AE428" s="222" t="n"/>
      <c r="AF428" s="222" t="n"/>
      <c r="AG428" s="222" t="n"/>
      <c r="AH428" s="222" t="n"/>
      <c r="AI428" s="222" t="n"/>
      <c r="AJ428" s="222" t="n"/>
    </row>
    <row r="429" ht="20" customHeight="1" s="166">
      <c r="A429" s="222" t="n"/>
      <c r="B429" s="227" t="inlineStr">
        <is>
          <t>教学楼</t>
        </is>
      </c>
      <c r="C429" s="222" t="n"/>
      <c r="D429" s="222" t="inlineStr">
        <is>
          <t>措施合计</t>
        </is>
      </c>
      <c r="E429" s="222" t="n"/>
      <c r="F429" s="222" t="n"/>
      <c r="G429" s="222" t="n"/>
      <c r="H429" s="223" t="n"/>
      <c r="I429" s="229" t="n"/>
      <c r="J429" s="223" t="n"/>
      <c r="K429" s="223" t="n"/>
      <c r="L429" s="223" t="n"/>
      <c r="M429" s="224" t="n"/>
      <c r="N429" s="228" t="n"/>
      <c r="O429" s="222" t="n"/>
      <c r="P429" s="224" t="n"/>
      <c r="Q429" s="223" t="n"/>
      <c r="R429" s="223" t="n"/>
      <c r="S429" s="223" t="n"/>
      <c r="T429" s="223">
        <f>SUM(T431:T474)</f>
        <v/>
      </c>
      <c r="U429" s="223">
        <f>SUM(U431:U474)</f>
        <v/>
      </c>
      <c r="V429" s="230">
        <f>SUM(V431:V474)</f>
        <v/>
      </c>
      <c r="W429" s="223">
        <f>V429-T429</f>
        <v/>
      </c>
      <c r="X429" s="230">
        <f>+V429-U429</f>
        <v/>
      </c>
      <c r="Y429" s="231">
        <f>+V429-U429</f>
        <v/>
      </c>
      <c r="Z429" s="222" t="n"/>
      <c r="AA429" s="222" t="n"/>
      <c r="AB429" s="222" t="n"/>
      <c r="AC429" s="222" t="n"/>
      <c r="AD429" s="222" t="n"/>
      <c r="AE429" s="222" t="n"/>
      <c r="AF429" s="222" t="n"/>
      <c r="AG429" s="222" t="n"/>
      <c r="AH429" s="222" t="n"/>
      <c r="AI429" s="222" t="n"/>
      <c r="AJ429" s="222" t="n"/>
    </row>
    <row r="430" ht="26" customHeight="1" s="166">
      <c r="A430" s="222" t="n"/>
      <c r="B430" s="227" t="inlineStr">
        <is>
          <t>教学楼</t>
        </is>
      </c>
      <c r="C430" s="222" t="n"/>
      <c r="D430" s="222" t="inlineStr">
        <is>
          <t>安全文明施工措施费</t>
        </is>
      </c>
      <c r="E430" s="222" t="n"/>
      <c r="F430" s="222" t="n"/>
      <c r="G430" s="222" t="n"/>
      <c r="H430" s="223" t="n"/>
      <c r="I430" s="229" t="n"/>
      <c r="J430" s="223" t="n"/>
      <c r="K430" s="223" t="n"/>
      <c r="L430" s="223" t="n"/>
      <c r="M430" s="224" t="n"/>
      <c r="N430" s="228" t="n"/>
      <c r="O430" s="222" t="n"/>
      <c r="P430" s="224" t="n"/>
      <c r="Q430" s="223" t="n"/>
      <c r="R430" s="223" t="n"/>
      <c r="S430" s="223" t="n"/>
      <c r="T430" s="223" t="n"/>
      <c r="U430" s="223" t="n"/>
      <c r="V430" s="230" t="n"/>
      <c r="W430" s="223" t="n"/>
      <c r="X430" s="230" t="n"/>
      <c r="Y430" s="231" t="n"/>
      <c r="Z430" s="222" t="n"/>
      <c r="AA430" s="222" t="n"/>
      <c r="AB430" s="222" t="n"/>
      <c r="AC430" s="222" t="n"/>
      <c r="AD430" s="222" t="n"/>
      <c r="AE430" s="222" t="n"/>
      <c r="AF430" s="222" t="n"/>
      <c r="AG430" s="222" t="n"/>
      <c r="AH430" s="222" t="n"/>
      <c r="AI430" s="222" t="n"/>
      <c r="AJ430" s="222" t="n"/>
    </row>
    <row r="431" ht="23" customHeight="1" s="166">
      <c r="A431" s="222" t="n"/>
      <c r="B431" s="227" t="inlineStr">
        <is>
          <t>教学楼</t>
        </is>
      </c>
      <c r="C431" s="222" t="inlineStr">
        <is>
          <t>01B001</t>
        </is>
      </c>
      <c r="D431" s="222" t="inlineStr">
        <is>
          <t>绿色施工安全防护措施费</t>
        </is>
      </c>
      <c r="E431" s="222" t="n"/>
      <c r="F431" s="222" t="n"/>
      <c r="G431" s="222" t="n"/>
      <c r="H431" s="223" t="n"/>
      <c r="I431" s="229" t="n"/>
      <c r="J431" s="223" t="n"/>
      <c r="K431" s="223" t="n"/>
      <c r="L431" s="223" t="n"/>
      <c r="M431" s="224" t="n"/>
      <c r="N431" s="228" t="n"/>
      <c r="O431" s="222" t="n"/>
      <c r="P431" s="224" t="n"/>
      <c r="Q431" s="223" t="n"/>
      <c r="R431" s="223" t="n"/>
      <c r="S431" s="223" t="n"/>
      <c r="T431" s="223" t="n">
        <v>703317.3100000001</v>
      </c>
      <c r="U431" s="223" t="n">
        <v>703317.3100000001</v>
      </c>
      <c r="V431" s="230" t="n">
        <v>703317.3100000001</v>
      </c>
      <c r="W431" s="223">
        <f>V431-T431</f>
        <v/>
      </c>
      <c r="X431" s="230">
        <f>+V431-U431</f>
        <v/>
      </c>
      <c r="Y431" s="231" t="n"/>
      <c r="Z431" s="222" t="n"/>
      <c r="AA431" s="222" t="n"/>
      <c r="AB431" s="222" t="n"/>
      <c r="AC431" s="222" t="n"/>
      <c r="AD431" s="222" t="n"/>
      <c r="AE431" s="222" t="n"/>
      <c r="AF431" s="222" t="n"/>
      <c r="AG431" s="222" t="n"/>
      <c r="AH431" s="222" t="n"/>
      <c r="AI431" s="222" t="n"/>
      <c r="AJ431" s="222" t="n"/>
    </row>
    <row r="432" ht="41.25" customHeight="1" s="166">
      <c r="A432" s="222" t="n"/>
      <c r="B432" s="222" t="inlineStr">
        <is>
          <t>教学楼</t>
        </is>
      </c>
      <c r="C432" s="222" t="inlineStr">
        <is>
          <t>粤011701008003</t>
        </is>
      </c>
      <c r="D432" s="222" t="inlineStr">
        <is>
          <t>综合钢脚手架</t>
        </is>
      </c>
      <c r="E432" s="222" t="inlineStr">
        <is>
          <t>1.搭设高度:综合钢脚手架搭拆高度(m以内)39
2.建筑用综合脚手架使用费</t>
        </is>
      </c>
      <c r="F432" s="222" t="inlineStr">
        <is>
          <t>m2</t>
        </is>
      </c>
      <c r="G432" s="222" t="n">
        <v>639.8</v>
      </c>
      <c r="H432" s="223" t="n">
        <v>645.1</v>
      </c>
      <c r="I432" s="230" t="n">
        <v>645.1</v>
      </c>
      <c r="J432" s="223">
        <f>H432-G432</f>
        <v/>
      </c>
      <c r="K432" s="223">
        <f>I432-G432</f>
        <v/>
      </c>
      <c r="L432" s="223">
        <f>+I432-H432</f>
        <v/>
      </c>
      <c r="M432" s="224">
        <f>J432/G432</f>
        <v/>
      </c>
      <c r="N432" s="222" t="n">
        <v>69.7</v>
      </c>
      <c r="O432" s="223" t="n">
        <v>75.62</v>
      </c>
      <c r="P432" s="224">
        <f>(N432-O432)/O432</f>
        <v/>
      </c>
      <c r="Q432" s="223">
        <f>O432*0.9056*0.85</f>
        <v/>
      </c>
      <c r="R432" s="223">
        <f>O432*1.15</f>
        <v/>
      </c>
      <c r="S432" s="223">
        <f>IF(N432&lt;O432*0.9056*0.85,O432*0.9056*0.85,IF(N432&gt;O432*1.15,O432*1.15,N432))</f>
        <v/>
      </c>
      <c r="T432" s="223">
        <f>+G432*N432</f>
        <v/>
      </c>
      <c r="U432" s="223">
        <f>T432+S432*J432</f>
        <v/>
      </c>
      <c r="V432" s="230">
        <f>T432+S432*K432</f>
        <v/>
      </c>
      <c r="W432" s="223">
        <f>V432-T432</f>
        <v/>
      </c>
      <c r="X432" s="230">
        <f>+V432-U432</f>
        <v/>
      </c>
      <c r="Y432" s="231">
        <f>+V432-U432</f>
        <v/>
      </c>
      <c r="Z432" s="222" t="n"/>
      <c r="AA432" s="222" t="n"/>
      <c r="AB432" s="222" t="n"/>
      <c r="AC432" s="222" t="n"/>
      <c r="AD432" s="222" t="n"/>
      <c r="AE432" s="222" t="n"/>
      <c r="AF432" s="222" t="n"/>
      <c r="AG432" s="222" t="n"/>
      <c r="AH432" s="222" t="n"/>
      <c r="AI432" s="222" t="n"/>
      <c r="AJ432" s="222" t="n"/>
    </row>
    <row r="433" ht="41.25" customHeight="1" s="166">
      <c r="A433" s="222" t="n"/>
      <c r="B433" s="222" t="inlineStr">
        <is>
          <t>教学楼</t>
        </is>
      </c>
      <c r="C433" s="222" t="inlineStr">
        <is>
          <t>粤011701008005</t>
        </is>
      </c>
      <c r="D433" s="222" t="inlineStr">
        <is>
          <t>综合钢脚手架</t>
        </is>
      </c>
      <c r="E433" s="222" t="inlineStr">
        <is>
          <t>1.搭设高度:综合钢脚手架搭拆高度(m以内)25.1
2.建筑用综合脚手架使用费</t>
        </is>
      </c>
      <c r="F433" s="222" t="inlineStr">
        <is>
          <t>m2</t>
        </is>
      </c>
      <c r="G433" s="222" t="n">
        <v>8201.799999999999</v>
      </c>
      <c r="H433" s="223" t="n">
        <v>8699.790000000001</v>
      </c>
      <c r="I433" s="230" t="n">
        <v>8699.790000000001</v>
      </c>
      <c r="J433" s="223">
        <f>H433-G433</f>
        <v/>
      </c>
      <c r="K433" s="223">
        <f>I433-G433</f>
        <v/>
      </c>
      <c r="L433" s="223">
        <f>+I433-H433</f>
        <v/>
      </c>
      <c r="M433" s="224">
        <f>J433/G433</f>
        <v/>
      </c>
      <c r="N433" s="222" t="n">
        <v>65.34999999999999</v>
      </c>
      <c r="O433" s="223" t="n">
        <v>70.8</v>
      </c>
      <c r="P433" s="224">
        <f>(N433-O433)/O433</f>
        <v/>
      </c>
      <c r="Q433" s="223">
        <f>O433*0.9056*0.85</f>
        <v/>
      </c>
      <c r="R433" s="223">
        <f>O433*1.15</f>
        <v/>
      </c>
      <c r="S433" s="223">
        <f>IF(N433&lt;O433*0.9056*0.85,O433*0.9056*0.85,IF(N433&gt;O433*1.15,O433*1.15,N433))</f>
        <v/>
      </c>
      <c r="T433" s="223">
        <f>+G433*N433</f>
        <v/>
      </c>
      <c r="U433" s="223">
        <f>T433+S433*J433</f>
        <v/>
      </c>
      <c r="V433" s="230">
        <f>T433+S433*K433</f>
        <v/>
      </c>
      <c r="W433" s="223">
        <f>V433-T433</f>
        <v/>
      </c>
      <c r="X433" s="230">
        <f>+V433-U433</f>
        <v/>
      </c>
      <c r="Y433" s="231">
        <f>+V433-U433</f>
        <v/>
      </c>
      <c r="Z433" s="222" t="n"/>
      <c r="AA433" s="222" t="n"/>
      <c r="AB433" s="222" t="n"/>
      <c r="AC433" s="222" t="n"/>
      <c r="AD433" s="222" t="n"/>
      <c r="AE433" s="222" t="n"/>
      <c r="AF433" s="222" t="n"/>
      <c r="AG433" s="222" t="n"/>
      <c r="AH433" s="222" t="n"/>
      <c r="AI433" s="222" t="n"/>
      <c r="AJ433" s="222" t="n"/>
    </row>
    <row r="434" ht="41.25" customHeight="1" s="166">
      <c r="A434" s="222" t="n"/>
      <c r="B434" s="222" t="inlineStr">
        <is>
          <t>教学楼</t>
        </is>
      </c>
      <c r="C434" s="222" t="inlineStr">
        <is>
          <t>粤011701008004</t>
        </is>
      </c>
      <c r="D434" s="222" t="inlineStr">
        <is>
          <t>综合钢脚手架</t>
        </is>
      </c>
      <c r="E434" s="222" t="inlineStr">
        <is>
          <t>1.搭设高度:综合钢脚手架搭拆高度(m以内)9.6
2.建筑用综合脚手架使用费</t>
        </is>
      </c>
      <c r="F434" s="222" t="inlineStr">
        <is>
          <t>m2</t>
        </is>
      </c>
      <c r="G434" s="222" t="n">
        <v>704.64</v>
      </c>
      <c r="H434" s="223" t="n">
        <v>836.14</v>
      </c>
      <c r="I434" s="230" t="n">
        <v>836.14</v>
      </c>
      <c r="J434" s="223">
        <f>H434-G434</f>
        <v/>
      </c>
      <c r="K434" s="223">
        <f>I434-G434</f>
        <v/>
      </c>
      <c r="L434" s="223">
        <f>+I434-H434</f>
        <v/>
      </c>
      <c r="M434" s="224">
        <f>J434/G434</f>
        <v/>
      </c>
      <c r="N434" s="222" t="n">
        <v>50.23</v>
      </c>
      <c r="O434" s="223" t="n">
        <v>54.32</v>
      </c>
      <c r="P434" s="224">
        <f>(N434-O434)/O434</f>
        <v/>
      </c>
      <c r="Q434" s="223">
        <f>O434*0.9056*0.85</f>
        <v/>
      </c>
      <c r="R434" s="223">
        <f>O434*1.15</f>
        <v/>
      </c>
      <c r="S434" s="223">
        <f>IF(N434&lt;O434*0.9056*0.85,O434*0.9056*0.85,IF(N434&gt;O434*1.15,O434*1.15,N434))</f>
        <v/>
      </c>
      <c r="T434" s="223">
        <f>+G434*N434</f>
        <v/>
      </c>
      <c r="U434" s="223">
        <f>T434+S434*J434</f>
        <v/>
      </c>
      <c r="V434" s="230">
        <f>T434+S434*K434</f>
        <v/>
      </c>
      <c r="W434" s="223">
        <f>V434-T434</f>
        <v/>
      </c>
      <c r="X434" s="230">
        <f>+V434-U434</f>
        <v/>
      </c>
      <c r="Y434" s="231">
        <f>+V434-U434</f>
        <v/>
      </c>
      <c r="Z434" s="222" t="n"/>
      <c r="AA434" s="222" t="n"/>
      <c r="AB434" s="222" t="n"/>
      <c r="AC434" s="222" t="n"/>
      <c r="AD434" s="222" t="n"/>
      <c r="AE434" s="222" t="n"/>
      <c r="AF434" s="222" t="n"/>
      <c r="AG434" s="222" t="n"/>
      <c r="AH434" s="222" t="n"/>
      <c r="AI434" s="222" t="n"/>
      <c r="AJ434" s="222" t="n"/>
    </row>
    <row r="435" ht="28.5" customHeight="1" s="166">
      <c r="A435" s="222" t="n"/>
      <c r="B435" s="222" t="inlineStr">
        <is>
          <t>教学楼</t>
        </is>
      </c>
      <c r="C435" s="222" t="inlineStr">
        <is>
          <t>MBZC001</t>
        </is>
      </c>
      <c r="D435" s="222" t="inlineStr">
        <is>
          <t>模板的支架</t>
        </is>
      </c>
      <c r="E435" s="222" t="inlineStr">
        <is>
          <t>1.模板钢支撑</t>
        </is>
      </c>
      <c r="F435" s="222" t="inlineStr">
        <is>
          <t>t</t>
        </is>
      </c>
      <c r="G435" s="222" t="n">
        <v>24.003</v>
      </c>
      <c r="H435" s="223" t="n">
        <v>24</v>
      </c>
      <c r="I435" s="230" t="n">
        <v>24</v>
      </c>
      <c r="J435" s="223">
        <f>H435-G435</f>
        <v/>
      </c>
      <c r="K435" s="223">
        <f>I435-G435</f>
        <v/>
      </c>
      <c r="L435" s="223">
        <f>+I435-H435</f>
        <v/>
      </c>
      <c r="M435" s="224">
        <f>J435/G435</f>
        <v/>
      </c>
      <c r="N435" s="222" t="n">
        <v>6313.66</v>
      </c>
      <c r="O435" s="223" t="n">
        <v>6000</v>
      </c>
      <c r="P435" s="224">
        <f>(N435-O435)/O435</f>
        <v/>
      </c>
      <c r="Q435" s="223">
        <f>O435*0.9056*0.85</f>
        <v/>
      </c>
      <c r="R435" s="223">
        <f>O435*1.15</f>
        <v/>
      </c>
      <c r="S435" s="223">
        <f>IF(N435&lt;O435*0.9056*0.85,O435*0.9056*0.85,IF(N435&gt;O435*1.15,O435*1.15,N435))</f>
        <v/>
      </c>
      <c r="T435" s="223">
        <f>+G435*N435</f>
        <v/>
      </c>
      <c r="U435" s="223">
        <f>T435+S435*J435</f>
        <v/>
      </c>
      <c r="V435" s="230">
        <f>T435+S435*K435</f>
        <v/>
      </c>
      <c r="W435" s="223">
        <f>V435-T435</f>
        <v/>
      </c>
      <c r="X435" s="230">
        <f>+V435-U435</f>
        <v/>
      </c>
      <c r="Y435" s="231">
        <f>+V435-U435</f>
        <v/>
      </c>
      <c r="Z435" s="222" t="n"/>
      <c r="AA435" s="222" t="n"/>
      <c r="AB435" s="222" t="n"/>
      <c r="AC435" s="222" t="n"/>
      <c r="AD435" s="222" t="n"/>
      <c r="AE435" s="222" t="n"/>
      <c r="AF435" s="222" t="n"/>
      <c r="AG435" s="222" t="n"/>
      <c r="AH435" s="222" t="n"/>
      <c r="AI435" s="222" t="n"/>
      <c r="AJ435" s="222" t="n"/>
    </row>
    <row r="436" ht="28.5" customHeight="1" s="166">
      <c r="A436" s="222" t="n"/>
      <c r="B436" s="222" t="inlineStr">
        <is>
          <t>教学楼</t>
        </is>
      </c>
      <c r="C436" s="222" t="n"/>
      <c r="D436" s="222" t="inlineStr">
        <is>
          <t>措施其他项目</t>
        </is>
      </c>
      <c r="E436" s="222" t="n"/>
      <c r="F436" s="222" t="n"/>
      <c r="G436" s="223" t="n"/>
      <c r="H436" s="223" t="n"/>
      <c r="I436" s="229" t="n"/>
      <c r="J436" s="223" t="n"/>
      <c r="K436" s="223" t="n"/>
      <c r="L436" s="223" t="n"/>
      <c r="M436" s="224" t="n"/>
      <c r="N436" s="222" t="n"/>
      <c r="O436" s="222" t="n"/>
      <c r="P436" s="224" t="n"/>
      <c r="Q436" s="223" t="n"/>
      <c r="R436" s="223" t="n"/>
      <c r="S436" s="223" t="n"/>
      <c r="T436" s="223" t="n"/>
      <c r="U436" s="223" t="n"/>
      <c r="V436" s="230" t="n"/>
      <c r="W436" s="223" t="n"/>
      <c r="X436" s="230" t="n"/>
      <c r="Y436" s="231" t="n"/>
      <c r="Z436" s="222" t="n"/>
      <c r="AA436" s="222" t="n"/>
      <c r="AB436" s="222" t="n"/>
      <c r="AC436" s="222" t="n"/>
      <c r="AD436" s="222" t="n"/>
      <c r="AE436" s="222" t="n"/>
      <c r="AF436" s="222" t="n"/>
      <c r="AG436" s="222" t="n"/>
      <c r="AH436" s="222" t="n"/>
      <c r="AI436" s="222" t="n"/>
      <c r="AJ436" s="222" t="n"/>
    </row>
    <row r="437" ht="28.5" customHeight="1" s="166">
      <c r="A437" s="222" t="n"/>
      <c r="B437" s="222" t="inlineStr">
        <is>
          <t>教学楼</t>
        </is>
      </c>
      <c r="C437" s="222" t="inlineStr">
        <is>
          <t>粤011701011002</t>
        </is>
      </c>
      <c r="D437" s="222" t="inlineStr">
        <is>
          <t>里脚手架</t>
        </is>
      </c>
      <c r="E437" s="222" t="inlineStr">
        <is>
          <t>1.里脚手架(钢管)民用建筑实际高度﹤3.6m</t>
        </is>
      </c>
      <c r="F437" s="222" t="inlineStr">
        <is>
          <t>m2</t>
        </is>
      </c>
      <c r="G437" s="222" t="n">
        <v>7803.84</v>
      </c>
      <c r="H437" s="223" t="n">
        <v>6989.45</v>
      </c>
      <c r="I437" s="230" t="n">
        <v>6989.45</v>
      </c>
      <c r="J437" s="223">
        <f>H437-G437</f>
        <v/>
      </c>
      <c r="K437" s="223">
        <f>I437-G437</f>
        <v/>
      </c>
      <c r="L437" s="223">
        <f>+I437-H437</f>
        <v/>
      </c>
      <c r="M437" s="224">
        <f>J437/G437</f>
        <v/>
      </c>
      <c r="N437" s="222" t="n">
        <v>14.69</v>
      </c>
      <c r="O437" s="222" t="n">
        <v>16.25</v>
      </c>
      <c r="P437" s="224">
        <f>(N437-O437)/O437</f>
        <v/>
      </c>
      <c r="Q437" s="223">
        <f>O437*0.9056*0.85</f>
        <v/>
      </c>
      <c r="R437" s="223">
        <f>O437*1.15</f>
        <v/>
      </c>
      <c r="S437" s="223">
        <f>IF(N437&lt;O437*0.9056*0.85,O437*0.9056*0.85,IF(N437&gt;O437*1.15,O437*1.15,N437))</f>
        <v/>
      </c>
      <c r="T437" s="223">
        <f>+G437*N437</f>
        <v/>
      </c>
      <c r="U437" s="223">
        <f>T437+S437*J437</f>
        <v/>
      </c>
      <c r="V437" s="230">
        <f>T437+S437*K437</f>
        <v/>
      </c>
      <c r="W437" s="223">
        <f>V437-T437</f>
        <v/>
      </c>
      <c r="X437" s="230">
        <f>+V437-U437</f>
        <v/>
      </c>
      <c r="Y437" s="231">
        <f>+V437-U437</f>
        <v/>
      </c>
      <c r="Z437" s="222" t="n"/>
      <c r="AA437" s="222" t="n"/>
      <c r="AB437" s="222" t="n"/>
      <c r="AC437" s="222" t="n"/>
      <c r="AD437" s="222" t="n"/>
      <c r="AE437" s="222" t="n"/>
      <c r="AF437" s="222" t="n"/>
      <c r="AG437" s="222" t="n"/>
      <c r="AH437" s="222" t="n"/>
      <c r="AI437" s="222" t="n"/>
      <c r="AJ437" s="222" t="n"/>
    </row>
    <row r="438" ht="28.5" customHeight="1" s="166">
      <c r="A438" s="222" t="n"/>
      <c r="B438" s="222" t="inlineStr">
        <is>
          <t>教学楼</t>
        </is>
      </c>
      <c r="C438" s="222" t="inlineStr">
        <is>
          <t>粤011701011003</t>
        </is>
      </c>
      <c r="D438" s="222" t="inlineStr">
        <is>
          <t>里脚手架</t>
        </is>
      </c>
      <c r="E438" s="222" t="inlineStr">
        <is>
          <t>1.里脚手架(钢管)民用建筑实际高度4.2m</t>
        </is>
      </c>
      <c r="F438" s="222" t="inlineStr">
        <is>
          <t>m2</t>
        </is>
      </c>
      <c r="G438" s="222" t="n">
        <v>742.8099999999999</v>
      </c>
      <c r="H438" s="223" t="n">
        <v>224.14</v>
      </c>
      <c r="I438" s="230" t="n">
        <v>224.14</v>
      </c>
      <c r="J438" s="223">
        <f>H438-G438</f>
        <v/>
      </c>
      <c r="K438" s="223">
        <f>I438-G438</f>
        <v/>
      </c>
      <c r="L438" s="223">
        <f>+I438-H438</f>
        <v/>
      </c>
      <c r="M438" s="224">
        <f>J438/G438</f>
        <v/>
      </c>
      <c r="N438" s="222" t="n">
        <v>19.66</v>
      </c>
      <c r="O438" s="222" t="n">
        <v>21.74</v>
      </c>
      <c r="P438" s="224">
        <f>(N438-O438)/O438</f>
        <v/>
      </c>
      <c r="Q438" s="223">
        <f>O438*0.9056*0.85</f>
        <v/>
      </c>
      <c r="R438" s="223">
        <f>O438*1.15</f>
        <v/>
      </c>
      <c r="S438" s="223">
        <f>IF(N438&lt;O438*0.9056*0.85,O438*0.9056*0.85,IF(N438&gt;O438*1.15,O438*1.15,N438))</f>
        <v/>
      </c>
      <c r="T438" s="223">
        <f>+G438*N438</f>
        <v/>
      </c>
      <c r="U438" s="223">
        <f>T438+S438*J438</f>
        <v/>
      </c>
      <c r="V438" s="230">
        <f>T438+S438*K438</f>
        <v/>
      </c>
      <c r="W438" s="223">
        <f>V438-T438</f>
        <v/>
      </c>
      <c r="X438" s="230">
        <f>+V438-U438</f>
        <v/>
      </c>
      <c r="Y438" s="231">
        <f>+V438-U438</f>
        <v/>
      </c>
      <c r="Z438" s="222" t="n"/>
      <c r="AA438" s="222" t="n"/>
      <c r="AB438" s="222" t="n"/>
      <c r="AC438" s="222" t="n"/>
      <c r="AD438" s="222" t="n"/>
      <c r="AE438" s="222" t="n"/>
      <c r="AF438" s="222" t="n"/>
      <c r="AG438" s="222" t="n"/>
      <c r="AH438" s="222" t="n"/>
      <c r="AI438" s="222" t="n"/>
      <c r="AJ438" s="222" t="n"/>
    </row>
    <row r="439" ht="28.5" customHeight="1" s="166">
      <c r="A439" s="222" t="n"/>
      <c r="B439" s="222" t="inlineStr">
        <is>
          <t>教学楼</t>
        </is>
      </c>
      <c r="C439" s="222" t="inlineStr">
        <is>
          <t>粤011701011004</t>
        </is>
      </c>
      <c r="D439" s="222" t="inlineStr">
        <is>
          <t>里脚手架</t>
        </is>
      </c>
      <c r="E439" s="222" t="inlineStr">
        <is>
          <t>1.里脚手架(钢管)民用建筑实际高度7.8m</t>
        </is>
      </c>
      <c r="F439" s="222" t="inlineStr">
        <is>
          <t>m2</t>
        </is>
      </c>
      <c r="G439" s="222" t="n">
        <v>107.7</v>
      </c>
      <c r="H439" s="223" t="n">
        <v>7.65</v>
      </c>
      <c r="I439" s="230" t="n">
        <v>7.65</v>
      </c>
      <c r="J439" s="223">
        <f>H439-G439</f>
        <v/>
      </c>
      <c r="K439" s="223">
        <f>I439-G439</f>
        <v/>
      </c>
      <c r="L439" s="223">
        <f>+I439-H439</f>
        <v/>
      </c>
      <c r="M439" s="224">
        <f>J439/G439</f>
        <v/>
      </c>
      <c r="N439" s="222" t="n">
        <v>34.57</v>
      </c>
      <c r="O439" s="222" t="n">
        <v>38.2</v>
      </c>
      <c r="P439" s="224">
        <f>(N439-O439)/O439</f>
        <v/>
      </c>
      <c r="Q439" s="223">
        <f>O439*0.9056*0.85</f>
        <v/>
      </c>
      <c r="R439" s="223">
        <f>O439*1.15</f>
        <v/>
      </c>
      <c r="S439" s="223">
        <f>IF(N439&lt;O439*0.9056*0.85,O439*0.9056*0.85,IF(N439&gt;O439*1.15,O439*1.15,N439))</f>
        <v/>
      </c>
      <c r="T439" s="223">
        <f>+G439*N439</f>
        <v/>
      </c>
      <c r="U439" s="223">
        <f>T439+S439*J439</f>
        <v/>
      </c>
      <c r="V439" s="230">
        <f>T439+S439*K439</f>
        <v/>
      </c>
      <c r="W439" s="223">
        <f>V439-T439</f>
        <v/>
      </c>
      <c r="X439" s="230">
        <f>+V439-U439</f>
        <v/>
      </c>
      <c r="Y439" s="231">
        <f>+V439-U439</f>
        <v/>
      </c>
      <c r="Z439" s="222" t="n"/>
      <c r="AA439" s="222" t="n"/>
      <c r="AB439" s="222" t="n"/>
      <c r="AC439" s="222" t="n"/>
      <c r="AD439" s="222" t="n"/>
      <c r="AE439" s="222" t="n"/>
      <c r="AF439" s="222" t="n"/>
      <c r="AG439" s="222" t="n"/>
      <c r="AH439" s="222" t="n"/>
      <c r="AI439" s="222" t="n"/>
      <c r="AJ439" s="222" t="n"/>
    </row>
    <row r="440" ht="28.5" customHeight="1" s="166">
      <c r="A440" s="222" t="n"/>
      <c r="B440" s="222" t="inlineStr">
        <is>
          <t>教学楼</t>
        </is>
      </c>
      <c r="C440" s="222" t="inlineStr">
        <is>
          <t>粤011701011005</t>
        </is>
      </c>
      <c r="D440" s="222" t="inlineStr">
        <is>
          <t>里脚手架</t>
        </is>
      </c>
      <c r="E440" s="222" t="inlineStr">
        <is>
          <t>1.里脚手架(钢管)民用建筑实际高度11.4m</t>
        </is>
      </c>
      <c r="F440" s="222" t="inlineStr">
        <is>
          <t>m2</t>
        </is>
      </c>
      <c r="G440" s="222" t="n">
        <v>198.87</v>
      </c>
      <c r="H440" s="223" t="n">
        <v>74.61</v>
      </c>
      <c r="I440" s="230" t="n">
        <v>74.61</v>
      </c>
      <c r="J440" s="223">
        <f>H440-G440</f>
        <v/>
      </c>
      <c r="K440" s="223">
        <f>I440-G440</f>
        <v/>
      </c>
      <c r="L440" s="223">
        <f>+I440-H440</f>
        <v/>
      </c>
      <c r="M440" s="224">
        <f>J440/G440</f>
        <v/>
      </c>
      <c r="N440" s="222" t="n">
        <v>49.49</v>
      </c>
      <c r="O440" s="222" t="n">
        <v>54.67</v>
      </c>
      <c r="P440" s="224">
        <f>(N440-O440)/O440</f>
        <v/>
      </c>
      <c r="Q440" s="223">
        <f>O440*0.9056*0.85</f>
        <v/>
      </c>
      <c r="R440" s="223">
        <f>O440*1.15</f>
        <v/>
      </c>
      <c r="S440" s="223">
        <f>IF(N440&lt;O440*0.9056*0.85,O440*0.9056*0.85,IF(N440&gt;O440*1.15,O440*1.15,N440))</f>
        <v/>
      </c>
      <c r="T440" s="223">
        <f>+G440*N440</f>
        <v/>
      </c>
      <c r="U440" s="223">
        <f>T440+S440*J440</f>
        <v/>
      </c>
      <c r="V440" s="230">
        <f>T440+S440*K440</f>
        <v/>
      </c>
      <c r="W440" s="223">
        <f>V440-T440</f>
        <v/>
      </c>
      <c r="X440" s="230">
        <f>+V440-U440</f>
        <v/>
      </c>
      <c r="Y440" s="231">
        <f>+V440-U440</f>
        <v/>
      </c>
      <c r="Z440" s="222" t="n"/>
      <c r="AA440" s="222" t="n"/>
      <c r="AB440" s="222" t="n"/>
      <c r="AC440" s="222" t="n"/>
      <c r="AD440" s="222" t="n"/>
      <c r="AE440" s="222" t="n"/>
      <c r="AF440" s="222" t="n"/>
      <c r="AG440" s="222" t="n"/>
      <c r="AH440" s="222" t="n"/>
      <c r="AI440" s="222" t="n"/>
      <c r="AJ440" s="222" t="n"/>
    </row>
    <row r="441" ht="28.5" customHeight="1" s="166">
      <c r="A441" s="222" t="n"/>
      <c r="B441" s="222" t="inlineStr">
        <is>
          <t>教学楼</t>
        </is>
      </c>
      <c r="C441" s="222" t="inlineStr">
        <is>
          <t>粤011701010001</t>
        </is>
      </c>
      <c r="D441" s="222" t="inlineStr">
        <is>
          <t>满堂脚手架</t>
        </is>
      </c>
      <c r="E441" s="222" t="inlineStr">
        <is>
          <t>1.满堂脚手架(钢管)基本层4.2m</t>
        </is>
      </c>
      <c r="F441" s="222" t="inlineStr">
        <is>
          <t>m2</t>
        </is>
      </c>
      <c r="G441" s="222" t="n">
        <v>1485.61</v>
      </c>
      <c r="H441" s="223" t="n">
        <v>1344.77</v>
      </c>
      <c r="I441" s="230" t="n">
        <v>1344.77</v>
      </c>
      <c r="J441" s="223">
        <f>H441-G441</f>
        <v/>
      </c>
      <c r="K441" s="223">
        <f>I441-G441</f>
        <v/>
      </c>
      <c r="L441" s="223">
        <f>+I441-H441</f>
        <v/>
      </c>
      <c r="M441" s="224">
        <f>J441/G441</f>
        <v/>
      </c>
      <c r="N441" s="222" t="n">
        <v>12.36</v>
      </c>
      <c r="O441" s="222" t="n">
        <v>13.43</v>
      </c>
      <c r="P441" s="224">
        <f>(N441-O441)/O441</f>
        <v/>
      </c>
      <c r="Q441" s="223">
        <f>O441*0.9056*0.85</f>
        <v/>
      </c>
      <c r="R441" s="223">
        <f>O441*1.15</f>
        <v/>
      </c>
      <c r="S441" s="223">
        <f>IF(N441&lt;O441*0.9056*0.85,O441*0.9056*0.85,IF(N441&gt;O441*1.15,O441*1.15,N441))</f>
        <v/>
      </c>
      <c r="T441" s="223">
        <f>+G441*N441</f>
        <v/>
      </c>
      <c r="U441" s="223">
        <f>T441+S441*J441</f>
        <v/>
      </c>
      <c r="V441" s="230">
        <f>T441+S441*K441</f>
        <v/>
      </c>
      <c r="W441" s="223">
        <f>V441-T441</f>
        <v/>
      </c>
      <c r="X441" s="230">
        <f>+V441-U441</f>
        <v/>
      </c>
      <c r="Y441" s="231">
        <f>+V441-U441</f>
        <v/>
      </c>
      <c r="Z441" s="222" t="n"/>
      <c r="AA441" s="222" t="n"/>
      <c r="AB441" s="222" t="n"/>
      <c r="AC441" s="222" t="n"/>
      <c r="AD441" s="222" t="n"/>
      <c r="AE441" s="222" t="n"/>
      <c r="AF441" s="222" t="n"/>
      <c r="AG441" s="222" t="n"/>
      <c r="AH441" s="222" t="n"/>
      <c r="AI441" s="222" t="n"/>
      <c r="AJ441" s="222" t="n"/>
    </row>
    <row r="442" ht="28.5" customHeight="1" s="166">
      <c r="A442" s="222" t="n"/>
      <c r="B442" s="222" t="inlineStr">
        <is>
          <t>教学楼</t>
        </is>
      </c>
      <c r="C442" s="222" t="inlineStr">
        <is>
          <t>粤011701010002</t>
        </is>
      </c>
      <c r="D442" s="222" t="inlineStr">
        <is>
          <t>满堂脚手架</t>
        </is>
      </c>
      <c r="E442" s="222" t="inlineStr">
        <is>
          <t>1.满堂脚手架(钢管)基本层7.8m</t>
        </is>
      </c>
      <c r="F442" s="222" t="inlineStr">
        <is>
          <t>m2</t>
        </is>
      </c>
      <c r="G442" s="222" t="n">
        <v>215.39</v>
      </c>
      <c r="H442" s="223" t="n">
        <v>149.55</v>
      </c>
      <c r="I442" s="230" t="n">
        <v>149.55</v>
      </c>
      <c r="J442" s="223">
        <f>H442-G442</f>
        <v/>
      </c>
      <c r="K442" s="223">
        <f>I442-G442</f>
        <v/>
      </c>
      <c r="L442" s="223">
        <f>+I442-H442</f>
        <v/>
      </c>
      <c r="M442" s="224">
        <f>J442/G442</f>
        <v/>
      </c>
      <c r="N442" s="222" t="n">
        <v>20.41</v>
      </c>
      <c r="O442" s="222" t="n">
        <v>22.27</v>
      </c>
      <c r="P442" s="224">
        <f>(N442-O442)/O442</f>
        <v/>
      </c>
      <c r="Q442" s="223">
        <f>O442*0.9056*0.85</f>
        <v/>
      </c>
      <c r="R442" s="223">
        <f>O442*1.15</f>
        <v/>
      </c>
      <c r="S442" s="223">
        <f>IF(N442&lt;O442*0.9056*0.85,O442*0.9056*0.85,IF(N442&gt;O442*1.15,O442*1.15,N442))</f>
        <v/>
      </c>
      <c r="T442" s="223">
        <f>+G442*N442</f>
        <v/>
      </c>
      <c r="U442" s="223">
        <f>T442+S442*J442</f>
        <v/>
      </c>
      <c r="V442" s="230">
        <f>T442+S442*K442</f>
        <v/>
      </c>
      <c r="W442" s="223">
        <f>V442-T442</f>
        <v/>
      </c>
      <c r="X442" s="230">
        <f>+V442-U442</f>
        <v/>
      </c>
      <c r="Y442" s="231">
        <f>+V442-U442</f>
        <v/>
      </c>
      <c r="Z442" s="222" t="n"/>
      <c r="AA442" s="222" t="n"/>
      <c r="AB442" s="222" t="n"/>
      <c r="AC442" s="222" t="n"/>
      <c r="AD442" s="222" t="n"/>
      <c r="AE442" s="222" t="n"/>
      <c r="AF442" s="222" t="n"/>
      <c r="AG442" s="222" t="n"/>
      <c r="AH442" s="222" t="n"/>
      <c r="AI442" s="222" t="n"/>
      <c r="AJ442" s="222" t="n"/>
    </row>
    <row r="443" ht="28.5" customHeight="1" s="166">
      <c r="A443" s="222" t="n"/>
      <c r="B443" s="222" t="inlineStr">
        <is>
          <t>教学楼</t>
        </is>
      </c>
      <c r="C443" s="222" t="inlineStr">
        <is>
          <t>粤011701010003</t>
        </is>
      </c>
      <c r="D443" s="222" t="inlineStr">
        <is>
          <t>满堂脚手架</t>
        </is>
      </c>
      <c r="E443" s="222" t="inlineStr">
        <is>
          <t>1.满堂脚手架(钢管)基本层11.4m</t>
        </is>
      </c>
      <c r="F443" s="222" t="inlineStr">
        <is>
          <t>m2</t>
        </is>
      </c>
      <c r="G443" s="222" t="n">
        <v>397.73</v>
      </c>
      <c r="H443" s="223" t="n">
        <v>361.79</v>
      </c>
      <c r="I443" s="230" t="n">
        <v>361.79</v>
      </c>
      <c r="J443" s="223">
        <f>H443-G443</f>
        <v/>
      </c>
      <c r="K443" s="223">
        <f>I443-G443</f>
        <v/>
      </c>
      <c r="L443" s="223">
        <f>+I443-H443</f>
        <v/>
      </c>
      <c r="M443" s="224">
        <f>J443/G443</f>
        <v/>
      </c>
      <c r="N443" s="222" t="n">
        <v>32.47</v>
      </c>
      <c r="O443" s="222" t="n">
        <v>35.54</v>
      </c>
      <c r="P443" s="224">
        <f>(N443-O443)/O443</f>
        <v/>
      </c>
      <c r="Q443" s="223">
        <f>O443*0.9056*0.85</f>
        <v/>
      </c>
      <c r="R443" s="223">
        <f>O443*1.15</f>
        <v/>
      </c>
      <c r="S443" s="223">
        <f>IF(N443&lt;O443*0.9056*0.85,O443*0.9056*0.85,IF(N443&gt;O443*1.15,O443*1.15,N443))</f>
        <v/>
      </c>
      <c r="T443" s="223">
        <f>+G443*N443</f>
        <v/>
      </c>
      <c r="U443" s="223">
        <f>T443+S443*J443</f>
        <v/>
      </c>
      <c r="V443" s="230">
        <f>T443+S443*K443</f>
        <v/>
      </c>
      <c r="W443" s="223">
        <f>V443-T443</f>
        <v/>
      </c>
      <c r="X443" s="230">
        <f>+V443-U443</f>
        <v/>
      </c>
      <c r="Y443" s="231">
        <f>+V443-U443</f>
        <v/>
      </c>
      <c r="Z443" s="222" t="n"/>
      <c r="AA443" s="222" t="n"/>
      <c r="AB443" s="222" t="n"/>
      <c r="AC443" s="222" t="n"/>
      <c r="AD443" s="222" t="n"/>
      <c r="AE443" s="222" t="n"/>
      <c r="AF443" s="222" t="n"/>
      <c r="AG443" s="222" t="n"/>
      <c r="AH443" s="222" t="n"/>
      <c r="AI443" s="222" t="n"/>
      <c r="AJ443" s="222" t="n"/>
    </row>
    <row r="444" ht="28.5" customHeight="1" s="166">
      <c r="A444" s="222" t="n"/>
      <c r="B444" s="222" t="inlineStr">
        <is>
          <t>教学楼</t>
        </is>
      </c>
      <c r="C444" s="222" t="inlineStr">
        <is>
          <t>粤011701015001</t>
        </is>
      </c>
      <c r="D444" s="222" t="inlineStr">
        <is>
          <t>电梯井脚手架</t>
        </is>
      </c>
      <c r="E444" s="222" t="inlineStr">
        <is>
          <t>1.电梯井脚手架(钢管)高度(m以内)30</t>
        </is>
      </c>
      <c r="F444" s="222" t="inlineStr">
        <is>
          <t>座</t>
        </is>
      </c>
      <c r="G444" s="222" t="n">
        <v>1</v>
      </c>
      <c r="H444" s="223" t="n">
        <v>1</v>
      </c>
      <c r="I444" s="232" t="n">
        <v>1</v>
      </c>
      <c r="J444" s="223">
        <f>H444-G444</f>
        <v/>
      </c>
      <c r="K444" s="223">
        <f>I444-G444</f>
        <v/>
      </c>
      <c r="L444" s="223">
        <f>+I444-H444</f>
        <v/>
      </c>
      <c r="M444" s="224">
        <f>J444/G444</f>
        <v/>
      </c>
      <c r="N444" s="222" t="n">
        <v>2876.01</v>
      </c>
      <c r="O444" s="222" t="n">
        <v>3126.05</v>
      </c>
      <c r="P444" s="224">
        <f>(N444-O444)/O444</f>
        <v/>
      </c>
      <c r="Q444" s="223">
        <f>O444*0.9056*0.85</f>
        <v/>
      </c>
      <c r="R444" s="223">
        <f>O444*1.15</f>
        <v/>
      </c>
      <c r="S444" s="223">
        <f>IF(N444&lt;O444*0.9056*0.85,O444*0.9056*0.85,IF(N444&gt;O444*1.15,O444*1.15,N444))</f>
        <v/>
      </c>
      <c r="T444" s="223">
        <f>+G444*N444</f>
        <v/>
      </c>
      <c r="U444" s="223">
        <f>T444+S444*J444</f>
        <v/>
      </c>
      <c r="V444" s="230">
        <f>T444+S444*K444</f>
        <v/>
      </c>
      <c r="W444" s="223">
        <f>V444-T444</f>
        <v/>
      </c>
      <c r="X444" s="230">
        <f>+V444-U444</f>
        <v/>
      </c>
      <c r="Y444" s="231">
        <f>+V444-U444</f>
        <v/>
      </c>
      <c r="Z444" s="222" t="n"/>
      <c r="AA444" s="222" t="n"/>
      <c r="AB444" s="222" t="n"/>
      <c r="AC444" s="222" t="n"/>
      <c r="AD444" s="222" t="n"/>
      <c r="AE444" s="222" t="n"/>
      <c r="AF444" s="222" t="n"/>
      <c r="AG444" s="222" t="n"/>
      <c r="AH444" s="222" t="n"/>
      <c r="AI444" s="222" t="n"/>
      <c r="AJ444" s="222" t="n"/>
    </row>
    <row r="445" ht="28.5" customHeight="1" s="166">
      <c r="A445" s="222" t="n"/>
      <c r="B445" s="222" t="inlineStr">
        <is>
          <t>教学楼</t>
        </is>
      </c>
      <c r="C445" s="222" t="inlineStr">
        <is>
          <t>粤011701009001</t>
        </is>
      </c>
      <c r="D445" s="222" t="inlineStr">
        <is>
          <t>单排钢脚手架</t>
        </is>
      </c>
      <c r="E445" s="222" t="inlineStr">
        <is>
          <t>1.搭设高度:高度(m以内)10
2.建筑用单排脚手架使用费</t>
        </is>
      </c>
      <c r="F445" s="222" t="inlineStr">
        <is>
          <t>m2</t>
        </is>
      </c>
      <c r="G445" s="222" t="n">
        <v>119.5</v>
      </c>
      <c r="H445" s="223" t="n">
        <v>119.5</v>
      </c>
      <c r="I445" s="230" t="n">
        <v>119.5</v>
      </c>
      <c r="J445" s="223">
        <f>H445-G445</f>
        <v/>
      </c>
      <c r="K445" s="223">
        <f>I445-G445</f>
        <v/>
      </c>
      <c r="L445" s="223">
        <f>+I445-H445</f>
        <v/>
      </c>
      <c r="M445" s="224">
        <f>J445/G445</f>
        <v/>
      </c>
      <c r="N445" s="222" t="n">
        <v>8.300000000000001</v>
      </c>
      <c r="O445" s="222" t="n">
        <v>18.05</v>
      </c>
      <c r="P445" s="224">
        <f>(N445-O445)/O445</f>
        <v/>
      </c>
      <c r="Q445" s="223">
        <f>O445*0.9056*0.85</f>
        <v/>
      </c>
      <c r="R445" s="223">
        <f>O445*1.15</f>
        <v/>
      </c>
      <c r="S445" s="223">
        <f>IF(N445&lt;O445*0.9056*0.85,O445*0.9056*0.85,IF(N445&gt;O445*1.15,O445*1.15,N445))</f>
        <v/>
      </c>
      <c r="T445" s="223">
        <f>+G445*N445</f>
        <v/>
      </c>
      <c r="U445" s="223">
        <f>T445+S445*J445</f>
        <v/>
      </c>
      <c r="V445" s="230">
        <f>T445+S445*K445</f>
        <v/>
      </c>
      <c r="W445" s="223">
        <f>V445-T445</f>
        <v/>
      </c>
      <c r="X445" s="230">
        <f>+V445-U445</f>
        <v/>
      </c>
      <c r="Y445" s="231">
        <f>+V445-U445</f>
        <v/>
      </c>
      <c r="Z445" s="222" t="n"/>
      <c r="AA445" s="222" t="n"/>
      <c r="AB445" s="222" t="n"/>
      <c r="AC445" s="222" t="n"/>
      <c r="AD445" s="222" t="n"/>
      <c r="AE445" s="222" t="n"/>
      <c r="AF445" s="222" t="n"/>
      <c r="AG445" s="222" t="n"/>
      <c r="AH445" s="222" t="n"/>
      <c r="AI445" s="222" t="n"/>
      <c r="AJ445" s="222" t="n"/>
    </row>
    <row r="446" ht="18" customHeight="1" s="166">
      <c r="A446" s="222" t="n"/>
      <c r="B446" s="222" t="inlineStr">
        <is>
          <t>教学楼</t>
        </is>
      </c>
      <c r="C446" s="222" t="inlineStr">
        <is>
          <t>011702001007</t>
        </is>
      </c>
      <c r="D446" s="222" t="inlineStr">
        <is>
          <t>基础</t>
        </is>
      </c>
      <c r="E446" s="222" t="inlineStr">
        <is>
          <t>1.基础垫层模板</t>
        </is>
      </c>
      <c r="F446" s="222" t="inlineStr">
        <is>
          <t>m2</t>
        </is>
      </c>
      <c r="G446" s="222" t="n">
        <v>194.52</v>
      </c>
      <c r="H446" s="223" t="n">
        <v>325.82</v>
      </c>
      <c r="I446" s="230" t="n">
        <v>310.3</v>
      </c>
      <c r="J446" s="223">
        <f>H446-G446</f>
        <v/>
      </c>
      <c r="K446" s="223">
        <f>I446-G446</f>
        <v/>
      </c>
      <c r="L446" s="223">
        <f>+I446-H446</f>
        <v/>
      </c>
      <c r="M446" s="224">
        <f>J446/G446</f>
        <v/>
      </c>
      <c r="N446" s="222" t="n">
        <v>31.42</v>
      </c>
      <c r="O446" s="222" t="n">
        <v>34.37</v>
      </c>
      <c r="P446" s="224">
        <f>(N446-O446)/O446</f>
        <v/>
      </c>
      <c r="Q446" s="223">
        <f>O446*0.9056*0.85</f>
        <v/>
      </c>
      <c r="R446" s="223">
        <f>O446*1.15</f>
        <v/>
      </c>
      <c r="S446" s="223">
        <f>IF(N446&lt;O446*0.9056*0.85,O446*0.9056*0.85,IF(N446&gt;O446*1.15,O446*1.15,N446))</f>
        <v/>
      </c>
      <c r="T446" s="223">
        <f>+G446*N446</f>
        <v/>
      </c>
      <c r="U446" s="223">
        <f>T446+S446*J446</f>
        <v/>
      </c>
      <c r="V446" s="230">
        <f>T446+S446*K446</f>
        <v/>
      </c>
      <c r="W446" s="223">
        <f>V446-T446</f>
        <v/>
      </c>
      <c r="X446" s="230">
        <f>+V446-U446</f>
        <v/>
      </c>
      <c r="Y446" s="231">
        <f>+V446-U446</f>
        <v/>
      </c>
      <c r="Z446" s="222" t="n"/>
      <c r="AA446" s="222" t="n"/>
      <c r="AB446" s="222" t="n"/>
      <c r="AC446" s="222" t="n"/>
      <c r="AD446" s="222" t="n"/>
      <c r="AE446" s="222" t="n"/>
      <c r="AF446" s="222" t="n"/>
      <c r="AG446" s="222" t="n"/>
      <c r="AH446" s="222" t="n"/>
      <c r="AI446" s="222" t="n"/>
      <c r="AJ446" s="222" t="n"/>
    </row>
    <row r="447" ht="28.5" customHeight="1" s="166">
      <c r="A447" s="222" t="n"/>
      <c r="B447" s="222" t="inlineStr">
        <is>
          <t>教学楼</t>
        </is>
      </c>
      <c r="C447" s="222" t="inlineStr">
        <is>
          <t>011702001005</t>
        </is>
      </c>
      <c r="D447" s="222" t="inlineStr">
        <is>
          <t>基础</t>
        </is>
      </c>
      <c r="E447" s="222" t="inlineStr">
        <is>
          <t>1.基础类型:桩承台模板</t>
        </is>
      </c>
      <c r="F447" s="222" t="inlineStr">
        <is>
          <t>m2</t>
        </is>
      </c>
      <c r="G447" s="222" t="n">
        <v>449.65</v>
      </c>
      <c r="H447" s="223" t="n">
        <v>0</v>
      </c>
      <c r="I447" s="230" t="n">
        <v>0</v>
      </c>
      <c r="J447" s="223">
        <f>H447-G447</f>
        <v/>
      </c>
      <c r="K447" s="223">
        <f>I447-G447</f>
        <v/>
      </c>
      <c r="L447" s="223">
        <f>+I447-H447</f>
        <v/>
      </c>
      <c r="M447" s="224">
        <f>J447/G447</f>
        <v/>
      </c>
      <c r="N447" s="222" t="n">
        <v>47.62</v>
      </c>
      <c r="O447" s="222" t="n">
        <v>54.22</v>
      </c>
      <c r="P447" s="224">
        <f>(N447-O447)/O447</f>
        <v/>
      </c>
      <c r="Q447" s="223">
        <f>O447*0.9056*0.85</f>
        <v/>
      </c>
      <c r="R447" s="223">
        <f>O447*1.15</f>
        <v/>
      </c>
      <c r="S447" s="223">
        <f>IF(N447&lt;O447*0.9056*0.85,O447*0.9056*0.85,IF(N447&gt;O447*1.15,O447*1.15,N447))</f>
        <v/>
      </c>
      <c r="T447" s="223">
        <f>+G447*N447</f>
        <v/>
      </c>
      <c r="U447" s="223">
        <f>T447+S447*J447</f>
        <v/>
      </c>
      <c r="V447" s="230">
        <f>T447+S447*K447</f>
        <v/>
      </c>
      <c r="W447" s="223">
        <f>V447-T447</f>
        <v/>
      </c>
      <c r="X447" s="230">
        <f>+V447-U447</f>
        <v/>
      </c>
      <c r="Y447" s="231">
        <f>+V447-U447</f>
        <v/>
      </c>
      <c r="Z447" s="222" t="n"/>
      <c r="AA447" s="222" t="n"/>
      <c r="AB447" s="222" t="n"/>
      <c r="AC447" s="222" t="n"/>
      <c r="AD447" s="222" t="n"/>
      <c r="AE447" s="222" t="n"/>
      <c r="AF447" s="222" t="n"/>
      <c r="AG447" s="222" t="n"/>
      <c r="AH447" s="222" t="n"/>
      <c r="AI447" s="222" t="n"/>
      <c r="AJ447" s="222" t="n"/>
    </row>
    <row r="448" ht="18" customHeight="1" s="166">
      <c r="A448" s="222" t="n"/>
      <c r="B448" s="222" t="inlineStr">
        <is>
          <t>教学楼</t>
        </is>
      </c>
      <c r="C448" s="222" t="inlineStr">
        <is>
          <t>011702001006</t>
        </is>
      </c>
      <c r="D448" s="222" t="inlineStr">
        <is>
          <t>基础</t>
        </is>
      </c>
      <c r="E448" s="222" t="inlineStr">
        <is>
          <t>1.基础类型:满堂基础模板</t>
        </is>
      </c>
      <c r="F448" s="222" t="inlineStr">
        <is>
          <t>m2</t>
        </is>
      </c>
      <c r="G448" s="222" t="n">
        <v>24.83</v>
      </c>
      <c r="H448" s="223" t="n">
        <v>35.11</v>
      </c>
      <c r="I448" s="230" t="n">
        <v>33.44</v>
      </c>
      <c r="J448" s="223">
        <f>H448-G448</f>
        <v/>
      </c>
      <c r="K448" s="223">
        <f>I448-G448</f>
        <v/>
      </c>
      <c r="L448" s="223">
        <f>+I448-H448</f>
        <v/>
      </c>
      <c r="M448" s="224">
        <f>J448/G448</f>
        <v/>
      </c>
      <c r="N448" s="222" t="n">
        <v>51.46</v>
      </c>
      <c r="O448" s="222" t="n">
        <v>58.36</v>
      </c>
      <c r="P448" s="224">
        <f>(N448-O448)/O448</f>
        <v/>
      </c>
      <c r="Q448" s="223">
        <f>O448*0.9056*0.85</f>
        <v/>
      </c>
      <c r="R448" s="223">
        <f>O448*1.15</f>
        <v/>
      </c>
      <c r="S448" s="223">
        <f>IF(N448&lt;O448*0.9056*0.85,O448*0.9056*0.85,IF(N448&gt;O448*1.15,O448*1.15,N448))</f>
        <v/>
      </c>
      <c r="T448" s="223">
        <f>+G448*N448</f>
        <v/>
      </c>
      <c r="U448" s="223">
        <f>T448+S448*J448</f>
        <v/>
      </c>
      <c r="V448" s="230">
        <f>T448+S448*K448</f>
        <v/>
      </c>
      <c r="W448" s="223">
        <f>V448-T448</f>
        <v/>
      </c>
      <c r="X448" s="230">
        <f>+V448-U448</f>
        <v/>
      </c>
      <c r="Y448" s="231">
        <f>+V448-U448</f>
        <v/>
      </c>
      <c r="Z448" s="222" t="n"/>
      <c r="AA448" s="222" t="n"/>
      <c r="AB448" s="222" t="n"/>
      <c r="AC448" s="222" t="n"/>
      <c r="AD448" s="222" t="n"/>
      <c r="AE448" s="222" t="n"/>
      <c r="AF448" s="222" t="n"/>
      <c r="AG448" s="222" t="n"/>
      <c r="AH448" s="222" t="n"/>
      <c r="AI448" s="222" t="n"/>
      <c r="AJ448" s="222" t="n"/>
    </row>
    <row r="449" ht="28.5" customHeight="1" s="166">
      <c r="A449" s="222" t="n"/>
      <c r="B449" s="222" t="inlineStr">
        <is>
          <t>教学楼</t>
        </is>
      </c>
      <c r="C449" s="222" t="inlineStr">
        <is>
          <t>011702002002</t>
        </is>
      </c>
      <c r="D449" s="222" t="inlineStr">
        <is>
          <t>矩形柱</t>
        </is>
      </c>
      <c r="E449" s="222" t="inlineStr">
        <is>
          <t>1.矩形柱模板(周长m)支模高度4.5m1.8外</t>
        </is>
      </c>
      <c r="F449" s="222" t="inlineStr">
        <is>
          <t>m2</t>
        </is>
      </c>
      <c r="G449" s="222" t="n">
        <v>754.35</v>
      </c>
      <c r="H449" s="223" t="n">
        <v>459.38</v>
      </c>
      <c r="I449" s="230" t="n">
        <v>459.38</v>
      </c>
      <c r="J449" s="223">
        <f>H449-G449</f>
        <v/>
      </c>
      <c r="K449" s="223">
        <f>I449-G449</f>
        <v/>
      </c>
      <c r="L449" s="223">
        <f>+I449-H449</f>
        <v/>
      </c>
      <c r="M449" s="224">
        <f>J449/G449</f>
        <v/>
      </c>
      <c r="N449" s="222" t="n">
        <v>62.37</v>
      </c>
      <c r="O449" s="222" t="n">
        <v>67.88</v>
      </c>
      <c r="P449" s="224">
        <f>(N449-O449)/O449</f>
        <v/>
      </c>
      <c r="Q449" s="223">
        <f>O449*0.9056*0.85</f>
        <v/>
      </c>
      <c r="R449" s="223">
        <f>O449*1.15</f>
        <v/>
      </c>
      <c r="S449" s="223">
        <f>IF(N449&lt;O449*0.9056*0.85,O449*0.9056*0.85,IF(N449&gt;O449*1.15,O449*1.15,N449))</f>
        <v/>
      </c>
      <c r="T449" s="223">
        <f>+G449*N449</f>
        <v/>
      </c>
      <c r="U449" s="223">
        <f>T449+S449*J449</f>
        <v/>
      </c>
      <c r="V449" s="230">
        <f>T449+S449*K449</f>
        <v/>
      </c>
      <c r="W449" s="223">
        <f>V449-T449</f>
        <v/>
      </c>
      <c r="X449" s="230">
        <f>+V449-U449</f>
        <v/>
      </c>
      <c r="Y449" s="231">
        <f>+V449-U449</f>
        <v/>
      </c>
      <c r="Z449" s="222" t="n"/>
      <c r="AA449" s="222" t="n"/>
      <c r="AB449" s="222" t="n"/>
      <c r="AC449" s="222" t="n"/>
      <c r="AD449" s="222" t="n"/>
      <c r="AE449" s="222" t="n"/>
      <c r="AF449" s="222" t="n"/>
      <c r="AG449" s="222" t="n"/>
      <c r="AH449" s="222" t="n"/>
      <c r="AI449" s="222" t="n"/>
      <c r="AJ449" s="222" t="n"/>
    </row>
    <row r="450" ht="28.5" customHeight="1" s="166">
      <c r="A450" s="222" t="n"/>
      <c r="B450" s="222" t="inlineStr">
        <is>
          <t>教学楼</t>
        </is>
      </c>
      <c r="C450" s="222" t="inlineStr">
        <is>
          <t>011702002008</t>
        </is>
      </c>
      <c r="D450" s="222" t="inlineStr">
        <is>
          <t>矩形柱</t>
        </is>
      </c>
      <c r="E450" s="222" t="inlineStr">
        <is>
          <t>1.矩形柱模板(周长m)支模高度3.6m内1.8外</t>
        </is>
      </c>
      <c r="F450" s="222" t="inlineStr">
        <is>
          <t>m2</t>
        </is>
      </c>
      <c r="G450" s="222" t="n">
        <v>2599.236</v>
      </c>
      <c r="H450" s="223" t="n">
        <v>1914.88</v>
      </c>
      <c r="I450" s="230" t="n">
        <v>1823.69</v>
      </c>
      <c r="J450" s="223">
        <f>H450-G450</f>
        <v/>
      </c>
      <c r="K450" s="223">
        <f>I450-G450</f>
        <v/>
      </c>
      <c r="L450" s="223">
        <f>+I450-H450</f>
        <v/>
      </c>
      <c r="M450" s="224">
        <f>J450/G450</f>
        <v/>
      </c>
      <c r="N450" s="222" t="n">
        <v>58.27</v>
      </c>
      <c r="O450" s="222" t="n">
        <v>63.57</v>
      </c>
      <c r="P450" s="224">
        <f>(N450-O450)/O450</f>
        <v/>
      </c>
      <c r="Q450" s="223">
        <f>O450*0.9056*0.85</f>
        <v/>
      </c>
      <c r="R450" s="223">
        <f>O450*1.15</f>
        <v/>
      </c>
      <c r="S450" s="223">
        <f>IF(N450&lt;O450*0.9056*0.85,O450*0.9056*0.85,IF(N450&gt;O450*1.15,O450*1.15,N450))</f>
        <v/>
      </c>
      <c r="T450" s="223">
        <f>+G450*N450</f>
        <v/>
      </c>
      <c r="U450" s="223">
        <f>T450+S450*J450</f>
        <v/>
      </c>
      <c r="V450" s="230">
        <f>T450+S450*K450</f>
        <v/>
      </c>
      <c r="W450" s="223">
        <f>V450-T450</f>
        <v/>
      </c>
      <c r="X450" s="230">
        <f>+V450-U450</f>
        <v/>
      </c>
      <c r="Y450" s="231">
        <f>+V450-U450</f>
        <v/>
      </c>
      <c r="Z450" s="222" t="n"/>
      <c r="AA450" s="222" t="n"/>
      <c r="AB450" s="222" t="n"/>
      <c r="AC450" s="222" t="n"/>
      <c r="AD450" s="222" t="n"/>
      <c r="AE450" s="222" t="n"/>
      <c r="AF450" s="222" t="n"/>
      <c r="AG450" s="222" t="n"/>
      <c r="AH450" s="222" t="n"/>
      <c r="AI450" s="222" t="n"/>
      <c r="AJ450" s="222" t="n"/>
    </row>
    <row r="451" ht="28.5" customHeight="1" s="166">
      <c r="A451" s="222" t="n"/>
      <c r="B451" s="222" t="inlineStr">
        <is>
          <t>教学楼</t>
        </is>
      </c>
      <c r="C451" s="222" t="inlineStr">
        <is>
          <t>011702002006</t>
        </is>
      </c>
      <c r="D451" s="222" t="inlineStr">
        <is>
          <t>矩形柱</t>
        </is>
      </c>
      <c r="E451" s="222" t="inlineStr">
        <is>
          <t>1.矩形柱模板(周长m)支模高度3.6m内1.8内</t>
        </is>
      </c>
      <c r="F451" s="222" t="inlineStr">
        <is>
          <t>m2</t>
        </is>
      </c>
      <c r="G451" s="222" t="n">
        <v>17.184</v>
      </c>
      <c r="H451" s="223" t="n">
        <v>682.21</v>
      </c>
      <c r="I451" s="230" t="n">
        <v>649.72</v>
      </c>
      <c r="J451" s="223">
        <f>H451-G451</f>
        <v/>
      </c>
      <c r="K451" s="223">
        <f>I451-G451</f>
        <v/>
      </c>
      <c r="L451" s="223">
        <f>+I451-H451</f>
        <v/>
      </c>
      <c r="M451" s="224">
        <f>J451/G451</f>
        <v/>
      </c>
      <c r="N451" s="222" t="n">
        <v>53.08</v>
      </c>
      <c r="O451" s="222" t="n">
        <v>57.93</v>
      </c>
      <c r="P451" s="224">
        <f>(N451-O451)/O451</f>
        <v/>
      </c>
      <c r="Q451" s="223">
        <f>O451*0.9056*0.85</f>
        <v/>
      </c>
      <c r="R451" s="223">
        <f>O451*1.15</f>
        <v/>
      </c>
      <c r="S451" s="223">
        <f>IF(N451&lt;O451*0.9056*0.85,O451*0.9056*0.85,IF(N451&gt;O451*1.15,O451*1.15,N451))</f>
        <v/>
      </c>
      <c r="T451" s="223">
        <f>+G451*N451</f>
        <v/>
      </c>
      <c r="U451" s="223">
        <f>T451+S451*J451</f>
        <v/>
      </c>
      <c r="V451" s="230">
        <f>T451+S451*K451</f>
        <v/>
      </c>
      <c r="W451" s="223">
        <f>V451-T451</f>
        <v/>
      </c>
      <c r="X451" s="230">
        <f>+V451-U451</f>
        <v/>
      </c>
      <c r="Y451" s="231">
        <f>+V451-U451</f>
        <v/>
      </c>
      <c r="Z451" s="222" t="n"/>
      <c r="AA451" s="222" t="n"/>
      <c r="AB451" s="222" t="n"/>
      <c r="AC451" s="222" t="n"/>
      <c r="AD451" s="222" t="n"/>
      <c r="AE451" s="222" t="n"/>
      <c r="AF451" s="222" t="n"/>
      <c r="AG451" s="222" t="n"/>
      <c r="AH451" s="222" t="n"/>
      <c r="AI451" s="222" t="n"/>
      <c r="AJ451" s="222" t="n"/>
    </row>
    <row r="452" ht="28.5" customHeight="1" s="166">
      <c r="A452" s="222" t="n"/>
      <c r="B452" s="222" t="inlineStr">
        <is>
          <t>教学楼</t>
        </is>
      </c>
      <c r="C452" s="222" t="inlineStr">
        <is>
          <t>011702004003</t>
        </is>
      </c>
      <c r="D452" s="222" t="inlineStr">
        <is>
          <t>异形柱</t>
        </is>
      </c>
      <c r="E452" s="222" t="inlineStr">
        <is>
          <t>1.异形柱模板支模高度3.6m内实际支模高度(m):4.2</t>
        </is>
      </c>
      <c r="F452" s="222" t="inlineStr">
        <is>
          <t>m2</t>
        </is>
      </c>
      <c r="G452" s="222" t="n">
        <v>105.36</v>
      </c>
      <c r="H452" s="223" t="n">
        <v>60.86</v>
      </c>
      <c r="I452" s="230" t="n">
        <v>60.86</v>
      </c>
      <c r="J452" s="223">
        <f>H452-G452</f>
        <v/>
      </c>
      <c r="K452" s="223">
        <f>I452-G452</f>
        <v/>
      </c>
      <c r="L452" s="223">
        <f>+I452-H452</f>
        <v/>
      </c>
      <c r="M452" s="224">
        <f>J452/G452</f>
        <v/>
      </c>
      <c r="N452" s="222" t="n">
        <v>78.64</v>
      </c>
      <c r="O452" s="222" t="n">
        <v>89.79000000000001</v>
      </c>
      <c r="P452" s="224">
        <f>(N452-O452)/O452</f>
        <v/>
      </c>
      <c r="Q452" s="223">
        <f>O452*0.9056*0.85</f>
        <v/>
      </c>
      <c r="R452" s="223">
        <f>O452*1.15</f>
        <v/>
      </c>
      <c r="S452" s="223">
        <f>IF(N452&lt;O452*0.9056*0.85,O452*0.9056*0.85,IF(N452&gt;O452*1.15,O452*1.15,N452))</f>
        <v/>
      </c>
      <c r="T452" s="223">
        <f>+G452*N452</f>
        <v/>
      </c>
      <c r="U452" s="223">
        <f>T452+S452*J452</f>
        <v/>
      </c>
      <c r="V452" s="230">
        <f>T452+S452*K452</f>
        <v/>
      </c>
      <c r="W452" s="223">
        <f>V452-T452</f>
        <v/>
      </c>
      <c r="X452" s="230">
        <f>+V452-U452</f>
        <v/>
      </c>
      <c r="Y452" s="231">
        <f>+V452-U452</f>
        <v/>
      </c>
      <c r="Z452" s="222" t="n"/>
      <c r="AA452" s="222" t="n"/>
      <c r="AB452" s="222" t="n"/>
      <c r="AC452" s="222" t="n"/>
      <c r="AD452" s="222" t="n"/>
      <c r="AE452" s="222" t="n"/>
      <c r="AF452" s="222" t="n"/>
      <c r="AG452" s="222" t="n"/>
      <c r="AH452" s="222" t="n"/>
      <c r="AI452" s="222" t="n"/>
      <c r="AJ452" s="222" t="n"/>
    </row>
    <row r="453" ht="28.5" customHeight="1" s="166">
      <c r="A453" s="222" t="n"/>
      <c r="B453" s="222" t="inlineStr">
        <is>
          <t>教学楼</t>
        </is>
      </c>
      <c r="C453" s="222" t="inlineStr">
        <is>
          <t>011702004002</t>
        </is>
      </c>
      <c r="D453" s="222" t="inlineStr">
        <is>
          <t>异形柱</t>
        </is>
      </c>
      <c r="E453" s="222" t="inlineStr">
        <is>
          <t>1.异形柱模板支模高度3.6m内</t>
        </is>
      </c>
      <c r="F453" s="222" t="inlineStr">
        <is>
          <t>m2</t>
        </is>
      </c>
      <c r="G453" s="222" t="n">
        <v>160.18</v>
      </c>
      <c r="H453" s="223" t="n">
        <v>147.26</v>
      </c>
      <c r="I453" s="230" t="n">
        <v>147.26</v>
      </c>
      <c r="J453" s="223">
        <f>H453-G453</f>
        <v/>
      </c>
      <c r="K453" s="223">
        <f>I453-G453</f>
        <v/>
      </c>
      <c r="L453" s="223">
        <f>+I453-H453</f>
        <v/>
      </c>
      <c r="M453" s="224">
        <f>J453/G453</f>
        <v/>
      </c>
      <c r="N453" s="222" t="n">
        <v>74.53</v>
      </c>
      <c r="O453" s="222" t="n">
        <v>85.23</v>
      </c>
      <c r="P453" s="224">
        <f>(N453-O453)/O453</f>
        <v/>
      </c>
      <c r="Q453" s="223">
        <f>O453*0.9056*0.85</f>
        <v/>
      </c>
      <c r="R453" s="223">
        <f>O453*1.15</f>
        <v/>
      </c>
      <c r="S453" s="223">
        <f>IF(N453&lt;O453*0.9056*0.85,O453*0.9056*0.85,IF(N453&gt;O453*1.15,O453*1.15,N453))</f>
        <v/>
      </c>
      <c r="T453" s="223">
        <f>+G453*N453</f>
        <v/>
      </c>
      <c r="U453" s="223">
        <f>T453+S453*J453</f>
        <v/>
      </c>
      <c r="V453" s="230">
        <f>T453+S453*K453</f>
        <v/>
      </c>
      <c r="W453" s="223">
        <f>V453-T453</f>
        <v/>
      </c>
      <c r="X453" s="230">
        <f>+V453-U453</f>
        <v/>
      </c>
      <c r="Y453" s="231">
        <f>+V453-U453</f>
        <v/>
      </c>
      <c r="Z453" s="222" t="n"/>
      <c r="AA453" s="222" t="n"/>
      <c r="AB453" s="222" t="n"/>
      <c r="AC453" s="222" t="n"/>
      <c r="AD453" s="222" t="n"/>
      <c r="AE453" s="222" t="n"/>
      <c r="AF453" s="222" t="n"/>
      <c r="AG453" s="222" t="n"/>
      <c r="AH453" s="222" t="n"/>
      <c r="AI453" s="222" t="n"/>
      <c r="AJ453" s="222" t="n"/>
    </row>
    <row r="454" ht="28.5" customHeight="1" s="166">
      <c r="A454" s="222" t="n"/>
      <c r="B454" s="222" t="inlineStr">
        <is>
          <t>教学楼</t>
        </is>
      </c>
      <c r="C454" s="222" t="inlineStr">
        <is>
          <t>011702003003</t>
        </is>
      </c>
      <c r="D454" s="222" t="inlineStr">
        <is>
          <t>构造柱</t>
        </is>
      </c>
      <c r="E454" s="222" t="inlineStr">
        <is>
          <t>1.构造柱模板(周长m)支模高度3.6m内1.2内</t>
        </is>
      </c>
      <c r="F454" s="222" t="inlineStr">
        <is>
          <t>m2</t>
        </is>
      </c>
      <c r="G454" s="222" t="n">
        <v>1955.16</v>
      </c>
      <c r="H454" s="223" t="n">
        <v>1955.16</v>
      </c>
      <c r="I454" s="230" t="n">
        <v>1689.13</v>
      </c>
      <c r="J454" s="223">
        <f>H454-G454</f>
        <v/>
      </c>
      <c r="K454" s="223">
        <f>I454-G454</f>
        <v/>
      </c>
      <c r="L454" s="223">
        <f>+I454-H454</f>
        <v/>
      </c>
      <c r="M454" s="224">
        <f>J454/G454</f>
        <v/>
      </c>
      <c r="N454" s="222" t="n">
        <v>66.62</v>
      </c>
      <c r="O454" s="222" t="n">
        <v>78.81</v>
      </c>
      <c r="P454" s="224">
        <f>(N454-O454)/O454</f>
        <v/>
      </c>
      <c r="Q454" s="223">
        <f>O454*0.9056*0.85</f>
        <v/>
      </c>
      <c r="R454" s="223">
        <f>O454*1.15</f>
        <v/>
      </c>
      <c r="S454" s="223">
        <f>IF(N454&lt;O454*0.9056*0.85,O454*0.9056*0.85,IF(N454&gt;O454*1.15,O454*1.15,N454))</f>
        <v/>
      </c>
      <c r="T454" s="223">
        <f>+G454*N454</f>
        <v/>
      </c>
      <c r="U454" s="223">
        <f>T454+S454*J454</f>
        <v/>
      </c>
      <c r="V454" s="230">
        <f>T454+S454*K454</f>
        <v/>
      </c>
      <c r="W454" s="223">
        <f>V454-T454</f>
        <v/>
      </c>
      <c r="X454" s="230">
        <f>+V454-U454</f>
        <v/>
      </c>
      <c r="Y454" s="231">
        <f>+V454-U454</f>
        <v/>
      </c>
      <c r="Z454" s="222" t="n"/>
      <c r="AA454" s="222" t="n"/>
      <c r="AB454" s="222" t="n"/>
      <c r="AC454" s="222" t="n"/>
      <c r="AD454" s="222" t="n"/>
      <c r="AE454" s="222" t="n"/>
      <c r="AF454" s="222" t="n"/>
      <c r="AG454" s="222" t="n"/>
      <c r="AH454" s="222" t="n"/>
      <c r="AI454" s="222" t="n"/>
      <c r="AJ454" s="222" t="n"/>
    </row>
    <row r="455" ht="28.5" customHeight="1" s="166">
      <c r="A455" s="222" t="n"/>
      <c r="B455" s="222" t="inlineStr">
        <is>
          <t>教学楼</t>
        </is>
      </c>
      <c r="C455" s="222" t="inlineStr">
        <is>
          <t>011702003004</t>
        </is>
      </c>
      <c r="D455" s="222" t="inlineStr">
        <is>
          <t>构造柱</t>
        </is>
      </c>
      <c r="E455" s="222" t="inlineStr">
        <is>
          <t>1.构造柱模板(周长m)支模高度4.5m内1.2内</t>
        </is>
      </c>
      <c r="F455" s="222" t="inlineStr">
        <is>
          <t>m2</t>
        </is>
      </c>
      <c r="G455" s="222" t="n">
        <v>343.48</v>
      </c>
      <c r="H455" s="223" t="n">
        <v>343.48</v>
      </c>
      <c r="I455" s="230" t="n">
        <v>293.8</v>
      </c>
      <c r="J455" s="223">
        <f>H455-G455</f>
        <v/>
      </c>
      <c r="K455" s="223">
        <f>I455-G455</f>
        <v/>
      </c>
      <c r="L455" s="223">
        <f>+I455-H455</f>
        <v/>
      </c>
      <c r="M455" s="224">
        <f>J455/G455</f>
        <v/>
      </c>
      <c r="N455" s="222" t="n">
        <v>70.72</v>
      </c>
      <c r="O455" s="222" t="n">
        <v>83.12</v>
      </c>
      <c r="P455" s="224">
        <f>(N455-O455)/O455</f>
        <v/>
      </c>
      <c r="Q455" s="223">
        <f>O455*0.9056*0.85</f>
        <v/>
      </c>
      <c r="R455" s="223">
        <f>O455*1.15</f>
        <v/>
      </c>
      <c r="S455" s="223">
        <f>IF(N455&lt;O455*0.9056*0.85,O455*0.9056*0.85,IF(N455&gt;O455*1.15,O455*1.15,N455))</f>
        <v/>
      </c>
      <c r="T455" s="223">
        <f>+G455*N455</f>
        <v/>
      </c>
      <c r="U455" s="223">
        <f>T455+S455*J455</f>
        <v/>
      </c>
      <c r="V455" s="230">
        <f>T455+S455*K455</f>
        <v/>
      </c>
      <c r="W455" s="223">
        <f>V455-T455</f>
        <v/>
      </c>
      <c r="X455" s="230">
        <f>+V455-U455</f>
        <v/>
      </c>
      <c r="Y455" s="231">
        <f>+V455-U455</f>
        <v/>
      </c>
      <c r="Z455" s="222" t="n"/>
      <c r="AA455" s="222" t="n"/>
      <c r="AB455" s="222" t="n"/>
      <c r="AC455" s="222" t="n"/>
      <c r="AD455" s="222" t="n"/>
      <c r="AE455" s="222" t="n"/>
      <c r="AF455" s="222" t="n"/>
      <c r="AG455" s="222" t="n"/>
      <c r="AH455" s="222" t="n"/>
      <c r="AI455" s="222" t="n"/>
      <c r="AJ455" s="222" t="n"/>
    </row>
    <row r="456" ht="28.5" customHeight="1" s="166">
      <c r="A456" s="222" t="n"/>
      <c r="B456" s="222" t="inlineStr">
        <is>
          <t>教学楼</t>
        </is>
      </c>
      <c r="C456" s="222" t="inlineStr">
        <is>
          <t>011702011002</t>
        </is>
      </c>
      <c r="D456" s="222" t="inlineStr">
        <is>
          <t>直形墙</t>
        </is>
      </c>
      <c r="E456" s="222" t="inlineStr">
        <is>
          <t>1.直形墙模板墙厚(cm以内)40支模高度3.6m内</t>
        </is>
      </c>
      <c r="F456" s="222" t="inlineStr">
        <is>
          <t>m2</t>
        </is>
      </c>
      <c r="G456" s="222" t="n">
        <v>1956.61</v>
      </c>
      <c r="H456" s="223" t="n">
        <v>2114.52</v>
      </c>
      <c r="I456" s="230" t="n">
        <v>2013.47</v>
      </c>
      <c r="J456" s="223">
        <f>H456-G456</f>
        <v/>
      </c>
      <c r="K456" s="223">
        <f>I456-G456</f>
        <v/>
      </c>
      <c r="L456" s="223">
        <f>+I456-H456</f>
        <v/>
      </c>
      <c r="M456" s="224">
        <f>J456/G456</f>
        <v/>
      </c>
      <c r="N456" s="222" t="n">
        <v>43.27</v>
      </c>
      <c r="O456" s="222" t="n">
        <v>45.5</v>
      </c>
      <c r="P456" s="224">
        <f>(N456-O456)/O456</f>
        <v/>
      </c>
      <c r="Q456" s="223">
        <f>O456*0.9056*0.85</f>
        <v/>
      </c>
      <c r="R456" s="223">
        <f>O456*1.15</f>
        <v/>
      </c>
      <c r="S456" s="223">
        <f>IF(N456&lt;O456*0.9056*0.85,O456*0.9056*0.85,IF(N456&gt;O456*1.15,O456*1.15,N456))</f>
        <v/>
      </c>
      <c r="T456" s="223">
        <f>+G456*N456</f>
        <v/>
      </c>
      <c r="U456" s="223">
        <f>T456+S456*J456</f>
        <v/>
      </c>
      <c r="V456" s="230">
        <f>T456+S456*K456</f>
        <v/>
      </c>
      <c r="W456" s="223">
        <f>V456-T456</f>
        <v/>
      </c>
      <c r="X456" s="230">
        <f>+V456-U456</f>
        <v/>
      </c>
      <c r="Y456" s="231">
        <f>+V456-U456</f>
        <v/>
      </c>
      <c r="Z456" s="222" t="n"/>
      <c r="AA456" s="222" t="n"/>
      <c r="AB456" s="222" t="n"/>
      <c r="AC456" s="222" t="n"/>
      <c r="AD456" s="222" t="n"/>
      <c r="AE456" s="222" t="n"/>
      <c r="AF456" s="222" t="n"/>
      <c r="AG456" s="222" t="n"/>
      <c r="AH456" s="222" t="n"/>
      <c r="AI456" s="222" t="n"/>
      <c r="AJ456" s="222" t="n"/>
    </row>
    <row r="457" ht="28.5" customHeight="1" s="166">
      <c r="A457" s="222" t="n"/>
      <c r="B457" s="222" t="inlineStr">
        <is>
          <t>教学楼</t>
        </is>
      </c>
      <c r="C457" s="222" t="inlineStr">
        <is>
          <t>011702011003</t>
        </is>
      </c>
      <c r="D457" s="222" t="inlineStr">
        <is>
          <t>直形墙</t>
        </is>
      </c>
      <c r="E457" s="222" t="inlineStr">
        <is>
          <t>1.直形墙模板墙厚(cm以内)40支模高度4.2m</t>
        </is>
      </c>
      <c r="F457" s="222" t="inlineStr">
        <is>
          <t>m2</t>
        </is>
      </c>
      <c r="G457" s="222" t="n">
        <v>421.32</v>
      </c>
      <c r="H457" s="223" t="n">
        <v>418.14</v>
      </c>
      <c r="I457" s="230" t="n">
        <v>398.23</v>
      </c>
      <c r="J457" s="223">
        <f>H457-G457</f>
        <v/>
      </c>
      <c r="K457" s="223">
        <f>I457-G457</f>
        <v/>
      </c>
      <c r="L457" s="223">
        <f>+I457-H457</f>
        <v/>
      </c>
      <c r="M457" s="224">
        <f>J457/G457</f>
        <v/>
      </c>
      <c r="N457" s="222" t="n">
        <v>45.51</v>
      </c>
      <c r="O457" s="222" t="n">
        <v>47.89</v>
      </c>
      <c r="P457" s="224">
        <f>(N457-O457)/O457</f>
        <v/>
      </c>
      <c r="Q457" s="223">
        <f>O457*0.9056*0.85</f>
        <v/>
      </c>
      <c r="R457" s="223">
        <f>O457*1.15</f>
        <v/>
      </c>
      <c r="S457" s="223">
        <f>IF(N457&lt;O457*0.9056*0.85,O457*0.9056*0.85,IF(N457&gt;O457*1.15,O457*1.15,N457))</f>
        <v/>
      </c>
      <c r="T457" s="223">
        <f>+G457*N457</f>
        <v/>
      </c>
      <c r="U457" s="223">
        <f>T457+S457*J457</f>
        <v/>
      </c>
      <c r="V457" s="230">
        <f>T457+S457*K457</f>
        <v/>
      </c>
      <c r="W457" s="223">
        <f>V457-T457</f>
        <v/>
      </c>
      <c r="X457" s="230">
        <f>+V457-U457</f>
        <v/>
      </c>
      <c r="Y457" s="231">
        <f>+V457-U457</f>
        <v/>
      </c>
      <c r="Z457" s="222" t="n"/>
      <c r="AA457" s="222" t="n"/>
      <c r="AB457" s="222" t="n"/>
      <c r="AC457" s="222" t="n"/>
      <c r="AD457" s="222" t="n"/>
      <c r="AE457" s="222" t="n"/>
      <c r="AF457" s="222" t="n"/>
      <c r="AG457" s="222" t="n"/>
      <c r="AH457" s="222" t="n"/>
      <c r="AI457" s="222" t="n"/>
      <c r="AJ457" s="222" t="n"/>
    </row>
    <row r="458" ht="28.5" customHeight="1" s="166">
      <c r="A458" s="222" t="n"/>
      <c r="B458" s="222" t="inlineStr">
        <is>
          <t>教学楼</t>
        </is>
      </c>
      <c r="C458" s="222" t="inlineStr">
        <is>
          <t>011702014004</t>
        </is>
      </c>
      <c r="D458" s="222" t="inlineStr">
        <is>
          <t>有梁板</t>
        </is>
      </c>
      <c r="E458" s="222" t="inlineStr">
        <is>
          <t>1.有梁板模板支模高度4.2m内</t>
        </is>
      </c>
      <c r="F458" s="222" t="inlineStr">
        <is>
          <t>m2</t>
        </is>
      </c>
      <c r="G458" s="222" t="n">
        <v>1188.2744</v>
      </c>
      <c r="H458" s="223" t="n">
        <v>1340.7</v>
      </c>
      <c r="I458" s="230" t="n">
        <v>1276.86</v>
      </c>
      <c r="J458" s="223">
        <f>H458-G458</f>
        <v/>
      </c>
      <c r="K458" s="223">
        <f>I458-G458</f>
        <v/>
      </c>
      <c r="L458" s="223">
        <f>+I458-H458</f>
        <v/>
      </c>
      <c r="M458" s="224">
        <f>J458/G458</f>
        <v/>
      </c>
      <c r="N458" s="222" t="n">
        <v>67.34</v>
      </c>
      <c r="O458" s="222" t="n">
        <v>87.18000000000001</v>
      </c>
      <c r="P458" s="224">
        <f>(N458-O458)/O458</f>
        <v/>
      </c>
      <c r="Q458" s="223">
        <f>O458*0.9056*0.85</f>
        <v/>
      </c>
      <c r="R458" s="223">
        <f>O458*1.15</f>
        <v/>
      </c>
      <c r="S458" s="223">
        <f>IF(N458&lt;O458*0.9056*0.85,O458*0.9056*0.85,IF(N458&gt;O458*1.15,O458*1.15,N458))</f>
        <v/>
      </c>
      <c r="T458" s="223">
        <f>+G458*N458</f>
        <v/>
      </c>
      <c r="U458" s="223">
        <f>T458+S458*J458</f>
        <v/>
      </c>
      <c r="V458" s="230">
        <f>T458+S458*K458</f>
        <v/>
      </c>
      <c r="W458" s="223">
        <f>V458-T458</f>
        <v/>
      </c>
      <c r="X458" s="230">
        <f>+V458-U458</f>
        <v/>
      </c>
      <c r="Y458" s="231">
        <f>+V458-U458</f>
        <v/>
      </c>
      <c r="Z458" s="222" t="n"/>
      <c r="AA458" s="222" t="n"/>
      <c r="AB458" s="222" t="n"/>
      <c r="AC458" s="222" t="n"/>
      <c r="AD458" s="222" t="n"/>
      <c r="AE458" s="222" t="n"/>
      <c r="AF458" s="222" t="n"/>
      <c r="AG458" s="222" t="n"/>
      <c r="AH458" s="222" t="n"/>
      <c r="AI458" s="222" t="n"/>
      <c r="AJ458" s="222" t="n"/>
    </row>
    <row r="459" ht="28.5" customHeight="1" s="166">
      <c r="A459" s="222" t="n"/>
      <c r="B459" s="222" t="inlineStr">
        <is>
          <t>教学楼</t>
        </is>
      </c>
      <c r="C459" s="222" t="inlineStr">
        <is>
          <t>011702014005</t>
        </is>
      </c>
      <c r="D459" s="222" t="inlineStr">
        <is>
          <t>有梁板</t>
        </is>
      </c>
      <c r="E459" s="222" t="inlineStr">
        <is>
          <t>1.有梁板模板支模高度3.6m内</t>
        </is>
      </c>
      <c r="F459" s="222" t="inlineStr">
        <is>
          <t>m2</t>
        </is>
      </c>
      <c r="G459" s="222" t="n">
        <v>6368.315</v>
      </c>
      <c r="H459" s="223" t="n">
        <v>6572.67</v>
      </c>
      <c r="I459" s="230">
        <f>8032.06-I460</f>
        <v/>
      </c>
      <c r="J459" s="223">
        <f>H459-G459</f>
        <v/>
      </c>
      <c r="K459" s="223">
        <f>I459-G459</f>
        <v/>
      </c>
      <c r="L459" s="223">
        <f>+I459-H459</f>
        <v/>
      </c>
      <c r="M459" s="224">
        <f>J459/G459</f>
        <v/>
      </c>
      <c r="N459" s="222" t="n">
        <v>59.25</v>
      </c>
      <c r="O459" s="222" t="n">
        <v>63.21</v>
      </c>
      <c r="P459" s="224">
        <f>(N459-O459)/O459</f>
        <v/>
      </c>
      <c r="Q459" s="223">
        <f>O459*0.9056*0.85</f>
        <v/>
      </c>
      <c r="R459" s="223">
        <f>O459*1.15</f>
        <v/>
      </c>
      <c r="S459" s="223">
        <f>IF(N459&lt;O459*0.9056*0.85,O459*0.9056*0.85,IF(N459&gt;O459*1.15,O459*1.15,N459))</f>
        <v/>
      </c>
      <c r="T459" s="223">
        <f>+G459*N459</f>
        <v/>
      </c>
      <c r="U459" s="223">
        <f>T459+S459*J459</f>
        <v/>
      </c>
      <c r="V459" s="230">
        <f>T459+S459*K459</f>
        <v/>
      </c>
      <c r="W459" s="223">
        <f>V459-T459</f>
        <v/>
      </c>
      <c r="X459" s="230">
        <f>+V459-U459</f>
        <v/>
      </c>
      <c r="Y459" s="231">
        <f>+V459-U459</f>
        <v/>
      </c>
      <c r="Z459" s="222" t="n"/>
      <c r="AA459" s="222" t="n"/>
      <c r="AB459" s="222" t="n"/>
      <c r="AC459" s="222" t="n"/>
      <c r="AD459" s="222" t="n"/>
      <c r="AE459" s="222" t="n"/>
      <c r="AF459" s="222" t="n"/>
      <c r="AG459" s="222" t="n"/>
      <c r="AH459" s="222" t="n"/>
      <c r="AI459" s="222" t="n"/>
      <c r="AJ459" s="222" t="n"/>
    </row>
    <row r="460" ht="28.5" customHeight="1" s="166">
      <c r="A460" s="222" t="n"/>
      <c r="B460" s="222" t="inlineStr">
        <is>
          <t>教学楼</t>
        </is>
      </c>
      <c r="C460" s="222" t="inlineStr">
        <is>
          <t>011702014006</t>
        </is>
      </c>
      <c r="D460" s="222" t="inlineStr">
        <is>
          <t>有梁板（斜板）</t>
        </is>
      </c>
      <c r="E460" s="222" t="inlineStr">
        <is>
          <t>1.有梁板模板支模高度3.6m内</t>
        </is>
      </c>
      <c r="F460" s="222" t="inlineStr">
        <is>
          <t>m2</t>
        </is>
      </c>
      <c r="G460" s="222" t="n">
        <v>1772.374</v>
      </c>
      <c r="H460" s="223" t="n">
        <v>1860.99</v>
      </c>
      <c r="I460" s="230" t="n">
        <v>1860.99</v>
      </c>
      <c r="J460" s="223">
        <f>H460-G460</f>
        <v/>
      </c>
      <c r="K460" s="223">
        <f>I460-G460</f>
        <v/>
      </c>
      <c r="L460" s="223">
        <f>+I460-H460</f>
        <v/>
      </c>
      <c r="M460" s="224">
        <f>J460/G460</f>
        <v/>
      </c>
      <c r="N460" s="222" t="n">
        <v>59.25</v>
      </c>
      <c r="O460" s="222" t="n">
        <v>72.38</v>
      </c>
      <c r="P460" s="224">
        <f>(N460-O460)/O460</f>
        <v/>
      </c>
      <c r="Q460" s="223">
        <f>O460*0.9056*0.85</f>
        <v/>
      </c>
      <c r="R460" s="223">
        <f>O460*1.15</f>
        <v/>
      </c>
      <c r="S460" s="223">
        <f>IF(N460&lt;O460*0.9056*0.85,O460*0.9056*0.85,IF(N460&gt;O460*1.15,O460*1.15,N460))</f>
        <v/>
      </c>
      <c r="T460" s="223">
        <f>+G460*N460</f>
        <v/>
      </c>
      <c r="U460" s="223">
        <f>T460+S460*J460</f>
        <v/>
      </c>
      <c r="V460" s="230">
        <f>T460+S460*K460</f>
        <v/>
      </c>
      <c r="W460" s="223">
        <f>V460-T460</f>
        <v/>
      </c>
      <c r="X460" s="230">
        <f>+V460-U460</f>
        <v/>
      </c>
      <c r="Y460" s="231">
        <f>+V460-U460</f>
        <v/>
      </c>
      <c r="Z460" s="222" t="n"/>
      <c r="AA460" s="222" t="n"/>
      <c r="AB460" s="222" t="n"/>
      <c r="AC460" s="222" t="n"/>
      <c r="AD460" s="222" t="n"/>
      <c r="AE460" s="222" t="n"/>
      <c r="AF460" s="222" t="n"/>
      <c r="AG460" s="222" t="n"/>
      <c r="AH460" s="222" t="n"/>
      <c r="AI460" s="222" t="n"/>
      <c r="AJ460" s="222" t="n"/>
    </row>
    <row r="461" ht="28.5" customHeight="1" s="166">
      <c r="A461" s="222" t="n"/>
      <c r="B461" s="222" t="inlineStr">
        <is>
          <t>教学楼</t>
        </is>
      </c>
      <c r="C461" s="222" t="inlineStr">
        <is>
          <t>011702006003</t>
        </is>
      </c>
      <c r="D461" s="222" t="inlineStr">
        <is>
          <t>矩形梁</t>
        </is>
      </c>
      <c r="E461" s="222" t="inlineStr">
        <is>
          <t>1.单梁、连续梁模板(梁宽cm)25以内支模高度4.2m内</t>
        </is>
      </c>
      <c r="F461" s="222" t="inlineStr">
        <is>
          <t>m2</t>
        </is>
      </c>
      <c r="G461" s="222" t="n">
        <v>1534.1</v>
      </c>
      <c r="H461" s="223" t="n">
        <v>1554.47</v>
      </c>
      <c r="I461" s="230" t="n">
        <v>1480.28</v>
      </c>
      <c r="J461" s="223">
        <f>H461-G461</f>
        <v/>
      </c>
      <c r="K461" s="223">
        <f>I461-G461</f>
        <v/>
      </c>
      <c r="L461" s="223">
        <f>+I461-H461</f>
        <v/>
      </c>
      <c r="M461" s="224">
        <f>J461/G461</f>
        <v/>
      </c>
      <c r="N461" s="222" t="n">
        <v>69.20999999999999</v>
      </c>
      <c r="O461" s="222" t="n">
        <v>86.95999999999999</v>
      </c>
      <c r="P461" s="224">
        <f>(N461-O461)/O461</f>
        <v/>
      </c>
      <c r="Q461" s="223">
        <f>O461*0.9056*0.85</f>
        <v/>
      </c>
      <c r="R461" s="223">
        <f>O461*1.15</f>
        <v/>
      </c>
      <c r="S461" s="223">
        <f>IF(N461&lt;O461*0.9056*0.85,O461*0.9056*0.85,IF(N461&gt;O461*1.15,O461*1.15,N461))</f>
        <v/>
      </c>
      <c r="T461" s="223">
        <f>+G461*N461</f>
        <v/>
      </c>
      <c r="U461" s="223">
        <f>T461+S461*J461</f>
        <v/>
      </c>
      <c r="V461" s="230">
        <f>T461+S461*K461</f>
        <v/>
      </c>
      <c r="W461" s="223">
        <f>V461-T461</f>
        <v/>
      </c>
      <c r="X461" s="230">
        <f>+V461-U461</f>
        <v/>
      </c>
      <c r="Y461" s="231">
        <f>+V461-U461</f>
        <v/>
      </c>
      <c r="Z461" s="222" t="n"/>
      <c r="AA461" s="222" t="n"/>
      <c r="AB461" s="222" t="n"/>
      <c r="AC461" s="222" t="n"/>
      <c r="AD461" s="222" t="n"/>
      <c r="AE461" s="222" t="n"/>
      <c r="AF461" s="222" t="n"/>
      <c r="AG461" s="222" t="n"/>
      <c r="AH461" s="222" t="n"/>
      <c r="AI461" s="222" t="n"/>
      <c r="AJ461" s="222" t="n"/>
    </row>
    <row r="462" ht="28.5" customHeight="1" s="166">
      <c r="A462" s="222" t="n"/>
      <c r="B462" s="222" t="inlineStr">
        <is>
          <t>教学楼</t>
        </is>
      </c>
      <c r="C462" s="222" t="inlineStr">
        <is>
          <t>011702006006</t>
        </is>
      </c>
      <c r="D462" s="222" t="inlineStr">
        <is>
          <t>矩形梁</t>
        </is>
      </c>
      <c r="E462" s="222" t="inlineStr">
        <is>
          <t>1.单梁、连续梁模板(梁宽cm)25以外支模高度4.2m内</t>
        </is>
      </c>
      <c r="F462" s="222" t="inlineStr">
        <is>
          <t>m2</t>
        </is>
      </c>
      <c r="G462" s="222" t="n">
        <v>31.648</v>
      </c>
      <c r="H462" s="223" t="n">
        <v>31.17</v>
      </c>
      <c r="I462" s="230" t="n">
        <v>29.68</v>
      </c>
      <c r="J462" s="223">
        <f>H462-G462</f>
        <v/>
      </c>
      <c r="K462" s="223">
        <f>I462-G462</f>
        <v/>
      </c>
      <c r="L462" s="223">
        <f>+I462-H462</f>
        <v/>
      </c>
      <c r="M462" s="224">
        <f>J462/G462</f>
        <v/>
      </c>
      <c r="N462" s="222" t="n">
        <v>75.31999999999999</v>
      </c>
      <c r="O462" s="222" t="n">
        <v>79.58</v>
      </c>
      <c r="P462" s="224">
        <f>(N462-O462)/O462</f>
        <v/>
      </c>
      <c r="Q462" s="223">
        <f>O462*0.9056*0.85</f>
        <v/>
      </c>
      <c r="R462" s="223">
        <f>O462*1.15</f>
        <v/>
      </c>
      <c r="S462" s="223">
        <f>IF(N462&lt;O462*0.9056*0.85,O462*0.9056*0.85,IF(N462&gt;O462*1.15,O462*1.15,N462))</f>
        <v/>
      </c>
      <c r="T462" s="223">
        <f>+G462*N462</f>
        <v/>
      </c>
      <c r="U462" s="223">
        <f>T462+S462*J462</f>
        <v/>
      </c>
      <c r="V462" s="230">
        <f>T462+S462*K462</f>
        <v/>
      </c>
      <c r="W462" s="223">
        <f>V462-T462</f>
        <v/>
      </c>
      <c r="X462" s="230">
        <f>+V462-U462</f>
        <v/>
      </c>
      <c r="Y462" s="231">
        <f>+V462-U462</f>
        <v/>
      </c>
      <c r="Z462" s="222" t="n"/>
      <c r="AA462" s="222" t="n"/>
      <c r="AB462" s="222" t="n"/>
      <c r="AC462" s="222" t="n"/>
      <c r="AD462" s="222" t="n"/>
      <c r="AE462" s="222" t="n"/>
      <c r="AF462" s="222" t="n"/>
      <c r="AG462" s="222" t="n"/>
      <c r="AH462" s="222" t="n"/>
      <c r="AI462" s="222" t="n"/>
      <c r="AJ462" s="222" t="n"/>
    </row>
    <row r="463" ht="28.5" customHeight="1" s="166">
      <c r="A463" s="222" t="n"/>
      <c r="B463" s="222" t="inlineStr">
        <is>
          <t>教学楼</t>
        </is>
      </c>
      <c r="C463" s="222" t="inlineStr">
        <is>
          <t>011702006007</t>
        </is>
      </c>
      <c r="D463" s="222" t="inlineStr">
        <is>
          <t>矩形梁</t>
        </is>
      </c>
      <c r="E463" s="222" t="inlineStr">
        <is>
          <t>1.单梁、连续梁模板(梁宽cm)25以内支模高度3.6m内</t>
        </is>
      </c>
      <c r="F463" s="222" t="inlineStr">
        <is>
          <t>m2</t>
        </is>
      </c>
      <c r="G463" s="222" t="n">
        <v>7386.904</v>
      </c>
      <c r="H463" s="223" t="n">
        <v>8480.66</v>
      </c>
      <c r="I463" s="230" t="n">
        <v>8076.15</v>
      </c>
      <c r="J463" s="223">
        <f>H463-G463</f>
        <v/>
      </c>
      <c r="K463" s="223">
        <f>I463-G463</f>
        <v/>
      </c>
      <c r="L463" s="223">
        <f>+I463-H463</f>
        <v/>
      </c>
      <c r="M463" s="224">
        <f>J463/G463</f>
        <v/>
      </c>
      <c r="N463" s="222" t="n">
        <v>61.79</v>
      </c>
      <c r="O463" s="222" t="n">
        <v>65.84</v>
      </c>
      <c r="P463" s="224">
        <f>(N463-O463)/O463</f>
        <v/>
      </c>
      <c r="Q463" s="223">
        <f>O463*0.9056*0.85</f>
        <v/>
      </c>
      <c r="R463" s="223">
        <f>O463*1.15</f>
        <v/>
      </c>
      <c r="S463" s="223">
        <f>IF(N463&lt;O463*0.9056*0.85,O463*0.9056*0.85,IF(N463&gt;O463*1.15,O463*1.15,N463))</f>
        <v/>
      </c>
      <c r="T463" s="223">
        <f>+G463*N463</f>
        <v/>
      </c>
      <c r="U463" s="223">
        <f>T463+S463*J463</f>
        <v/>
      </c>
      <c r="V463" s="230">
        <f>T463+S463*K463</f>
        <v/>
      </c>
      <c r="W463" s="223">
        <f>V463-T463</f>
        <v/>
      </c>
      <c r="X463" s="230">
        <f>+V463-U463</f>
        <v/>
      </c>
      <c r="Y463" s="231">
        <f>+V463-U463</f>
        <v/>
      </c>
      <c r="Z463" s="222" t="n"/>
      <c r="AA463" s="222" t="n"/>
      <c r="AB463" s="222" t="n"/>
      <c r="AC463" s="222" t="n"/>
      <c r="AD463" s="222" t="n"/>
      <c r="AE463" s="222" t="n"/>
      <c r="AF463" s="222" t="n"/>
      <c r="AG463" s="222" t="n"/>
      <c r="AH463" s="222" t="n"/>
      <c r="AI463" s="222" t="n"/>
      <c r="AJ463" s="222" t="n"/>
    </row>
    <row r="464" ht="28.5" customHeight="1" s="166">
      <c r="A464" s="222" t="n"/>
      <c r="B464" s="222" t="inlineStr">
        <is>
          <t>教学楼</t>
        </is>
      </c>
      <c r="C464" s="222" t="inlineStr">
        <is>
          <t>011702006005</t>
        </is>
      </c>
      <c r="D464" s="222" t="inlineStr">
        <is>
          <t>矩形梁</t>
        </is>
      </c>
      <c r="E464" s="222" t="inlineStr">
        <is>
          <t>1.单梁、连续梁模板(梁宽cm)25以外支模高度3.6m内</t>
        </is>
      </c>
      <c r="F464" s="222" t="inlineStr">
        <is>
          <t>m2</t>
        </is>
      </c>
      <c r="G464" s="222" t="n">
        <v>523.652</v>
      </c>
      <c r="H464" s="223" t="n">
        <v>550.6</v>
      </c>
      <c r="I464" s="230" t="n">
        <v>524.38</v>
      </c>
      <c r="J464" s="223">
        <f>H464-G464</f>
        <v/>
      </c>
      <c r="K464" s="223">
        <f>I464-G464</f>
        <v/>
      </c>
      <c r="L464" s="223">
        <f>+I464-H464</f>
        <v/>
      </c>
      <c r="M464" s="224">
        <f>J464/G464</f>
        <v/>
      </c>
      <c r="N464" s="222" t="n">
        <v>67.90000000000001</v>
      </c>
      <c r="O464" s="222" t="n">
        <v>72.20999999999999</v>
      </c>
      <c r="P464" s="224">
        <f>(N464-O464)/O464</f>
        <v/>
      </c>
      <c r="Q464" s="223">
        <f>O464*0.9056*0.85</f>
        <v/>
      </c>
      <c r="R464" s="223">
        <f>O464*1.15</f>
        <v/>
      </c>
      <c r="S464" s="223">
        <f>IF(N464&lt;O464*0.9056*0.85,O464*0.9056*0.85,IF(N464&gt;O464*1.15,O464*1.15,N464))</f>
        <v/>
      </c>
      <c r="T464" s="223">
        <f>+G464*N464</f>
        <v/>
      </c>
      <c r="U464" s="223">
        <f>T464+S464*J464</f>
        <v/>
      </c>
      <c r="V464" s="230">
        <f>T464+S464*K464</f>
        <v/>
      </c>
      <c r="W464" s="223">
        <f>V464-T464</f>
        <v/>
      </c>
      <c r="X464" s="230">
        <f>+V464-U464</f>
        <v/>
      </c>
      <c r="Y464" s="231">
        <f>+V464-U464</f>
        <v/>
      </c>
      <c r="Z464" s="222" t="n"/>
      <c r="AA464" s="222" t="n"/>
      <c r="AB464" s="222" t="n"/>
      <c r="AC464" s="222" t="n"/>
      <c r="AD464" s="222" t="n"/>
      <c r="AE464" s="222" t="n"/>
      <c r="AF464" s="222" t="n"/>
      <c r="AG464" s="222" t="n"/>
      <c r="AH464" s="222" t="n"/>
      <c r="AI464" s="222" t="n"/>
      <c r="AJ464" s="222" t="n"/>
    </row>
    <row r="465" ht="28.5" customHeight="1" s="166">
      <c r="A465" s="222" t="n"/>
      <c r="B465" s="222" t="inlineStr">
        <is>
          <t>教学楼</t>
        </is>
      </c>
      <c r="C465" s="222" t="inlineStr">
        <is>
          <t>011702006008</t>
        </is>
      </c>
      <c r="D465" s="222" t="inlineStr">
        <is>
          <t>矩形梁（斜梁）</t>
        </is>
      </c>
      <c r="E465" s="222" t="inlineStr">
        <is>
          <t>1.单梁、连续梁模板(梁宽cm)25以内支模高度3.6m内</t>
        </is>
      </c>
      <c r="F465" s="222" t="inlineStr">
        <is>
          <t>m2</t>
        </is>
      </c>
      <c r="G465" s="222" t="n">
        <v>1014.696</v>
      </c>
      <c r="H465" s="223" t="n">
        <v>488.32</v>
      </c>
      <c r="I465" s="230" t="n">
        <v>465.07</v>
      </c>
      <c r="J465" s="223">
        <f>H465-G465</f>
        <v/>
      </c>
      <c r="K465" s="223">
        <f>I465-G465</f>
        <v/>
      </c>
      <c r="L465" s="223">
        <f>+I465-H465</f>
        <v/>
      </c>
      <c r="M465" s="224">
        <f>J465/G465</f>
        <v/>
      </c>
      <c r="N465" s="222" t="n">
        <v>61.79</v>
      </c>
      <c r="O465" s="222" t="n">
        <v>76.23</v>
      </c>
      <c r="P465" s="224">
        <f>(N465-O465)/O465</f>
        <v/>
      </c>
      <c r="Q465" s="223">
        <f>O465*0.9056*0.85</f>
        <v/>
      </c>
      <c r="R465" s="223">
        <f>O465*1.15</f>
        <v/>
      </c>
      <c r="S465" s="223">
        <f>IF(N465&lt;O465*0.9056*0.85,O465*0.9056*0.85,IF(N465&gt;O465*1.15,O465*1.15,N465))</f>
        <v/>
      </c>
      <c r="T465" s="223">
        <f>+G465*N465</f>
        <v/>
      </c>
      <c r="U465" s="223">
        <f>T465+S465*J465</f>
        <v/>
      </c>
      <c r="V465" s="230">
        <f>T465+S465*K465</f>
        <v/>
      </c>
      <c r="W465" s="223">
        <f>V465-T465</f>
        <v/>
      </c>
      <c r="X465" s="230">
        <f>+V465-U465</f>
        <v/>
      </c>
      <c r="Y465" s="231">
        <f>+V465-U465</f>
        <v/>
      </c>
      <c r="Z465" s="222" t="n"/>
      <c r="AA465" s="222" t="n"/>
      <c r="AB465" s="222" t="n"/>
      <c r="AC465" s="222" t="n"/>
      <c r="AD465" s="222" t="n"/>
      <c r="AE465" s="222" t="n"/>
      <c r="AF465" s="222" t="n"/>
      <c r="AG465" s="222" t="n"/>
      <c r="AH465" s="222" t="n"/>
      <c r="AI465" s="222" t="n"/>
      <c r="AJ465" s="222" t="n"/>
    </row>
    <row r="466" ht="28.5" customHeight="1" s="166">
      <c r="A466" s="222" t="n"/>
      <c r="B466" s="222" t="inlineStr">
        <is>
          <t>教学楼</t>
        </is>
      </c>
      <c r="C466" s="222" t="inlineStr">
        <is>
          <t>011702023002</t>
        </is>
      </c>
      <c r="D466" s="222" t="inlineStr">
        <is>
          <t>雨篷、悬挑板、阳台板</t>
        </is>
      </c>
      <c r="E466" s="222" t="inlineStr">
        <is>
          <t>1.雨篷、悬挑板、阳台板</t>
        </is>
      </c>
      <c r="F466" s="222" t="inlineStr">
        <is>
          <t>m2</t>
        </is>
      </c>
      <c r="G466" s="222" t="n">
        <v>1556.026</v>
      </c>
      <c r="H466" s="223" t="n">
        <v>1035.73</v>
      </c>
      <c r="I466" s="230" t="n">
        <v>1035.73</v>
      </c>
      <c r="J466" s="223">
        <f>H466-G466</f>
        <v/>
      </c>
      <c r="K466" s="223">
        <f>I466-G466</f>
        <v/>
      </c>
      <c r="L466" s="223">
        <f>+I466-H466</f>
        <v/>
      </c>
      <c r="M466" s="224">
        <f>J466/G466</f>
        <v/>
      </c>
      <c r="N466" s="222" t="n">
        <v>69.34999999999999</v>
      </c>
      <c r="O466" s="222" t="n">
        <v>74.27</v>
      </c>
      <c r="P466" s="224">
        <f>(N466-O466)/O466</f>
        <v/>
      </c>
      <c r="Q466" s="223">
        <f>O466*0.9056*0.85</f>
        <v/>
      </c>
      <c r="R466" s="223">
        <f>O466*1.15</f>
        <v/>
      </c>
      <c r="S466" s="223">
        <f>IF(N466&lt;O466*0.9056*0.85,O466*0.9056*0.85,IF(N466&gt;O466*1.15,O466*1.15,N466))</f>
        <v/>
      </c>
      <c r="T466" s="223">
        <f>+G466*N466</f>
        <v/>
      </c>
      <c r="U466" s="223">
        <f>T466+S466*J466</f>
        <v/>
      </c>
      <c r="V466" s="230">
        <f>T466+S466*K466</f>
        <v/>
      </c>
      <c r="W466" s="223">
        <f>V466-T466</f>
        <v/>
      </c>
      <c r="X466" s="230">
        <f>+V466-U466</f>
        <v/>
      </c>
      <c r="Y466" s="231">
        <f>+V466-U466</f>
        <v/>
      </c>
      <c r="Z466" s="222" t="n"/>
      <c r="AA466" s="222" t="n"/>
      <c r="AB466" s="222" t="n"/>
      <c r="AC466" s="222" t="n"/>
      <c r="AD466" s="222" t="n"/>
      <c r="AE466" s="222" t="n"/>
      <c r="AF466" s="222" t="n"/>
      <c r="AG466" s="222" t="n"/>
      <c r="AH466" s="222" t="n"/>
      <c r="AI466" s="222" t="n"/>
      <c r="AJ466" s="222" t="n"/>
    </row>
    <row r="467" ht="28.5" customHeight="1" s="166">
      <c r="A467" s="222" t="n"/>
      <c r="B467" s="222" t="inlineStr">
        <is>
          <t>教学楼</t>
        </is>
      </c>
      <c r="C467" s="222" t="inlineStr">
        <is>
          <t>011702021002</t>
        </is>
      </c>
      <c r="D467" s="222" t="inlineStr">
        <is>
          <t>栏板、反檐</t>
        </is>
      </c>
      <c r="E467" s="222" t="inlineStr">
        <is>
          <t>1.栏板、反檐模板</t>
        </is>
      </c>
      <c r="F467" s="222" t="inlineStr">
        <is>
          <t>m2</t>
        </is>
      </c>
      <c r="G467" s="222" t="n">
        <v>357.9</v>
      </c>
      <c r="H467" s="223" t="n">
        <v>1595.69</v>
      </c>
      <c r="I467" s="230" t="n">
        <v>1595.69</v>
      </c>
      <c r="J467" s="223">
        <f>H467-G467</f>
        <v/>
      </c>
      <c r="K467" s="223">
        <f>I467-G467</f>
        <v/>
      </c>
      <c r="L467" s="223">
        <f>+I467-H467</f>
        <v/>
      </c>
      <c r="M467" s="224">
        <f>J467/G467</f>
        <v/>
      </c>
      <c r="N467" s="222" t="n">
        <v>64.39</v>
      </c>
      <c r="O467" s="222" t="n">
        <v>69.66</v>
      </c>
      <c r="P467" s="224">
        <f>(N467-O467)/O467</f>
        <v/>
      </c>
      <c r="Q467" s="223">
        <f>O467*0.9056*0.85</f>
        <v/>
      </c>
      <c r="R467" s="223">
        <f>O467*1.15</f>
        <v/>
      </c>
      <c r="S467" s="223">
        <f>IF(N467&lt;O467*0.9056*0.85,O467*0.9056*0.85,IF(N467&gt;O467*1.15,O467*1.15,N467))</f>
        <v/>
      </c>
      <c r="T467" s="223">
        <f>+G467*N467</f>
        <v/>
      </c>
      <c r="U467" s="223">
        <f>T467+S467*J467</f>
        <v/>
      </c>
      <c r="V467" s="230">
        <f>T467+S467*K467</f>
        <v/>
      </c>
      <c r="W467" s="223">
        <f>V467-T467</f>
        <v/>
      </c>
      <c r="X467" s="230">
        <f>+V467-U467</f>
        <v/>
      </c>
      <c r="Y467" s="231">
        <f>+V467-U467</f>
        <v/>
      </c>
      <c r="Z467" s="222" t="n"/>
      <c r="AA467" s="222" t="n"/>
      <c r="AB467" s="222" t="n"/>
      <c r="AC467" s="222" t="n"/>
      <c r="AD467" s="222" t="n"/>
      <c r="AE467" s="222" t="n"/>
      <c r="AF467" s="222" t="n"/>
      <c r="AG467" s="222" t="n"/>
      <c r="AH467" s="222" t="n"/>
      <c r="AI467" s="222" t="n"/>
      <c r="AJ467" s="222" t="n"/>
    </row>
    <row r="468" ht="28.5" customHeight="1" s="166">
      <c r="A468" s="222" t="n"/>
      <c r="B468" s="222" t="inlineStr">
        <is>
          <t>教学楼</t>
        </is>
      </c>
      <c r="C468" s="222" t="inlineStr">
        <is>
          <t>011702008001</t>
        </is>
      </c>
      <c r="D468" s="222" t="inlineStr">
        <is>
          <t>圈梁</t>
        </is>
      </c>
      <c r="E468" s="222" t="inlineStr">
        <is>
          <t>1.圈梁模板支模高度3.6m内</t>
        </is>
      </c>
      <c r="F468" s="222" t="inlineStr">
        <is>
          <t>m2</t>
        </is>
      </c>
      <c r="G468" s="222" t="n">
        <v>426</v>
      </c>
      <c r="H468" s="223" t="n">
        <v>426</v>
      </c>
      <c r="I468" s="230" t="n">
        <v>226.27</v>
      </c>
      <c r="J468" s="223">
        <f>H468-G468</f>
        <v/>
      </c>
      <c r="K468" s="223">
        <f>I468-G468</f>
        <v/>
      </c>
      <c r="L468" s="223">
        <f>+I468-H468</f>
        <v/>
      </c>
      <c r="M468" s="224">
        <f>J468/G468</f>
        <v/>
      </c>
      <c r="N468" s="222" t="n">
        <v>48.71</v>
      </c>
      <c r="O468" s="222" t="n">
        <v>69.5</v>
      </c>
      <c r="P468" s="224">
        <f>(N468-O468)/O468</f>
        <v/>
      </c>
      <c r="Q468" s="223">
        <f>O468*0.9056*0.85</f>
        <v/>
      </c>
      <c r="R468" s="223">
        <f>O468*1.15</f>
        <v/>
      </c>
      <c r="S468" s="223">
        <f>IF(N468&lt;O468*0.9056*0.85,O468*0.9056*0.85,IF(N468&gt;O468*1.15,O468*1.15,N468))</f>
        <v/>
      </c>
      <c r="T468" s="223">
        <f>+G468*N468</f>
        <v/>
      </c>
      <c r="U468" s="223">
        <f>T468+S468*J468</f>
        <v/>
      </c>
      <c r="V468" s="230">
        <f>T468+S468*K468</f>
        <v/>
      </c>
      <c r="W468" s="223">
        <f>V468-T468</f>
        <v/>
      </c>
      <c r="X468" s="230">
        <f>+V468-U468</f>
        <v/>
      </c>
      <c r="Y468" s="231">
        <f>+V468-U468</f>
        <v/>
      </c>
      <c r="Z468" s="222" t="n"/>
      <c r="AA468" s="222" t="n"/>
      <c r="AB468" s="222" t="n"/>
      <c r="AC468" s="222" t="n"/>
      <c r="AD468" s="222" t="n"/>
      <c r="AE468" s="222" t="n"/>
      <c r="AF468" s="222" t="n"/>
      <c r="AG468" s="222" t="n"/>
      <c r="AH468" s="222" t="n"/>
      <c r="AI468" s="222" t="n"/>
      <c r="AJ468" s="222" t="n"/>
    </row>
    <row r="469" ht="18" customHeight="1" s="166">
      <c r="A469" s="222" t="n"/>
      <c r="B469" s="222" t="inlineStr">
        <is>
          <t>教学楼</t>
        </is>
      </c>
      <c r="C469" s="222" t="inlineStr">
        <is>
          <t>011702008004</t>
        </is>
      </c>
      <c r="D469" s="222" t="inlineStr">
        <is>
          <t>过梁</t>
        </is>
      </c>
      <c r="E469" s="222" t="inlineStr">
        <is>
          <t>1.过梁模板支模高度3.6m内</t>
        </is>
      </c>
      <c r="F469" s="222" t="inlineStr">
        <is>
          <t>m2</t>
        </is>
      </c>
      <c r="G469" s="222" t="n">
        <v>151.22</v>
      </c>
      <c r="H469" s="223" t="n">
        <v>151.22</v>
      </c>
      <c r="I469" s="230" t="n">
        <v>103.99</v>
      </c>
      <c r="J469" s="223">
        <f>H469-G469</f>
        <v/>
      </c>
      <c r="K469" s="223">
        <f>I469-G469</f>
        <v/>
      </c>
      <c r="L469" s="223">
        <f>+I469-H469</f>
        <v/>
      </c>
      <c r="M469" s="224">
        <f>J469/G469</f>
        <v/>
      </c>
      <c r="N469" s="222" t="n">
        <v>48.71</v>
      </c>
      <c r="O469" s="222" t="n">
        <v>69.5</v>
      </c>
      <c r="P469" s="224">
        <f>(N469-O469)/O469</f>
        <v/>
      </c>
      <c r="Q469" s="223">
        <f>O469*0.9056*0.85</f>
        <v/>
      </c>
      <c r="R469" s="223">
        <f>O469*1.15</f>
        <v/>
      </c>
      <c r="S469" s="223">
        <f>IF(N469&lt;O469*0.9056*0.85,O469*0.9056*0.85,IF(N469&gt;O469*1.15,O469*1.15,N469))</f>
        <v/>
      </c>
      <c r="T469" s="223">
        <f>+G469*N469</f>
        <v/>
      </c>
      <c r="U469" s="223">
        <f>T469+S469*J469</f>
        <v/>
      </c>
      <c r="V469" s="230">
        <f>T469+S469*K469</f>
        <v/>
      </c>
      <c r="W469" s="223">
        <f>V469-T469</f>
        <v/>
      </c>
      <c r="X469" s="230">
        <f>+V469-U469</f>
        <v/>
      </c>
      <c r="Y469" s="231">
        <f>+V469-U469</f>
        <v/>
      </c>
      <c r="Z469" s="222" t="n"/>
      <c r="AA469" s="222" t="n"/>
      <c r="AB469" s="222" t="n"/>
      <c r="AC469" s="222" t="n"/>
      <c r="AD469" s="222" t="n"/>
      <c r="AE469" s="222" t="n"/>
      <c r="AF469" s="222" t="n"/>
      <c r="AG469" s="222" t="n"/>
      <c r="AH469" s="222" t="n"/>
      <c r="AI469" s="222" t="n"/>
      <c r="AJ469" s="222" t="n"/>
    </row>
    <row r="470" ht="28.5" customHeight="1" s="166">
      <c r="A470" s="222" t="n"/>
      <c r="B470" s="222" t="inlineStr">
        <is>
          <t>教学楼</t>
        </is>
      </c>
      <c r="C470" s="222" t="inlineStr">
        <is>
          <t>011702008003</t>
        </is>
      </c>
      <c r="D470" s="222" t="inlineStr">
        <is>
          <t>反坎</t>
        </is>
      </c>
      <c r="E470" s="222" t="inlineStr">
        <is>
          <t>1.反坎模板支模高度3.6m内</t>
        </is>
      </c>
      <c r="F470" s="222" t="inlineStr">
        <is>
          <t>m2</t>
        </is>
      </c>
      <c r="G470" s="222" t="n">
        <v>181.06</v>
      </c>
      <c r="H470" s="223" t="n">
        <v>308.44</v>
      </c>
      <c r="I470" s="230" t="n">
        <v>308.44</v>
      </c>
      <c r="J470" s="223">
        <f>H470-G470</f>
        <v/>
      </c>
      <c r="K470" s="223">
        <f>I470-G470</f>
        <v/>
      </c>
      <c r="L470" s="223">
        <f>+I470-H470</f>
        <v/>
      </c>
      <c r="M470" s="224">
        <f>J470/G470</f>
        <v/>
      </c>
      <c r="N470" s="222" t="n">
        <v>64.39</v>
      </c>
      <c r="O470" s="222" t="n">
        <v>69.5</v>
      </c>
      <c r="P470" s="224">
        <f>(N470-O470)/O470</f>
        <v/>
      </c>
      <c r="Q470" s="223">
        <f>O470*0.9056*0.85</f>
        <v/>
      </c>
      <c r="R470" s="223">
        <f>O470*1.15</f>
        <v/>
      </c>
      <c r="S470" s="223">
        <f>IF(N470&lt;O470*0.9056*0.85,O470*0.9056*0.85,IF(N470&gt;O470*1.15,O470*1.15,N470))</f>
        <v/>
      </c>
      <c r="T470" s="223">
        <f>+G470*N470</f>
        <v/>
      </c>
      <c r="U470" s="223">
        <f>T470+S470*J470</f>
        <v/>
      </c>
      <c r="V470" s="230">
        <f>T470+S470*K470</f>
        <v/>
      </c>
      <c r="W470" s="223">
        <f>V470-T470</f>
        <v/>
      </c>
      <c r="X470" s="230">
        <f>+V470-U470</f>
        <v/>
      </c>
      <c r="Y470" s="231">
        <f>+V470-U470</f>
        <v/>
      </c>
      <c r="Z470" s="222" t="n"/>
      <c r="AA470" s="222" t="n"/>
      <c r="AB470" s="222" t="n"/>
      <c r="AC470" s="222" t="n"/>
      <c r="AD470" s="222" t="n"/>
      <c r="AE470" s="222" t="n"/>
      <c r="AF470" s="222" t="n"/>
      <c r="AG470" s="222" t="n"/>
      <c r="AH470" s="222" t="n"/>
      <c r="AI470" s="222" t="n"/>
      <c r="AJ470" s="222" t="n"/>
    </row>
    <row r="471" ht="28.5" customHeight="1" s="166">
      <c r="A471" s="222" t="n"/>
      <c r="B471" s="222" t="inlineStr">
        <is>
          <t>教学楼</t>
        </is>
      </c>
      <c r="C471" s="222" t="inlineStr">
        <is>
          <t>011702024001</t>
        </is>
      </c>
      <c r="D471" s="222" t="inlineStr">
        <is>
          <t>楼梯</t>
        </is>
      </c>
      <c r="E471" s="222" t="inlineStr">
        <is>
          <t>1.楼梯模板直形</t>
        </is>
      </c>
      <c r="F471" s="222" t="inlineStr">
        <is>
          <t>m2</t>
        </is>
      </c>
      <c r="G471" s="222" t="n">
        <v>579.55</v>
      </c>
      <c r="H471" s="223" t="n">
        <v>540.67</v>
      </c>
      <c r="I471" s="230" t="n">
        <v>514.92</v>
      </c>
      <c r="J471" s="223">
        <f>H471-G471</f>
        <v/>
      </c>
      <c r="K471" s="223">
        <f>I471-G471</f>
        <v/>
      </c>
      <c r="L471" s="223">
        <f>+I471-H471</f>
        <v/>
      </c>
      <c r="M471" s="224">
        <f>J471/G471</f>
        <v/>
      </c>
      <c r="N471" s="222" t="n">
        <v>174.23</v>
      </c>
      <c r="O471" s="222" t="n">
        <v>190.32</v>
      </c>
      <c r="P471" s="224">
        <f>(N471-O471)/O471</f>
        <v/>
      </c>
      <c r="Q471" s="223">
        <f>O471*0.9056*0.85</f>
        <v/>
      </c>
      <c r="R471" s="223">
        <f>O471*1.15</f>
        <v/>
      </c>
      <c r="S471" s="223">
        <f>IF(N471&lt;O471*0.9056*0.85,O471*0.9056*0.85,IF(N471&gt;O471*1.15,O471*1.15,N471))</f>
        <v/>
      </c>
      <c r="T471" s="223">
        <f>+G471*N471</f>
        <v/>
      </c>
      <c r="U471" s="223">
        <f>T471+S471*J471</f>
        <v/>
      </c>
      <c r="V471" s="230">
        <f>T471+S471*K471</f>
        <v/>
      </c>
      <c r="W471" s="223">
        <f>V471-T471</f>
        <v/>
      </c>
      <c r="X471" s="230">
        <f>+V471-U471</f>
        <v/>
      </c>
      <c r="Y471" s="231">
        <f>+V471-U471</f>
        <v/>
      </c>
      <c r="Z471" s="222" t="n"/>
      <c r="AA471" s="222" t="n"/>
      <c r="AB471" s="222" t="n"/>
      <c r="AC471" s="222" t="n"/>
      <c r="AD471" s="222" t="n"/>
      <c r="AE471" s="222" t="n"/>
      <c r="AF471" s="222" t="n"/>
      <c r="AG471" s="222" t="n"/>
      <c r="AH471" s="222" t="n"/>
      <c r="AI471" s="222" t="n"/>
      <c r="AJ471" s="222" t="n"/>
    </row>
    <row r="472" ht="66.75" customHeight="1" s="166">
      <c r="A472" s="222" t="n"/>
      <c r="B472" s="234" t="inlineStr">
        <is>
          <t>教学楼</t>
        </is>
      </c>
      <c r="C472" s="234" t="inlineStr">
        <is>
          <t>010401001002</t>
        </is>
      </c>
      <c r="D472" s="234" t="inlineStr">
        <is>
          <t>砖基础</t>
        </is>
      </c>
      <c r="E472" s="234" t="inlineStr">
        <is>
          <t>1.砖胎膜
2.砖品种、规格、强度等级:Mu15蒸压灰砂砖
3.砂浆强度等级:WMM5专用砌筑砂浆</t>
        </is>
      </c>
      <c r="F472" s="234" t="inlineStr">
        <is>
          <t>m3</t>
        </is>
      </c>
      <c r="G472" s="234" t="n">
        <v>130.7376</v>
      </c>
      <c r="H472" s="235" t="n">
        <v>361.58</v>
      </c>
      <c r="I472" s="230" t="n">
        <v>361.58</v>
      </c>
      <c r="J472" s="235">
        <f>H472-G472</f>
        <v/>
      </c>
      <c r="K472" s="235">
        <f>I472-G472</f>
        <v/>
      </c>
      <c r="L472" s="235">
        <f>+I472-H472</f>
        <v/>
      </c>
      <c r="M472" s="236">
        <f>J472/G472</f>
        <v/>
      </c>
      <c r="N472" s="234" t="n">
        <v>527.28</v>
      </c>
      <c r="O472" s="234" t="n">
        <v>641.05</v>
      </c>
      <c r="P472" s="236">
        <f>(N472-O472)/O472</f>
        <v/>
      </c>
      <c r="Q472" s="235">
        <f>O472*0.9056*0.85</f>
        <v/>
      </c>
      <c r="R472" s="235">
        <f>O472*1.15</f>
        <v/>
      </c>
      <c r="S472" s="235">
        <f>IF(N472&lt;O472*0.9056*0.85,O472*0.9056*0.85,IF(N472&gt;O472*1.15,O472*1.15,N472))</f>
        <v/>
      </c>
      <c r="T472" s="235">
        <f>+G472*N472</f>
        <v/>
      </c>
      <c r="U472" s="235">
        <f>T472+S472*J472</f>
        <v/>
      </c>
      <c r="V472" s="230">
        <f>T472+S472*K472</f>
        <v/>
      </c>
      <c r="W472" s="223">
        <f>V472-T472</f>
        <v/>
      </c>
      <c r="X472" s="230">
        <f>+V472-U472</f>
        <v/>
      </c>
      <c r="Y472" s="231">
        <f>+V472-U472</f>
        <v/>
      </c>
      <c r="Z472" s="234" t="n"/>
      <c r="AA472" s="222" t="n"/>
      <c r="AB472" s="222" t="n"/>
      <c r="AC472" s="222" t="n"/>
      <c r="AD472" s="222" t="n"/>
      <c r="AE472" s="222" t="n"/>
      <c r="AF472" s="222" t="n"/>
      <c r="AG472" s="222" t="n"/>
      <c r="AH472" s="222" t="n"/>
      <c r="AI472" s="222" t="n"/>
      <c r="AJ472" s="222" t="n"/>
    </row>
    <row r="473" ht="28.5" customHeight="1" s="166">
      <c r="A473" s="222" t="n"/>
      <c r="B473" s="234" t="inlineStr">
        <is>
          <t>教学楼</t>
        </is>
      </c>
      <c r="C473" s="234" t="inlineStr">
        <is>
          <t>011703001001</t>
        </is>
      </c>
      <c r="D473" s="234" t="inlineStr">
        <is>
          <t>垂直运输</t>
        </is>
      </c>
      <c r="E473" s="234" t="inlineStr">
        <is>
          <t>1.建筑物20m以上的垂直运输30m以内</t>
        </is>
      </c>
      <c r="F473" s="234" t="inlineStr">
        <is>
          <t>m2</t>
        </is>
      </c>
      <c r="G473" s="234" t="n">
        <v>8993.09</v>
      </c>
      <c r="H473" s="235" t="n">
        <v>10082.59</v>
      </c>
      <c r="I473" s="230" t="n">
        <v>9367.66</v>
      </c>
      <c r="J473" s="235">
        <f>H473-G473</f>
        <v/>
      </c>
      <c r="K473" s="235">
        <f>I473-G473</f>
        <v/>
      </c>
      <c r="L473" s="235">
        <f>+I473-H473</f>
        <v/>
      </c>
      <c r="M473" s="236">
        <f>J473/G473</f>
        <v/>
      </c>
      <c r="N473" s="234" t="n">
        <v>35.03</v>
      </c>
      <c r="O473" s="234" t="n">
        <v>37.72</v>
      </c>
      <c r="P473" s="236">
        <f>(N473-O473)/O473</f>
        <v/>
      </c>
      <c r="Q473" s="235">
        <f>O473*0.9056*0.85</f>
        <v/>
      </c>
      <c r="R473" s="235">
        <f>O473*1.15</f>
        <v/>
      </c>
      <c r="S473" s="235">
        <f>IF(N473&lt;O473*0.9056*0.85,O473*0.9056*0.85,IF(N473&gt;O473*1.15,O473*1.15,N473))</f>
        <v/>
      </c>
      <c r="T473" s="235">
        <f>+G473*N473</f>
        <v/>
      </c>
      <c r="U473" s="235">
        <f>T473+S473*J473</f>
        <v/>
      </c>
      <c r="V473" s="230">
        <f>T473+S473*K473</f>
        <v/>
      </c>
      <c r="W473" s="223">
        <f>V473-T473</f>
        <v/>
      </c>
      <c r="X473" s="230">
        <f>+V473-U473</f>
        <v/>
      </c>
      <c r="Y473" s="231">
        <f>+V473-U473</f>
        <v/>
      </c>
      <c r="Z473" s="234" t="n"/>
      <c r="AA473" s="222" t="n"/>
      <c r="AB473" s="222" t="n"/>
      <c r="AC473" s="222" t="n"/>
      <c r="AD473" s="222" t="n"/>
      <c r="AE473" s="222" t="n"/>
      <c r="AF473" s="222" t="n"/>
      <c r="AG473" s="222" t="n"/>
      <c r="AH473" s="222" t="n"/>
      <c r="AI473" s="222" t="n"/>
      <c r="AJ473" s="222" t="n"/>
    </row>
    <row r="474" ht="28.5" customHeight="1" s="166">
      <c r="A474" s="222" t="n"/>
      <c r="B474" s="222" t="inlineStr">
        <is>
          <t>教学楼</t>
        </is>
      </c>
      <c r="C474" s="222" t="inlineStr">
        <is>
          <t>011704001001</t>
        </is>
      </c>
      <c r="D474" s="222" t="inlineStr">
        <is>
          <t>超高施工增加</t>
        </is>
      </c>
      <c r="E474" s="222" t="inlineStr">
        <is>
          <t>1.建筑物超高增加人工、机械降效率高度30m以内</t>
        </is>
      </c>
      <c r="F474" s="222" t="inlineStr">
        <is>
          <t>项</t>
        </is>
      </c>
      <c r="G474" s="222" t="n">
        <v>1</v>
      </c>
      <c r="H474" s="223" t="n">
        <v>1</v>
      </c>
      <c r="I474" s="232" t="n">
        <v>1</v>
      </c>
      <c r="J474" s="223">
        <f>H474-G474</f>
        <v/>
      </c>
      <c r="K474" s="223">
        <f>I474-G474</f>
        <v/>
      </c>
      <c r="L474" s="223">
        <f>+I474-H474</f>
        <v/>
      </c>
      <c r="M474" s="224">
        <f>J474/G474</f>
        <v/>
      </c>
      <c r="N474" s="222" t="n">
        <v>47756.39</v>
      </c>
      <c r="O474" s="222" t="n">
        <v>88431.92</v>
      </c>
      <c r="P474" s="224">
        <f>(N474-O474)/O474</f>
        <v/>
      </c>
      <c r="Q474" s="223">
        <f>O474*0.9056*0.85</f>
        <v/>
      </c>
      <c r="R474" s="223">
        <f>O474*1.15</f>
        <v/>
      </c>
      <c r="S474" s="223">
        <f>IF(N474&lt;O474*0.9056*0.85,O474*0.9056*0.85,IF(N474&gt;O474*1.15,O474*1.15,N474))</f>
        <v/>
      </c>
      <c r="T474" s="223">
        <f>+G474*N474</f>
        <v/>
      </c>
      <c r="U474" s="223">
        <f>T474+S474*J474</f>
        <v/>
      </c>
      <c r="V474" s="230">
        <f>T474+S474*K474</f>
        <v/>
      </c>
      <c r="W474" s="223">
        <f>V474-T474</f>
        <v/>
      </c>
      <c r="X474" s="230">
        <f>+V474-U474</f>
        <v/>
      </c>
      <c r="Y474" s="231">
        <f>+V474-U474</f>
        <v/>
      </c>
      <c r="Z474" s="222" t="n"/>
      <c r="AA474" s="222" t="n"/>
      <c r="AB474" s="222" t="n"/>
      <c r="AC474" s="222" t="n"/>
      <c r="AD474" s="222" t="n"/>
      <c r="AE474" s="222" t="n"/>
      <c r="AF474" s="222" t="n"/>
      <c r="AG474" s="222" t="n"/>
      <c r="AH474" s="222" t="n"/>
      <c r="AI474" s="222" t="n"/>
      <c r="AJ474" s="222" t="n"/>
    </row>
    <row r="475" ht="23" customHeight="1" s="166">
      <c r="A475" s="222" t="n"/>
      <c r="B475" s="222" t="inlineStr">
        <is>
          <t>教学楼</t>
        </is>
      </c>
      <c r="C475" s="222" t="n"/>
      <c r="D475" s="222" t="inlineStr">
        <is>
          <t>不含税造价</t>
        </is>
      </c>
      <c r="E475" s="222" t="n"/>
      <c r="F475" s="222" t="n"/>
      <c r="G475" s="222" t="n"/>
      <c r="H475" s="223" t="n"/>
      <c r="I475" s="229" t="n"/>
      <c r="J475" s="222" t="n"/>
      <c r="K475" s="222" t="n"/>
      <c r="L475" s="222" t="n"/>
      <c r="M475" s="224" t="n"/>
      <c r="N475" s="222" t="n"/>
      <c r="O475" s="222" t="n"/>
      <c r="P475" s="224" t="n"/>
      <c r="Q475" s="223" t="n"/>
      <c r="R475" s="223" t="n"/>
      <c r="S475" s="223" t="n"/>
      <c r="T475" s="223">
        <f>+T428+T429</f>
        <v/>
      </c>
      <c r="U475" s="223">
        <f>+U428+U429</f>
        <v/>
      </c>
      <c r="V475" s="230">
        <f>+V428+V429</f>
        <v/>
      </c>
      <c r="W475" s="223">
        <f>V475-T475</f>
        <v/>
      </c>
      <c r="X475" s="230">
        <f>+V475-U475</f>
        <v/>
      </c>
      <c r="Y475" s="231">
        <f>+V475-U475</f>
        <v/>
      </c>
      <c r="Z475" s="223" t="n"/>
      <c r="AA475" s="222" t="n"/>
      <c r="AB475" s="222" t="n"/>
      <c r="AC475" s="222" t="n"/>
      <c r="AD475" s="222" t="n"/>
      <c r="AE475" s="222" t="n"/>
      <c r="AF475" s="222" t="n"/>
      <c r="AG475" s="222" t="n"/>
      <c r="AH475" s="222" t="n"/>
      <c r="AI475" s="222" t="n"/>
      <c r="AJ475" s="222" t="n"/>
    </row>
    <row r="476" ht="23" customHeight="1" s="166">
      <c r="A476" s="222" t="n"/>
      <c r="B476" s="222" t="inlineStr">
        <is>
          <t>教学楼</t>
        </is>
      </c>
      <c r="C476" s="222" t="n"/>
      <c r="D476" s="222" t="inlineStr">
        <is>
          <t>税金（9%）</t>
        </is>
      </c>
      <c r="E476" s="222" t="n"/>
      <c r="F476" s="222" t="n"/>
      <c r="G476" s="222" t="n"/>
      <c r="H476" s="223" t="n"/>
      <c r="I476" s="229" t="n"/>
      <c r="J476" s="222" t="n"/>
      <c r="K476" s="222" t="n"/>
      <c r="L476" s="222" t="n"/>
      <c r="M476" s="224" t="n"/>
      <c r="N476" s="222" t="n"/>
      <c r="O476" s="222" t="n"/>
      <c r="P476" s="224" t="n"/>
      <c r="Q476" s="223" t="n"/>
      <c r="R476" s="223" t="n"/>
      <c r="S476" s="223" t="n"/>
      <c r="T476" s="223">
        <f>T475*0.09</f>
        <v/>
      </c>
      <c r="U476" s="223">
        <f>U475*0.09</f>
        <v/>
      </c>
      <c r="V476" s="230">
        <f>V475*0.09</f>
        <v/>
      </c>
      <c r="W476" s="223">
        <f>V476-T476</f>
        <v/>
      </c>
      <c r="X476" s="230">
        <f>+V476-U476</f>
        <v/>
      </c>
      <c r="Y476" s="231">
        <f>+V476-U476</f>
        <v/>
      </c>
      <c r="Z476" s="223" t="n"/>
      <c r="AA476" s="222" t="n"/>
      <c r="AB476" s="222" t="n"/>
      <c r="AC476" s="222" t="n"/>
      <c r="AD476" s="222" t="n"/>
      <c r="AE476" s="222" t="n"/>
      <c r="AF476" s="222" t="n"/>
      <c r="AG476" s="222" t="n"/>
      <c r="AH476" s="222" t="n"/>
      <c r="AI476" s="222" t="n"/>
      <c r="AJ476" s="222" t="n"/>
    </row>
    <row r="477" ht="21" customHeight="1" s="166">
      <c r="A477" s="222" t="n"/>
      <c r="B477" s="222" t="inlineStr">
        <is>
          <t>教学楼</t>
        </is>
      </c>
      <c r="C477" s="222" t="n"/>
      <c r="D477" s="222" t="inlineStr">
        <is>
          <t>含税造价</t>
        </is>
      </c>
      <c r="E477" s="222" t="n"/>
      <c r="F477" s="222" t="n"/>
      <c r="G477" s="228" t="n"/>
      <c r="H477" s="223" t="n"/>
      <c r="I477" s="229" t="n"/>
      <c r="J477" s="228" t="n"/>
      <c r="K477" s="228" t="n"/>
      <c r="L477" s="228" t="n"/>
      <c r="M477" s="224" t="n"/>
      <c r="N477" s="228" t="n"/>
      <c r="O477" s="228" t="n"/>
      <c r="P477" s="224" t="n"/>
      <c r="Q477" s="223" t="n"/>
      <c r="R477" s="223" t="n"/>
      <c r="S477" s="223" t="n"/>
      <c r="T477" s="223">
        <f>T475+T476</f>
        <v/>
      </c>
      <c r="U477" s="223">
        <f>U475+U476</f>
        <v/>
      </c>
      <c r="V477" s="230">
        <f>V475+V476</f>
        <v/>
      </c>
      <c r="W477" s="223">
        <f>V477-T477</f>
        <v/>
      </c>
      <c r="X477" s="230">
        <f>+V477-U477</f>
        <v/>
      </c>
      <c r="Y477" s="231">
        <f>+V477-U477</f>
        <v/>
      </c>
      <c r="Z477" s="223" t="n"/>
      <c r="AA477" s="222" t="n"/>
      <c r="AB477" s="222" t="n"/>
      <c r="AC477" s="222" t="n"/>
      <c r="AD477" s="222" t="n"/>
      <c r="AE477" s="222" t="n"/>
      <c r="AF477" s="222" t="n"/>
      <c r="AG477" s="222" t="n"/>
      <c r="AH477" s="222" t="n"/>
      <c r="AI477" s="222" t="n"/>
      <c r="AJ477" s="222" t="n"/>
    </row>
    <row r="478" ht="12" customHeight="1" s="166">
      <c r="A478" s="222" t="n"/>
      <c r="B478" s="222" t="inlineStr">
        <is>
          <t>教学楼</t>
        </is>
      </c>
      <c r="C478" s="222" t="n"/>
      <c r="D478" s="222" t="n"/>
      <c r="E478" s="222" t="n"/>
      <c r="F478" s="222" t="n"/>
      <c r="G478" s="222" t="n"/>
      <c r="H478" s="222" t="n"/>
      <c r="I478" s="229" t="n"/>
      <c r="J478" s="222" t="n"/>
      <c r="K478" s="222" t="n"/>
      <c r="L478" s="222" t="n"/>
      <c r="M478" s="222" t="n"/>
      <c r="N478" s="222" t="n"/>
      <c r="O478" s="222" t="n"/>
      <c r="P478" s="222" t="n"/>
      <c r="Q478" s="222" t="n"/>
      <c r="R478" s="222" t="n"/>
      <c r="S478" s="222" t="n"/>
      <c r="T478" s="222" t="n"/>
      <c r="U478" s="222" t="n"/>
      <c r="V478" s="230" t="n"/>
      <c r="W478" s="223" t="n"/>
      <c r="X478" s="230" t="n"/>
      <c r="Y478" s="231" t="n"/>
      <c r="Z478" s="222" t="n"/>
      <c r="AA478" s="222" t="n"/>
      <c r="AB478" s="222" t="n"/>
      <c r="AC478" s="222" t="n"/>
      <c r="AD478" s="222" t="n"/>
      <c r="AE478" s="222" t="n"/>
      <c r="AF478" s="222" t="n"/>
      <c r="AG478" s="222" t="n"/>
      <c r="AH478" s="222" t="n"/>
      <c r="AI478" s="222" t="n"/>
      <c r="AJ478" s="222" t="n"/>
    </row>
    <row r="479" ht="12" customHeight="1" s="166">
      <c r="A479" s="222" t="n"/>
      <c r="B479" s="222" t="inlineStr">
        <is>
          <t>教学楼</t>
        </is>
      </c>
      <c r="C479" s="222" t="n"/>
      <c r="D479" s="222" t="n"/>
      <c r="E479" s="222" t="n"/>
      <c r="F479" s="222" t="n"/>
      <c r="G479" s="222" t="n"/>
      <c r="H479" s="222" t="n"/>
      <c r="I479" s="229" t="n"/>
      <c r="J479" s="222" t="n"/>
      <c r="K479" s="222" t="n"/>
      <c r="L479" s="222" t="n"/>
      <c r="M479" s="222" t="n"/>
      <c r="N479" s="222" t="n"/>
      <c r="O479" s="222" t="n"/>
      <c r="P479" s="222" t="n"/>
      <c r="Q479" s="222" t="n"/>
      <c r="R479" s="222" t="n"/>
      <c r="S479" s="222" t="n"/>
      <c r="T479" s="222" t="n"/>
      <c r="U479" s="222" t="n"/>
      <c r="V479" s="230" t="n"/>
      <c r="W479" s="223" t="n"/>
      <c r="X479" s="230" t="n"/>
      <c r="Y479" s="231" t="n"/>
      <c r="Z479" s="222" t="n"/>
      <c r="AA479" s="222" t="n"/>
      <c r="AB479" s="222" t="n"/>
      <c r="AC479" s="222" t="n"/>
      <c r="AD479" s="222" t="n"/>
      <c r="AE479" s="222" t="n"/>
      <c r="AF479" s="222" t="n"/>
      <c r="AG479" s="222" t="n"/>
      <c r="AH479" s="222" t="n"/>
      <c r="AI479" s="222" t="n"/>
      <c r="AJ479" s="222" t="n"/>
    </row>
    <row r="480" ht="12" customHeight="1" s="166">
      <c r="A480" s="222" t="n"/>
      <c r="B480" s="222" t="inlineStr">
        <is>
          <t>教学楼</t>
        </is>
      </c>
      <c r="C480" s="222" t="n"/>
      <c r="D480" s="222" t="n"/>
      <c r="E480" s="222" t="n"/>
      <c r="F480" s="222" t="n"/>
      <c r="G480" s="222" t="n"/>
      <c r="H480" s="222" t="n"/>
      <c r="I480" s="229" t="n"/>
      <c r="J480" s="222" t="n"/>
      <c r="K480" s="222" t="n"/>
      <c r="L480" s="222" t="n"/>
      <c r="M480" s="222" t="n"/>
      <c r="N480" s="222" t="n"/>
      <c r="O480" s="222" t="n"/>
      <c r="P480" s="222" t="n"/>
      <c r="Q480" s="222" t="n"/>
      <c r="R480" s="222" t="n"/>
      <c r="S480" s="222" t="n"/>
      <c r="T480" s="222" t="n"/>
      <c r="U480" s="222" t="n"/>
      <c r="V480" s="230" t="n"/>
      <c r="W480" s="223" t="n"/>
      <c r="X480" s="230" t="n"/>
      <c r="Y480" s="231" t="n"/>
      <c r="Z480" s="222" t="n"/>
      <c r="AA480" s="222" t="n"/>
      <c r="AB480" s="222" t="n"/>
      <c r="AC480" s="222" t="n"/>
      <c r="AD480" s="222" t="n"/>
      <c r="AE480" s="222" t="n"/>
      <c r="AF480" s="222" t="n"/>
      <c r="AG480" s="222" t="n"/>
      <c r="AH480" s="222" t="n"/>
      <c r="AI480" s="222" t="n"/>
      <c r="AJ480" s="222" t="n"/>
    </row>
    <row r="481" ht="12" customHeight="1" s="166">
      <c r="A481" s="222" t="n"/>
      <c r="B481" s="222" t="inlineStr">
        <is>
          <t>教学楼</t>
        </is>
      </c>
      <c r="C481" s="222" t="n"/>
      <c r="D481" s="222" t="n"/>
      <c r="E481" s="222" t="n"/>
      <c r="F481" s="222" t="n"/>
      <c r="G481" s="222" t="n"/>
      <c r="H481" s="222" t="n"/>
      <c r="I481" s="229" t="n"/>
      <c r="J481" s="222" t="n"/>
      <c r="K481" s="222" t="n"/>
      <c r="L481" s="222" t="n"/>
      <c r="M481" s="222" t="n"/>
      <c r="N481" s="222" t="n"/>
      <c r="O481" s="222" t="n"/>
      <c r="P481" s="222" t="n"/>
      <c r="Q481" s="222" t="n"/>
      <c r="R481" s="222" t="n"/>
      <c r="S481" s="222" t="n"/>
      <c r="T481" s="222" t="n"/>
      <c r="U481" s="222" t="n"/>
      <c r="V481" s="230" t="n"/>
      <c r="W481" s="223" t="n"/>
      <c r="X481" s="230" t="n"/>
      <c r="Y481" s="231" t="n"/>
      <c r="Z481" s="222" t="n"/>
      <c r="AA481" s="222" t="n"/>
      <c r="AB481" s="222" t="n"/>
      <c r="AC481" s="222" t="n"/>
      <c r="AD481" s="222" t="n"/>
      <c r="AE481" s="222" t="n"/>
      <c r="AF481" s="222" t="n"/>
      <c r="AG481" s="222" t="n"/>
      <c r="AH481" s="222" t="n"/>
      <c r="AI481" s="222" t="n"/>
      <c r="AJ481" s="222" t="n"/>
    </row>
    <row r="482" ht="12" customHeight="1" s="166">
      <c r="A482" s="222" t="n"/>
      <c r="B482" s="222" t="inlineStr">
        <is>
          <t>教学楼</t>
        </is>
      </c>
      <c r="C482" s="222" t="n"/>
      <c r="D482" s="222" t="n"/>
      <c r="E482" s="222" t="n"/>
      <c r="F482" s="222" t="n"/>
      <c r="G482" s="222" t="n"/>
      <c r="H482" s="222" t="n"/>
      <c r="I482" s="229" t="n"/>
      <c r="J482" s="222" t="n"/>
      <c r="K482" s="222" t="n"/>
      <c r="L482" s="222" t="n"/>
      <c r="M482" s="222" t="n"/>
      <c r="N482" s="222" t="n"/>
      <c r="O482" s="222" t="n"/>
      <c r="P482" s="222" t="n"/>
      <c r="Q482" s="222" t="n"/>
      <c r="R482" s="222" t="n"/>
      <c r="S482" s="222" t="n"/>
      <c r="T482" s="222" t="n"/>
      <c r="U482" s="222" t="n"/>
      <c r="V482" s="230" t="n"/>
      <c r="W482" s="223" t="n"/>
      <c r="X482" s="230" t="n"/>
      <c r="Y482" s="231" t="n"/>
      <c r="Z482" s="222" t="n"/>
      <c r="AA482" s="222" t="n"/>
      <c r="AB482" s="222" t="n"/>
      <c r="AC482" s="222" t="n"/>
      <c r="AD482" s="222" t="n"/>
      <c r="AE482" s="222" t="n"/>
      <c r="AF482" s="222" t="n"/>
      <c r="AG482" s="222" t="n"/>
      <c r="AH482" s="222" t="n"/>
      <c r="AI482" s="222" t="n"/>
      <c r="AJ482" s="222" t="n"/>
    </row>
    <row r="483" ht="12" customHeight="1" s="166">
      <c r="A483" s="222" t="n"/>
      <c r="B483" s="222" t="inlineStr">
        <is>
          <t>教学楼</t>
        </is>
      </c>
      <c r="C483" s="222" t="n"/>
      <c r="D483" s="222" t="n"/>
      <c r="E483" s="222" t="n"/>
      <c r="F483" s="222" t="n"/>
      <c r="G483" s="222" t="n"/>
      <c r="H483" s="222" t="n"/>
      <c r="I483" s="229" t="n"/>
      <c r="J483" s="222" t="n"/>
      <c r="K483" s="222" t="n"/>
      <c r="L483" s="222" t="n"/>
      <c r="M483" s="222" t="n"/>
      <c r="N483" s="222" t="n"/>
      <c r="O483" s="222" t="n"/>
      <c r="P483" s="222" t="n"/>
      <c r="Q483" s="222" t="n"/>
      <c r="R483" s="222" t="n"/>
      <c r="S483" s="222" t="n"/>
      <c r="T483" s="222" t="n"/>
      <c r="U483" s="222" t="n"/>
      <c r="V483" s="230" t="n"/>
      <c r="W483" s="223" t="n"/>
      <c r="X483" s="230" t="n"/>
      <c r="Y483" s="231" t="n"/>
      <c r="Z483" s="222" t="n"/>
      <c r="AA483" s="222" t="n"/>
      <c r="AB483" s="222" t="n"/>
      <c r="AC483" s="222" t="n"/>
      <c r="AD483" s="222" t="n"/>
      <c r="AE483" s="222" t="n"/>
      <c r="AF483" s="222" t="n"/>
      <c r="AG483" s="222" t="n"/>
      <c r="AH483" s="222" t="n"/>
      <c r="AI483" s="222" t="n"/>
      <c r="AJ483" s="222" t="n"/>
    </row>
    <row r="484" ht="12" customHeight="1" s="166">
      <c r="A484" s="222" t="n"/>
      <c r="B484" s="222" t="inlineStr">
        <is>
          <t>教学楼</t>
        </is>
      </c>
      <c r="C484" s="222" t="n"/>
      <c r="D484" s="222" t="n"/>
      <c r="E484" s="222" t="n"/>
      <c r="F484" s="222" t="n"/>
      <c r="G484" s="222" t="n"/>
      <c r="H484" s="222" t="n"/>
      <c r="I484" s="229" t="n"/>
      <c r="J484" s="222" t="n"/>
      <c r="K484" s="222" t="n"/>
      <c r="L484" s="222" t="n"/>
      <c r="M484" s="222" t="n"/>
      <c r="N484" s="222" t="n"/>
      <c r="O484" s="222" t="n"/>
      <c r="P484" s="222" t="n"/>
      <c r="Q484" s="222" t="n"/>
      <c r="R484" s="222" t="n"/>
      <c r="S484" s="222" t="n"/>
      <c r="T484" s="222" t="n"/>
      <c r="U484" s="222" t="n"/>
      <c r="V484" s="230" t="n"/>
      <c r="W484" s="223" t="n"/>
      <c r="X484" s="230" t="n"/>
      <c r="Y484" s="240">
        <f>Y477/U477</f>
        <v/>
      </c>
      <c r="Z484" s="222" t="n"/>
      <c r="AA484" s="222" t="n"/>
      <c r="AB484" s="222" t="n"/>
      <c r="AC484" s="222" t="n"/>
      <c r="AD484" s="222" t="n"/>
      <c r="AE484" s="222" t="n"/>
      <c r="AF484" s="222" t="n"/>
      <c r="AG484" s="222" t="n"/>
      <c r="AH484" s="222" t="n"/>
      <c r="AI484" s="222" t="n"/>
      <c r="AJ484" s="222" t="n"/>
    </row>
    <row r="485" ht="12" customHeight="1" s="166">
      <c r="A485" s="222" t="n"/>
      <c r="B485" s="222" t="inlineStr">
        <is>
          <t>教学楼</t>
        </is>
      </c>
      <c r="C485" s="222" t="n"/>
      <c r="D485" s="222" t="n"/>
      <c r="E485" s="222" t="n"/>
      <c r="F485" s="222" t="n"/>
      <c r="G485" s="222" t="n"/>
      <c r="H485" s="222" t="n"/>
      <c r="I485" s="229" t="n"/>
      <c r="J485" s="222" t="n"/>
      <c r="K485" s="222" t="n"/>
      <c r="L485" s="222" t="n"/>
      <c r="M485" s="222" t="n"/>
      <c r="N485" s="222" t="n"/>
      <c r="O485" s="222" t="n"/>
      <c r="P485" s="222" t="n"/>
      <c r="Q485" s="222" t="n"/>
      <c r="R485" s="222" t="n"/>
      <c r="S485" s="222" t="n"/>
      <c r="T485" s="222" t="n"/>
      <c r="U485" s="222" t="n"/>
      <c r="V485" s="230" t="n"/>
      <c r="W485" s="223" t="n"/>
      <c r="X485" s="230" t="n"/>
      <c r="Y485" s="231" t="n"/>
      <c r="Z485" s="222" t="n"/>
      <c r="AA485" s="222" t="n"/>
      <c r="AB485" s="222" t="n"/>
      <c r="AC485" s="222" t="n"/>
      <c r="AD485" s="222" t="n"/>
      <c r="AE485" s="222" t="n"/>
      <c r="AF485" s="222" t="n"/>
      <c r="AG485" s="222" t="n"/>
      <c r="AH485" s="222" t="n"/>
      <c r="AI485" s="222" t="n"/>
      <c r="AJ485" s="222" t="n"/>
    </row>
    <row r="486" ht="12" customHeight="1" s="166">
      <c r="A486" s="222" t="n"/>
      <c r="B486" s="222" t="inlineStr">
        <is>
          <t>教学楼</t>
        </is>
      </c>
      <c r="C486" s="222" t="n"/>
      <c r="D486" s="222" t="n"/>
      <c r="E486" s="222" t="n"/>
      <c r="F486" s="222" t="n"/>
      <c r="G486" s="222" t="n"/>
      <c r="H486" s="222" t="n"/>
      <c r="I486" s="229" t="n"/>
      <c r="J486" s="222" t="n"/>
      <c r="K486" s="222" t="n"/>
      <c r="L486" s="222" t="n"/>
      <c r="M486" s="222" t="n"/>
      <c r="N486" s="222" t="n"/>
      <c r="O486" s="222" t="n"/>
      <c r="P486" s="222" t="n"/>
      <c r="Q486" s="222" t="n"/>
      <c r="R486" s="222" t="n"/>
      <c r="S486" s="222" t="n"/>
      <c r="T486" s="222" t="n"/>
      <c r="U486" s="222" t="n"/>
      <c r="V486" s="230" t="n"/>
      <c r="W486" s="223" t="n"/>
      <c r="X486" s="230" t="n"/>
      <c r="Y486" s="231" t="n"/>
      <c r="Z486" s="222" t="n"/>
      <c r="AA486" s="222" t="n"/>
      <c r="AB486" s="222" t="n"/>
      <c r="AC486" s="222" t="n"/>
      <c r="AD486" s="222" t="n"/>
      <c r="AE486" s="222" t="n"/>
      <c r="AF486" s="222" t="n"/>
      <c r="AG486" s="222" t="n"/>
      <c r="AH486" s="222" t="n"/>
      <c r="AI486" s="222" t="n"/>
      <c r="AJ486" s="222" t="n"/>
    </row>
    <row r="487" ht="12" customHeight="1" s="166">
      <c r="A487" s="222" t="n"/>
      <c r="B487" s="222" t="inlineStr">
        <is>
          <t>教学楼</t>
        </is>
      </c>
      <c r="C487" s="222" t="n"/>
      <c r="D487" s="222" t="n"/>
      <c r="E487" s="222" t="n"/>
      <c r="F487" s="222" t="n"/>
      <c r="G487" s="222" t="n"/>
      <c r="H487" s="222" t="n"/>
      <c r="I487" s="229" t="n"/>
      <c r="J487" s="222" t="n"/>
      <c r="K487" s="222" t="n"/>
      <c r="L487" s="222" t="n"/>
      <c r="M487" s="222" t="n"/>
      <c r="N487" s="222" t="n"/>
      <c r="O487" s="222" t="n"/>
      <c r="P487" s="222" t="n"/>
      <c r="Q487" s="222" t="n"/>
      <c r="R487" s="222" t="n"/>
      <c r="S487" s="222" t="n"/>
      <c r="T487" s="222" t="n"/>
      <c r="U487" s="222" t="n"/>
      <c r="V487" s="230" t="n"/>
      <c r="W487" s="223" t="n"/>
      <c r="X487" s="230" t="n"/>
      <c r="Y487" s="231" t="n"/>
      <c r="Z487" s="222" t="n"/>
      <c r="AA487" s="222" t="n"/>
      <c r="AB487" s="222" t="n"/>
      <c r="AC487" s="222" t="n"/>
      <c r="AD487" s="222" t="n"/>
      <c r="AE487" s="222" t="n"/>
      <c r="AF487" s="222" t="n"/>
      <c r="AG487" s="222" t="n"/>
      <c r="AH487" s="222" t="n"/>
      <c r="AI487" s="222" t="n"/>
      <c r="AJ487" s="222" t="n"/>
    </row>
    <row r="488" ht="12" customHeight="1" s="166">
      <c r="A488" s="222" t="n"/>
      <c r="B488" s="222" t="inlineStr">
        <is>
          <t>教学楼</t>
        </is>
      </c>
      <c r="C488" s="222" t="n"/>
      <c r="D488" s="222" t="n"/>
      <c r="E488" s="222" t="n"/>
      <c r="F488" s="222" t="n"/>
      <c r="G488" s="222" t="n"/>
      <c r="H488" s="222" t="n"/>
      <c r="I488" s="229" t="n"/>
      <c r="J488" s="222" t="n"/>
      <c r="K488" s="222" t="n"/>
      <c r="L488" s="222" t="n"/>
      <c r="M488" s="222" t="n"/>
      <c r="N488" s="222" t="n"/>
      <c r="O488" s="222" t="n"/>
      <c r="P488" s="222" t="n"/>
      <c r="Q488" s="222" t="n"/>
      <c r="R488" s="222" t="n"/>
      <c r="S488" s="222" t="n"/>
      <c r="T488" s="222" t="n"/>
      <c r="U488" s="222" t="n"/>
      <c r="V488" s="230" t="n"/>
      <c r="W488" s="223" t="n"/>
      <c r="X488" s="230" t="n"/>
      <c r="Y488" s="231" t="n"/>
      <c r="Z488" s="222" t="n"/>
      <c r="AA488" s="222" t="n"/>
      <c r="AB488" s="222" t="n"/>
      <c r="AC488" s="222" t="n"/>
      <c r="AD488" s="222" t="n"/>
      <c r="AE488" s="222" t="n"/>
      <c r="AF488" s="222" t="n"/>
      <c r="AG488" s="222" t="n"/>
      <c r="AH488" s="222" t="n"/>
      <c r="AI488" s="222" t="n"/>
      <c r="AJ488" s="222" t="n"/>
    </row>
    <row r="489" ht="12" customHeight="1" s="166">
      <c r="A489" s="222" t="n"/>
      <c r="B489" s="222" t="inlineStr">
        <is>
          <t>教学楼</t>
        </is>
      </c>
      <c r="C489" s="222" t="n"/>
      <c r="D489" s="222" t="n"/>
      <c r="E489" s="222" t="n"/>
      <c r="F489" s="222" t="n"/>
      <c r="G489" s="222" t="n"/>
      <c r="H489" s="222" t="n"/>
      <c r="I489" s="229" t="n"/>
      <c r="J489" s="222" t="n"/>
      <c r="K489" s="222" t="n"/>
      <c r="L489" s="222" t="n"/>
      <c r="M489" s="222" t="n"/>
      <c r="N489" s="222" t="n"/>
      <c r="O489" s="222" t="n"/>
      <c r="P489" s="222" t="n"/>
      <c r="Q489" s="222" t="n"/>
      <c r="R489" s="222" t="n"/>
      <c r="S489" s="222" t="n"/>
      <c r="T489" s="222" t="n"/>
      <c r="U489" s="222" t="n"/>
      <c r="V489" s="230" t="n"/>
      <c r="W489" s="223" t="n"/>
      <c r="X489" s="230" t="n"/>
      <c r="Y489" s="231" t="n"/>
      <c r="Z489" s="222" t="n"/>
      <c r="AA489" s="222" t="n"/>
      <c r="AB489" s="222" t="n"/>
      <c r="AC489" s="222" t="n"/>
      <c r="AD489" s="222" t="n"/>
      <c r="AE489" s="222" t="n"/>
      <c r="AF489" s="222" t="n"/>
      <c r="AG489" s="222" t="n"/>
      <c r="AH489" s="222" t="n"/>
      <c r="AI489" s="222" t="n"/>
      <c r="AJ489" s="222" t="n"/>
    </row>
    <row r="490" ht="12" customHeight="1" s="166">
      <c r="A490" s="222" t="n"/>
      <c r="B490" s="222" t="inlineStr">
        <is>
          <t>教学楼</t>
        </is>
      </c>
      <c r="C490" s="222" t="n"/>
      <c r="D490" s="222" t="n"/>
      <c r="E490" s="222" t="n"/>
      <c r="F490" s="222" t="n"/>
      <c r="G490" s="222" t="n"/>
      <c r="H490" s="222" t="n"/>
      <c r="I490" s="229" t="n"/>
      <c r="J490" s="222" t="n"/>
      <c r="K490" s="222" t="n"/>
      <c r="L490" s="222" t="n"/>
      <c r="M490" s="222" t="n"/>
      <c r="N490" s="222" t="n"/>
      <c r="O490" s="222" t="n"/>
      <c r="P490" s="222" t="n"/>
      <c r="Q490" s="222" t="n"/>
      <c r="R490" s="222" t="n"/>
      <c r="S490" s="222" t="n"/>
      <c r="T490" s="222" t="n"/>
      <c r="U490" s="222" t="n"/>
      <c r="V490" s="230" t="n"/>
      <c r="W490" s="223" t="n"/>
      <c r="X490" s="230" t="n"/>
      <c r="Y490" s="231" t="n"/>
      <c r="Z490" s="222" t="n"/>
      <c r="AA490" s="222" t="n"/>
      <c r="AB490" s="222" t="n"/>
      <c r="AC490" s="222" t="n"/>
      <c r="AD490" s="222" t="n"/>
      <c r="AE490" s="222" t="n"/>
      <c r="AF490" s="222" t="n"/>
      <c r="AG490" s="222" t="n"/>
      <c r="AH490" s="222" t="n"/>
      <c r="AI490" s="222" t="n"/>
      <c r="AJ490" s="222" t="n"/>
    </row>
    <row r="491" ht="12" customHeight="1" s="166">
      <c r="A491" s="222" t="n"/>
      <c r="B491" s="222" t="inlineStr">
        <is>
          <t>教学楼</t>
        </is>
      </c>
      <c r="C491" s="222" t="n"/>
      <c r="D491" s="222" t="n"/>
      <c r="E491" s="222" t="n"/>
      <c r="F491" s="222" t="n"/>
      <c r="G491" s="222" t="n"/>
      <c r="H491" s="222" t="n"/>
      <c r="I491" s="229" t="n"/>
      <c r="J491" s="222" t="n"/>
      <c r="K491" s="222" t="n"/>
      <c r="L491" s="222" t="n"/>
      <c r="M491" s="222" t="n"/>
      <c r="N491" s="222" t="n"/>
      <c r="O491" s="222" t="n"/>
      <c r="P491" s="222" t="n"/>
      <c r="Q491" s="222" t="n"/>
      <c r="R491" s="222" t="n"/>
      <c r="S491" s="222" t="n"/>
      <c r="T491" s="222" t="n"/>
      <c r="U491" s="222" t="n"/>
      <c r="V491" s="230" t="n"/>
      <c r="W491" s="223" t="n"/>
      <c r="X491" s="230" t="n"/>
      <c r="Y491" s="231" t="n"/>
      <c r="Z491" s="222" t="n"/>
      <c r="AA491" s="222" t="n"/>
      <c r="AB491" s="222" t="n"/>
      <c r="AC491" s="222" t="n"/>
      <c r="AD491" s="222" t="n"/>
      <c r="AE491" s="222" t="n"/>
      <c r="AF491" s="222" t="n"/>
      <c r="AG491" s="222" t="n"/>
      <c r="AH491" s="222" t="n"/>
      <c r="AI491" s="222" t="n"/>
      <c r="AJ491" s="222" t="n"/>
    </row>
    <row r="492" ht="12" customHeight="1" s="166">
      <c r="A492" s="222" t="n"/>
      <c r="B492" s="222" t="inlineStr">
        <is>
          <t>教学楼</t>
        </is>
      </c>
      <c r="C492" s="222" t="n"/>
      <c r="D492" s="222" t="n"/>
      <c r="E492" s="222" t="n"/>
      <c r="F492" s="222" t="n"/>
      <c r="G492" s="222" t="n"/>
      <c r="H492" s="222" t="n"/>
      <c r="I492" s="229" t="n"/>
      <c r="J492" s="222" t="n"/>
      <c r="K492" s="222" t="n"/>
      <c r="L492" s="222" t="n"/>
      <c r="M492" s="222" t="n"/>
      <c r="N492" s="222" t="n"/>
      <c r="O492" s="222" t="n"/>
      <c r="P492" s="222" t="n"/>
      <c r="Q492" s="222" t="n"/>
      <c r="R492" s="222" t="n"/>
      <c r="S492" s="222" t="n"/>
      <c r="T492" s="222" t="n"/>
      <c r="U492" s="222" t="n"/>
      <c r="V492" s="230" t="n"/>
      <c r="W492" s="223" t="n"/>
      <c r="X492" s="230" t="n"/>
      <c r="Y492" s="231" t="n"/>
      <c r="Z492" s="222" t="n"/>
      <c r="AA492" s="222" t="n"/>
      <c r="AB492" s="222" t="n"/>
      <c r="AC492" s="222" t="n"/>
      <c r="AD492" s="222" t="n"/>
      <c r="AE492" s="222" t="n"/>
      <c r="AF492" s="222" t="n"/>
      <c r="AG492" s="222" t="n"/>
      <c r="AH492" s="222" t="n"/>
      <c r="AI492" s="222" t="n"/>
      <c r="AJ492" s="222" t="n"/>
    </row>
    <row r="493" ht="12" customHeight="1" s="166">
      <c r="A493" s="222" t="n"/>
      <c r="B493" s="222" t="inlineStr">
        <is>
          <t>教学楼</t>
        </is>
      </c>
      <c r="C493" s="222" t="n"/>
      <c r="D493" s="222" t="n"/>
      <c r="E493" s="222" t="n"/>
      <c r="F493" s="222" t="n"/>
      <c r="G493" s="222" t="n"/>
      <c r="H493" s="222" t="n"/>
      <c r="I493" s="229" t="n"/>
      <c r="J493" s="222" t="n"/>
      <c r="K493" s="222" t="n"/>
      <c r="L493" s="222" t="n"/>
      <c r="M493" s="222" t="n"/>
      <c r="N493" s="222" t="n"/>
      <c r="O493" s="222" t="n"/>
      <c r="P493" s="222" t="n"/>
      <c r="Q493" s="222" t="n"/>
      <c r="R493" s="222" t="n"/>
      <c r="S493" s="222" t="n"/>
      <c r="T493" s="222" t="n"/>
      <c r="U493" s="222" t="n"/>
      <c r="V493" s="230" t="n"/>
      <c r="W493" s="223" t="n"/>
      <c r="X493" s="230" t="n"/>
      <c r="Y493" s="231" t="n"/>
      <c r="Z493" s="222" t="n"/>
      <c r="AA493" s="222" t="n"/>
      <c r="AB493" s="222" t="n"/>
      <c r="AC493" s="222" t="n"/>
      <c r="AD493" s="222" t="n"/>
      <c r="AE493" s="222" t="n"/>
      <c r="AF493" s="222" t="n"/>
      <c r="AG493" s="222" t="n"/>
      <c r="AH493" s="222" t="n"/>
      <c r="AI493" s="222" t="n"/>
      <c r="AJ493" s="222" t="n"/>
    </row>
    <row r="494" ht="12" customHeight="1" s="166">
      <c r="A494" s="222" t="n"/>
      <c r="B494" s="222" t="inlineStr">
        <is>
          <t>教学楼</t>
        </is>
      </c>
      <c r="C494" s="222" t="n"/>
      <c r="D494" s="222" t="n"/>
      <c r="E494" s="222" t="n"/>
      <c r="F494" s="222" t="n"/>
      <c r="G494" s="222" t="n"/>
      <c r="H494" s="222" t="n"/>
      <c r="I494" s="229" t="n"/>
      <c r="J494" s="222" t="n"/>
      <c r="K494" s="222" t="n"/>
      <c r="L494" s="222" t="n"/>
      <c r="M494" s="222" t="n"/>
      <c r="N494" s="222" t="n"/>
      <c r="O494" s="222" t="n"/>
      <c r="P494" s="222" t="n"/>
      <c r="Q494" s="222" t="n"/>
      <c r="R494" s="222" t="n"/>
      <c r="S494" s="222" t="n"/>
      <c r="T494" s="222" t="n"/>
      <c r="U494" s="222" t="n"/>
      <c r="V494" s="230" t="n"/>
      <c r="W494" s="223" t="n"/>
      <c r="X494" s="230" t="n"/>
      <c r="Y494" s="231" t="n"/>
      <c r="Z494" s="222" t="n"/>
      <c r="AA494" s="222" t="n"/>
      <c r="AB494" s="222" t="n"/>
      <c r="AC494" s="222" t="n"/>
      <c r="AD494" s="222" t="n"/>
      <c r="AE494" s="222" t="n"/>
      <c r="AF494" s="222" t="n"/>
      <c r="AG494" s="222" t="n"/>
      <c r="AH494" s="222" t="n"/>
      <c r="AI494" s="222" t="n"/>
      <c r="AJ494" s="222" t="n"/>
    </row>
    <row r="495" ht="12" customHeight="1" s="166">
      <c r="A495" s="222" t="n"/>
      <c r="B495" s="222" t="inlineStr">
        <is>
          <t>教学楼</t>
        </is>
      </c>
      <c r="C495" s="222" t="n"/>
      <c r="D495" s="222" t="n"/>
      <c r="E495" s="222" t="n"/>
      <c r="F495" s="222" t="n"/>
      <c r="G495" s="222" t="n"/>
      <c r="H495" s="222" t="n"/>
      <c r="I495" s="229" t="n"/>
      <c r="J495" s="222" t="n"/>
      <c r="K495" s="222" t="n"/>
      <c r="L495" s="222" t="n"/>
      <c r="M495" s="222" t="n"/>
      <c r="N495" s="222" t="n"/>
      <c r="O495" s="222" t="n"/>
      <c r="P495" s="222" t="n"/>
      <c r="Q495" s="222" t="n"/>
      <c r="R495" s="222" t="n"/>
      <c r="S495" s="222" t="n"/>
      <c r="T495" s="222" t="n"/>
      <c r="U495" s="222" t="n"/>
      <c r="V495" s="230" t="n"/>
      <c r="W495" s="223" t="n"/>
      <c r="X495" s="230" t="n"/>
      <c r="Y495" s="231" t="n"/>
      <c r="Z495" s="222" t="n"/>
      <c r="AA495" s="222" t="n"/>
      <c r="AB495" s="222" t="n"/>
      <c r="AC495" s="222" t="n"/>
      <c r="AD495" s="222" t="n"/>
      <c r="AE495" s="222" t="n"/>
      <c r="AF495" s="222" t="n"/>
      <c r="AG495" s="222" t="n"/>
      <c r="AH495" s="222" t="n"/>
      <c r="AI495" s="222" t="n"/>
      <c r="AJ495" s="222" t="n"/>
    </row>
    <row r="496" ht="12" customHeight="1" s="166">
      <c r="A496" s="222" t="n"/>
      <c r="B496" s="222" t="inlineStr">
        <is>
          <t>教学楼</t>
        </is>
      </c>
      <c r="C496" s="222" t="n"/>
      <c r="D496" s="222" t="n"/>
      <c r="E496" s="222" t="n"/>
      <c r="F496" s="222" t="n"/>
      <c r="G496" s="222" t="n"/>
      <c r="H496" s="222" t="n"/>
      <c r="I496" s="229" t="n"/>
      <c r="J496" s="222" t="n"/>
      <c r="K496" s="222" t="n"/>
      <c r="L496" s="222" t="n"/>
      <c r="M496" s="222" t="n"/>
      <c r="N496" s="222" t="n"/>
      <c r="O496" s="222" t="n"/>
      <c r="P496" s="222" t="n"/>
      <c r="Q496" s="222" t="n"/>
      <c r="R496" s="222" t="n"/>
      <c r="S496" s="222" t="n"/>
      <c r="T496" s="222" t="n"/>
      <c r="U496" s="222" t="n"/>
      <c r="V496" s="230" t="n"/>
      <c r="W496" s="223" t="n"/>
      <c r="X496" s="230" t="n"/>
      <c r="Y496" s="231" t="n"/>
      <c r="Z496" s="222" t="n"/>
      <c r="AA496" s="222" t="n"/>
      <c r="AB496" s="222" t="n"/>
      <c r="AC496" s="222" t="n"/>
      <c r="AD496" s="222" t="n"/>
      <c r="AE496" s="222" t="n"/>
      <c r="AF496" s="222" t="n"/>
      <c r="AG496" s="222" t="n"/>
      <c r="AH496" s="222" t="n"/>
      <c r="AI496" s="222" t="n"/>
      <c r="AJ496" s="222" t="n"/>
    </row>
    <row r="497" ht="12" customHeight="1" s="166">
      <c r="A497" s="222" t="n"/>
      <c r="B497" s="222" t="inlineStr">
        <is>
          <t>教学楼</t>
        </is>
      </c>
      <c r="C497" s="222" t="n"/>
      <c r="D497" s="222" t="n"/>
      <c r="E497" s="222" t="n"/>
      <c r="F497" s="222" t="n"/>
      <c r="G497" s="222" t="n"/>
      <c r="H497" s="222" t="n"/>
      <c r="I497" s="229" t="n"/>
      <c r="J497" s="222" t="n"/>
      <c r="K497" s="222" t="n"/>
      <c r="L497" s="222" t="n"/>
      <c r="M497" s="222" t="n"/>
      <c r="N497" s="222" t="n"/>
      <c r="O497" s="222" t="n"/>
      <c r="P497" s="222" t="n"/>
      <c r="Q497" s="222" t="n"/>
      <c r="R497" s="222" t="n"/>
      <c r="S497" s="222" t="n"/>
      <c r="T497" s="222" t="n"/>
      <c r="U497" s="222" t="n"/>
      <c r="V497" s="230" t="n"/>
      <c r="W497" s="223" t="n"/>
      <c r="X497" s="230" t="n"/>
      <c r="Y497" s="231" t="n"/>
      <c r="Z497" s="222" t="n"/>
      <c r="AA497" s="222" t="n"/>
      <c r="AB497" s="222" t="n"/>
      <c r="AC497" s="222" t="n"/>
      <c r="AD497" s="222" t="n"/>
      <c r="AE497" s="222" t="n"/>
      <c r="AF497" s="222" t="n"/>
      <c r="AG497" s="222" t="n"/>
      <c r="AH497" s="222" t="n"/>
      <c r="AI497" s="222" t="n"/>
      <c r="AJ497" s="222" t="n"/>
    </row>
    <row r="498" ht="12" customHeight="1" s="166">
      <c r="A498" s="222" t="n"/>
      <c r="B498" s="222" t="inlineStr">
        <is>
          <t>教学楼</t>
        </is>
      </c>
      <c r="C498" s="222" t="n"/>
      <c r="D498" s="222" t="n"/>
      <c r="E498" s="222" t="n"/>
      <c r="F498" s="222" t="n"/>
      <c r="G498" s="222" t="n"/>
      <c r="H498" s="222" t="n"/>
      <c r="I498" s="229" t="n"/>
      <c r="J498" s="222" t="n"/>
      <c r="K498" s="222" t="n"/>
      <c r="L498" s="222" t="n"/>
      <c r="M498" s="222" t="n"/>
      <c r="N498" s="222" t="n"/>
      <c r="O498" s="222" t="n"/>
      <c r="P498" s="222" t="n"/>
      <c r="Q498" s="222" t="n"/>
      <c r="R498" s="222" t="n"/>
      <c r="S498" s="222" t="n"/>
      <c r="T498" s="222" t="n"/>
      <c r="U498" s="222" t="n"/>
      <c r="V498" s="230" t="n"/>
      <c r="W498" s="223" t="n"/>
      <c r="X498" s="230" t="n"/>
      <c r="Y498" s="231" t="n"/>
      <c r="Z498" s="222" t="n"/>
      <c r="AA498" s="222" t="n"/>
      <c r="AB498" s="222" t="n"/>
      <c r="AC498" s="222" t="n"/>
      <c r="AD498" s="222" t="n"/>
      <c r="AE498" s="222" t="n"/>
      <c r="AF498" s="222" t="n"/>
      <c r="AG498" s="222" t="n"/>
      <c r="AH498" s="222" t="n"/>
      <c r="AI498" s="222" t="n"/>
      <c r="AJ498" s="222" t="n"/>
    </row>
    <row r="499" ht="12" customHeight="1" s="166">
      <c r="A499" s="222" t="n"/>
      <c r="B499" s="222" t="inlineStr">
        <is>
          <t>教学楼</t>
        </is>
      </c>
      <c r="C499" s="222" t="n"/>
      <c r="D499" s="222" t="n"/>
      <c r="E499" s="222" t="n"/>
      <c r="F499" s="222" t="n"/>
      <c r="G499" s="222" t="n"/>
      <c r="H499" s="222" t="n"/>
      <c r="I499" s="229" t="n"/>
      <c r="J499" s="222" t="n"/>
      <c r="K499" s="222" t="n"/>
      <c r="L499" s="222" t="n"/>
      <c r="M499" s="222" t="n"/>
      <c r="N499" s="222" t="n"/>
      <c r="O499" s="222" t="n"/>
      <c r="P499" s="222" t="n"/>
      <c r="Q499" s="222" t="n"/>
      <c r="R499" s="222" t="n"/>
      <c r="S499" s="222" t="n"/>
      <c r="T499" s="222" t="n"/>
      <c r="U499" s="222" t="n"/>
      <c r="V499" s="230" t="n"/>
      <c r="W499" s="223" t="n"/>
      <c r="X499" s="230" t="n"/>
      <c r="Y499" s="231" t="n"/>
      <c r="Z499" s="222" t="n"/>
      <c r="AA499" s="222" t="n"/>
      <c r="AB499" s="222" t="n"/>
      <c r="AC499" s="222" t="n"/>
      <c r="AD499" s="222" t="n"/>
      <c r="AE499" s="222" t="n"/>
      <c r="AF499" s="222" t="n"/>
      <c r="AG499" s="222" t="n"/>
      <c r="AH499" s="222" t="n"/>
      <c r="AI499" s="222" t="n"/>
      <c r="AJ499" s="222" t="n"/>
    </row>
    <row r="500" ht="12" customHeight="1" s="166">
      <c r="A500" s="222" t="n"/>
      <c r="B500" s="222" t="inlineStr">
        <is>
          <t>教学楼</t>
        </is>
      </c>
      <c r="C500" s="222" t="n"/>
      <c r="D500" s="222" t="n"/>
      <c r="E500" s="222" t="n"/>
      <c r="F500" s="222" t="n"/>
      <c r="G500" s="222" t="n"/>
      <c r="H500" s="222" t="n"/>
      <c r="I500" s="229" t="n"/>
      <c r="J500" s="222" t="n"/>
      <c r="K500" s="222" t="n"/>
      <c r="L500" s="222" t="n"/>
      <c r="M500" s="222" t="n"/>
      <c r="N500" s="222" t="n"/>
      <c r="O500" s="222" t="n"/>
      <c r="P500" s="222" t="n"/>
      <c r="Q500" s="222" t="n"/>
      <c r="R500" s="222" t="n"/>
      <c r="S500" s="222" t="n"/>
      <c r="T500" s="222" t="n"/>
      <c r="U500" s="222" t="n"/>
      <c r="V500" s="230" t="n"/>
      <c r="W500" s="223" t="n"/>
      <c r="X500" s="230" t="n"/>
      <c r="Y500" s="231" t="n"/>
      <c r="Z500" s="222" t="n"/>
      <c r="AA500" s="222" t="n"/>
      <c r="AB500" s="222" t="n"/>
      <c r="AC500" s="222" t="n"/>
      <c r="AD500" s="222" t="n"/>
      <c r="AE500" s="222" t="n"/>
      <c r="AF500" s="222" t="n"/>
      <c r="AG500" s="222" t="n"/>
      <c r="AH500" s="222" t="n"/>
      <c r="AI500" s="222" t="n"/>
      <c r="AJ500" s="222" t="n"/>
    </row>
    <row r="501" ht="12" customHeight="1" s="166">
      <c r="A501" s="222" t="n"/>
      <c r="B501" s="222" t="inlineStr">
        <is>
          <t>教学楼</t>
        </is>
      </c>
      <c r="C501" s="222" t="n"/>
      <c r="D501" s="222" t="n"/>
      <c r="E501" s="222" t="n"/>
      <c r="F501" s="222" t="n"/>
      <c r="G501" s="222" t="n"/>
      <c r="H501" s="222" t="n"/>
      <c r="I501" s="229" t="n"/>
      <c r="J501" s="222" t="n"/>
      <c r="K501" s="222" t="n"/>
      <c r="L501" s="222" t="n"/>
      <c r="M501" s="222" t="n"/>
      <c r="N501" s="222" t="n"/>
      <c r="O501" s="222" t="n"/>
      <c r="P501" s="222" t="n"/>
      <c r="Q501" s="222" t="n"/>
      <c r="R501" s="222" t="n"/>
      <c r="S501" s="222" t="n"/>
      <c r="T501" s="222" t="n"/>
      <c r="U501" s="222" t="n"/>
      <c r="V501" s="230" t="n"/>
      <c r="W501" s="223" t="n"/>
      <c r="X501" s="230" t="n"/>
      <c r="Y501" s="231" t="n"/>
      <c r="Z501" s="222" t="n"/>
      <c r="AA501" s="222" t="n"/>
      <c r="AB501" s="222" t="n"/>
      <c r="AC501" s="222" t="n"/>
      <c r="AD501" s="222" t="n"/>
      <c r="AE501" s="222" t="n"/>
      <c r="AF501" s="222" t="n"/>
      <c r="AG501" s="222" t="n"/>
      <c r="AH501" s="222" t="n"/>
      <c r="AI501" s="222" t="n"/>
      <c r="AJ501" s="222" t="n"/>
    </row>
    <row r="502" ht="12" customHeight="1" s="166">
      <c r="A502" s="222" t="n"/>
      <c r="B502" s="222" t="inlineStr">
        <is>
          <t>教学楼</t>
        </is>
      </c>
      <c r="C502" s="222" t="n"/>
      <c r="D502" s="222" t="n"/>
      <c r="E502" s="222" t="n"/>
      <c r="F502" s="222" t="n"/>
      <c r="G502" s="222" t="n"/>
      <c r="H502" s="222" t="n"/>
      <c r="I502" s="229" t="n"/>
      <c r="J502" s="222" t="n"/>
      <c r="K502" s="222" t="n"/>
      <c r="L502" s="222" t="n"/>
      <c r="M502" s="222" t="n"/>
      <c r="N502" s="222" t="n"/>
      <c r="O502" s="222" t="n"/>
      <c r="P502" s="222" t="n"/>
      <c r="Q502" s="222" t="n"/>
      <c r="R502" s="222" t="n"/>
      <c r="S502" s="222" t="n"/>
      <c r="T502" s="222" t="n"/>
      <c r="U502" s="222" t="n"/>
      <c r="V502" s="230" t="n"/>
      <c r="W502" s="223" t="n"/>
      <c r="X502" s="230" t="n"/>
      <c r="Y502" s="231" t="n"/>
      <c r="Z502" s="222" t="n"/>
      <c r="AA502" s="222" t="n"/>
      <c r="AB502" s="222" t="n"/>
      <c r="AC502" s="222" t="n"/>
      <c r="AD502" s="222" t="n"/>
      <c r="AE502" s="222" t="n"/>
      <c r="AF502" s="222" t="n"/>
      <c r="AG502" s="222" t="n"/>
      <c r="AH502" s="222" t="n"/>
      <c r="AI502" s="222" t="n"/>
      <c r="AJ502" s="222" t="n"/>
    </row>
    <row r="503" ht="12" customHeight="1" s="166">
      <c r="A503" s="222" t="n"/>
      <c r="B503" s="222" t="inlineStr">
        <is>
          <t>教学楼</t>
        </is>
      </c>
      <c r="C503" s="222" t="n"/>
      <c r="D503" s="222" t="n"/>
      <c r="E503" s="222" t="n"/>
      <c r="F503" s="222" t="n"/>
      <c r="G503" s="222" t="n"/>
      <c r="H503" s="222" t="n"/>
      <c r="I503" s="229" t="n"/>
      <c r="J503" s="222" t="n"/>
      <c r="K503" s="222" t="n"/>
      <c r="L503" s="222" t="n"/>
      <c r="M503" s="222" t="n"/>
      <c r="N503" s="222" t="n"/>
      <c r="O503" s="222" t="n"/>
      <c r="P503" s="222" t="n"/>
      <c r="Q503" s="222" t="n"/>
      <c r="R503" s="222" t="n"/>
      <c r="S503" s="222" t="n"/>
      <c r="T503" s="222" t="n"/>
      <c r="U503" s="222" t="n"/>
      <c r="V503" s="230" t="n"/>
      <c r="W503" s="223" t="n"/>
      <c r="X503" s="230" t="n"/>
      <c r="Y503" s="231" t="n"/>
      <c r="Z503" s="222" t="n"/>
      <c r="AA503" s="222" t="n"/>
      <c r="AB503" s="222" t="n"/>
      <c r="AC503" s="222" t="n"/>
      <c r="AD503" s="222" t="n"/>
      <c r="AE503" s="222" t="n"/>
      <c r="AF503" s="222" t="n"/>
      <c r="AG503" s="222" t="n"/>
      <c r="AH503" s="222" t="n"/>
      <c r="AI503" s="222" t="n"/>
      <c r="AJ503" s="222" t="n"/>
    </row>
    <row r="504" ht="12" customHeight="1" s="166">
      <c r="A504" s="222" t="n"/>
      <c r="B504" s="222" t="inlineStr">
        <is>
          <t>教学楼</t>
        </is>
      </c>
      <c r="C504" s="222" t="n"/>
      <c r="D504" s="222" t="n"/>
      <c r="E504" s="222" t="n"/>
      <c r="F504" s="222" t="n"/>
      <c r="G504" s="222" t="n"/>
      <c r="H504" s="222" t="n"/>
      <c r="I504" s="229" t="n"/>
      <c r="J504" s="222" t="n"/>
      <c r="K504" s="222" t="n"/>
      <c r="L504" s="222" t="n"/>
      <c r="M504" s="222" t="n"/>
      <c r="N504" s="222" t="n"/>
      <c r="O504" s="222" t="n"/>
      <c r="P504" s="222" t="n"/>
      <c r="Q504" s="222" t="n"/>
      <c r="R504" s="222" t="n"/>
      <c r="S504" s="222" t="n"/>
      <c r="T504" s="222" t="n"/>
      <c r="U504" s="222" t="n"/>
      <c r="V504" s="230" t="n"/>
      <c r="W504" s="223" t="n"/>
      <c r="X504" s="230" t="n"/>
      <c r="Y504" s="231" t="n"/>
      <c r="Z504" s="222" t="n"/>
      <c r="AA504" s="222" t="n"/>
      <c r="AB504" s="222" t="n"/>
      <c r="AC504" s="222" t="n"/>
      <c r="AD504" s="222" t="n"/>
      <c r="AE504" s="222" t="n"/>
      <c r="AF504" s="222" t="n"/>
      <c r="AG504" s="222" t="n"/>
      <c r="AH504" s="222" t="n"/>
      <c r="AI504" s="222" t="n"/>
      <c r="AJ504" s="222" t="n"/>
    </row>
    <row r="505" ht="12" customHeight="1" s="166">
      <c r="A505" s="222" t="n"/>
      <c r="B505" s="222" t="inlineStr">
        <is>
          <t>教学楼</t>
        </is>
      </c>
      <c r="C505" s="222" t="n"/>
      <c r="D505" s="222" t="n"/>
      <c r="E505" s="222" t="n"/>
      <c r="F505" s="222" t="n"/>
      <c r="G505" s="222" t="n"/>
      <c r="H505" s="222" t="n"/>
      <c r="I505" s="229" t="n"/>
      <c r="J505" s="222" t="n"/>
      <c r="K505" s="222" t="n"/>
      <c r="L505" s="222" t="n"/>
      <c r="M505" s="222" t="n"/>
      <c r="N505" s="222" t="n"/>
      <c r="O505" s="222" t="n"/>
      <c r="P505" s="222" t="n"/>
      <c r="Q505" s="222" t="n"/>
      <c r="R505" s="222" t="n"/>
      <c r="S505" s="222" t="n"/>
      <c r="T505" s="222" t="n"/>
      <c r="U505" s="222" t="n"/>
      <c r="V505" s="230" t="n"/>
      <c r="W505" s="223" t="n"/>
      <c r="X505" s="230" t="n"/>
      <c r="Y505" s="231" t="n"/>
      <c r="Z505" s="222" t="n"/>
      <c r="AA505" s="222" t="n"/>
      <c r="AB505" s="222" t="n"/>
      <c r="AC505" s="222" t="n"/>
      <c r="AD505" s="222" t="n"/>
      <c r="AE505" s="222" t="n"/>
      <c r="AF505" s="222" t="n"/>
      <c r="AG505" s="222" t="n"/>
      <c r="AH505" s="222" t="n"/>
      <c r="AI505" s="222" t="n"/>
      <c r="AJ505" s="222" t="n"/>
    </row>
    <row r="506" ht="12" customHeight="1" s="166">
      <c r="A506" s="222" t="n"/>
      <c r="B506" s="222" t="inlineStr">
        <is>
          <t>教学楼</t>
        </is>
      </c>
      <c r="C506" s="222" t="n"/>
      <c r="D506" s="222" t="n"/>
      <c r="E506" s="222" t="n"/>
      <c r="F506" s="222" t="n"/>
      <c r="G506" s="222" t="n"/>
      <c r="H506" s="222" t="n"/>
      <c r="I506" s="229" t="n"/>
      <c r="J506" s="222" t="n"/>
      <c r="K506" s="222" t="n"/>
      <c r="L506" s="222" t="n"/>
      <c r="M506" s="222" t="n"/>
      <c r="N506" s="222" t="n"/>
      <c r="O506" s="222" t="n"/>
      <c r="P506" s="222" t="n"/>
      <c r="Q506" s="222" t="n"/>
      <c r="R506" s="222" t="n"/>
      <c r="S506" s="222" t="n"/>
      <c r="T506" s="222" t="n"/>
      <c r="U506" s="222" t="n"/>
      <c r="V506" s="230" t="n"/>
      <c r="W506" s="223" t="n"/>
      <c r="X506" s="230" t="n"/>
      <c r="Y506" s="231" t="n"/>
      <c r="Z506" s="222" t="n"/>
      <c r="AA506" s="222" t="n"/>
      <c r="AB506" s="222" t="n"/>
      <c r="AC506" s="222" t="n"/>
      <c r="AD506" s="222" t="n"/>
      <c r="AE506" s="222" t="n"/>
      <c r="AF506" s="222" t="n"/>
      <c r="AG506" s="222" t="n"/>
      <c r="AH506" s="222" t="n"/>
      <c r="AI506" s="222" t="n"/>
      <c r="AJ506" s="222" t="n"/>
    </row>
    <row r="507" ht="12" customHeight="1" s="166">
      <c r="A507" s="222" t="n"/>
      <c r="B507" s="222" t="inlineStr">
        <is>
          <t>教学楼</t>
        </is>
      </c>
      <c r="C507" s="222" t="n"/>
      <c r="D507" s="222" t="n"/>
      <c r="E507" s="222" t="n"/>
      <c r="F507" s="222" t="n"/>
      <c r="G507" s="222" t="n"/>
      <c r="H507" s="222" t="n"/>
      <c r="I507" s="229" t="n"/>
      <c r="J507" s="222" t="n"/>
      <c r="K507" s="222" t="n"/>
      <c r="L507" s="222" t="n"/>
      <c r="M507" s="222" t="n"/>
      <c r="N507" s="222" t="n"/>
      <c r="O507" s="222" t="n"/>
      <c r="P507" s="222" t="n"/>
      <c r="Q507" s="222" t="n"/>
      <c r="R507" s="222" t="n"/>
      <c r="S507" s="222" t="n"/>
      <c r="T507" s="222" t="n"/>
      <c r="U507" s="222" t="n"/>
      <c r="V507" s="230" t="n"/>
      <c r="W507" s="223" t="n"/>
      <c r="X507" s="230" t="n"/>
      <c r="Y507" s="231" t="n"/>
      <c r="Z507" s="222" t="n"/>
      <c r="AA507" s="222" t="n"/>
      <c r="AB507" s="222" t="n"/>
      <c r="AC507" s="222" t="n"/>
      <c r="AD507" s="222" t="n"/>
      <c r="AE507" s="222" t="n"/>
      <c r="AF507" s="222" t="n"/>
      <c r="AG507" s="222" t="n"/>
      <c r="AH507" s="222" t="n"/>
      <c r="AI507" s="222" t="n"/>
      <c r="AJ507" s="222" t="n"/>
    </row>
    <row r="508" s="166">
      <c r="A508" s="222" t="n"/>
      <c r="B508" s="222" t="inlineStr">
        <is>
          <t>教学楼</t>
        </is>
      </c>
      <c r="C508" s="222" t="n"/>
      <c r="D508" s="222" t="n"/>
      <c r="E508" s="222" t="n"/>
      <c r="F508" s="222" t="n"/>
      <c r="G508" s="222" t="n"/>
      <c r="H508" s="222" t="n"/>
      <c r="I508" s="241" t="n"/>
      <c r="J508" s="222" t="n"/>
      <c r="K508" s="222" t="n"/>
      <c r="L508" s="222" t="n"/>
      <c r="M508" s="222" t="n"/>
      <c r="N508" s="222" t="n"/>
      <c r="O508" s="222" t="n"/>
      <c r="P508" s="222" t="n"/>
      <c r="Q508" s="222" t="n"/>
      <c r="R508" s="222" t="n"/>
      <c r="S508" s="222" t="n"/>
      <c r="T508" s="222" t="n"/>
      <c r="U508" s="222" t="n"/>
      <c r="V508" s="230" t="n"/>
      <c r="W508" s="223" t="n"/>
      <c r="X508" s="230" t="n"/>
      <c r="Y508" s="231" t="n"/>
      <c r="Z508" s="222" t="n"/>
      <c r="AA508" s="222" t="n"/>
      <c r="AB508" s="222" t="n"/>
      <c r="AC508" s="222" t="n"/>
      <c r="AD508" s="222" t="n"/>
      <c r="AE508" s="222" t="n"/>
      <c r="AF508" s="222" t="n"/>
      <c r="AG508" s="222" t="n"/>
      <c r="AH508" s="222" t="n"/>
      <c r="AI508" s="222" t="n"/>
      <c r="AJ508" s="222" t="n"/>
    </row>
  </sheetData>
  <mergeCells count="16">
    <mergeCell ref="Z268:Z272"/>
    <mergeCell ref="D477:E477"/>
    <mergeCell ref="AA124:AA125"/>
    <mergeCell ref="D191:E191"/>
    <mergeCell ref="A2:E2"/>
    <mergeCell ref="D260:E260"/>
    <mergeCell ref="D261:E261"/>
    <mergeCell ref="D259:E259"/>
    <mergeCell ref="D431:E431"/>
    <mergeCell ref="D190:E190"/>
    <mergeCell ref="D476:E476"/>
    <mergeCell ref="AA5:AA10"/>
    <mergeCell ref="D475:E475"/>
    <mergeCell ref="A1:AA1"/>
    <mergeCell ref="AA106:AA107"/>
    <mergeCell ref="D430:E4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166" min="1" max="1"/>
    <col width="10" customWidth="1" style="166" min="2" max="2"/>
    <col width="15" customWidth="1" style="166" min="3" max="3"/>
    <col width="60" customWidth="1" style="166" min="4" max="4"/>
    <col width="60" customWidth="1" style="166" min="5" max="5"/>
    <col width="40" customWidth="1" style="166" min="6" max="6"/>
  </cols>
  <sheetData>
    <row r="1">
      <c r="A1" s="221" t="inlineStr">
        <is>
          <t>来源表</t>
        </is>
      </c>
      <c r="B1" s="221" t="inlineStr">
        <is>
          <t>位置</t>
        </is>
      </c>
      <c r="C1" s="221" t="inlineStr">
        <is>
          <t>公式类型</t>
        </is>
      </c>
      <c r="D1" s="221" t="inlineStr">
        <is>
          <t>原公式</t>
        </is>
      </c>
      <c r="E1" s="221" t="inlineStr">
        <is>
          <t>偏移后公式</t>
        </is>
      </c>
      <c r="F1" s="221" t="inlineStr">
        <is>
          <t>建议</t>
        </is>
      </c>
    </row>
    <row r="2">
      <c r="A2" s="242" t="inlineStr">
        <is>
          <t>综合楼</t>
        </is>
      </c>
      <c r="B2" s="242" t="inlineStr">
        <is>
          <t>V6</t>
        </is>
      </c>
      <c r="C2" s="242" t="inlineStr">
        <is>
          <t>范围公式</t>
        </is>
      </c>
      <c r="D2" s="242">
        <f>+SUM(V7:V12)</f>
        <v/>
      </c>
      <c r="E2" s="242">
        <f>+SUM(W7:W12)</f>
        <v/>
      </c>
      <c r="F2" s="242" t="inlineStr">
        <is>
          <t>请核查公式范围是否正确</t>
        </is>
      </c>
    </row>
    <row r="3">
      <c r="A3" s="242" t="inlineStr">
        <is>
          <t>综合楼</t>
        </is>
      </c>
      <c r="B3" s="242" t="inlineStr">
        <is>
          <t>V13</t>
        </is>
      </c>
      <c r="C3" s="242" t="inlineStr">
        <is>
          <t>范围公式</t>
        </is>
      </c>
      <c r="D3" s="242">
        <f>+SUM(V14:V19)</f>
        <v/>
      </c>
      <c r="E3" s="242">
        <f>+SUM(W14:W19)</f>
        <v/>
      </c>
      <c r="F3" s="242" t="inlineStr">
        <is>
          <t>请核查公式范围是否正确</t>
        </is>
      </c>
    </row>
    <row r="4">
      <c r="A4" s="242" t="inlineStr">
        <is>
          <t>综合楼</t>
        </is>
      </c>
      <c r="B4" s="242" t="inlineStr">
        <is>
          <t>V20</t>
        </is>
      </c>
      <c r="C4" s="242" t="inlineStr">
        <is>
          <t>范围公式</t>
        </is>
      </c>
      <c r="D4" s="242">
        <f>+SUM(V21:V29)</f>
        <v/>
      </c>
      <c r="E4" s="242">
        <f>+SUM(W21:W29)</f>
        <v/>
      </c>
      <c r="F4" s="242" t="inlineStr">
        <is>
          <t>请核查公式范围是否正确</t>
        </is>
      </c>
    </row>
    <row r="5">
      <c r="A5" s="242" t="inlineStr">
        <is>
          <t>综合楼</t>
        </is>
      </c>
      <c r="B5" s="242" t="inlineStr">
        <is>
          <t>V30</t>
        </is>
      </c>
      <c r="C5" s="242" t="inlineStr">
        <is>
          <t>范围公式</t>
        </is>
      </c>
      <c r="D5" s="242">
        <f>+SUM(V31:V56)</f>
        <v/>
      </c>
      <c r="E5" s="242">
        <f>+SUM(W31:W56)</f>
        <v/>
      </c>
      <c r="F5" s="242" t="inlineStr">
        <is>
          <t>请核查公式范围是否正确</t>
        </is>
      </c>
    </row>
    <row r="6">
      <c r="A6" s="242" t="inlineStr">
        <is>
          <t>综合楼</t>
        </is>
      </c>
      <c r="B6" s="242" t="inlineStr">
        <is>
          <t>V57</t>
        </is>
      </c>
      <c r="C6" s="242" t="inlineStr">
        <is>
          <t>范围公式</t>
        </is>
      </c>
      <c r="D6" s="242">
        <f>+SUM(V58:V73)</f>
        <v/>
      </c>
      <c r="E6" s="242">
        <f>+SUM(W58:W73)</f>
        <v/>
      </c>
      <c r="F6" s="242" t="inlineStr">
        <is>
          <t>请核查公式范围是否正确</t>
        </is>
      </c>
    </row>
    <row r="7">
      <c r="A7" s="242" t="inlineStr">
        <is>
          <t>综合楼</t>
        </is>
      </c>
      <c r="B7" s="242" t="inlineStr">
        <is>
          <t>V74</t>
        </is>
      </c>
      <c r="C7" s="242" t="inlineStr">
        <is>
          <t>范围公式</t>
        </is>
      </c>
      <c r="D7" s="242">
        <f>+SUM(V75:V95)</f>
        <v/>
      </c>
      <c r="E7" s="242">
        <f>+SUM(W75:W95)</f>
        <v/>
      </c>
      <c r="F7" s="242" t="inlineStr">
        <is>
          <t>请核查公式范围是否正确</t>
        </is>
      </c>
    </row>
    <row r="8">
      <c r="A8" s="242" t="inlineStr">
        <is>
          <t>综合楼</t>
        </is>
      </c>
      <c r="B8" s="242" t="inlineStr">
        <is>
          <t>V96</t>
        </is>
      </c>
      <c r="C8" s="242" t="inlineStr">
        <is>
          <t>范围公式</t>
        </is>
      </c>
      <c r="D8" s="242">
        <f>+SUM(V97:V109)</f>
        <v/>
      </c>
      <c r="E8" s="242">
        <f>+SUM(W97:W109)</f>
        <v/>
      </c>
      <c r="F8" s="242" t="inlineStr">
        <is>
          <t>请核查公式范围是否正确</t>
        </is>
      </c>
    </row>
    <row r="9">
      <c r="A9" s="242" t="inlineStr">
        <is>
          <t>综合楼</t>
        </is>
      </c>
      <c r="B9" s="242" t="inlineStr">
        <is>
          <t>V110</t>
        </is>
      </c>
      <c r="C9" s="242" t="inlineStr">
        <is>
          <t>范围公式</t>
        </is>
      </c>
      <c r="D9" s="242">
        <f>+SUM(V111:V114)</f>
        <v/>
      </c>
      <c r="E9" s="242">
        <f>+SUM(W111:W114)</f>
        <v/>
      </c>
      <c r="F9" s="242" t="inlineStr">
        <is>
          <t>请核查公式范围是否正确</t>
        </is>
      </c>
    </row>
    <row r="10">
      <c r="A10" s="242" t="inlineStr">
        <is>
          <t>综合楼</t>
        </is>
      </c>
      <c r="B10" s="242" t="inlineStr">
        <is>
          <t>V115</t>
        </is>
      </c>
      <c r="C10" s="242" t="inlineStr">
        <is>
          <t>范围公式</t>
        </is>
      </c>
      <c r="D10" s="242">
        <f>+SUM(V116:V132)</f>
        <v/>
      </c>
      <c r="E10" s="242">
        <f>+SUM(W116:W132)</f>
        <v/>
      </c>
      <c r="F10" s="242" t="inlineStr">
        <is>
          <t>请核查公式范围是否正确</t>
        </is>
      </c>
    </row>
    <row r="11">
      <c r="A11" s="242" t="inlineStr">
        <is>
          <t>综合楼</t>
        </is>
      </c>
      <c r="B11" s="242" t="inlineStr">
        <is>
          <t>V133</t>
        </is>
      </c>
      <c r="C11" s="242" t="inlineStr">
        <is>
          <t>范围公式</t>
        </is>
      </c>
      <c r="D11" s="242">
        <f>+SUM(V134:V160)</f>
        <v/>
      </c>
      <c r="E11" s="242">
        <f>+SUM(W134:W160)</f>
        <v/>
      </c>
      <c r="F11" s="242" t="inlineStr">
        <is>
          <t>请核查公式范围是否正确</t>
        </is>
      </c>
    </row>
    <row r="12">
      <c r="A12" s="242" t="inlineStr">
        <is>
          <t>综合楼</t>
        </is>
      </c>
      <c r="B12" s="242" t="inlineStr">
        <is>
          <t>V161</t>
        </is>
      </c>
      <c r="C12" s="242" t="inlineStr">
        <is>
          <t>范围公式</t>
        </is>
      </c>
      <c r="D12" s="242">
        <f>+SUM(V162:V170)</f>
        <v/>
      </c>
      <c r="E12" s="242">
        <f>+SUM(W162:W170)</f>
        <v/>
      </c>
      <c r="F12" s="242" t="inlineStr">
        <is>
          <t>请核查公式范围是否正确</t>
        </is>
      </c>
    </row>
    <row r="13">
      <c r="A13" s="242" t="inlineStr">
        <is>
          <t>综合楼</t>
        </is>
      </c>
      <c r="B13" s="242" t="inlineStr">
        <is>
          <t>V171</t>
        </is>
      </c>
      <c r="C13" s="242" t="inlineStr">
        <is>
          <t>范围公式</t>
        </is>
      </c>
      <c r="D13" s="242">
        <f>+SUM(V172:V189)</f>
        <v/>
      </c>
      <c r="E13" s="242">
        <f>+SUM(W172:W189)</f>
        <v/>
      </c>
      <c r="F13" s="242" t="inlineStr">
        <is>
          <t>请核查公式范围是否正确</t>
        </is>
      </c>
    </row>
    <row r="14">
      <c r="A14" s="242" t="inlineStr">
        <is>
          <t>综合楼</t>
        </is>
      </c>
      <c r="B14" s="242" t="inlineStr">
        <is>
          <t>V191</t>
        </is>
      </c>
      <c r="C14" s="242" t="inlineStr">
        <is>
          <t>范围公式</t>
        </is>
      </c>
      <c r="D14" s="242">
        <f>SUM(V193:V260)</f>
        <v/>
      </c>
      <c r="E14" s="242">
        <f>SUM(W193:W260)</f>
        <v/>
      </c>
      <c r="F14" s="242" t="inlineStr">
        <is>
          <t>请核查公式范围是否正确</t>
        </is>
      </c>
    </row>
    <row r="15">
      <c r="A15" s="242" t="inlineStr">
        <is>
          <t>综合楼</t>
        </is>
      </c>
      <c r="B15" s="242" t="inlineStr">
        <is>
          <t>T6</t>
        </is>
      </c>
      <c r="C15" s="242" t="inlineStr">
        <is>
          <t>范围公式</t>
        </is>
      </c>
      <c r="D15" s="242">
        <f>+SUM(T7:T11)</f>
        <v/>
      </c>
      <c r="E15" s="242">
        <f>+SUM(U268:U272)</f>
        <v/>
      </c>
      <c r="F15" s="242" t="inlineStr">
        <is>
          <t>请核查公式范围是否正确</t>
        </is>
      </c>
    </row>
    <row r="16">
      <c r="A16" s="242" t="inlineStr">
        <is>
          <t>综合楼</t>
        </is>
      </c>
      <c r="B16" s="242" t="inlineStr">
        <is>
          <t>U6</t>
        </is>
      </c>
      <c r="C16" s="242" t="inlineStr">
        <is>
          <t>范围公式</t>
        </is>
      </c>
      <c r="D16" s="242">
        <f>+SUM(U7:U11)</f>
        <v/>
      </c>
      <c r="E16" s="242">
        <f>+SUM(V268:V272)</f>
        <v/>
      </c>
      <c r="F16" s="242" t="inlineStr">
        <is>
          <t>请核查公式范围是否正确</t>
        </is>
      </c>
    </row>
    <row r="17">
      <c r="A17" s="242" t="inlineStr">
        <is>
          <t>综合楼</t>
        </is>
      </c>
      <c r="B17" s="242" t="inlineStr">
        <is>
          <t>S12</t>
        </is>
      </c>
      <c r="C17" s="242" t="inlineStr">
        <is>
          <t>范围公式</t>
        </is>
      </c>
      <c r="D17" s="242">
        <f>+SUM(S13:S18)</f>
        <v/>
      </c>
      <c r="E17" s="242">
        <f>+SUM(T274:T279)</f>
        <v/>
      </c>
      <c r="F17" s="242" t="inlineStr">
        <is>
          <t>请核查公式范围是否正确</t>
        </is>
      </c>
    </row>
    <row r="18">
      <c r="A18" s="242" t="inlineStr">
        <is>
          <t>综合楼</t>
        </is>
      </c>
      <c r="B18" s="242" t="inlineStr">
        <is>
          <t>T12</t>
        </is>
      </c>
      <c r="C18" s="242" t="inlineStr">
        <is>
          <t>范围公式</t>
        </is>
      </c>
      <c r="D18" s="242">
        <f>+SUM(T13:T18)</f>
        <v/>
      </c>
      <c r="E18" s="242">
        <f>+SUM(U274:U279)</f>
        <v/>
      </c>
      <c r="F18" s="242" t="inlineStr">
        <is>
          <t>请核查公式范围是否正确</t>
        </is>
      </c>
    </row>
    <row r="19">
      <c r="A19" s="242" t="inlineStr">
        <is>
          <t>综合楼</t>
        </is>
      </c>
      <c r="B19" s="242" t="inlineStr">
        <is>
          <t>U12</t>
        </is>
      </c>
      <c r="C19" s="242" t="inlineStr">
        <is>
          <t>范围公式</t>
        </is>
      </c>
      <c r="D19" s="242">
        <f>SUM(U13:U18)</f>
        <v/>
      </c>
      <c r="E19" s="242">
        <f>SUM(V274:V279)</f>
        <v/>
      </c>
      <c r="F19" s="242" t="inlineStr">
        <is>
          <t>请核查公式范围是否正确</t>
        </is>
      </c>
    </row>
    <row r="20">
      <c r="A20" s="242" t="inlineStr">
        <is>
          <t>综合楼</t>
        </is>
      </c>
      <c r="B20" s="242" t="inlineStr">
        <is>
          <t>S19</t>
        </is>
      </c>
      <c r="C20" s="242" t="inlineStr">
        <is>
          <t>范围公式</t>
        </is>
      </c>
      <c r="D20" s="242">
        <f>+SUM(S20:S28)</f>
        <v/>
      </c>
      <c r="E20" s="242">
        <f>+SUM(T281:T289)</f>
        <v/>
      </c>
      <c r="F20" s="242" t="inlineStr">
        <is>
          <t>请核查公式范围是否正确</t>
        </is>
      </c>
    </row>
    <row r="21">
      <c r="A21" s="242" t="inlineStr">
        <is>
          <t>综合楼</t>
        </is>
      </c>
      <c r="B21" s="242" t="inlineStr">
        <is>
          <t>T19</t>
        </is>
      </c>
      <c r="C21" s="242" t="inlineStr">
        <is>
          <t>范围公式</t>
        </is>
      </c>
      <c r="D21" s="242">
        <f>+SUM(T20:T28)</f>
        <v/>
      </c>
      <c r="E21" s="242">
        <f>+SUM(U281:U289)</f>
        <v/>
      </c>
      <c r="F21" s="242" t="inlineStr">
        <is>
          <t>请核查公式范围是否正确</t>
        </is>
      </c>
    </row>
    <row r="22">
      <c r="A22" s="242" t="inlineStr">
        <is>
          <t>综合楼</t>
        </is>
      </c>
      <c r="B22" s="242" t="inlineStr">
        <is>
          <t>U19</t>
        </is>
      </c>
      <c r="C22" s="242" t="inlineStr">
        <is>
          <t>范围公式</t>
        </is>
      </c>
      <c r="D22" s="242">
        <f>SUM(U20:U28)</f>
        <v/>
      </c>
      <c r="E22" s="242">
        <f>SUM(V281:V289)</f>
        <v/>
      </c>
      <c r="F22" s="242" t="inlineStr">
        <is>
          <t>请核查公式范围是否正确</t>
        </is>
      </c>
    </row>
    <row r="23">
      <c r="A23" s="242" t="inlineStr">
        <is>
          <t>综合楼</t>
        </is>
      </c>
      <c r="B23" s="242" t="inlineStr">
        <is>
          <t>S29</t>
        </is>
      </c>
      <c r="C23" s="242" t="inlineStr">
        <is>
          <t>范围公式</t>
        </is>
      </c>
      <c r="D23" s="242">
        <f>+SUM(S30:S60)</f>
        <v/>
      </c>
      <c r="E23" s="242">
        <f>+SUM(T291:T321)</f>
        <v/>
      </c>
      <c r="F23" s="242" t="inlineStr">
        <is>
          <t>请核查公式范围是否正确</t>
        </is>
      </c>
    </row>
    <row r="24">
      <c r="A24" s="242" t="inlineStr">
        <is>
          <t>综合楼</t>
        </is>
      </c>
      <c r="B24" s="242" t="inlineStr">
        <is>
          <t>T29</t>
        </is>
      </c>
      <c r="C24" s="242" t="inlineStr">
        <is>
          <t>范围公式</t>
        </is>
      </c>
      <c r="D24" s="242">
        <f>+SUM(T30:T60)</f>
        <v/>
      </c>
      <c r="E24" s="242">
        <f>+SUM(U291:U321)</f>
        <v/>
      </c>
      <c r="F24" s="242" t="inlineStr">
        <is>
          <t>请核查公式范围是否正确</t>
        </is>
      </c>
    </row>
    <row r="25">
      <c r="A25" s="242" t="inlineStr">
        <is>
          <t>综合楼</t>
        </is>
      </c>
      <c r="B25" s="242" t="inlineStr">
        <is>
          <t>U29</t>
        </is>
      </c>
      <c r="C25" s="242" t="inlineStr">
        <is>
          <t>范围公式</t>
        </is>
      </c>
      <c r="D25" s="242">
        <f>SUM(U30:U60)</f>
        <v/>
      </c>
      <c r="E25" s="242">
        <f>SUM(V291:V321)</f>
        <v/>
      </c>
      <c r="F25" s="242" t="inlineStr">
        <is>
          <t>请核查公式范围是否正确</t>
        </is>
      </c>
    </row>
    <row r="26">
      <c r="A26" s="242" t="inlineStr">
        <is>
          <t>综合楼</t>
        </is>
      </c>
      <c r="B26" s="242" t="inlineStr">
        <is>
          <t>S61</t>
        </is>
      </c>
      <c r="C26" s="242" t="inlineStr">
        <is>
          <t>范围公式</t>
        </is>
      </c>
      <c r="D26" s="242">
        <f>+SUM(S62:S64)</f>
        <v/>
      </c>
      <c r="E26" s="242">
        <f>+SUM(T323:T325)</f>
        <v/>
      </c>
      <c r="F26" s="242" t="inlineStr">
        <is>
          <t>请核查公式范围是否正确</t>
        </is>
      </c>
    </row>
    <row r="27">
      <c r="A27" s="242" t="inlineStr">
        <is>
          <t>综合楼</t>
        </is>
      </c>
      <c r="B27" s="242" t="inlineStr">
        <is>
          <t>T61</t>
        </is>
      </c>
      <c r="C27" s="242" t="inlineStr">
        <is>
          <t>范围公式</t>
        </is>
      </c>
      <c r="D27" s="242">
        <f>+SUM(T62:T64)</f>
        <v/>
      </c>
      <c r="E27" s="242">
        <f>+SUM(U323:U325)</f>
        <v/>
      </c>
      <c r="F27" s="242" t="inlineStr">
        <is>
          <t>请核查公式范围是否正确</t>
        </is>
      </c>
    </row>
    <row r="28">
      <c r="A28" s="242" t="inlineStr">
        <is>
          <t>综合楼</t>
        </is>
      </c>
      <c r="B28" s="242" t="inlineStr">
        <is>
          <t>U61</t>
        </is>
      </c>
      <c r="C28" s="242" t="inlineStr">
        <is>
          <t>范围公式</t>
        </is>
      </c>
      <c r="D28" s="242">
        <f>SUM(U62:U64)</f>
        <v/>
      </c>
      <c r="E28" s="242">
        <f>SUM(V323:V325)</f>
        <v/>
      </c>
      <c r="F28" s="242" t="inlineStr">
        <is>
          <t>请核查公式范围是否正确</t>
        </is>
      </c>
    </row>
    <row r="29">
      <c r="A29" s="242" t="inlineStr">
        <is>
          <t>综合楼</t>
        </is>
      </c>
      <c r="B29" s="242" t="inlineStr">
        <is>
          <t>S65</t>
        </is>
      </c>
      <c r="C29" s="242" t="inlineStr">
        <is>
          <t>范围公式</t>
        </is>
      </c>
      <c r="D29" s="242">
        <f>+SUM(S66:S78)</f>
        <v/>
      </c>
      <c r="E29" s="242">
        <f>+SUM(T327:T339)</f>
        <v/>
      </c>
      <c r="F29" s="242" t="inlineStr">
        <is>
          <t>请核查公式范围是否正确</t>
        </is>
      </c>
    </row>
    <row r="30">
      <c r="A30" s="242" t="inlineStr">
        <is>
          <t>综合楼</t>
        </is>
      </c>
      <c r="B30" s="242" t="inlineStr">
        <is>
          <t>T65</t>
        </is>
      </c>
      <c r="C30" s="242" t="inlineStr">
        <is>
          <t>范围公式</t>
        </is>
      </c>
      <c r="D30" s="242">
        <f>+SUM(T66:T78)</f>
        <v/>
      </c>
      <c r="E30" s="242">
        <f>+SUM(U327:U339)</f>
        <v/>
      </c>
      <c r="F30" s="242" t="inlineStr">
        <is>
          <t>请核查公式范围是否正确</t>
        </is>
      </c>
    </row>
    <row r="31">
      <c r="A31" s="242" t="inlineStr">
        <is>
          <t>综合楼</t>
        </is>
      </c>
      <c r="B31" s="242" t="inlineStr">
        <is>
          <t>U65</t>
        </is>
      </c>
      <c r="C31" s="242" t="inlineStr">
        <is>
          <t>范围公式</t>
        </is>
      </c>
      <c r="D31" s="242">
        <f>SUM(U66:U78)</f>
        <v/>
      </c>
      <c r="E31" s="242">
        <f>SUM(V327:V339)</f>
        <v/>
      </c>
      <c r="F31" s="242" t="inlineStr">
        <is>
          <t>请核查公式范围是否正确</t>
        </is>
      </c>
    </row>
    <row r="32">
      <c r="A32" s="242" t="inlineStr">
        <is>
          <t>综合楼</t>
        </is>
      </c>
      <c r="B32" s="242" t="inlineStr">
        <is>
          <t>S79</t>
        </is>
      </c>
      <c r="C32" s="242" t="inlineStr">
        <is>
          <t>范围公式</t>
        </is>
      </c>
      <c r="D32" s="242">
        <f>+SUM(S80:S93)</f>
        <v/>
      </c>
      <c r="E32" s="242">
        <f>+SUM(T341:T354)</f>
        <v/>
      </c>
      <c r="F32" s="242" t="inlineStr">
        <is>
          <t>请核查公式范围是否正确</t>
        </is>
      </c>
    </row>
    <row r="33">
      <c r="A33" s="242" t="inlineStr">
        <is>
          <t>综合楼</t>
        </is>
      </c>
      <c r="B33" s="242" t="inlineStr">
        <is>
          <t>T79</t>
        </is>
      </c>
      <c r="C33" s="242" t="inlineStr">
        <is>
          <t>范围公式</t>
        </is>
      </c>
      <c r="D33" s="242">
        <f>+SUM(T80:T93)</f>
        <v/>
      </c>
      <c r="E33" s="242">
        <f>+SUM(U341:U354)</f>
        <v/>
      </c>
      <c r="F33" s="242" t="inlineStr">
        <is>
          <t>请核查公式范围是否正确</t>
        </is>
      </c>
    </row>
    <row r="34">
      <c r="A34" s="242" t="inlineStr">
        <is>
          <t>综合楼</t>
        </is>
      </c>
      <c r="B34" s="242" t="inlineStr">
        <is>
          <t>U79</t>
        </is>
      </c>
      <c r="C34" s="242" t="inlineStr">
        <is>
          <t>范围公式</t>
        </is>
      </c>
      <c r="D34" s="242">
        <f>SUM(U80:U93)</f>
        <v/>
      </c>
      <c r="E34" s="242">
        <f>SUM(V341:V354)</f>
        <v/>
      </c>
      <c r="F34" s="242" t="inlineStr">
        <is>
          <t>请核查公式范围是否正确</t>
        </is>
      </c>
    </row>
    <row r="35">
      <c r="A35" s="242" t="inlineStr">
        <is>
          <t>综合楼</t>
        </is>
      </c>
      <c r="B35" s="242" t="inlineStr">
        <is>
          <t>S94</t>
        </is>
      </c>
      <c r="C35" s="242" t="inlineStr">
        <is>
          <t>范围公式</t>
        </is>
      </c>
      <c r="D35" s="242">
        <f>+SUM(S95:S100)</f>
        <v/>
      </c>
      <c r="E35" s="242">
        <f>+SUM(T356:T361)</f>
        <v/>
      </c>
      <c r="F35" s="242" t="inlineStr">
        <is>
          <t>请核查公式范围是否正确</t>
        </is>
      </c>
    </row>
    <row r="36">
      <c r="A36" s="242" t="inlineStr">
        <is>
          <t>综合楼</t>
        </is>
      </c>
      <c r="B36" s="242" t="inlineStr">
        <is>
          <t>T94</t>
        </is>
      </c>
      <c r="C36" s="242" t="inlineStr">
        <is>
          <t>范围公式</t>
        </is>
      </c>
      <c r="D36" s="242">
        <f>+SUM(T95:T100)</f>
        <v/>
      </c>
      <c r="E36" s="242">
        <f>+SUM(U356:U361)</f>
        <v/>
      </c>
      <c r="F36" s="242" t="inlineStr">
        <is>
          <t>请核查公式范围是否正确</t>
        </is>
      </c>
    </row>
    <row r="37">
      <c r="A37" s="242" t="inlineStr">
        <is>
          <t>综合楼</t>
        </is>
      </c>
      <c r="B37" s="242" t="inlineStr">
        <is>
          <t>U94</t>
        </is>
      </c>
      <c r="C37" s="242" t="inlineStr">
        <is>
          <t>范围公式</t>
        </is>
      </c>
      <c r="D37" s="242">
        <f>SUM(U95:U100)</f>
        <v/>
      </c>
      <c r="E37" s="242">
        <f>SUM(V356:V361)</f>
        <v/>
      </c>
      <c r="F37" s="242" t="inlineStr">
        <is>
          <t>请核查公式范围是否正确</t>
        </is>
      </c>
    </row>
    <row r="38">
      <c r="A38" s="242" t="inlineStr">
        <is>
          <t>综合楼</t>
        </is>
      </c>
      <c r="B38" s="242" t="inlineStr">
        <is>
          <t>S101</t>
        </is>
      </c>
      <c r="C38" s="242" t="inlineStr">
        <is>
          <t>范围公式</t>
        </is>
      </c>
      <c r="D38" s="242">
        <f>+SUM(S102:S116)</f>
        <v/>
      </c>
      <c r="E38" s="242">
        <f>+SUM(T363:T377)</f>
        <v/>
      </c>
      <c r="F38" s="242" t="inlineStr">
        <is>
          <t>请核查公式范围是否正确</t>
        </is>
      </c>
    </row>
    <row r="39">
      <c r="A39" s="242" t="inlineStr">
        <is>
          <t>综合楼</t>
        </is>
      </c>
      <c r="B39" s="242" t="inlineStr">
        <is>
          <t>T101</t>
        </is>
      </c>
      <c r="C39" s="242" t="inlineStr">
        <is>
          <t>范围公式</t>
        </is>
      </c>
      <c r="D39" s="242">
        <f>+SUM(T102:T116)</f>
        <v/>
      </c>
      <c r="E39" s="242">
        <f>+SUM(U363:U377)</f>
        <v/>
      </c>
      <c r="F39" s="242" t="inlineStr">
        <is>
          <t>请核查公式范围是否正确</t>
        </is>
      </c>
    </row>
    <row r="40">
      <c r="A40" s="242" t="inlineStr">
        <is>
          <t>综合楼</t>
        </is>
      </c>
      <c r="B40" s="242" t="inlineStr">
        <is>
          <t>U101</t>
        </is>
      </c>
      <c r="C40" s="242" t="inlineStr">
        <is>
          <t>范围公式</t>
        </is>
      </c>
      <c r="D40" s="242">
        <f>SUM(U102:U116)</f>
        <v/>
      </c>
      <c r="E40" s="242">
        <f>SUM(V363:V377)</f>
        <v/>
      </c>
      <c r="F40" s="242" t="inlineStr">
        <is>
          <t>请核查公式范围是否正确</t>
        </is>
      </c>
    </row>
    <row r="41">
      <c r="A41" s="242" t="inlineStr">
        <is>
          <t>综合楼</t>
        </is>
      </c>
      <c r="B41" s="242" t="inlineStr">
        <is>
          <t>S117</t>
        </is>
      </c>
      <c r="C41" s="242" t="inlineStr">
        <is>
          <t>范围公式</t>
        </is>
      </c>
      <c r="D41" s="242">
        <f>+SUM(S118:S140)</f>
        <v/>
      </c>
      <c r="E41" s="242">
        <f>+SUM(T379:T401)</f>
        <v/>
      </c>
      <c r="F41" s="242" t="inlineStr">
        <is>
          <t>请核查公式范围是否正确</t>
        </is>
      </c>
    </row>
    <row r="42">
      <c r="A42" s="242" t="inlineStr">
        <is>
          <t>综合楼</t>
        </is>
      </c>
      <c r="B42" s="242" t="inlineStr">
        <is>
          <t>T117</t>
        </is>
      </c>
      <c r="C42" s="242" t="inlineStr">
        <is>
          <t>范围公式</t>
        </is>
      </c>
      <c r="D42" s="242">
        <f>+SUM(T118:T140)</f>
        <v/>
      </c>
      <c r="E42" s="242">
        <f>+SUM(U379:U401)</f>
        <v/>
      </c>
      <c r="F42" s="242" t="inlineStr">
        <is>
          <t>请核查公式范围是否正确</t>
        </is>
      </c>
    </row>
    <row r="43">
      <c r="A43" s="242" t="inlineStr">
        <is>
          <t>综合楼</t>
        </is>
      </c>
      <c r="B43" s="242" t="inlineStr">
        <is>
          <t>U117</t>
        </is>
      </c>
      <c r="C43" s="242" t="inlineStr">
        <is>
          <t>范围公式</t>
        </is>
      </c>
      <c r="D43" s="242">
        <f>SUM(U118:U140)</f>
        <v/>
      </c>
      <c r="E43" s="242">
        <f>SUM(V379:V401)</f>
        <v/>
      </c>
      <c r="F43" s="242" t="inlineStr">
        <is>
          <t>请核查公式范围是否正确</t>
        </is>
      </c>
    </row>
    <row r="44">
      <c r="A44" s="242" t="inlineStr">
        <is>
          <t>综合楼</t>
        </is>
      </c>
      <c r="B44" s="242" t="inlineStr">
        <is>
          <t>S141</t>
        </is>
      </c>
      <c r="C44" s="242" t="inlineStr">
        <is>
          <t>范围公式</t>
        </is>
      </c>
      <c r="D44" s="242">
        <f>+SUM(S142:S147)</f>
        <v/>
      </c>
      <c r="E44" s="242">
        <f>+SUM(T403:T408)</f>
        <v/>
      </c>
      <c r="F44" s="242" t="inlineStr">
        <is>
          <t>请核查公式范围是否正确</t>
        </is>
      </c>
    </row>
    <row r="45">
      <c r="A45" s="242" t="inlineStr">
        <is>
          <t>综合楼</t>
        </is>
      </c>
      <c r="B45" s="242" t="inlineStr">
        <is>
          <t>T141</t>
        </is>
      </c>
      <c r="C45" s="242" t="inlineStr">
        <is>
          <t>范围公式</t>
        </is>
      </c>
      <c r="D45" s="242">
        <f>+SUM(T142:T147)</f>
        <v/>
      </c>
      <c r="E45" s="242">
        <f>+SUM(U403:U408)</f>
        <v/>
      </c>
      <c r="F45" s="242" t="inlineStr">
        <is>
          <t>请核查公式范围是否正确</t>
        </is>
      </c>
    </row>
    <row r="46">
      <c r="A46" s="242" t="inlineStr">
        <is>
          <t>综合楼</t>
        </is>
      </c>
      <c r="B46" s="242" t="inlineStr">
        <is>
          <t>U141</t>
        </is>
      </c>
      <c r="C46" s="242" t="inlineStr">
        <is>
          <t>范围公式</t>
        </is>
      </c>
      <c r="D46" s="242">
        <f>SUM(U142:U147)</f>
        <v/>
      </c>
      <c r="E46" s="242">
        <f>SUM(V403:V408)</f>
        <v/>
      </c>
      <c r="F46" s="242" t="inlineStr">
        <is>
          <t>请核查公式范围是否正确</t>
        </is>
      </c>
    </row>
    <row r="47">
      <c r="A47" s="242" t="inlineStr">
        <is>
          <t>综合楼</t>
        </is>
      </c>
      <c r="B47" s="242" t="inlineStr">
        <is>
          <t>S148</t>
        </is>
      </c>
      <c r="C47" s="242" t="inlineStr">
        <is>
          <t>范围公式</t>
        </is>
      </c>
      <c r="D47" s="242">
        <f>+SUM(S149:S166)</f>
        <v/>
      </c>
      <c r="E47" s="242">
        <f>+SUM(T410:T427)</f>
        <v/>
      </c>
      <c r="F47" s="242" t="inlineStr">
        <is>
          <t>请核查公式范围是否正确</t>
        </is>
      </c>
    </row>
    <row r="48">
      <c r="A48" s="242" t="inlineStr">
        <is>
          <t>综合楼</t>
        </is>
      </c>
      <c r="B48" s="242" t="inlineStr">
        <is>
          <t>T148</t>
        </is>
      </c>
      <c r="C48" s="242" t="inlineStr">
        <is>
          <t>范围公式</t>
        </is>
      </c>
      <c r="D48" s="242">
        <f>+SUM(T149:T166)</f>
        <v/>
      </c>
      <c r="E48" s="242">
        <f>+SUM(U410:U427)</f>
        <v/>
      </c>
      <c r="F48" s="242" t="inlineStr">
        <is>
          <t>请核查公式范围是否正确</t>
        </is>
      </c>
    </row>
    <row r="49">
      <c r="A49" s="242" t="inlineStr">
        <is>
          <t>综合楼</t>
        </is>
      </c>
      <c r="B49" s="242" t="inlineStr">
        <is>
          <t>U148</t>
        </is>
      </c>
      <c r="C49" s="242" t="inlineStr">
        <is>
          <t>范围公式</t>
        </is>
      </c>
      <c r="D49" s="242">
        <f>SUM(U149:U166)</f>
        <v/>
      </c>
      <c r="E49" s="242">
        <f>SUM(V410:V427)</f>
        <v/>
      </c>
      <c r="F49" s="242" t="inlineStr">
        <is>
          <t>请核查公式范围是否正确</t>
        </is>
      </c>
    </row>
    <row r="50">
      <c r="A50" s="242" t="inlineStr">
        <is>
          <t>综合楼</t>
        </is>
      </c>
      <c r="B50" s="242" t="inlineStr">
        <is>
          <t>S168</t>
        </is>
      </c>
      <c r="C50" s="242" t="inlineStr">
        <is>
          <t>范围公式</t>
        </is>
      </c>
      <c r="D50" s="242">
        <f>SUM(S170:S213)</f>
        <v/>
      </c>
      <c r="E50" s="242">
        <f>SUM(T431:T474)</f>
        <v/>
      </c>
      <c r="F50" s="242" t="inlineStr">
        <is>
          <t>请核查公式范围是否正确</t>
        </is>
      </c>
    </row>
    <row r="51">
      <c r="A51" s="242" t="inlineStr">
        <is>
          <t>综合楼</t>
        </is>
      </c>
      <c r="B51" s="242" t="inlineStr">
        <is>
          <t>T168</t>
        </is>
      </c>
      <c r="C51" s="242" t="inlineStr">
        <is>
          <t>范围公式</t>
        </is>
      </c>
      <c r="D51" s="242">
        <f>SUM(T170:T213)</f>
        <v/>
      </c>
      <c r="E51" s="242">
        <f>SUM(U431:U474)</f>
        <v/>
      </c>
      <c r="F51" s="242" t="inlineStr">
        <is>
          <t>请核查公式范围是否正确</t>
        </is>
      </c>
    </row>
    <row r="52">
      <c r="A52" s="242" t="inlineStr">
        <is>
          <t>综合楼</t>
        </is>
      </c>
      <c r="B52" s="242" t="inlineStr">
        <is>
          <t>U168</t>
        </is>
      </c>
      <c r="C52" s="242" t="inlineStr">
        <is>
          <t>范围公式</t>
        </is>
      </c>
      <c r="D52" s="242">
        <f>SUM(U170:U213)</f>
        <v/>
      </c>
      <c r="E52" s="242">
        <f>SUM(V431:V474)</f>
        <v/>
      </c>
      <c r="F52" s="242" t="inlineStr">
        <is>
          <t>请核查公式范围是否正确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166" min="1" max="1"/>
    <col width="15" customWidth="1" style="166" min="2" max="2"/>
    <col width="15" customWidth="1" style="166" min="3" max="3"/>
    <col width="15" customWidth="1" style="166" min="4" max="4"/>
    <col width="15" customWidth="1" style="166" min="5" max="5"/>
  </cols>
  <sheetData>
    <row r="1">
      <c r="A1" s="221" t="inlineStr">
        <is>
          <t>对比项</t>
        </is>
      </c>
      <c r="B1" s="221" t="inlineStr">
        <is>
          <t>追加前</t>
        </is>
      </c>
      <c r="C1" s="221" t="inlineStr">
        <is>
          <t>追加后</t>
        </is>
      </c>
      <c r="D1" s="221" t="inlineStr">
        <is>
          <t>差异</t>
        </is>
      </c>
      <c r="E1" s="221" t="inlineStr">
        <is>
          <t>结果</t>
        </is>
      </c>
    </row>
    <row r="2">
      <c r="A2" s="243" t="inlineStr">
        <is>
          <t>行数</t>
        </is>
      </c>
      <c r="B2" s="243" t="n">
        <v>505</v>
      </c>
      <c r="C2" s="243" t="n">
        <v>508</v>
      </c>
      <c r="D2" s="243" t="n">
        <v>3</v>
      </c>
      <c r="E2" s="243" t="inlineStr">
        <is>
          <t>[OK] 一致</t>
        </is>
      </c>
    </row>
    <row r="3">
      <c r="A3" s="243" t="inlineStr">
        <is>
          <t>列数</t>
        </is>
      </c>
      <c r="B3" s="243" t="n">
        <v>36</v>
      </c>
      <c r="C3" s="243" t="n">
        <v>36</v>
      </c>
      <c r="D3" s="243" t="n">
        <v>0</v>
      </c>
      <c r="E3" s="243" t="inlineStr">
        <is>
          <t>[OK] 一致</t>
        </is>
      </c>
    </row>
    <row r="4">
      <c r="A4" s="243" t="inlineStr">
        <is>
          <t>公式数量</t>
        </is>
      </c>
      <c r="B4" s="243" t="n">
        <v>5784</v>
      </c>
      <c r="C4" s="243" t="n">
        <v>5784</v>
      </c>
      <c r="D4" s="243" t="n">
        <v>0</v>
      </c>
      <c r="E4" s="243" t="inlineStr">
        <is>
          <t>[OK] 一致</t>
        </is>
      </c>
    </row>
    <row r="5">
      <c r="A5" s="243" t="inlineStr">
        <is>
          <t>范围公式</t>
        </is>
      </c>
      <c r="B5" s="243" t="n">
        <v>51</v>
      </c>
      <c r="C5" s="243" t="n">
        <v>51</v>
      </c>
      <c r="D5" s="243" t="n">
        <v>0</v>
      </c>
      <c r="E5" s="243" t="inlineStr">
        <is>
          <t>[OK] 一致</t>
        </is>
      </c>
    </row>
    <row r="6">
      <c r="A6" s="243" t="inlineStr">
        <is>
          <t>跨表公式</t>
        </is>
      </c>
      <c r="B6" s="243" t="n">
        <v>0</v>
      </c>
      <c r="C6" s="243" t="n">
        <v>0</v>
      </c>
      <c r="D6" s="243" t="n">
        <v>0</v>
      </c>
      <c r="E6" s="243" t="inlineStr">
        <is>
          <t>[OK] 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2024-05-23T09:30:00Z</dcterms:created>
  <dcterms:modified xsi:type="dcterms:W3CDTF">2026-06-02T02:53:10Z</dcterms:modified>
  <cp:lastModifiedBy>MR.wang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72587A5E18BB442DBB10D6AF90649885_13</vt:lpwstr>
  </property>
  <property name="KSOProductBuildVer" fmtid="{D5CDD505-2E9C-101B-9397-08002B2CF9AE}" pid="3">
    <vt:lpwstr>2052-12.1.0.20305</vt:lpwstr>
  </property>
  <property name="KSOReadingLayout" fmtid="{D5CDD505-2E9C-101B-9397-08002B2CF9AE}" pid="4">
    <vt:bool>0</vt:bool>
  </property>
</Properties>
</file>